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200b65a803f44e5" /></Relationships>
</file>

<file path=xl/workbook.xml><?xml version="1.0" encoding="utf-8"?>
<x:workbook xmlns:x="http://schemas.openxmlformats.org/spreadsheetml/2006/main">
  <x:sheets>
    <x:sheet xmlns:r="http://schemas.openxmlformats.org/officeDocument/2006/relationships" name="00_Control" sheetId="1" r:id="R52eeea397a3a47aa"/>
    <x:sheet xmlns:r="http://schemas.openxmlformats.org/officeDocument/2006/relationships" name="01_Test_Plan" sheetId="2" r:id="R1be2e9f098834b8f"/>
    <x:sheet xmlns:r="http://schemas.openxmlformats.org/officeDocument/2006/relationships" name="02_Run_Results" sheetId="3" r:id="Ra798f02f57b74bf3"/>
    <x:sheet xmlns:r="http://schemas.openxmlformats.org/officeDocument/2006/relationships" name="03_Findings" sheetId="4" r:id="R4b09c095d02f482d"/>
    <x:sheet xmlns:r="http://schemas.openxmlformats.org/officeDocument/2006/relationships" name="04_Decisions" sheetId="5" r:id="Re320ecc719a84f23"/>
    <x:sheet xmlns:r="http://schemas.openxmlformats.org/officeDocument/2006/relationships" name="05_Dashboard" sheetId="6" r:id="R5afd616008404af9"/>
    <x:sheet xmlns:r="http://schemas.openxmlformats.org/officeDocument/2006/relationships" name="06_Definitions" sheetId="7" r:id="Rdf856a5613cb4bef"/>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0"/>
    <x:numFmt numFmtId="201" formatCode="0.0%"/>
    <x:numFmt numFmtId="202" formatCode="yyyy-mm-dd hh:mm"/>
    <x:numFmt numFmtId="203" formatCode="0.000"/>
    <x:numFmt numFmtId="204" formatCode="0.00"/>
    <x:numFmt numFmtId="205" formatCode="0"/>
  </x:numFmts>
  <x:fonts count="5">
    <x:font>
      <x:sz val="11"/>
      <x:name val="Carlito"/>
    </x:font>
    <x:font>
      <x:b/>
      <x:sz val="16"/>
      <x:color rgb="FFFFFFFF"/>
      <x:name val="Carlito"/>
    </x:font>
    <x:font>
      <x:b/>
      <x:sz val="11"/>
      <x:color rgb="FFFFFFFF"/>
      <x:name val="Carlito"/>
    </x:font>
    <x:font>
      <x:b/>
      <x:sz val="11"/>
      <x:color rgb="FF1F2937"/>
      <x:name val="Carlito"/>
    </x:font>
    <x:font>
      <x:b/>
      <x:sz val="12"/>
      <x:color rgb="FFFFFFFF"/>
      <x:name val="Carlito"/>
    </x:font>
  </x:fonts>
  <x:fills count="23">
    <x:fill>
      <x:patternFill patternType="none"/>
    </x:fill>
    <x:fill>
      <x:patternFill patternType="gray125"/>
    </x:fill>
    <x:fill>
      <x:patternFill patternType="solid">
        <x:fgColor rgb="FF16324F"/>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D9EAF0"/>
      </x:patternFill>
    </x:fill>
    <x:fill>
      <x:patternFill patternType="solid">
        <x:fgColor rgb="FF1F6F78"/>
      </x:patternFill>
    </x:fill>
    <x:fill>
      <x:patternFill patternType="solid">
        <x:fgColor rgb="FFD9EAF0"/>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1F6F78"/>
      </x:patternFill>
    </x:fill>
    <x:fill>
      <x:patternFill patternType="solid">
        <x:fgColor rgb="FF274C77"/>
      </x:patternFill>
    </x:fill>
    <x:fill>
      <x:patternFill patternType="solid">
        <x:fgColor rgb="FF7C3E66"/>
      </x:patternFill>
    </x:fill>
    <x:fill>
      <x:patternFill patternType="solid">
        <x:fgColor rgb="FF1F6F78"/>
      </x:patternFill>
    </x:fill>
    <x:fill>
      <x:patternFill patternType="solid">
        <x:fgColor rgb="FF274C77"/>
      </x:patternFill>
    </x:fill>
    <x:fill>
      <x:patternFill patternType="solid">
        <x:fgColor rgb="FF1F6F78"/>
      </x:patternFill>
    </x:fill>
  </x:fills>
  <x:borders count="2">
    <x:border/>
    <x:border/>
  </x:borders>
  <x:cellStyleXfs count="1">
    <x:xf numFmtId="0" fontId="0" fillId="0" borderId="0"/>
  </x:cellStyleXfs>
  <x:cellXfs count="1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vertical="center"/>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200" fontId="0" fillId="0" borderId="0" xfId="0" applyNumberFormat="1" applyFont="1" applyFill="1" applyBorder="1"/>
    <x:xf numFmtId="200" fontId="0" fillId="0" borderId="1" xfId="0" applyNumberFormat="1" applyFont="1" applyFill="1" applyBorder="1"/>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202" fontId="0" fillId="0" borderId="0" xfId="0" applyNumberFormat="1" applyFont="1" applyFill="1" applyBorder="1"/>
    <x:xf numFmtId="202" fontId="0" fillId="0" borderId="1" xfId="0" applyNumberFormat="1" applyFont="1" applyFill="1" applyBorder="1"/>
    <x:xf numFmtId="202" fontId="0" fillId="0" borderId="0" xfId="0" applyNumberFormat="1" applyFont="1" applyFill="1" applyBorder="1" applyAlignment="1">
      <x:alignment wrapText="1"/>
    </x:xf>
    <x:xf numFmtId="201" fontId="0" fillId="0" borderId="0" xfId="0" applyNumberFormat="1" applyFont="1" applyFill="1" applyBorder="1" applyAlignment="1">
      <x:alignment wrapText="1"/>
    </x:xf>
    <x:xf numFmtId="202" fontId="0" fillId="0" borderId="1" xfId="0" applyNumberFormat="1" applyFont="1" applyFill="1" applyBorder="1" applyAlignment="1">
      <x:alignment wrapText="1"/>
    </x:xf>
    <x:xf numFmtId="201" fontId="0" fillId="0" borderId="1" xfId="0" applyNumberFormat="1" applyFont="1" applyFill="1" applyBorder="1" applyAlignment="1">
      <x:alignment wrapText="1"/>
    </x:xf>
    <x:xf numFmtId="0" fontId="0" fillId="0" borderId="0" xfId="0" applyNumberFormat="1" applyFont="1" applyFill="1" applyBorder="1"/>
    <x:xf numFmtId="203" fontId="0" fillId="0" borderId="0" xfId="0" applyNumberFormat="1" applyFont="1" applyFill="1" applyBorder="1" applyAlignment="1">
      <x:alignment wrapText="1"/>
    </x:xf>
    <x:xf numFmtId="204" fontId="0" fillId="0" borderId="0" xfId="0" applyNumberFormat="1" applyFont="1" applyFill="1" applyBorder="1" applyAlignment="1">
      <x:alignment wrapText="1"/>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wrapText="1"/>
    </x:xf>
    <x:xf numFmtId="0" fontId="2" fillId="6" borderId="0" xfId="0" applyNumberFormat="1" applyFont="1" applyFill="1" applyBorder="1" applyAlignment="1">
      <x:alignment horizontal="center" wrapText="1"/>
    </x:xf>
    <x:xf numFmtId="0" fontId="2" fillId="6" borderId="0" xfId="0" applyNumberFormat="1" applyFont="1" applyFill="1" applyBorder="1" applyAlignment="1">
      <x:alignment horizontal="center" vertical="center" wrapText="1"/>
    </x:xf>
    <x:xf numFmtId="204" fontId="0" fillId="0" borderId="0" xfId="0" applyNumberFormat="1" applyFont="1" applyFill="1" applyBorder="1"/>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wrapText="1"/>
    </x:xf>
    <x:xf numFmtId="0" fontId="2" fillId="7" borderId="0" xfId="0" applyNumberFormat="1" applyFont="1" applyFill="1" applyBorder="1" applyAlignment="1">
      <x:alignment horizontal="center" wrapText="1"/>
    </x:xf>
    <x:xf numFmtId="0" fontId="2" fillId="7" borderId="0" xfId="0" applyNumberFormat="1" applyFont="1" applyFill="1" applyBorder="1" applyAlignment="1">
      <x:alignment horizontal="center" vertical="center" wrapText="1"/>
    </x:xf>
    <x:xf numFmtId="0" fontId="0" fillId="8" borderId="0" xfId="0" applyNumberFormat="1" applyFont="1" applyFill="1" applyBorder="1"/>
    <x:xf numFmtId="0" fontId="3" fillId="8" borderId="0" xfId="0" applyNumberFormat="1" applyFont="1" applyFill="1" applyBorder="1"/>
    <x:xf numFmtId="0" fontId="3" fillId="8" borderId="0" xfId="0" applyNumberFormat="1" applyFont="1" applyFill="1" applyBorder="1" applyAlignment="1">
      <x:alignment wrapText="1"/>
    </x:xf>
    <x:xf numFmtId="0" fontId="3" fillId="8" borderId="0" xfId="0" applyNumberFormat="1" applyFont="1" applyFill="1" applyBorder="1" applyAlignment="1">
      <x:alignment vertical="center" wrapText="1"/>
    </x:xf>
    <x:xf numFmtId="0" fontId="0" fillId="9" borderId="0" xfId="0" applyNumberFormat="1" applyFont="1" applyFill="1" applyBorder="1"/>
    <x:xf numFmtId="0" fontId="2" fillId="9" borderId="0" xfId="0" applyNumberFormat="1" applyFont="1" applyFill="1" applyBorder="1"/>
    <x:xf numFmtId="0" fontId="2" fillId="9" borderId="0" xfId="0" applyNumberFormat="1" applyFont="1" applyFill="1" applyBorder="1" applyAlignment="1">
      <x:alignment wrapText="1"/>
    </x:xf>
    <x:xf numFmtId="0" fontId="2" fillId="9" borderId="0" xfId="0" applyNumberFormat="1" applyFont="1" applyFill="1" applyBorder="1" applyAlignment="1">
      <x:alignment horizontal="center" wrapText="1"/>
    </x:xf>
    <x:xf numFmtId="0" fontId="2" fillId="9" borderId="0" xfId="0" applyNumberFormat="1" applyFont="1" applyFill="1" applyBorder="1" applyAlignment="1">
      <x:alignment horizontal="center" vertical="center" wrapText="1"/>
    </x:xf>
    <x:xf numFmtId="0" fontId="0" fillId="10" borderId="0" xfId="0" applyNumberFormat="1" applyFont="1" applyFill="1" applyBorder="1"/>
    <x:xf numFmtId="0" fontId="3" fillId="10" borderId="0" xfId="0" applyNumberFormat="1" applyFont="1" applyFill="1" applyBorder="1"/>
    <x:xf numFmtId="0" fontId="3" fillId="10" borderId="0" xfId="0" applyNumberFormat="1" applyFont="1" applyFill="1" applyBorder="1" applyAlignment="1">
      <x:alignment wrapText="1"/>
    </x:xf>
    <x:xf numFmtId="0" fontId="3" fillId="10" borderId="0" xfId="0" applyNumberFormat="1" applyFont="1" applyFill="1" applyBorder="1" applyAlignment="1">
      <x:alignment vertical="center" wrapText="1"/>
    </x:xf>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2" fillId="5" borderId="0" xfId="0" applyNumberFormat="1" applyFont="1" applyFill="1" applyBorder="1" applyAlignment="1">
      <x:alignment horizontal="center" vertical="center" wrapText="1"/>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wrapText="1"/>
    </x:xf>
    <x:xf numFmtId="0" fontId="2" fillId="11" borderId="0" xfId="0" applyNumberFormat="1" applyFont="1" applyFill="1" applyBorder="1" applyAlignment="1">
      <x:alignment horizontal="center" wrapText="1"/>
    </x:xf>
    <x:xf numFmtId="0" fontId="2" fillId="11" borderId="0" xfId="0" applyNumberFormat="1" applyFont="1" applyFill="1" applyBorder="1" applyAlignment="1">
      <x:alignment horizontal="center" vertical="center" wrapText="1"/>
    </x:xf>
    <x:xf numFmtId="205" fontId="0" fillId="0" borderId="0" xfId="0" applyNumberFormat="1" applyFont="1" applyFill="1" applyBorder="1" applyAlignment="1">
      <x:alignment wrapText="1"/>
    </x:xf>
    <x:xf numFmtId="0" fontId="0" fillId="12" borderId="0" xfId="0" applyNumberFormat="1" applyFont="1" applyFill="1" applyBorder="1"/>
    <x:xf numFmtId="0" fontId="2" fillId="12" borderId="0" xfId="0" applyNumberFormat="1" applyFont="1" applyFill="1" applyBorder="1"/>
    <x:xf numFmtId="0" fontId="2" fillId="12" borderId="0" xfId="0" applyNumberFormat="1" applyFont="1" applyFill="1" applyBorder="1" applyAlignment="1">
      <x:alignment wrapText="1"/>
    </x:xf>
    <x:xf numFmtId="0" fontId="2" fillId="12" borderId="0" xfId="0" applyNumberFormat="1" applyFont="1" applyFill="1" applyBorder="1" applyAlignment="1">
      <x:alignment horizontal="center" wrapText="1"/>
    </x:xf>
    <x:xf numFmtId="0" fontId="2" fillId="12" borderId="0" xfId="0" applyNumberFormat="1" applyFont="1" applyFill="1" applyBorder="1" applyAlignment="1">
      <x:alignment horizontal="center" vertical="center" wrapText="1"/>
    </x:xf>
    <x:xf numFmtId="0" fontId="2" fillId="13" borderId="0" xfId="0" applyNumberFormat="1" applyFont="1" applyFill="1" applyBorder="1" applyAlignment="1">
      <x:alignment horizontal="center" vertical="center" wrapText="1"/>
    </x:xf>
    <x:xf numFmtId="0" fontId="0" fillId="14" borderId="0" xfId="0" applyNumberFormat="1" applyFont="1" applyFill="1" applyBorder="1"/>
    <x:xf numFmtId="0" fontId="2" fillId="14" borderId="0" xfId="0" applyNumberFormat="1" applyFont="1" applyFill="1" applyBorder="1"/>
    <x:xf numFmtId="0" fontId="2" fillId="14" borderId="0" xfId="0" applyNumberFormat="1" applyFont="1" applyFill="1" applyBorder="1" applyAlignment="1">
      <x:alignment wrapText="1"/>
    </x:xf>
    <x:xf numFmtId="0" fontId="2" fillId="14" borderId="0" xfId="0" applyNumberFormat="1" applyFont="1" applyFill="1" applyBorder="1" applyAlignment="1">
      <x:alignment horizontal="center" wrapText="1"/>
    </x:xf>
    <x:xf numFmtId="0" fontId="2" fillId="14" borderId="0" xfId="0" applyNumberFormat="1" applyFont="1" applyFill="1" applyBorder="1" applyAlignment="1">
      <x:alignment horizontal="center" vertical="center" wrapText="1"/>
    </x:xf>
    <x:xf numFmtId="0" fontId="0" fillId="15" borderId="0" xfId="0" applyNumberFormat="1" applyFont="1" applyFill="1" applyBorder="1"/>
    <x:xf numFmtId="0" fontId="2" fillId="15" borderId="0" xfId="0" applyNumberFormat="1" applyFont="1" applyFill="1" applyBorder="1"/>
    <x:xf numFmtId="0" fontId="2" fillId="15" borderId="0" xfId="0" applyNumberFormat="1" applyFont="1" applyFill="1" applyBorder="1" applyAlignment="1">
      <x:alignment wrapText="1"/>
    </x:xf>
    <x:xf numFmtId="0" fontId="2" fillId="15" borderId="0" xfId="0" applyNumberFormat="1" applyFont="1" applyFill="1" applyBorder="1" applyAlignment="1">
      <x:alignment horizontal="center" wrapText="1"/>
    </x:xf>
    <x:xf numFmtId="0" fontId="2" fillId="15" borderId="0" xfId="0" applyNumberFormat="1" applyFont="1" applyFill="1" applyBorder="1" applyAlignment="1">
      <x:alignment horizontal="center" vertical="center" wrapText="1"/>
    </x:xf>
    <x:xf numFmtId="0" fontId="0" fillId="16" borderId="0" xfId="0" applyNumberFormat="1" applyFont="1" applyFill="1" applyBorder="1"/>
    <x:xf numFmtId="0" fontId="2" fillId="16" borderId="0" xfId="0" applyNumberFormat="1" applyFont="1" applyFill="1" applyBorder="1"/>
    <x:xf numFmtId="0" fontId="2" fillId="16" borderId="0" xfId="0" applyNumberFormat="1" applyFont="1" applyFill="1" applyBorder="1" applyAlignment="1">
      <x:alignment wrapText="1"/>
    </x:xf>
    <x:xf numFmtId="0" fontId="2" fillId="16" borderId="0" xfId="0" applyNumberFormat="1" applyFont="1" applyFill="1" applyBorder="1" applyAlignment="1">
      <x:alignment horizontal="center" wrapText="1"/>
    </x:xf>
    <x:xf numFmtId="0" fontId="2" fillId="16" borderId="0" xfId="0" applyNumberFormat="1" applyFont="1" applyFill="1" applyBorder="1" applyAlignment="1">
      <x:alignment horizontal="center" vertical="center" wrapText="1"/>
    </x:xf>
    <x:xf numFmtId="0" fontId="0" fillId="17" borderId="0" xfId="0" applyNumberFormat="1" applyFont="1" applyFill="1" applyBorder="1"/>
    <x:xf numFmtId="0" fontId="2" fillId="17" borderId="0" xfId="0" applyNumberFormat="1" applyFont="1" applyFill="1" applyBorder="1"/>
    <x:xf numFmtId="0" fontId="2" fillId="17" borderId="0" xfId="0" applyNumberFormat="1" applyFont="1" applyFill="1" applyBorder="1" applyAlignment="1">
      <x:alignment wrapText="1"/>
    </x:xf>
    <x:xf numFmtId="0" fontId="2" fillId="17" borderId="0" xfId="0" applyNumberFormat="1" applyFont="1" applyFill="1" applyBorder="1" applyAlignment="1">
      <x:alignment horizontal="center" wrapText="1"/>
    </x:xf>
    <x:xf numFmtId="0" fontId="2" fillId="17" borderId="0" xfId="0" applyNumberFormat="1" applyFont="1" applyFill="1" applyBorder="1" applyAlignment="1">
      <x:alignment horizontal="center" vertical="center" wrapText="1"/>
    </x:xf>
    <x:xf numFmtId="0" fontId="2" fillId="18" borderId="0" xfId="0" applyNumberFormat="1" applyFont="1" applyFill="1" applyBorder="1" applyAlignment="1">
      <x:alignment horizontal="center" vertical="center" wrapText="1"/>
    </x:xf>
    <x:xf numFmtId="0" fontId="0" fillId="19" borderId="0" xfId="0" applyNumberFormat="1" applyFont="1" applyFill="1" applyBorder="1"/>
    <x:xf numFmtId="0" fontId="2" fillId="19" borderId="0" xfId="0" applyNumberFormat="1" applyFont="1" applyFill="1" applyBorder="1"/>
    <x:xf numFmtId="0" fontId="2" fillId="19" borderId="0" xfId="0" applyNumberFormat="1" applyFont="1" applyFill="1" applyBorder="1" applyAlignment="1">
      <x:alignment wrapText="1"/>
    </x:xf>
    <x:xf numFmtId="0" fontId="2" fillId="19" borderId="0" xfId="0" applyNumberFormat="1" applyFont="1" applyFill="1" applyBorder="1" applyAlignment="1">
      <x:alignment horizontal="center" wrapText="1"/>
    </x:xf>
    <x:xf numFmtId="0" fontId="2" fillId="19"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2" fillId="20" borderId="0" xfId="0" applyNumberFormat="1" applyFont="1" applyFill="1" applyBorder="1" applyAlignment="1">
      <x:alignment horizontal="center" vertical="center" wrapText="1"/>
    </x:xf>
    <x:xf numFmtId="0" fontId="0" fillId="21" borderId="0" xfId="0" applyNumberFormat="1" applyFont="1" applyFill="1" applyBorder="1"/>
    <x:xf numFmtId="0" fontId="2" fillId="21" borderId="0" xfId="0" applyNumberFormat="1" applyFont="1" applyFill="1" applyBorder="1"/>
    <x:xf numFmtId="0" fontId="2" fillId="21" borderId="0" xfId="0" applyNumberFormat="1" applyFont="1" applyFill="1" applyBorder="1" applyAlignment="1">
      <x:alignment wrapText="1"/>
    </x:xf>
    <x:xf numFmtId="0" fontId="2" fillId="21" borderId="0" xfId="0" applyNumberFormat="1" applyFont="1" applyFill="1" applyBorder="1" applyAlignment="1">
      <x:alignment horizontal="center" wrapText="1"/>
    </x:xf>
    <x:xf numFmtId="0" fontId="2" fillId="21" borderId="0" xfId="0" applyNumberFormat="1" applyFont="1" applyFill="1" applyBorder="1" applyAlignment="1">
      <x:alignment horizontal="center" vertical="center" wrapText="1"/>
    </x:xf>
    <x:xf numFmtId="0" fontId="0" fillId="22" borderId="0" xfId="0" applyNumberFormat="1" applyFont="1" applyFill="1" applyBorder="1"/>
    <x:xf numFmtId="0" fontId="2" fillId="22" borderId="0" xfId="0" applyNumberFormat="1" applyFont="1" applyFill="1" applyBorder="1"/>
    <x:xf numFmtId="0" fontId="2" fillId="22" borderId="0" xfId="0" applyNumberFormat="1" applyFont="1" applyFill="1" applyBorder="1" applyAlignment="1">
      <x:alignment wrapText="1"/>
    </x:xf>
    <x:xf numFmtId="0" fontId="2" fillId="22" borderId="0" xfId="0" applyNumberFormat="1" applyFont="1" applyFill="1" applyBorder="1" applyAlignment="1">
      <x:alignment horizontal="center" wrapText="1"/>
    </x:xf>
    <x:xf numFmtId="0" fontId="2" fillId="22"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extLst>
        <x:ext uri="{C7286773-470A-42A8-94C5-96B5CB345126}">
          <xfpb:xfComplement xmlns:xfpb="http://schemas.microsoft.com/office/spreadsheetml/2022/featurepropertybag" i="0"/>
        </x:ext>
      </x:extLst>
    </x:xf>
  </x:cellXfs>
  <x:cellStyles count="1">
    <x:cellStyle name="Normal" xfId="0"/>
  </x:cellStyles>
  <x:dxfs count="16">
    <x:dxf>
      <x:fill>
        <x:patternFill>
          <x:bgColor rgb="FFE9F6EC"/>
        </x:patternFill>
      </x:fill>
    </x:dxf>
    <x:dxf>
      <x:fill>
        <x:patternFill>
          <x:bgColor rgb="FFFFF4CC"/>
        </x:patternFill>
      </x:fill>
    </x:dxf>
    <x:dxf>
      <x:fill>
        <x:patternFill>
          <x:bgColor rgb="FFFDECEC"/>
        </x:patternFill>
      </x:fill>
    </x:dxf>
    <x:dxf>
      <x:fill>
        <x:patternFill>
          <x:bgColor rgb="FFE8F3F1"/>
        </x:patternFill>
      </x:fill>
    </x:dxf>
    <x:dxf>
      <x:fill>
        <x:patternFill>
          <x:bgColor rgb="FFE9F6EC"/>
        </x:patternFill>
      </x:fill>
    </x:dxf>
    <x:dxf>
      <x:fill>
        <x:patternFill>
          <x:bgColor rgb="FFFFF4CC"/>
        </x:patternFill>
      </x:fill>
    </x:dxf>
    <x:dxf>
      <x:fill>
        <x:patternFill>
          <x:bgColor rgb="FFFDECEC"/>
        </x:patternFill>
      </x:fill>
    </x:dxf>
    <x:dxf>
      <x:fill>
        <x:patternFill>
          <x:bgColor rgb="FFE9F6EC"/>
        </x:patternFill>
      </x:fill>
    </x:dxf>
    <x:dxf>
      <x:fill>
        <x:patternFill>
          <x:bgColor rgb="FFFFF4CC"/>
        </x:patternFill>
      </x:fill>
    </x:dxf>
    <x:dxf>
      <x:fill>
        <x:patternFill>
          <x:bgColor rgb="FFFDECEC"/>
        </x:patternFill>
      </x:fill>
    </x:dxf>
    <x:dxf>
      <x:fill>
        <x:patternFill>
          <x:bgColor rgb="FFFDECEC"/>
        </x:patternFill>
      </x:fill>
    </x:dxf>
    <x:dxf>
      <x:fill>
        <x:patternFill>
          <x:bgColor rgb="FFFFF4CC"/>
        </x:patternFill>
      </x:fill>
    </x:dxf>
    <x:dxf>
      <x:fill>
        <x:patternFill>
          <x:bgColor rgb="FFE9F6EC"/>
        </x:patternFill>
      </x:fill>
    </x:dxf>
    <x:dxf>
      <x:fill>
        <x:patternFill>
          <x:bgColor rgb="FFE9F6EC"/>
        </x:patternFill>
      </x:fill>
    </x:dxf>
    <x:dxf>
      <x:fill>
        <x:patternFill>
          <x:bgColor rgb="FFE9F6EC"/>
        </x:patternFill>
      </x:fill>
    </x:dxf>
    <x:dxf>
      <x:fill>
        <x:patternFill>
          <x:bgColor rgb="FFFFF4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687edf94def43e9" /><Relationship Type="http://schemas.openxmlformats.org/officeDocument/2006/relationships/theme" Target="/xl/theme/theme1.xml" Id="Rb0238e97d2ca4f47" /><Relationship Type="http://schemas.microsoft.com/office/2022/11/relationships/FeaturePropertyBag" Target="/xl/featurePropertyBag/featurePropertyBag.xml" Id="Rf41fe37ac7a044b9" /><Relationship Type="http://schemas.openxmlformats.org/officeDocument/2006/relationships/sharedStrings" Target="/xl/sharedStrings.xml" Id="R8676b520f9ec4438" /><Relationship Type="http://schemas.openxmlformats.org/officeDocument/2006/relationships/worksheet" Target="/xl/worksheets/sheet1.xml" Id="R52eeea397a3a47aa" /><Relationship Type="http://schemas.openxmlformats.org/officeDocument/2006/relationships/worksheet" Target="/xl/worksheets/sheet2.xml" Id="R1be2e9f098834b8f" /><Relationship Type="http://schemas.openxmlformats.org/officeDocument/2006/relationships/worksheet" Target="/xl/worksheets/sheet3.xml" Id="Ra798f02f57b74bf3" /><Relationship Type="http://schemas.openxmlformats.org/officeDocument/2006/relationships/worksheet" Target="/xl/worksheets/sheet4.xml" Id="R4b09c095d02f482d" /><Relationship Type="http://schemas.openxmlformats.org/officeDocument/2006/relationships/worksheet" Target="/xl/worksheets/sheet5.xml" Id="Re320ecc719a84f23" /><Relationship Type="http://schemas.openxmlformats.org/officeDocument/2006/relationships/worksheet" Target="/xl/worksheets/sheet6.xml" Id="R5afd616008404af9" /><Relationship Type="http://schemas.openxmlformats.org/officeDocument/2006/relationships/worksheet" Target="/xl/worksheets/sheet7.xml" Id="Rdf856a5613cb4bef" /></Relationships>
</file>

<file path=xl/drawings/_rels/drawing1.xml.rels>&#65279;<?xml version="1.0" encoding="utf-8"?><Relationships xmlns="http://schemas.openxmlformats.org/package/2006/relationships"><Relationship Type="http://schemas.openxmlformats.org/officeDocument/2006/relationships/chart" Target="/xl/drawings/charts/chart1.xml" Id="Re753a41f75304c01"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Pruebas por fase</a:t>
            </a:r>
          </a:p>
        </c:rich>
      </c:tx>
    </c:title>
    <c:plotArea>
      <c:barChart>
        <c:barDir val="col"/>
        <c:varyColors val="0"/>
        <c:ser>
          <c:idx val="0"/>
          <c:order val="0"/>
          <c:tx>
            <c:v>Planned</c:v>
          </c:tx>
          <c:cat>
            <c:strRef>
              <c:f>'05_Dashboard'!$D$5:$D$10</c:f>
              <c:strCache>
                <c:ptCount val="0"/>
              </c:strCache>
            </c:strRef>
          </c:cat>
          <c:val>
            <c:numRef>
              <c:f>'05_Dashboard'!$E$5:$E$10</c:f>
              <c:numCache>
                <c:formatCode>General</c:formatCode>
                <c:ptCount val="0"/>
              </c:numCache>
            </c:numRef>
          </c:val>
        </c:ser>
        <c:ser>
          <c:idx val="1"/>
          <c:order val="1"/>
          <c:tx>
            <c:v>Completed</c:v>
          </c:tx>
          <c:cat>
            <c:strRef>
              <c:f>'05_Dashboard'!$D$5:$D$10</c:f>
              <c:strCache>
                <c:ptCount val="0"/>
              </c:strCache>
            </c:strRef>
          </c:cat>
          <c:val>
            <c:numRef>
              <c:f>'05_Dashboard'!$F$5:$F$10</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11</xdr:row>
      <xdr:rowOff>0</xdr:rowOff>
    </xdr:from>
    <xdr:to>
      <xdr:col>10</xdr:col>
      <xdr:colOff>0</xdr:colOff>
      <xdr:row>27</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753a41f75304c01"/>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estPlanTable" displayName="TestPlanTable" ref="A4:T65" headerRowCount="1" totalsRowCount="0" totalsRowShown="0">
  <x:tableColumns count="20">
    <x:tableColumn id="1" name="Test ID"/>
    <x:tableColumn id="2" name="Phase"/>
    <x:tableColumn id="3" name="Order"/>
    <x:tableColumn id="4" name="Scenario"/>
    <x:tableColumn id="5" name="Objective"/>
    <x:tableColumn id="6" name="Alarm Count"/>
    <x:tableColumn id="7" name="Backend"/>
    <x:tableColumn id="8" name="Data Profile"/>
    <x:tableColumn id="9" name="Partitions / Sources"/>
    <x:tableColumn id="10" name="Control-plane"/>
    <x:tableColumn id="11" name="Config / Failure"/>
    <x:tableColumn id="12" name="Duration (min)"/>
    <x:tableColumn id="13" name="Iteration Period (s)"/>
    <x:tableColumn id="14" name="Data Refresh (s)"/>
    <x:tableColumn id="15" name="Gate Type"/>
    <x:tableColumn id="16" name="Integrity Gate"/>
    <x:tableColumn id="17" name="Performance Interpretation"/>
    <x:tableColumn id="18" name="Status"/>
    <x:tableColumn id="19" name="Prerequisites"/>
    <x:tableColumn id="20" name="Result Summ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f98cdf9a3ce474e" /></Relationships>
</file>

<file path=xl/worksheets/_rels/sheet6.xml.rels>&#65279;<?xml version="1.0" encoding="utf-8"?><Relationships xmlns="http://schemas.openxmlformats.org/package/2006/relationships"><Relationship Type="http://schemas.openxmlformats.org/officeDocument/2006/relationships/drawing" Target="/xl/drawings/drawing1.xml" Id="R66d981be8fcd4145" /></Relationships>
</file>

<file path=xl/worksheets/sheet1.xml><?xml version="1.0" encoding="utf-8"?>
<x:worksheet xmlns:x="http://schemas.openxmlformats.org/spreadsheetml/2006/main">
  <x:sheetFormatPr defaultRowHeight="15"/>
  <x:cols>
    <x:col min="1" max="1" width="18" hidden="0" customWidth="1"/>
    <x:col min="2" max="2" width="70" hidden="0" customWidth="1"/>
    <x:col min="3" max="3" width="22" hidden="0" customWidth="1"/>
    <x:col min="4" max="4" width="14" hidden="0" customWidth="1"/>
    <x:col min="5" max="5" width="14" hidden="0" customWidth="1"/>
    <x:col min="6" max="6" width="34" hidden="0" customWidth="1"/>
    <x:col min="7" max="7" width="12" hidden="0" customWidth="1"/>
    <x:col min="8" max="8" width="12" hidden="0" customWidth="1"/>
  </x:cols>
  <x:sheetData>
    <x:row r="1">
      <x:c r="A1" s="4" t="str">
        <x:v>Atlanticus / ADA — R3.5 Performance Campaign Planner</x:v>
      </x:c>
      <x:c r="B1" s="4"/>
      <x:c r="C1" s="4"/>
      <x:c r="D1" s="4"/>
      <x:c r="E1" s="4"/>
      <x:c r="F1" s="4"/>
      <x:c r="G1" s="4"/>
      <x:c r="H1" s="4"/>
    </x:row>
    <x:row r="2">
      <x:c r="A2" s="4"/>
      <x:c r="B2" s="4"/>
      <x:c r="C2" s="4"/>
      <x:c r="D2" s="4"/>
      <x:c r="E2" s="4"/>
      <x:c r="F2" s="4"/>
      <x:c r="G2" s="4"/>
      <x:c r="H2" s="4"/>
    </x:row>
    <x:row r="4">
      <x:c r="A4" s="12" t="str">
        <x:v>Campo</x:v>
      </x:c>
      <x:c r="B4" s="12" t="str">
        <x:v>Valor</x:v>
      </x:c>
      <x:c r="D4" s="28" t="str">
        <x:v>Regla de trabajo del planner</x:v>
      </x:c>
      <x:c r="E4" s="28"/>
      <x:c r="F4" s="28"/>
      <x:c r="G4" s="28"/>
      <x:c r="H4" s="28"/>
    </x:row>
    <x:row r="5">
      <x:c r="A5" s="21" t="str">
        <x:v>Planner version</x:v>
      </x:c>
      <x:c r="B5" t="str">
        <x:v>1.0.89</x:v>
      </x:c>
      <x:c r="D5" s="21" t="str">
        <x:v>1</x:v>
      </x:c>
      <x:c r="E5" s="32" t="str">
        <x:v>Este Excel es la fuente de verdad operativa de la campaña R3.5.</x:v>
      </x:c>
      <x:c r="F5" s="32" t="str"/>
      <x:c r="G5" s="32" t="str"/>
      <x:c r="H5" s="32" t="str"/>
    </x:row>
    <x:row r="6">
      <x:c r="A6" s="21" t="str">
        <x:v>Fecha base</x:v>
      </x:c>
      <x:c r="B6" t="str">
        <x:v>2026-08-25</x:v>
      </x:c>
      <x:c r="D6" s="21" t="str">
        <x:v>2</x:v>
      </x:c>
      <x:c r="E6" s="32" t="str">
        <x:v>Cada ejecución crea una fila nueva en 02_Run_Results; nunca se sobreescribe una corrida anterior.</x:v>
      </x:c>
      <x:c r="F6" s="32" t="str"/>
      <x:c r="G6" s="32" t="str"/>
      <x:c r="H6" s="32" t="str"/>
    </x:row>
    <x:row r="7">
      <x:c r="A7" s="21" t="str">
        <x:v>Python</x:v>
      </x:c>
      <x:c r="B7" t="str">
        <x:v>3.14.2 + UV</x:v>
      </x:c>
      <x:c r="D7" s="21" t="str">
        <x:v>3</x:v>
      </x:c>
      <x:c r="E7" s="32" t="str">
        <x:v>Los hallazgos se registran en 03_Findings y las decisiones técnicas en 04_Decisions.</x:v>
      </x:c>
      <x:c r="F7" s="32" t="str"/>
      <x:c r="G7" s="32" t="str"/>
      <x:c r="H7" s="32" t="str"/>
    </x:row>
    <x:row r="8">
      <x:c r="A8" s="21" t="str">
        <x:v>ada-alarms-core</x:v>
      </x:c>
      <x:c r="B8" t="str">
        <x:v>0.7.0</x:v>
      </x:c>
      <x:c r="D8" s="21" t="str">
        <x:v>4</x:v>
      </x:c>
      <x:c r="E8" s="32" t="str">
        <x:v>Después de cada prueba, volver a subir este mismo archivo para actualizar resultados y definir el siguiente paso.</x:v>
      </x:c>
      <x:c r="F8" s="32" t="str"/>
      <x:c r="G8" s="32" t="str"/>
      <x:c r="H8" s="32" t="str"/>
    </x:row>
    <x:row r="9">
      <x:c r="A9" s="21" t="str">
        <x:v>ada-alarms-persistence</x:v>
      </x:c>
      <x:c r="B9" t="str">
        <x:v>0.2.0</x:v>
      </x:c>
      <x:c r="D9" s="21" t="str">
        <x:v>5</x:v>
      </x:c>
      <x:c r="E9" s="32" t="str">
        <x:v>Primero caracterizamos capacidad; el profiling granular sólo se activa cuando exista evidencia de presión.</x:v>
      </x:c>
      <x:c r="F9" s="32" t="str"/>
      <x:c r="G9" s="32" t="str"/>
      <x:c r="H9" s="32" t="str"/>
    </x:row>
    <x:row r="10">
      <x:c r="A10" s="21" t="str">
        <x:v>ada-alarms-runtime-process</x:v>
      </x:c>
      <x:c r="B10" t="str">
        <x:v>0.14.2</x:v>
      </x:c>
      <x:c r="D10" s="21" t="str">
        <x:v>6</x:v>
      </x:c>
      <x:c r="E10" s="32" t="str">
        <x:v>Performance alta o memoria alta no implican FAIL por sí solas durante caracterización.</x:v>
      </x:c>
      <x:c r="F10" s="32" t="str"/>
      <x:c r="G10" s="32" t="str"/>
      <x:c r="H10" s="32" t="str"/>
    </x:row>
    <x:row r="11">
      <x:c r="A11" s="21" t="str">
        <x:v>atlanticus-state</x:v>
      </x:c>
      <x:c r="B11" t="str">
        <x:v>0.2.0</x:v>
      </x:c>
      <x:c r="D11" s="21" t="str">
        <x:v>7</x:v>
      </x:c>
      <x:c r="E11" s="32" t="str">
        <x:v>FAIL de integridad: corrupción, duplicados, pérdida durable, stale writer, OOM real o crecimiento no acotado.</x:v>
      </x:c>
      <x:c r="F11" s="32" t="str"/>
      <x:c r="G11" s="32" t="str"/>
      <x:c r="H11" s="32" t="str"/>
    </x:row>
    <x:row r="12">
      <x:c r="A12" s="21" t="str">
        <x:v>atlanticus-job-runtime</x:v>
      </x:c>
      <x:c r="B12" t="str">
        <x:v>0.7.1</x:v>
      </x:c>
      <x:c r="D12" s="21" t="str">
        <x:v>8</x:v>
      </x:c>
      <x:c r="E12" s="32" t="str">
        <x:v>Iteration period inicial 5 s y data refresh 10 s; timings productivos se cerrarán con evidencia.</x:v>
      </x:c>
      <x:c r="F12" s="32" t="str"/>
      <x:c r="G12" s="32" t="str"/>
      <x:c r="H12" s="32" t="str"/>
    </x:row>
    <x:row r="15">
      <x:c r="A15" s="28" t="str">
        <x:v>Flujo de campaña</x:v>
      </x:c>
      <x:c r="B15" s="28"/>
      <x:c r="C15" s="28"/>
      <x:c r="D15" s="28"/>
      <x:c r="E15" s="28"/>
      <x:c r="F15" s="28"/>
      <x:c r="G15" s="28"/>
      <x:c r="H15" s="28"/>
    </x:row>
    <x:row r="16">
      <x:c r="A16" s="21" t="str">
        <x:v>R3.5A</x:v>
      </x:c>
      <x:c r="B16" s="32" t="str">
        <x:v>Baseline Load</x:v>
      </x:c>
      <x:c r="C16" s="32" t="str">
        <x:v>100 → 250 → 500 → 750 → 1000</x:v>
      </x:c>
      <x:c r="D16" s="32" t="str">
        <x:v>Camino feliz</x:v>
      </x:c>
      <x:c r="E16" s="32" t="str">
        <x:v>Local FS</x:v>
      </x:c>
      <x:c r="F16" s="32" t="str">
        <x:v>Primero demostrar fluidez</x:v>
      </x:c>
    </x:row>
    <x:row r="17">
      <x:c r="A17" s="21" t="str">
        <x:v>R3.5B</x:v>
      </x:c>
      <x:c r="B17" s="32" t="str">
        <x:v>Data &amp; Partition Pressure</x:v>
      </x:c>
      <x:c r="C17" s="32" t="str">
        <x:v>Latest → histórico → múltiples particiones/fuentes</x:v>
      </x:c>
      <x:c r="D17" s="32" t="str">
        <x:v>Lectura</x:v>
      </x:c>
      <x:c r="E17" s="32" t="str">
        <x:v>Local/SMB</x:v>
      </x:c>
      <x:c r="F17" s="32" t="str">
        <x:v>Buscar costo de preparación de datos</x:v>
      </x:c>
    </x:row>
    <x:row r="18">
      <x:c r="A18" s="21" t="str">
        <x:v>R3.5C</x:v>
      </x:c>
      <x:c r="B18" s="32" t="str">
        <x:v>Functional Pressure</x:v>
      </x:c>
      <x:c r="C18" s="32" t="str">
        <x:v>C1/C2/C3, lifecycle, timers, write churn</x:v>
      </x:c>
      <x:c r="D18" s="32" t="str">
        <x:v>Semántica</x:v>
      </x:c>
      <x:c r="E18" s="32" t="str">
        <x:v>Local/SMB</x:v>
      </x:c>
      <x:c r="F18" s="32" t="str">
        <x:v>Presionar Core + snapshots</x:v>
      </x:c>
    </x:row>
    <x:row r="19">
      <x:c r="A19" s="21" t="str">
        <x:v>R3.5D</x:v>
      </x:c>
      <x:c r="B19" s="32" t="str">
        <x:v>Management &amp; Decisions</x:v>
      </x:c>
      <x:c r="C19" s="32" t="str">
        <x:v>continuo + burst + early decisions</x:v>
      </x:c>
      <x:c r="D19" s="32" t="str">
        <x:v>Control-plane</x:v>
      </x:c>
      <x:c r="E19" s="32" t="str">
        <x:v>Local/SMB</x:v>
      </x:c>
      <x:c r="F19" s="32" t="str">
        <x:v>Medir ingress → durable receipt</x:v>
      </x:c>
    </x:row>
    <x:row r="20">
      <x:c r="A20" s="21" t="str">
        <x:v>R3.5E</x:v>
      </x:c>
      <x:c r="B20" s="32" t="str">
        <x:v>Configuration &amp; Failure</x:v>
      </x:c>
      <x:c r="C20" s="32" t="str">
        <x:v>adoption + fallback + lease/cache failure</x:v>
      </x:c>
      <x:c r="D20" s="32" t="str">
        <x:v>Recovery</x:v>
      </x:c>
      <x:c r="E20" s="32" t="str">
        <x:v>Local/SMB</x:v>
      </x:c>
      <x:c r="F20" s="32" t="str">
        <x:v>Validar idempotencia y continuidad</x:v>
      </x:c>
    </x:row>
    <x:row r="21">
      <x:c r="A21" s="21" t="str">
        <x:v>R3.5F</x:v>
      </x:c>
      <x:c r="B21" s="32" t="str">
        <x:v>Soak / Saturation / Profiling</x:v>
      </x:c>
      <x:c r="C21" s="32" t="str">
        <x:v>30 min → 1 h → borde</x:v>
      </x:c>
      <x:c r="D21" s="32" t="str">
        <x:v>Estabilidad</x:v>
      </x:c>
      <x:c r="E21" s="32" t="str">
        <x:v>Local/SMB</x:v>
      </x:c>
      <x:c r="F21" s="32" t="str">
        <x:v>Encontrar rodilla y cuellos reales</x:v>
      </x:c>
    </x:row>
    <x:row r="22">
      <x:c r="A22" s="21" t="str">
        <x:v>FINAL</x:v>
      </x:c>
      <x:c r="B22" s="32" t="str">
        <x:v>Timing Closure</x:v>
      </x:c>
      <x:c r="C22" s="32" t="str">
        <x:v>Analizar resultados y decidir</x:v>
      </x:c>
      <x:c r="D22" s="32" t="str">
        <x:v>Decisión</x:v>
      </x:c>
      <x:c r="E22" s="32" t="str">
        <x:v>-</x:v>
      </x:c>
      <x:c r="F22" s="32" t="str">
        <x:v>Fijar timings y acciones técnicas</x:v>
      </x:c>
    </x:row>
    <x:row r="25">
      <x:c r="A25" s="12" t="str">
        <x:v>Control actual</x:v>
      </x:c>
      <x:c r="B25" s="12" t="str">
        <x:v>Valor</x:v>
      </x:c>
    </x:row>
    <x:row r="26" ht="48" customHeight="1">
      <x:c r="A26" s="21" t="str">
        <x:v>Estado campaña</x:v>
      </x:c>
      <x:c r="B26" s="32" t="str">
        <x:v>R3.5E EN PROGRESO — E-009 CERRADO PASS/GREEN; E-010 HARNESS FIX READY / WORKLOAD CONDITIONAL SMB</x:v>
      </x:c>
    </x:row>
    <x:row r="27" ht="48" customHeight="1">
      <x:c r="A27" s="21" t="str">
        <x:v>Siguiente test sugerido</x:v>
      </x:c>
      <x:c r="B27" s="32" t="str">
        <x:v>Aplicar E-010 corrective harness 0.1.1 en GLONBW11; exigir Ruff/format verde y 332/332. Workload sigue bloqueado hasta preflight SMB post-durable PASS.</x:v>
      </x:c>
    </x:row>
    <x:row r="28">
      <x:c r="A28" s="21" t="str">
        <x:v>Iteration period candidato</x:v>
      </x:c>
      <x:c r="B28" s="34" t="n">
        <x:v>5</x:v>
      </x:c>
    </x:row>
    <x:row r="29">
      <x:c r="A29" s="21" t="str">
        <x:v>Data refresh sintético</x:v>
      </x:c>
      <x:c r="B29" s="34" t="n">
        <x:v>10</x:v>
      </x:c>
    </x:row>
  </x:sheetData>
  <x:mergeCells>
    <x:mergeCell ref="A1:H2"/>
    <x:mergeCell ref="D4:H4"/>
    <x:mergeCell ref="A15:H15"/>
  </x:mergeCells>
  <x:pageMargins left="0.7" right="0.7" top="0.75" bottom="0.75" header="0.3" footer="0.3"/>
</x:worksheet>
</file>

<file path=xl/worksheets/sheet2.xml><?xml version="1.0" encoding="utf-8"?>
<x:worksheet xmlns:x="http://schemas.openxmlformats.org/spreadsheetml/2006/main">
  <x:sheetFormatPr defaultRowHeight="15"/>
  <x:cols>
    <x:col min="1" max="1" width="11" hidden="0" customWidth="1"/>
    <x:col min="2" max="2" width="10" hidden="0" customWidth="1"/>
    <x:col min="3" max="3" width="8" hidden="0" customWidth="1"/>
    <x:col min="4" max="4" width="26" hidden="0" customWidth="1"/>
    <x:col min="5" max="5" width="34" hidden="0" customWidth="1"/>
    <x:col min="6" max="6" width="11" hidden="0" customWidth="1"/>
    <x:col min="7" max="7" width="12" hidden="0" customWidth="1"/>
    <x:col min="8" max="8" width="24" hidden="0" customWidth="1"/>
    <x:col min="9" max="9" width="24" hidden="0" customWidth="1"/>
    <x:col min="10" max="10" width="22" hidden="0" customWidth="1"/>
    <x:col min="11" max="11" width="22" hidden="0" customWidth="1"/>
    <x:col min="12" max="12" width="12" hidden="0" customWidth="1"/>
    <x:col min="13" max="13" width="14" hidden="0" customWidth="1"/>
    <x:col min="14" max="14" width="12" hidden="0" customWidth="1"/>
    <x:col min="15" max="15" width="18" hidden="0" customWidth="1"/>
    <x:col min="16" max="16" width="28" hidden="0" customWidth="1"/>
    <x:col min="17" max="17" width="30" hidden="0" customWidth="1"/>
    <x:col min="18" max="18" width="13" hidden="0" customWidth="1"/>
    <x:col min="19" max="19" width="22" hidden="0" customWidth="1"/>
    <x:col min="20" max="20" width="32" hidden="0" customWidth="1"/>
  </x:cols>
  <x:sheetData>
    <x:row r="1">
      <x:c r="A1" s="4" t="str">
        <x:v>R3.5 — Plan maestro de pruebas progresivas</x:v>
      </x:c>
      <x:c r="B1" s="4"/>
      <x:c r="C1" s="4"/>
      <x:c r="D1" s="4"/>
      <x:c r="E1" s="4"/>
      <x:c r="F1" s="4"/>
      <x:c r="G1" s="4"/>
      <x:c r="H1" s="4"/>
      <x:c r="I1" s="4"/>
      <x:c r="J1" s="4"/>
      <x:c r="K1" s="4"/>
      <x:c r="L1" s="4"/>
      <x:c r="M1" s="4"/>
      <x:c r="N1" s="4"/>
      <x:c r="O1" s="4"/>
      <x:c r="P1" s="4"/>
      <x:c r="Q1" s="4"/>
      <x:c r="R1" s="4"/>
      <x:c r="S1" s="4"/>
      <x:c r="T1" s="4"/>
    </x:row>
    <x:row r="2">
      <x:c r="A2" s="4"/>
      <x:c r="B2" s="4"/>
      <x:c r="C2" s="4"/>
      <x:c r="D2" s="4"/>
      <x:c r="E2" s="4"/>
      <x:c r="F2" s="4"/>
      <x:c r="G2" s="4"/>
      <x:c r="H2" s="4"/>
      <x:c r="I2" s="4"/>
      <x:c r="J2" s="4"/>
      <x:c r="K2" s="4"/>
      <x:c r="L2" s="4"/>
      <x:c r="M2" s="4"/>
      <x:c r="N2" s="4"/>
      <x:c r="O2" s="4"/>
      <x:c r="P2" s="4"/>
      <x:c r="Q2" s="4"/>
      <x:c r="R2" s="4"/>
      <x:c r="S2" s="4"/>
      <x:c r="T2" s="4"/>
    </x:row>
    <x:row r="4">
      <x:c r="A4" s="12" t="str">
        <x:v>Test ID</x:v>
      </x:c>
      <x:c r="B4" s="12" t="str">
        <x:v>Phase</x:v>
      </x:c>
      <x:c r="C4" s="12" t="str">
        <x:v>Order</x:v>
      </x:c>
      <x:c r="D4" s="12" t="str">
        <x:v>Scenario</x:v>
      </x:c>
      <x:c r="E4" s="12" t="str">
        <x:v>Objective</x:v>
      </x:c>
      <x:c r="F4" s="12" t="str">
        <x:v>Alarm Count</x:v>
      </x:c>
      <x:c r="G4" s="12" t="str">
        <x:v>Backend</x:v>
      </x:c>
      <x:c r="H4" s="12" t="str">
        <x:v>Data Profile</x:v>
      </x:c>
      <x:c r="I4" s="12" t="str">
        <x:v>Partitions / Sources</x:v>
      </x:c>
      <x:c r="J4" s="12" t="str">
        <x:v>Control-plane</x:v>
      </x:c>
      <x:c r="K4" s="12" t="str">
        <x:v>Config / Failure</x:v>
      </x:c>
      <x:c r="L4" s="12" t="str">
        <x:v>Duration (min)</x:v>
      </x:c>
      <x:c r="M4" s="12" t="str">
        <x:v>Iteration Period (s)</x:v>
      </x:c>
      <x:c r="N4" s="12" t="str">
        <x:v>Data Refresh (s)</x:v>
      </x:c>
      <x:c r="O4" s="12" t="str">
        <x:v>Gate Type</x:v>
      </x:c>
      <x:c r="P4" s="12" t="str">
        <x:v>Integrity Gate</x:v>
      </x:c>
      <x:c r="Q4" s="12" t="str">
        <x:v>Performance Interpretation</x:v>
      </x:c>
      <x:c r="R4" s="12" t="str">
        <x:v>Status</x:v>
      </x:c>
      <x:c r="S4" s="12" t="str">
        <x:v>Prerequisites</x:v>
      </x:c>
      <x:c r="T4" s="12" t="str">
        <x:v>Result Summary</x:v>
      </x:c>
    </x:row>
    <x:row r="5">
      <x:c r="A5" s="36" t="str">
        <x:v>A-001</x:v>
      </x:c>
      <x:c r="B5" s="36" t="str">
        <x:v>R3.5A</x:v>
      </x:c>
      <x:c r="C5" s="36" t="n">
        <x:v>1</x:v>
      </x:c>
      <x:c r="D5" s="36" t="str">
        <x:v>Smoke baseline 100</x:v>
      </x:c>
      <x:c r="E5" s="36" t="str">
        <x:v>Validar harness y camino feliz antes de carga larga</x:v>
      </x:c>
      <x:c r="F5" s="36" t="n">
        <x:v>100</x:v>
      </x:c>
      <x:c r="G5" s="36" t="str">
        <x:v>Local FS</x:v>
      </x:c>
      <x:c r="H5" s="36" t="str">
        <x:v>Steady-state / latest</x:v>
      </x:c>
      <x:c r="I5" s="36" t="str">
        <x:v>1 partición / fuente mínima</x:v>
      </x:c>
      <x:c r="J5" s="36" t="str">
        <x:v>None</x:v>
      </x:c>
      <x:c r="K5" s="36" t="str">
        <x:v>Stable config</x:v>
      </x:c>
      <x:c r="L5" s="36" t="n">
        <x:v>2</x:v>
      </x:c>
      <x:c r="M5" s="36" t="n">
        <x:v>5</x:v>
      </x:c>
      <x:c r="N5" s="36" t="n">
        <x:v>10</x:v>
      </x:c>
      <x:c r="O5" s="36" t="str">
        <x:v>Smoke</x:v>
      </x:c>
      <x:c r="P5" s="36" t="str">
        <x:v>0 integrity errors</x:v>
      </x:c>
      <x:c r="Q5" s="36" t="str">
        <x:v>Caracterización; no gate duro de performance</x:v>
      </x:c>
      <x:c r="R5" s="36" t="str">
        <x:v>Completed</x:v>
      </x:c>
      <x:c r="S5" s="36" t="str">
        <x:v>Harness foundation</x:v>
      </x:c>
      <x:c r="T5" s="36" t="str">
        <x:v>PASS / GREEN — 25 iterations; p50 99.06 ms; p95 141.46 ms; p99 150.43 ms; max 153.10 ms; 0 overruns; peak RSS 125.98 MB; journal aligned; 1 durable commit; 1 snapshot / 100 alarms; drain 27.82 ms.</x:v>
      </x:c>
    </x:row>
    <x:row r="6">
      <x:c r="A6" s="36" t="str">
        <x:v>A-002</x:v>
      </x:c>
      <x:c r="B6" s="36" t="str">
        <x:v>R3.5A</x:v>
      </x:c>
      <x:c r="C6" s="36" t="n">
        <x:v>2</x:v>
      </x:c>
      <x:c r="D6" s="36" t="str">
        <x:v>Baseline 250</x:v>
      </x:c>
      <x:c r="E6" s="36" t="str">
        <x:v>Obtener primer punto de curva estable</x:v>
      </x:c>
      <x:c r="F6" s="36" t="n">
        <x:v>250</x:v>
      </x:c>
      <x:c r="G6" s="36" t="str">
        <x:v>Local FS</x:v>
      </x:c>
      <x:c r="H6" s="36" t="str">
        <x:v>Steady-state / latest</x:v>
      </x:c>
      <x:c r="I6" s="36" t="str">
        <x:v>1 partición / fuente mínima</x:v>
      </x:c>
      <x:c r="J6" s="36" t="str">
        <x:v>None</x:v>
      </x:c>
      <x:c r="K6" s="36" t="str">
        <x:v>Stable config</x:v>
      </x:c>
      <x:c r="L6" s="36" t="n">
        <x:v>10</x:v>
      </x:c>
      <x:c r="M6" s="36" t="n">
        <x:v>5</x:v>
      </x:c>
      <x:c r="N6" s="36" t="n">
        <x:v>10</x:v>
      </x:c>
      <x:c r="O6" s="36" t="str">
        <x:v>Characterization</x:v>
      </x:c>
      <x:c r="P6" s="36" t="str">
        <x:v>0 integrity errors</x:v>
      </x:c>
      <x:c r="Q6" s="36" t="str">
        <x:v>GREEN p95≤5s; REVIEW 5–10s; INVESTIGATE &gt;10s</x:v>
      </x:c>
      <x:c r="R6" s="36" t="str">
        <x:v>Completed</x:v>
      </x:c>
      <x:c r="S6" s="36" t="str">
        <x:v>A-001</x:v>
      </x:c>
      <x:c r="T6" s="36" t="str">
        <x:v>PASS / GREEN — 121 iterations; p50 205.63 ms; p95 307.32 ms; p99 444.97 ms; max 909.02 ms; 0 overruns; peak RSS 129.65 MB; journal aligned; 3 durable commits (bootstrap + periodic evidence at ~5m/~10m); 1 final snapshot / 250 alarms; drain 97.70 ms.</x:v>
      </x:c>
    </x:row>
    <x:row r="7">
      <x:c r="A7" s="36" t="str">
        <x:v>A-003</x:v>
      </x:c>
      <x:c r="B7" s="36" t="str">
        <x:v>R3.5A</x:v>
      </x:c>
      <x:c r="C7" s="36" t="n">
        <x:v>3</x:v>
      </x:c>
      <x:c r="D7" s="36" t="str">
        <x:v>Baseline 500</x:v>
      </x:c>
      <x:c r="E7" s="36" t="str">
        <x:v>Caracterizar escala media</x:v>
      </x:c>
      <x:c r="F7" s="36" t="n">
        <x:v>500</x:v>
      </x:c>
      <x:c r="G7" s="36" t="str">
        <x:v>Local FS</x:v>
      </x:c>
      <x:c r="H7" s="36" t="str">
        <x:v>Steady-state / latest</x:v>
      </x:c>
      <x:c r="I7" s="36" t="str">
        <x:v>1 partición / fuente mínima</x:v>
      </x:c>
      <x:c r="J7" s="36" t="str">
        <x:v>None</x:v>
      </x:c>
      <x:c r="K7" s="36" t="str">
        <x:v>Stable config</x:v>
      </x:c>
      <x:c r="L7" s="36" t="n">
        <x:v>10</x:v>
      </x:c>
      <x:c r="M7" s="36" t="n">
        <x:v>5</x:v>
      </x:c>
      <x:c r="N7" s="36" t="n">
        <x:v>10</x:v>
      </x:c>
      <x:c r="O7" s="36" t="str">
        <x:v>Characterization</x:v>
      </x:c>
      <x:c r="P7" s="36" t="str">
        <x:v>0 integrity errors</x:v>
      </x:c>
      <x:c r="Q7" s="36" t="str">
        <x:v>GREEN p95≤5s; REVIEW 5–10s; INVESTIGATE &gt;10s</x:v>
      </x:c>
      <x:c r="R7" s="36" t="str">
        <x:v>Completed</x:v>
      </x:c>
      <x:c r="S7" s="36" t="str">
        <x:v>A-002</x:v>
      </x:c>
      <x:c r="T7" s="36" t="str">
        <x:v>PASS / GREEN — 121 iterations; p50 387.47 ms; p95 437.59 ms; p99 618.82 ms; max 728.32 ms; 0 overruns; peak RSS 131.27 MB; journal aligned; 3 durable commits (bootstrap + periodic evidence at ~5m/~10m); 1 final snapshot / 500 alarms; drain 192.98 ms.</x:v>
      </x:c>
    </x:row>
    <x:row r="8">
      <x:c r="A8" s="36" t="str">
        <x:v>A-004</x:v>
      </x:c>
      <x:c r="B8" s="36" t="str">
        <x:v>R3.5A</x:v>
      </x:c>
      <x:c r="C8" s="36" t="n">
        <x:v>4</x:v>
      </x:c>
      <x:c r="D8" s="36" t="str">
        <x:v>Baseline 750</x:v>
      </x:c>
      <x:c r="E8" s="36" t="str">
        <x:v>Detectar inicio de no-linealidad</x:v>
      </x:c>
      <x:c r="F8" s="36" t="n">
        <x:v>750</x:v>
      </x:c>
      <x:c r="G8" s="36" t="str">
        <x:v>Local FS</x:v>
      </x:c>
      <x:c r="H8" s="36" t="str">
        <x:v>Steady-state / latest</x:v>
      </x:c>
      <x:c r="I8" s="36" t="str">
        <x:v>1 partición / fuente mínima</x:v>
      </x:c>
      <x:c r="J8" s="36" t="str">
        <x:v>None</x:v>
      </x:c>
      <x:c r="K8" s="36" t="str">
        <x:v>Stable config</x:v>
      </x:c>
      <x:c r="L8" s="36" t="n">
        <x:v>10</x:v>
      </x:c>
      <x:c r="M8" s="36" t="n">
        <x:v>5</x:v>
      </x:c>
      <x:c r="N8" s="36" t="n">
        <x:v>10</x:v>
      </x:c>
      <x:c r="O8" s="36" t="str">
        <x:v>Characterization</x:v>
      </x:c>
      <x:c r="P8" s="36" t="str">
        <x:v>0 integrity errors</x:v>
      </x:c>
      <x:c r="Q8" s="36" t="str">
        <x:v>Comparar pendiente vs 500</x:v>
      </x:c>
      <x:c r="R8" s="36" t="str">
        <x:v>Completed</x:v>
      </x:c>
      <x:c r="S8" s="36" t="str">
        <x:v>A-003</x:v>
      </x:c>
      <x:c r="T8" s="36" t="str">
        <x:v>PASS / GREEN — 121 iterations; p50 585.99 ms; p95 645.03 ms; p99 888.15 ms; max 955.18 ms; 0 overruns; peak RSS 135.63 MB; journal aligned; 3 durable commits (bootstrap + periodic evidence at ~5m/~10m); 1 final snapshot / 750 alarms; drain 310.23 ms.</x:v>
      </x:c>
    </x:row>
    <x:row r="9">
      <x:c r="A9" s="36" t="str">
        <x:v>A-005</x:v>
      </x:c>
      <x:c r="B9" s="36" t="str">
        <x:v>R3.5A</x:v>
      </x:c>
      <x:c r="C9" s="36" t="n">
        <x:v>5</x:v>
      </x:c>
      <x:c r="D9" s="36" t="str">
        <x:v>Baseline 1000</x:v>
      </x:c>
      <x:c r="E9" s="36" t="str">
        <x:v>Caracterizar objetivo inicial de capacidad</x:v>
      </x:c>
      <x:c r="F9" s="36" t="n">
        <x:v>1000</x:v>
      </x:c>
      <x:c r="G9" s="36" t="str">
        <x:v>Local FS</x:v>
      </x:c>
      <x:c r="H9" s="36" t="str">
        <x:v>Steady-state / latest</x:v>
      </x:c>
      <x:c r="I9" s="36" t="str">
        <x:v>1 partición / fuente mínima</x:v>
      </x:c>
      <x:c r="J9" s="36" t="str">
        <x:v>None</x:v>
      </x:c>
      <x:c r="K9" s="36" t="str">
        <x:v>Stable config</x:v>
      </x:c>
      <x:c r="L9" s="36" t="n">
        <x:v>10</x:v>
      </x:c>
      <x:c r="M9" s="36" t="n">
        <x:v>5</x:v>
      </x:c>
      <x:c r="N9" s="36" t="n">
        <x:v>10</x:v>
      </x:c>
      <x:c r="O9" s="36" t="str">
        <x:v>Characterization</x:v>
      </x:c>
      <x:c r="P9" s="36" t="str">
        <x:v>0 integrity errors</x:v>
      </x:c>
      <x:c r="Q9" s="36" t="str">
        <x:v>GREEN p95≤5s; REVIEW 5–10s; INVESTIGATE &gt;10s</x:v>
      </x:c>
      <x:c r="R9" s="36" t="str">
        <x:v>Completed</x:v>
      </x:c>
      <x:c r="S9" s="36" t="str">
        <x:v>A-004</x:v>
      </x:c>
      <x:c r="T9" s="36" t="str">
        <x:v>PASS / GREEN — 121 iterations; p50 806.64 ms; p95 907.38 ms; p99 1230.24 ms; max 1274.60 ms; 0 overruns; peak RSS 139.62 MB; journal aligned; 3 durable commits (bootstrap + periodic evidence at ~5m/~10m); 1 final snapshot / 1000 alarms; drain 401.48 ms.</x:v>
      </x:c>
    </x:row>
    <x:row r="10">
      <x:c r="A10" s="36" t="str">
        <x:v>B-001</x:v>
      </x:c>
      <x:c r="B10" s="36" t="str">
        <x:v>R3.5B</x:v>
      </x:c>
      <x:c r="C10" s="36" t="n">
        <x:v>10</x:v>
      </x:c>
      <x:c r="D10" s="36" t="str">
        <x:v>Latest narrow</x:v>
      </x:c>
      <x:c r="E10" s="36" t="str">
        <x:v>Costo base de lectura con dataset estrecho</x:v>
      </x:c>
      <x:c r="F10" s="36" t="n">
        <x:v>1000</x:v>
      </x:c>
      <x:c r="G10" s="36" t="str">
        <x:v>Local FS</x:v>
      </x:c>
      <x:c r="H10" s="36" t="str">
        <x:v>Latest narrow</x:v>
      </x:c>
      <x:c r="I10" s="36" t="str">
        <x:v>1 partición / 1 fuente</x:v>
      </x:c>
      <x:c r="J10" s="36" t="str">
        <x:v>None</x:v>
      </x:c>
      <x:c r="K10" s="36" t="str">
        <x:v>Stable config</x:v>
      </x:c>
      <x:c r="L10" s="36" t="n">
        <x:v>10</x:v>
      </x:c>
      <x:c r="M10" s="36" t="n">
        <x:v>5</x:v>
      </x:c>
      <x:c r="N10" s="36" t="n">
        <x:v>10</x:v>
      </x:c>
      <x:c r="O10" s="36" t="str">
        <x:v>Data pressure</x:v>
      </x:c>
      <x:c r="P10" s="36" t="str">
        <x:v>0 integrity errors</x:v>
      </x:c>
      <x:c r="Q10" s="36" t="str">
        <x:v>Comparar con A-005</x:v>
      </x:c>
      <x:c r="R10" s="36" t="str">
        <x:v>Completed</x:v>
      </x:c>
      <x:c r="S10" s="36" t="str">
        <x:v>A-005</x:v>
      </x:c>
      <x:c r="T10" s="36" t="str">
        <x:v>PASS / GREEN — 121 iterations; p50 982.30 ms; p95 1285.54 ms; p99 1587.69 ms; max 1633.94 ms; 0 overruns; peak RSS 142.03 MB; Latest narrow = 1000 unique columns, 1 row, 1 view; source-load p95 7.69 ms; journal aligned; 3 durable commits; drain 418.61 ms.</x:v>
      </x:c>
    </x:row>
    <x:row r="11">
      <x:c r="A11" s="36" t="str">
        <x:v>B-002</x:v>
      </x:c>
      <x:c r="B11" s="36" t="str">
        <x:v>R3.5B</x:v>
      </x:c>
      <x:c r="C11" s="36" t="n">
        <x:v>11</x:v>
      </x:c>
      <x:c r="D11" s="36" t="str">
        <x:v>Latest wide</x:v>
      </x:c>
      <x:c r="E11" s="36" t="str">
        <x:v>Medir presión por ancho de columnas</x:v>
      </x:c>
      <x:c r="F11" s="36" t="n">
        <x:v>1000</x:v>
      </x:c>
      <x:c r="G11" s="36" t="str">
        <x:v>Local FS</x:v>
      </x:c>
      <x:c r="H11" s="36" t="str">
        <x:v>Latest wide</x:v>
      </x:c>
      <x:c r="I11" s="36" t="str">
        <x:v>1 partición / 1 fuente</x:v>
      </x:c>
      <x:c r="J11" s="36" t="str">
        <x:v>None</x:v>
      </x:c>
      <x:c r="K11" s="36" t="str">
        <x:v>Stable config</x:v>
      </x:c>
      <x:c r="L11" s="36" t="n">
        <x:v>10</x:v>
      </x:c>
      <x:c r="M11" s="36" t="n">
        <x:v>5</x:v>
      </x:c>
      <x:c r="N11" s="36" t="n">
        <x:v>10</x:v>
      </x:c>
      <x:c r="O11" s="36" t="str">
        <x:v>Data pressure</x:v>
      </x:c>
      <x:c r="P11" s="36" t="str">
        <x:v>0 integrity errors</x:v>
      </x:c>
      <x:c r="Q11" s="36" t="str">
        <x:v>Comparar memoria y data load</x:v>
      </x:c>
      <x:c r="R11" s="36" t="str">
        <x:v>Completed</x:v>
      </x:c>
      <x:c r="S11" s="36" t="str">
        <x:v>B-001</x:v>
      </x:c>
      <x:c r="T11" s="36" t="str">
        <x:v>PASS / GREEN — 121 iterations; p50 1007.72 ms; p95 1084.95 ms; p99 1423.10 ms; max 1436.61 ms; 0 overruns; peak RSS 144.91 MB; Latest wide = 3000 unique columns, 1 row, 1 view; source-load p95 17.45 ms; journal aligned; 3 durable commits; drain 434.39 ms.</x:v>
      </x:c>
    </x:row>
    <x:row r="12">
      <x:c r="A12" s="36" t="str">
        <x:v>B-003</x:v>
      </x:c>
      <x:c r="B12" s="36" t="str">
        <x:v>R3.5B</x:v>
      </x:c>
      <x:c r="C12" s="36" t="n">
        <x:v>12</x:v>
      </x:c>
      <x:c r="D12" s="36" t="str">
        <x:v>4 partitions balanced</x:v>
      </x:c>
      <x:c r="E12" s="36" t="str">
        <x:v>Medir merge pequeño balanceado</x:v>
      </x:c>
      <x:c r="F12" s="36" t="n">
        <x:v>1000</x:v>
      </x:c>
      <x:c r="G12" s="36" t="str">
        <x:v>Local FS</x:v>
      </x:c>
      <x:c r="H12" s="36" t="str">
        <x:v>Latest</x:v>
      </x:c>
      <x:c r="I12" s="36" t="str">
        <x:v>4 balanced</x:v>
      </x:c>
      <x:c r="J12" s="36" t="str">
        <x:v>None</x:v>
      </x:c>
      <x:c r="K12" s="36" t="str">
        <x:v>Stable config</x:v>
      </x:c>
      <x:c r="L12" s="36" t="n">
        <x:v>10</x:v>
      </x:c>
      <x:c r="M12" s="36" t="n">
        <x:v>5</x:v>
      </x:c>
      <x:c r="N12" s="36" t="n">
        <x:v>10</x:v>
      </x:c>
      <x:c r="O12" s="36" t="str">
        <x:v>Data pressure</x:v>
      </x:c>
      <x:c r="P12" s="36" t="str">
        <x:v>0 integrity errors</x:v>
      </x:c>
      <x:c r="Q12" s="36" t="str">
        <x:v>Comparar data load</x:v>
      </x:c>
      <x:c r="R12" s="36" t="str">
        <x:v>Completed</x:v>
      </x:c>
      <x:c r="S12" s="36" t="str">
        <x:v>B-002</x:v>
      </x:c>
      <x:c r="T12" s="36" t="str">
        <x:v>PASS / GREEN — 121 iterations; p50 953.85 ms; p95 992.83 ms; p99 1352.17 ms; max 1387.57 ms; 0 overruns; peak RSS 142.14 MB; 4 physical partitions balanced 250/250/250/250 over 1 logical Latest view; source-load p95 8.09 ms; merge p95 0.175 ms; journal aligned; 3 durable commits; drain 395.64 ms.</x:v>
      </x:c>
    </x:row>
    <x:row r="13">
      <x:c r="A13" s="36" t="str">
        <x:v>B-004</x:v>
      </x:c>
      <x:c r="B13" s="36" t="str">
        <x:v>R3.5B</x:v>
      </x:c>
      <x:c r="C13" s="36" t="n">
        <x:v>13</x:v>
      </x:c>
      <x:c r="D13" s="36" t="str">
        <x:v>36 partitions balanced</x:v>
      </x:c>
      <x:c r="E13" s="36" t="str">
        <x:v>Salto adaptativo para detectar reacción material del particionamiento</x:v>
      </x:c>
      <x:c r="F13" s="36" t="n">
        <x:v>1000</x:v>
      </x:c>
      <x:c r="G13" s="36" t="str">
        <x:v>Local FS</x:v>
      </x:c>
      <x:c r="H13" s="36" t="str">
        <x:v>Latest</x:v>
      </x:c>
      <x:c r="I13" s="36" t="str">
        <x:v>36 balanced</x:v>
      </x:c>
      <x:c r="J13" s="36" t="str">
        <x:v>None</x:v>
      </x:c>
      <x:c r="K13" s="36" t="str">
        <x:v>Stable config</x:v>
      </x:c>
      <x:c r="L13" s="36" t="n">
        <x:v>10</x:v>
      </x:c>
      <x:c r="M13" s="36" t="n">
        <x:v>5</x:v>
      </x:c>
      <x:c r="N13" s="36" t="n">
        <x:v>10</x:v>
      </x:c>
      <x:c r="O13" s="36" t="str">
        <x:v>Data pressure</x:v>
      </x:c>
      <x:c r="P13" s="36" t="str">
        <x:v>0 integrity errors</x:v>
      </x:c>
      <x:c r="Q13" s="36" t="str">
        <x:v>Comparar contra B-003 y presupuesto de 5 s</x:v>
      </x:c>
      <x:c r="R13" s="36" t="str">
        <x:v>Completed</x:v>
      </x:c>
      <x:c r="S13" s="36" t="str">
        <x:v>B-003</x:v>
      </x:c>
      <x:c r="T13" s="36" t="str">
        <x:v>PASS / GREEN — adaptive jump 4→36 partitions; 121 iterations; p50 1646.51 ms; p95 1805.03 ms; p99 2263.77 ms; max 2412.45 ms; 0 overruns; peak RSS 141.50 MB; distribution = 28×28 + 8×27 columns; source-load p95 25.37 ms; merge p95 1.013 ms; journal aligned; 3 durable commits; drain 663.87 ms.</x:v>
      </x:c>
    </x:row>
    <x:row r="14">
      <x:c r="A14" s="36" t="str">
        <x:v>B-005</x:v>
      </x:c>
      <x:c r="B14" s="36" t="str">
        <x:v>R3.5B</x:v>
      </x:c>
      <x:c r="C14" s="36" t="n">
        <x:v>14</x:v>
      </x:c>
      <x:c r="D14" s="36" t="str">
        <x:v>16 partitions balanced — superseded</x:v>
      </x:c>
      <x:c r="E14" s="36" t="str">
        <x:v>Omitido: el salto B-003→B-004 fue directamente de 4 a 36 particiones</x:v>
      </x:c>
      <x:c r="F14" s="36" t="n">
        <x:v>1000</x:v>
      </x:c>
      <x:c r="G14" s="36" t="str">
        <x:v>Local FS</x:v>
      </x:c>
      <x:c r="H14" s="36" t="str">
        <x:v>Latest</x:v>
      </x:c>
      <x:c r="I14" s="36" t="str">
        <x:v>16 balanced</x:v>
      </x:c>
      <x:c r="J14" s="36" t="str">
        <x:v>None</x:v>
      </x:c>
      <x:c r="K14" s="36" t="str">
        <x:v>Stable config</x:v>
      </x:c>
      <x:c r="L14" s="36" t="n">
        <x:v>10</x:v>
      </x:c>
      <x:c r="M14" s="36" t="n">
        <x:v>5</x:v>
      </x:c>
      <x:c r="N14" s="36" t="n">
        <x:v>10</x:v>
      </x:c>
      <x:c r="O14" s="36" t="str">
        <x:v>Adaptive skip</x:v>
      </x:c>
      <x:c r="P14" s="36" t="str">
        <x:v>0 integrity errors</x:v>
      </x:c>
      <x:c r="Q14" s="36" t="str">
        <x:v>Sin ejecución; cubierto por salto 4→36</x:v>
      </x:c>
      <x:c r="R14" s="36" t="str">
        <x:v>Superseded</x:v>
      </x:c>
      <x:c r="S14" s="36" t="str">
        <x:v>B-004 adaptive jump</x:v>
      </x:c>
      <x:c r="T14" s="36" t="str">
        <x:v>No ejecutado por estrategia adaptativa; 36 particiones ya ejercieron una presión mayor.</x:v>
      </x:c>
    </x:row>
    <x:row r="15">
      <x:c r="A15" s="36" t="str">
        <x:v>B-006</x:v>
      </x:c>
      <x:c r="B15" s="36" t="str">
        <x:v>R3.5B</x:v>
      </x:c>
      <x:c r="C15" s="36" t="n">
        <x:v>15</x:v>
      </x:c>
      <x:c r="D15" s="36" t="str">
        <x:v>32 partitions balanced — superseded</x:v>
      </x:c>
      <x:c r="E15" s="36" t="str">
        <x:v>Omitido: 36 particiones balanceadas reemplazan este punto intermedio</x:v>
      </x:c>
      <x:c r="F15" s="36" t="n">
        <x:v>1000</x:v>
      </x:c>
      <x:c r="G15" s="36" t="str">
        <x:v>Local FS</x:v>
      </x:c>
      <x:c r="H15" s="36" t="str">
        <x:v>Latest</x:v>
      </x:c>
      <x:c r="I15" s="36" t="str">
        <x:v>32 balanced</x:v>
      </x:c>
      <x:c r="J15" s="36" t="str">
        <x:v>None</x:v>
      </x:c>
      <x:c r="K15" s="36" t="str">
        <x:v>Stable config</x:v>
      </x:c>
      <x:c r="L15" s="36" t="n">
        <x:v>10</x:v>
      </x:c>
      <x:c r="M15" s="36" t="n">
        <x:v>5</x:v>
      </x:c>
      <x:c r="N15" s="36" t="n">
        <x:v>10</x:v>
      </x:c>
      <x:c r="O15" s="36" t="str">
        <x:v>Adaptive skip</x:v>
      </x:c>
      <x:c r="P15" s="36" t="str">
        <x:v>0 integrity errors</x:v>
      </x:c>
      <x:c r="Q15" s="36" t="str">
        <x:v>Sin ejecución; cubierto por B-004 = 36 partitions</x:v>
      </x:c>
      <x:c r="R15" s="36" t="str">
        <x:v>Superseded</x:v>
      </x:c>
      <x:c r="S15" s="36" t="str">
        <x:v>B-004 adaptive jump</x:v>
      </x:c>
      <x:c r="T15" s="36" t="str">
        <x:v>No ejecutado por estrategia adaptativa; B-004 superó este nivel.</x:v>
      </x:c>
    </x:row>
    <x:row r="16">
      <x:c r="A16" s="36" t="str">
        <x:v>B-007</x:v>
      </x:c>
      <x:c r="B16" s="36" t="str">
        <x:v>R3.5B</x:v>
      </x:c>
      <x:c r="C16" s="36" t="n">
        <x:v>16</x:v>
      </x:c>
      <x:c r="D16" s="36" t="str">
        <x:v>36 partitions skewed</x:v>
      </x:c>
      <x:c r="E16" s="36" t="str">
        <x:v>Comparar distribución sesgada contra 36 particiones balanceadas</x:v>
      </x:c>
      <x:c r="F16" s="36" t="n">
        <x:v>1000</x:v>
      </x:c>
      <x:c r="G16" s="36" t="str">
        <x:v>Local FS</x:v>
      </x:c>
      <x:c r="H16" s="36" t="str">
        <x:v>Latest</x:v>
      </x:c>
      <x:c r="I16" s="36" t="str">
        <x:v>36 skewed (≈80/20)</x:v>
      </x:c>
      <x:c r="J16" s="36" t="str">
        <x:v>None</x:v>
      </x:c>
      <x:c r="K16" s="36" t="str">
        <x:v>Stable config</x:v>
      </x:c>
      <x:c r="L16" s="36" t="n">
        <x:v>10</x:v>
      </x:c>
      <x:c r="M16" s="36" t="n">
        <x:v>5</x:v>
      </x:c>
      <x:c r="N16" s="36" t="n">
        <x:v>10</x:v>
      </x:c>
      <x:c r="O16" s="36" t="str">
        <x:v>Stress</x:v>
      </x:c>
      <x:c r="P16" s="36" t="str">
        <x:v>0 integrity errors</x:v>
      </x:c>
      <x:c r="Q16" s="36" t="str">
        <x:v>Comparar B-004: cycle/load/merge/RSS</x:v>
      </x:c>
      <x:c r="R16" s="36" t="str">
        <x:v>Completed</x:v>
      </x:c>
      <x:c r="S16" s="36" t="str">
        <x:v>B-004</x:v>
      </x:c>
      <x:c r="T16" s="36" t="str">
        <x:v>PASS / GREEN — 36 partitions skewed (~80/20); 121 iterations; p50 1708.26 ms; p95 1899.99 ms; p99 2337.01 ms; max 2450.45 ms; 0 overruns; peak RSS 141.71 MB; layout = 8×100 hot + 4×8 + 24×7 cold; source-load p95 26.15 ms; merge p95 1.103 ms; journal aligned; 3 durable commits; drain 652.24 ms.</x:v>
      </x:c>
    </x:row>
    <x:row r="17">
      <x:c r="A17" s="36" t="str">
        <x:v>B-008</x:v>
      </x:c>
      <x:c r="B17" s="36" t="str">
        <x:v>R3.5B</x:v>
      </x:c>
      <x:c r="C17" s="36" t="n">
        <x:v>17</x:v>
      </x:c>
      <x:c r="D17" s="36" t="str">
        <x:v>36 partitions mixed empty/missing-column</x:v>
      </x:c>
      <x:c r="E17" s="36" t="str">
        <x:v>Presionar síntesis de nulls, particiones vacías y columnas ausentes a presión alta</x:v>
      </x:c>
      <x:c r="F17" s="36" t="n">
        <x:v>1000</x:v>
      </x:c>
      <x:c r="G17" s="36" t="str">
        <x:v>Local FS</x:v>
      </x:c>
      <x:c r="H17" s="36" t="str">
        <x:v>Latest heterogeneous</x:v>
      </x:c>
      <x:c r="I17" s="36" t="str">
        <x:v>36 mixed</x:v>
      </x:c>
      <x:c r="J17" s="36" t="str">
        <x:v>None</x:v>
      </x:c>
      <x:c r="K17" s="36" t="str">
        <x:v>Stable config</x:v>
      </x:c>
      <x:c r="L17" s="36" t="n">
        <x:v>10</x:v>
      </x:c>
      <x:c r="M17" s="36" t="n">
        <x:v>5</x:v>
      </x:c>
      <x:c r="N17" s="36" t="n">
        <x:v>10</x:v>
      </x:c>
      <x:c r="O17" s="36" t="str">
        <x:v>Correctness + load</x:v>
      </x:c>
      <x:c r="P17" s="36" t="str">
        <x:v>0 integrity errors</x:v>
      </x:c>
      <x:c r="Q17" s="36" t="str">
        <x:v>Performance secundaria; validar estabilidad</x:v>
      </x:c>
      <x:c r="R17" s="36" t="str">
        <x:v>Completed</x:v>
      </x:c>
      <x:c r="S17" s="36" t="str">
        <x:v>B-007</x:v>
      </x:c>
      <x:c r="T17" s="36" t="str">
        <x:v>PASS-WITH-FINDINGS / GREEN (raw harness reported FAIL) — 121 iterations; p50 936.54 ms; p95 1003.20 ms; p99 1333.51 ms; max 1381.55 ms; 0 overruns; peak RSS 140.87 MB; 36 mixed partitions with 4 empty and 120 synthesized-null primary signals. Snapshot 880 alarms == corrected expected 880 (120 initial INACTIVE neutral states are intentionally omitted from hot-state snapshot); journal durable==materialized; 3 durable commits; drain 370.40 ms.</x:v>
      </x:c>
    </x:row>
    <x:row r="18">
      <x:c r="A18" s="36" t="str">
        <x:v>B-009</x:v>
      </x:c>
      <x:c r="B18" s="36" t="str">
        <x:v>R3.5B</x:v>
      </x:c>
      <x:c r="C18" s="36" t="n">
        <x:v>18</x:v>
      </x:c>
      <x:c r="D18" s="36" t="str">
        <x:v>Historical Stress Jump</x:v>
      </x:c>
      <x:c r="E18" s="36" t="str">
        <x:v>Provocar una frontera real combinando Latest + histórico denso antes de perfilar</x:v>
      </x:c>
      <x:c r="F18" s="36" t="n">
        <x:v>1000</x:v>
      </x:c>
      <x:c r="G18" s="36" t="str">
        <x:v>Local FS</x:v>
      </x:c>
      <x:c r="H18" s="36" t="str">
        <x:v>Latest + Historical 1h / 10s</x:v>
      </x:c>
      <x:c r="I18" s="36" t="str">
        <x:v>36 balanced per view / 72 chunks total</x:v>
      </x:c>
      <x:c r="J18" s="36" t="str">
        <x:v>None</x:v>
      </x:c>
      <x:c r="K18" s="36" t="str">
        <x:v>Stable config</x:v>
      </x:c>
      <x:c r="L18" s="36" t="n">
        <x:v>10</x:v>
      </x:c>
      <x:c r="M18" s="36" t="n">
        <x:v>5</x:v>
      </x:c>
      <x:c r="N18" s="36" t="n">
        <x:v>10</x:v>
      </x:c>
      <x:c r="O18" s="36" t="str">
        <x:v>Adaptive stress</x:v>
      </x:c>
      <x:c r="P18" s="36" t="str">
        <x:v>0 integrity errors</x:v>
      </x:c>
      <x:c r="Q18" s="36" t="str">
        <x:v>p95≈3 s se considera boundary band; no interpretar diferencias de milisegundos como margen alto</x:v>
      </x:c>
      <x:c r="R18" s="36" t="str">
        <x:v>Completed</x:v>
      </x:c>
      <x:c r="S18" s="36" t="str">
        <x:v>B-008 gate fixed</x:v>
      </x:c>
      <x:c r="T18" s="36" t="str">
        <x:v>PASS / GREEN — 121 iterations; p50 2625.46 ms; p95 2997.01 ms; p99 3284.83 ms; max 3600.32 ms; 0 overruns; avg/peak process CPU 99.43%/100.43% (~1 core activo durante el ciclo); peak RSS 156.66 MB; Latest 1000 cols + Historical 3000 cols × 360 rows = 1,080,000 historical values; source-load p95 8.27 ms; merge p95 0.820 ms; journal aligned; snapshot 1000/1000; 3 durable commits; drain 407.94 ms.</x:v>
      </x:c>
    </x:row>
    <x:row r="19">
      <x:c r="A19" s="36" t="str">
        <x:v>B-010</x:v>
      </x:c>
      <x:c r="B19" s="36" t="str">
        <x:v>R3.5B</x:v>
      </x:c>
      <x:c r="C19" s="36" t="n">
        <x:v>19</x:v>
      </x:c>
      <x:c r="D19" s="36" t="str">
        <x:v>Historical Depth Boundary Probe</x:v>
      </x:c>
      <x:c r="E19" s="36" t="str">
        <x:v>Buscar la frontera operacional aumentando sólo profundidad temporal después de B-009</x:v>
      </x:c>
      <x:c r="F19" s="36" t="n">
        <x:v>1000</x:v>
      </x:c>
      <x:c r="G19" s="36" t="str">
        <x:v>Local FS</x:v>
      </x:c>
      <x:c r="H19" s="36" t="str">
        <x:v>Latest + Historical 3h / 10s</x:v>
      </x:c>
      <x:c r="I19" s="36" t="str">
        <x:v>36 balanced per view / 72 chunks total</x:v>
      </x:c>
      <x:c r="J19" s="36" t="str">
        <x:v>None</x:v>
      </x:c>
      <x:c r="K19" s="36" t="str">
        <x:v>Stable config</x:v>
      </x:c>
      <x:c r="L19" s="36" t="n">
        <x:v>10</x:v>
      </x:c>
      <x:c r="M19" s="36" t="n">
        <x:v>5</x:v>
      </x:c>
      <x:c r="N19" s="36" t="n">
        <x:v>10</x:v>
      </x:c>
      <x:c r="O19" s="36" t="str">
        <x:v>Adaptive boundary probe</x:v>
      </x:c>
      <x:c r="P19" s="36" t="str">
        <x:v>0 integrity errors</x:v>
      </x:c>
      <x:c r="Q19" s="36" t="str">
        <x:v>p95≥5 s o overruns: regresar a 120 min; p95&lt;5 s limpio: decidir cierre de data pressure o un último stress de ancho</x:v>
      </x:c>
      <x:c r="R19" s="36" t="str">
        <x:v>Completed</x:v>
      </x:c>
      <x:c r="S19" s="36" t="str">
        <x:v>B-009</x:v>
      </x:c>
      <x:c r="T19" s="36" t="str">
        <x:v>PASS / GREEN — 121 iterations; p50 3141.72 ms; p95 3796.33 ms; p99 3999.59 ms; max 4465.37 ms; 0 overruns; avg/peak process CPU 99.46%/100.00%; avg/peak RSS 178.27/179.77 MB; Latest 1000 cols + Historical 3000 cols × 1080 rows = 3,240,000 historical values; source-load p95 10.80 ms; merge p95 0.924 ms; journal aligned; snapshot 1000/1000; 3 durable commits; drain 407.98 ms. Memory plateaued in second half.</x:v>
      </x:c>
    </x:row>
    <x:row r="20">
      <x:c r="A20" s="36" t="str">
        <x:v>B-011</x:v>
      </x:c>
      <x:c r="B20" s="36" t="str">
        <x:v>R3.5B</x:v>
      </x:c>
      <x:c r="C20" s="36" t="n">
        <x:v>20</x:v>
      </x:c>
      <x:c r="D20" s="36" t="str">
        <x:v>Historical Width Boundary Probe — adaptive replacement</x:v>
      </x:c>
      <x:c r="E20" s="36" t="str">
        <x:v>Buscar la frontera aumentando sólo el ancho histórico después del probe de profundidad</x:v>
      </x:c>
      <x:c r="F20" s="36" t="n">
        <x:v>1000</x:v>
      </x:c>
      <x:c r="G20" s="36" t="str">
        <x:v>Local FS</x:v>
      </x:c>
      <x:c r="H20" s="36" t="str">
        <x:v>Latest + Historical 3h / 10s</x:v>
      </x:c>
      <x:c r="I20" s="36" t="str">
        <x:v>36 balanced per view / 72 chunks total</x:v>
      </x:c>
      <x:c r="J20" s="36" t="str">
        <x:v>None</x:v>
      </x:c>
      <x:c r="K20" s="36" t="str">
        <x:v>Stable config</x:v>
      </x:c>
      <x:c r="L20" s="36" t="n">
        <x:v>10</x:v>
      </x:c>
      <x:c r="M20" s="36" t="n">
        <x:v>5</x:v>
      </x:c>
      <x:c r="N20" s="36" t="n">
        <x:v>10</x:v>
      </x:c>
      <x:c r="O20" s="36" t="str">
        <x:v>Adaptive width stress</x:v>
      </x:c>
      <x:c r="P20" s="36" t="str">
        <x:v>0 integrity errors</x:v>
      </x:c>
      <x:c r="Q20" s="36" t="str">
        <x:v>Cualquier overrun activa regresión aunque p95 siga &lt;5 s</x:v>
      </x:c>
      <x:c r="R20" s="36" t="str">
        <x:v>Completed</x:v>
      </x:c>
      <x:c r="S20" s="36" t="str">
        <x:v>B-010</x:v>
      </x:c>
      <x:c r="T20" s="36" t="str">
        <x:v>PASS-WITH-FINDINGS / GREEN — 121 iterations; p50 3185.63 ms; p95 3814.49 ms; p99 4033.21 ms; max 5636.62 ms; 1 overrun (0.826%) at iteration 72; next start interval 5638.20 ms; avg/peak process CPU 99.55%/100.18%; avg/peak RSS 193.36/197.49 MB; Latest 1000 cols + Historical 6000 cols × 1080 rows = 6,480,000 historical values; source-load p95 12.67 ms; merge p95 0.864 ms; journal aligned; snapshot 1000/1000; 3 durable commits; drain 490.29 ms. Steady-state p95 remained essentially flat vs B-010, so the single overrun is a boundary signal that requires reproduction rather than proof of sustained saturation.</x:v>
      </x:c>
    </x:row>
    <x:row r="21">
      <x:c r="A21" s="36" t="str">
        <x:v>B-011-R1</x:v>
      </x:c>
      <x:c r="B21" s="36" t="str">
        <x:v>R3.5B</x:v>
      </x:c>
      <x:c r="C21" s="36" t="n">
        <x:v>21</x:v>
      </x:c>
      <x:c r="D21" s="36" t="str">
        <x:v>Historical Width Regression — 4 series/alarm</x:v>
      </x:c>
      <x:c r="E21" s="36" t="str">
        <x:v>Regresar desde 6 series para determinar si el overrun de B-011 pertenece al workload o fue transitorio</x:v>
      </x:c>
      <x:c r="F21" s="36" t="n">
        <x:v>1000</x:v>
      </x:c>
      <x:c r="G21" s="36" t="str">
        <x:v>Local FS</x:v>
      </x:c>
      <x:c r="H21" s="36" t="str">
        <x:v>Latest + Historical 3h / 10s</x:v>
      </x:c>
      <x:c r="I21" s="36" t="str">
        <x:v>36 balanced per view / 72 chunks total</x:v>
      </x:c>
      <x:c r="J21" s="36" t="str">
        <x:v>None</x:v>
      </x:c>
      <x:c r="K21" s="36" t="str">
        <x:v>Stable config</x:v>
      </x:c>
      <x:c r="L21" s="36" t="n">
        <x:v>10</x:v>
      </x:c>
      <x:c r="M21" s="36" t="n">
        <x:v>5</x:v>
      </x:c>
      <x:c r="N21" s="36" t="n">
        <x:v>10</x:v>
      </x:c>
      <x:c r="O21" s="36" t="str">
        <x:v>Adaptive regression</x:v>
      </x:c>
      <x:c r="P21" s="36" t="str">
        <x:v>0 integrity errors</x:v>
      </x:c>
      <x:c r="Q21" s="36" t="str">
        <x:v>Si p95≥5 s o hay overruns, la frontera es reproducible a ≤4 series; si queda limpio, repetir 6 series antes de estrechar a 5</x:v>
      </x:c>
      <x:c r="R21" s="36" t="str">
        <x:v>Completed</x:v>
      </x:c>
      <x:c r="S21" s="36" t="str">
        <x:v>B-011</x:v>
      </x:c>
      <x:c r="T21" s="36" t="str">
        <x:v>PASS / GREEN — 121 iterations; p50 3076.52 ms; p95 3467.22 ms; p99 4269.63 ms; max 4921.44 ms; 0 overruns; avg/peak process CPU 99.49%/100.25%; avg/peak RSS 176.70/180.16 MB; Latest 1000 cols + Historical 4000 cols × 1080 rows = 4,320,000 historical values; source-load p95 11.74 ms; merge p95 0.857 ms; journal aligned; snapshot 1000/1000; 3 durable commits; drain 429.75 ms. Max at iteration 4 did not displace cadence; start intervals stayed 5000.54–5001.95 ms.</x:v>
      </x:c>
    </x:row>
    <x:row r="22">
      <x:c r="A22" s="36" t="str">
        <x:v>C-001</x:v>
      </x:c>
      <x:c r="B22" s="36" t="str">
        <x:v>R3.5C</x:v>
      </x:c>
      <x:c r="C22" s="36" t="n">
        <x:v>30</x:v>
      </x:c>
      <x:c r="D22" s="36" t="str">
        <x:v>Normal Lifecycle Churn 10% — balanced groups</x:v>
      </x:c>
      <x:c r="E22" s="36" t="str">
        <x:v>Medir costo semántico real de ACTIVE↔INACTIVE con continuidad de Episode por grupo</x:v>
      </x:c>
      <x:c r="F22" s="36" t="n">
        <x:v>1000</x:v>
      </x:c>
      <x:c r="G22" s="36" t="str">
        <x:v>Local FS</x:v>
      </x:c>
      <x:c r="H22" s="36" t="str">
        <x:v>Latest Narrow / deterministic 10% churn</x:v>
      </x:c>
      <x:c r="I22" s="36" t="str">
        <x:v>36 balanced / 100 priority groups × 10 alarms</x:v>
      </x:c>
      <x:c r="J22" s="36" t="str">
        <x:v>None</x:v>
      </x:c>
      <x:c r="K22" s="36" t="str">
        <x:v>Stable config / C3</x:v>
      </x:c>
      <x:c r="L22" s="36" t="n">
        <x:v>10</x:v>
      </x:c>
      <x:c r="M22" s="36" t="n">
        <x:v>5</x:v>
      </x:c>
      <x:c r="N22" s="36" t="n">
        <x:v>10</x:v>
      </x:c>
      <x:c r="O22" s="36" t="str">
        <x:v>Functional pressure</x:v>
      </x:c>
      <x:c r="P22" s="36" t="str">
        <x:v>0 integrity errors; snapshot 500 active alarms; exact lifecycle counters; 0 duplicate lifecycle commits</x:v>
      </x:c>
      <x:c r="Q22" s="36" t="str">
        <x:v>PASS/GREEN. 6000 state transitions; lifecycle counters exact. Churn-iteration p95 1287.22 ms; stable-generation p95 1085.86 ms. No overruns; periodic evidence-only commits allowed by contract.</x:v>
      </x:c>
      <x:c r="R22" s="36" t="str">
        <x:v>Completed</x:v>
      </x:c>
      <x:c r="S22" s="36" t="str">
        <x:v>R3.5B closed + C-001 harness patch 0.1.0</x:v>
      </x:c>
      <x:c r="T22" s="36" t="str">
        <x:v>Authoritative run 950633d5-157a-4d94-9b5b-a1cf48c4914b. 121 iterations; p50 1009.88 ms; p95 1237.59 ms; p99 1565.79 ms; max 1597.72 ms; 0 overruns; avg/peak process CPU 94.02%/99.86%; avg/peak RSS 132.85/133.12 MB; 60 churn generations; 6000 planned transitions; 700/700 lifecycle commits; 0 duplicate commits; 3500/3500 occurrence STARTED; 3000/3000 CLOSED; 100/100 episode STARTED; 0/0 CLOSED; 3500 assignment changes; 10000 journey events; 6500 evidence records; snapshot 500/500; WAL 10,253,900 bytes; journal durable==materialized; drain 1104.98 ms. Independent WAL audit: 700 records, 100 bootstrap groups + 60 cycles × 10 groups; each of 100 groups committed exactly 7 times. Final snapshots: 100 groups × 5 ACTIVE.</x:v>
      </x:c>
    </x:row>
    <x:row r="23">
      <x:c r="A23" s="36" t="str">
        <x:v>C-002</x:v>
      </x:c>
      <x:c r="B23" s="36" t="str">
        <x:v>R3.5C</x:v>
      </x:c>
      <x:c r="C23" s="36" t="n">
        <x:v>31</x:v>
      </x:c>
      <x:c r="D23" s="36" t="str">
        <x:v>Technical Hold Recovery Churn</x:v>
      </x:c>
      <x:c r="E23" s="36" t="str">
        <x:v>Medir ERROR transitorio con TechnicalHold STARTED/CLEARED preservando la misma Occurrence</x:v>
      </x:c>
      <x:c r="F23" s="36" t="n">
        <x:v>1000</x:v>
      </x:c>
      <x:c r="G23" s="36" t="str">
        <x:v>Local FS</x:v>
      </x:c>
      <x:c r="H23" s="36" t="str">
        <x:v>Latest Narrow / deterministic ERROR↔ACTIVE churn</x:v>
      </x:c>
      <x:c r="I23" s="36" t="str">
        <x:v>36 balanced / 100 priority groups × 10 alarms</x:v>
      </x:c>
      <x:c r="J23" s="36" t="str">
        <x:v>None</x:v>
      </x:c>
      <x:c r="K23" s="36" t="str">
        <x:v>Stable config / C3</x:v>
      </x:c>
      <x:c r="L23" s="36" t="n">
        <x:v>10</x:v>
      </x:c>
      <x:c r="M23" s="36" t="n">
        <x:v>5</x:v>
      </x:c>
      <x:c r="N23" s="36" t="n">
        <x:v>10</x:v>
      </x:c>
      <x:c r="O23" s="36" t="str">
        <x:v>Functional pressure / TechnicalHold</x:v>
      </x:c>
      <x:c r="P23" s="36" t="str">
        <x:v>0 integrity errors; exact TechnicalHold STARTED/CLEARED; TechnicalHold EXPIRED=0; Occurrence CLOSED=0; Episode CLOSED=0; occurrence identity mismatch=0; assignment changes only at bootstrap; 0 duplicate lifecycle commits</x:v>
      </x:c>
      <x:c r="Q23" s="36" t="str">
        <x:v>PASS/GREEN. 3000 TechnicalHold STARTED + 3000 RECOVERED, every hold exactly 10 s; 0 EXPIRED, 0 Occurrence/Episode closes, 0 identity mismatches. Work-iteration p95 1359.51 ms; stable p95 1084.18 ms; 0 overruns.</x:v>
      </x:c>
      <x:c r="R23" s="36" t="str">
        <x:v>Completed</x:v>
      </x:c>
      <x:c r="S23" s="36" t="str">
        <x:v>C-001 + C-002 harness patch 0.1.0</x:v>
      </x:c>
      <x:c r="T23" s="36" t="str">
        <x:v>Authoritative run 23009c7e-3c7f-4c41-a045-cbfa1a648318. 121 iterations; p50 1052.14 ms; p95 1170.53 ms; p99 1677.62 ms; max 1771.45 ms; 0 overruns; avg/peak process CPU 94.27%/100.53%; avg/peak RSS 136.11/136.20 MB; 60 generations; 6000 state transitions; 700/700 lifecycle commits; 0 duplicate commits; 1000/1000 occurrence STARTED; 0 CLOSED; 100/100 episode STARTED; 0 CLOSED; 1000 assignment changes; 3000/3000 TechnicalHold STARTED; 3000/3000 RECOVERED; 0 EXPIRED; 0 occurrence identity mismatches; 8000 journey events; 7000 evidence; snapshot 1000/1000; WAL 10,013,800 bytes; journal aligned; drain 1156.15 ms. Independent WAL audit: 700 unique commits, every alarm had exactly 3 STARTED + 3 RECOVERED events, all hold durations exactly 10 s. Final snapshots: 100 groups, 1000 ACTIVE, 0 pending holds, 100 Episodes open, 0 identity mismatches.</x:v>
      </x:c>
    </x:row>
    <x:row r="24">
      <x:c r="A24" s="36" t="str">
        <x:v>C-003</x:v>
      </x:c>
      <x:c r="B24" s="36" t="str">
        <x:v>R3.5C</x:v>
      </x:c>
      <x:c r="C24" s="36" t="n">
        <x:v>32</x:v>
      </x:c>
      <x:c r="D24" s="36" t="str">
        <x:v>Technical Hold Expiry &amp; Reappearance</x:v>
      </x:c>
      <x:c r="E24" s="36" t="str">
        <x:v>Mantener ERROR más allá del grace real de 300 s para forzar EXPIRED, cerrar continuidad y comprobar nueva Occurrence/Episode al recuperar</x:v>
      </x:c>
      <x:c r="F24" s="36" t="n">
        <x:v>1000</x:v>
      </x:c>
      <x:c r="G24" s="36" t="str">
        <x:v>Local FS</x:v>
      </x:c>
      <x:c r="H24" s="36" t="str">
        <x:v>Latest Narrow / staggered long ERROR cohorts</x:v>
      </x:c>
      <x:c r="I24" s="36" t="str">
        <x:v>36 balanced / 100 priority groups × 10 alarms</x:v>
      </x:c>
      <x:c r="J24" s="36" t="str">
        <x:v>None</x:v>
      </x:c>
      <x:c r="K24" s="36" t="str">
        <x:v>Stable config / C3</x:v>
      </x:c>
      <x:c r="L24" s="36" t="n">
        <x:v>10</x:v>
      </x:c>
      <x:c r="M24" s="36" t="n">
        <x:v>5</x:v>
      </x:c>
      <x:c r="N24" s="36" t="n">
        <x:v>10</x:v>
      </x:c>
      <x:c r="O24" s="36" t="str">
        <x:v>Functional pressure / expiry / reappearance</x:v>
      </x:c>
      <x:c r="P24" s="36" t="str">
        <x:v>0 integrity errors; exact TechnicalHold STARTED/EXPIRED; RECOVERED=0; Occurrence CLOSED reason=technical_hold_expired; Episode CLOSED reason=technical_uncertainty; post-expiry ACTIVE creates new occurrence_id; 0 duplicate lifecycle commits</x:v>
      </x:c>
      <x:c r="Q24" s="36" t="str">
        <x:v>PASS/GREEN. 1000 TechnicalHold STARTED + 1000 EXPIRED, 0 RECOVERED; 1000 Occurrence closures and 100 Episode closures with exact reasons; 1000 post-expiry new Occurrences with 0 identity reuse. 0 overruns.</x:v>
      </x:c>
      <x:c r="R24" s="36" t="str">
        <x:v>Completed</x:v>
      </x:c>
      <x:c r="S24" s="36" t="str">
        <x:v>C-002 + C-003 harness patch 0.1.0</x:v>
      </x:c>
      <x:c r="T24" s="36" t="str">
        <x:v>Authoritative run 9db89add-7ec1-4a7c-b21d-995145c3d0c4. 121 iterations; p50 988.52 ms; p95 1162.84 ms; p99 1274.61 ms; max 1820.48 ms; 0 overruns; avg/peak process CPU 96.26%/100.53%; avg/peak RSS 136.26/136.34 MB. 60 generations; 2000 state transitions; 400/400 lifecycle commits; 0 duplicates; TechnicalHold STARTED=1000/1000, EXPIRED=1000/1000, RECOVERED=0; Occurrence STARTED=2000/2000, CLOSED=1000/1000; Episode STARTED=200/200, CLOSED=100/100; assignment changes=2000; journey events=7000; evidence=4000; post-expiry Occurrence STARTED=1000/1000; identity reuse=0; invalid occurrence closure reasons=0; invalid episode closure reasons=0; snapshot 1000/1000; WAL 6,904,500 bytes; journal durable==materialized; drain 771.77 ms. Independent WAL audit: 400 unique commits, every group exactly 4 commits; 1000 closure reasons technical_hold_expired and 100 episode reasons technical_uncertainty. Each alarm sequence: occurrence_started → assigned → hold_started → occurrence_closed → hold_expired → new occurrence_started → assigned. Final 100 snapshots: 1000 ACTIVE, 0 pending holds, 100 open Episodes, final occurrence_id equals the second/new Occurrence.</x:v>
      </x:c>
    </x:row>
    <x:row r="25">
      <x:c r="A25" s="36" t="str">
        <x:v>C-004</x:v>
      </x:c>
      <x:c r="B25" s="36" t="str">
        <x:v>R3.5C</x:v>
      </x:c>
      <x:c r="C25" s="36" t="n">
        <x:v>33</x:v>
      </x:c>
      <x:c r="D25" s="36" t="str">
        <x:v>Initial ERROR Bootstrap &amp; First Activation</x:v>
      </x:c>
      <x:c r="E25" s="36" t="str">
        <x:v>Validar que una alarma sin continuidad previa que nace en ERROR no cree Occurrence/Episode ni hot-state, y que su primera transición ACTIVE cree la continuidad exactamente una vez</x:v>
      </x:c>
      <x:c r="F25" s="36" t="n">
        <x:v>1000</x:v>
      </x:c>
      <x:c r="G25" s="36" t="str">
        <x:v>Local FS</x:v>
      </x:c>
      <x:c r="H25" s="36" t="str">
        <x:v>Latest Narrow / initial ERROR then staggered first activation</x:v>
      </x:c>
      <x:c r="I25" s="36" t="str">
        <x:v>36 balanced / 100 priority groups × 10 alarms</x:v>
      </x:c>
      <x:c r="J25" s="36" t="str">
        <x:v>None</x:v>
      </x:c>
      <x:c r="K25" s="36" t="str">
        <x:v>Stable config / C3</x:v>
      </x:c>
      <x:c r="L25" s="36" t="n">
        <x:v>10</x:v>
      </x:c>
      <x:c r="M25" s="36" t="n">
        <x:v>5</x:v>
      </x:c>
      <x:c r="N25" s="36" t="n">
        <x:v>10</x:v>
      </x:c>
      <x:c r="O25" s="36" t="str">
        <x:v>Functional correctness + first activation</x:v>
      </x:c>
      <x:c r="P25" s="36" t="str">
        <x:v>Initial ERROR: 0 lifecycle commits before first activation, 0 TechnicalHold, 0 hot-state. After activation: Occurrence STARTED=1000; Episode STARTED=100; assignments=1000; no closes; final snapshot=1000 ACTIVE; 0 duplicate lifecycle commits</x:v>
      </x:c>
      <x:c r="Q25" s="36" t="str">
        <x:v>PASS-WITH-FINDINGS / ACCEPTABLE-REVIEW. Functional contract is exact, but a strong mixed-state performance hotspot appeared while ERROR-without-continuity and ACTIVE populations coexisted. Global p95 6627.98 ms; 18 overruns. Once 100% ACTIVE, cycle returned to ~1 s.</x:v>
      </x:c>
      <x:c r="R25" s="36" t="str">
        <x:v>Completed</x:v>
      </x:c>
      <x:c r="S25" s="36" t="str">
        <x:v>C-003 + C-004 harness patch 0.1.0</x:v>
      </x:c>
      <x:c r="T25" s="36" t="str">
        <x:v>Authoritative run f86db606-7094-4da9-b488-8fd58d9dac80. 116 iterations; p50 988.89 ms; p95 6627.98 ms; p99 7178.85 ms; max 7662.90 ms; 18 overruns (15.52%); avg/peak process CPU 97.83%/100.58%; avg/peak RSS 134.12/135.42 MB. Functional: 1000/1000 initial-ERROR activations; pre-activation lifecycle commits=0; 1000/1000 Occurrence STARTED; 0 CLOSED; 100/100 Episode STARTED; 0 CLOSED; 1000 assignments; all TechnicalHold counters=0; lifecycle commits=100/100; duplicates=0; 100 evidence-only commits; durable records=200; final snapshot=1000/1000 ACTIVE. Independent WAL audit: 200 unique commits = 100 lifecycle + 100 evidence-only; first durable lifecycle records appear only at first activation; final 100 group snapshots each contain 10 ACTIVE alarms, 100 open Episodes total and 0 TechnicalHolds. Composition latency median by ACTIVE count: 0=0.91 s, 100=2.97 s, 200=4.62 s, 300=5.74 s, 400=6.53 s, 500=7.08 s, 600=6.94 s, 700=6.10 s, 800=4.84 s, 900=3.28 s, 1000=0.97 s. Empty iterations show the same curve, so WAL/snapshot writes do not explain the hotspot.</x:v>
      </x:c>
    </x:row>
    <x:row r="26">
      <x:c r="A26" s="36" t="str">
        <x:v>C-004-R1</x:v>
      </x:c>
      <x:c r="B26" s="36" t="str">
        <x:v>R3.5C</x:v>
      </x:c>
      <x:c r="C26" s="36" t="n">
        <x:v>34</x:v>
      </x:c>
      <x:c r="D26" s="36" t="str">
        <x:v>Fixed Mixed-State Reproduction — 50% ACTIVE / 50% initial ERROR</x:v>
      </x:c>
      <x:c r="E26" s="36" t="str">
        <x:v>Aislar si la composición estable 50/50 reproduce el hotspot de C-004 sin stagger, sin nuevas activaciones y sin TechnicalHold</x:v>
      </x:c>
      <x:c r="F26" s="36" t="n">
        <x:v>1000</x:v>
      </x:c>
      <x:c r="G26" s="36" t="str">
        <x:v>Local FS</x:v>
      </x:c>
      <x:c r="H26" s="36" t="str">
        <x:v>Latest Narrow / fixed mixed ACTIVE + ERROR-without-continuity</x:v>
      </x:c>
      <x:c r="I26" s="36" t="str">
        <x:v>36 balanced / 100 priority groups × 10 alarms</x:v>
      </x:c>
      <x:c r="J26" s="36" t="str">
        <x:v>None</x:v>
      </x:c>
      <x:c r="K26" s="36" t="str">
        <x:v>Stable config / C3</x:v>
      </x:c>
      <x:c r="L26" s="36" t="n">
        <x:v>5</x:v>
      </x:c>
      <x:c r="M26" s="36" t="n">
        <x:v>5</x:v>
      </x:c>
      <x:c r="N26" s="36" t="n">
        <x:v>10</x:v>
      </x:c>
      <x:c r="O26" s="36" t="str">
        <x:v>Regression / mixed-state isolation</x:v>
      </x:c>
      <x:c r="P26" s="36" t="str">
        <x:v>0 integrity errors; exactly 500 ACTIVE hot-state + 500 ERROR neutral; 0 state transitions after bootstrap; 0 TechnicalHold; 50 bootstrap lifecycle commits; 500 Occurrence STARTED; 50 Episode STARTED; 500 assignments; final snapshot=500.</x:v>
      </x:c>
      <x:c r="Q26" s="36" t="str">
        <x:v>PASS-WITH-FINDINGS / ACCEPTABLE-REVIEW. Hotspot reproduced as stable composition cost: steady p50 6425.92 ms, p95 6571.94 ms, p99 6789.87 ms. 46/47 total iterations overran the 5 s period; no durable writes occurred after bootstrap.</x:v>
      </x:c>
      <x:c r="R26" s="36" t="str">
        <x:v>Completed</x:v>
      </x:c>
      <x:c r="S26" s="36" t="str">
        <x:v>C-004 + C-004-R1 harness patch 0.1.0</x:v>
      </x:c>
      <x:c r="T26" s="36" t="str">
        <x:v>Authoritative run fdc14ae0-9854-41c3-9ab8-a0b05ad3915c. 47 iterations in 301.70 s; global p50/p95/p99/max=6423.88/6569.58/6787.36/6902.76 ms; 46 overruns (97.87%). Bootstrap iteration=1254.81 ms; the following 46 fixed-state iterations were 6332.02–6902.76 ms with steady p50=6425.92 ms and p95=6571.94 ms. Avg/peak CPU=99.58%/100.19%; avg/peak RSS=132.56/132.72 MB. Functional integrity exact: lifecycle commits=50/50; 500 Occurrence STARTED; 50 Episode STARTED; 500 assignments; 0 closes; 0 TechnicalHold; 0 transitions after bootstrap; snapshot=500/500; neutral=500. Independent WAL audit: exactly 50 unique records, all bootstrap groups perf-group-001..050; WAL=1,015,400 bytes; there are no evidence-only or later commits. Final 50 snapshot files contain only alarms 00001..00500 ACTIVE, 50 open Episodes, 0 holds. Source-load p95=8.46 ms; merge p95=0.436 ms; drain=109.38 ms. Code inspection identifies a root-cause candidate in AlarmRuntimeComposition.load_group(): for every group without a snapshot, _has_durable_group_history() calls read_durable_records() and scans the complete durable journal. With A groups having durable history and E missing-snapshot groups, the repeated work scales approximately A×E. C-004 latency vs A×E has correlation ≈0.9974 and peaks at 50/50.</x:v>
      </x:c>
    </x:row>
    <x:row r="27">
      <x:c r="A27" s="36" t="str">
        <x:v>C-004-R2</x:v>
      </x:c>
      <x:c r="B27" s="36" t="str">
        <x:v>R3.5C</x:v>
      </x:c>
      <x:c r="C27" s="36" t="n">
        <x:v>35</x:v>
      </x:c>
      <x:c r="D27" s="36" t="str">
        <x:v>Durable History Lookup Isolation — indexed POC</x:v>
      </x:c>
      <x:c r="E27" s="36" t="str">
        <x:v>Confirmar end-to-end que el hotspot 50/50 proviene de releer el journal completo para cada grupo sin snapshot, reemplazando sólo esa consulta por un índice reconstruido una vez por ciclo</x:v>
      </x:c>
      <x:c r="F27" s="36" t="n">
        <x:v>1000</x:v>
      </x:c>
      <x:c r="G27" s="36" t="str">
        <x:v>Local FS</x:v>
      </x:c>
      <x:c r="H27" s="36" t="str">
        <x:v>Latest Narrow / fixed 50% ACTIVE + 50% ERROR</x:v>
      </x:c>
      <x:c r="I27" s="36" t="str">
        <x:v>36 balanced / 100 priority groups × 10 alarms</x:v>
      </x:c>
      <x:c r="J27" s="36" t="str">
        <x:v>None</x:v>
      </x:c>
      <x:c r="K27" s="36" t="str">
        <x:v>Stable config / C3</x:v>
      </x:c>
      <x:c r="L27" s="36" t="n">
        <x:v>3</x:v>
      </x:c>
      <x:c r="M27" s="36" t="n">
        <x:v>5</x:v>
      </x:c>
      <x:c r="N27" s="36" t="n">
        <x:v>10</x:v>
      </x:c>
      <x:c r="O27" s="36" t="str">
        <x:v>Targeted profiling / causal confirmation</x:v>
      </x:c>
      <x:c r="P27" s="36" t="str">
        <x:v>Same functional integrity as R1; lookup mode=indexed; exactly 500 ACTIVE hot-state + 500 ERROR neutral; 0 transitions; 0 TechnicalHold; 50 bootstrap lifecycle commits. Durable journal scans collapse to approximately one per post-bootstrap cycle while preserving missing-snapshot corruption semantics.</x:v>
      </x:c>
      <x:c r="Q27" s="36" t="str">
        <x:v>PASS/GREEN. Root cause causally confirmed end-to-end. p50/p95/p99=954.34/992.88/1210.09 ms; max=1331.19 ms; 0 overruns. Same functional state and WAL as R1. Indexed mode performed 1900 history lookups but only 36 full journal scans across 37 cycles.</x:v>
      </x:c>
      <x:c r="R27" s="36" t="str">
        <x:v>Completed</x:v>
      </x:c>
      <x:c r="S27" s="36" t="str">
        <x:v>C-004-R1 + C-004-R2 harness patch 0.1.0</x:v>
      </x:c>
      <x:c r="T27" s="36" t="str">
        <x:v>Authoritative run 5669a356-5857-440d-941e-17cc8f6f5251. 37 iterations / 181.15 s; p50=954.34 ms; p95=992.88 ms; p99=1210.09 ms; max=1331.19 ms; 0 overruns. Post-bootstrap steady 36 cycles: p50≈953.13 ms; p95≈982.48 ms; max≈994.80 ms. Start-to-start min/median/p95/max≈5000.54/5001.09/5003.07/5003.59 ms. Avg/peak process CPU=97.00%/98.96%; avg/peak RSS=132.44/132.73 MB. Functional integrity exact: 50/50 lifecycle commits, 500/500 Occurrence STARTED, 50/50 Episode STARTED, 500/500 assignments, 0 closes, 0 TechnicalHold, 0 transitions, snapshot=500/500, neutral=500, journal durable==materialized. Independent WAL audit: exactly 50 unique bootstrap commits for perf-group-001..050, WAL=1,015,400 bytes; no later/evidence-only commits. Final 50 snapshots contain 500 ACTIVE alarms, 500 unique open Occurrences, 50 open Episodes, 500 assignments and 0 holds. Lookup telemetry: mode=indexed; cycles=37; lookup calls=1900; lookup total=3934.37 ms; journal scans=36; journal scan total=3815.65 ms; record entries seen=1800; index builds=36; index build total=0.322 ms. This is exactly 50 records per scan and approximately one full scan per post-bootstrap cycle. Compared with R1, p95 fell 6569.58→992.88 ms (~6.62× faster) and overruns 46/47→0/37. The causal hypothesis is therefore confirmed: repeated full durable-journal scans per missing-snapshot group caused the mixed-state hotspot.</x:v>
      </x:c>
    </x:row>
    <x:row r="28">
      <x:c r="A28" s="36" t="str">
        <x:v>C-004-R3</x:v>
      </x:c>
      <x:c r="B28" s="36" t="str">
        <x:v>R3.5C</x:v>
      </x:c>
      <x:c r="C28" s="36" t="n">
        <x:v>36</x:v>
      </x:c>
      <x:c r="D28" s="36" t="str">
        <x:v>Product Durable-History Lookup Fix Regression</x:v>
      </x:c>
      <x:c r="E28" s="36" t="str">
        <x:v>Validar en el camino productivo que la pertenencia durable compartida por lote elimina el hotspot 50/50 sin depender del override indexed del harness y sin debilitar la detección de corrupción</x:v>
      </x:c>
      <x:c r="F28" s="36" t="n">
        <x:v>1000</x:v>
      </x:c>
      <x:c r="G28" s="36" t="str">
        <x:v>Local FS</x:v>
      </x:c>
      <x:c r="H28" s="36" t="str">
        <x:v>Latest Narrow / fixed 50% ACTIVE + 50% ERROR</x:v>
      </x:c>
      <x:c r="I28" s="36" t="str">
        <x:v>36 balanced / 100 priority groups × 10 alarms</x:v>
      </x:c>
      <x:c r="J28" s="36" t="str">
        <x:v>None</x:v>
      </x:c>
      <x:c r="K28" s="36" t="str">
        <x:v>Stable config / C3</x:v>
      </x:c>
      <x:c r="L28" s="36" t="n">
        <x:v>5</x:v>
      </x:c>
      <x:c r="M28" s="36" t="n">
        <x:v>5</x:v>
      </x:c>
      <x:c r="N28" s="36" t="n">
        <x:v>10</x:v>
      </x:c>
      <x:c r="O28" s="36" t="str">
        <x:v>Product regression / correctness + performance</x:v>
      </x:c>
      <x:c r="P28" s="36" t="str">
        <x:v>Product path only; 500 ACTIVE hot-state + 500 ERROR neutral; 0 transitions; 0 TechnicalHold; 50 lifecycle bootstrap commits; snapshot=500. Missing snapshot + durable history remains fail-closed.</x:v>
      </x:c>
      <x:c r="Q28" s="36" t="str">
        <x:v>PASS/GREEN. Product 0.14.2 reproduces the restored ~1 s range without the harness indexed override. p50/p95/p99=956.86/987.97/1335.74 ms; max=1392.97 ms; 0 overruns. Steady iterations excluding bootstrap and final 5-minute evidence tick: p95≈980.52 ms.</x:v>
      </x:c>
      <x:c r="R28" s="36" t="str">
        <x:v>Completed</x:v>
      </x:c>
      <x:c r="S28" s="36" t="str">
        <x:v>C-004-R2 + product fix 0.14.2</x:v>
      </x:c>
      <x:c r="T28" s="36" t="str">
        <x:v>Authoritative run aaa915fa-41f3-4bac-8778-35c764634764. 61 iterations / 301.67 s; harness durable-history mode=baseline (no indexed override). p50=956.86 ms; p95=987.97 ms; p99=1335.74 ms; max=1392.97 ms; 0 overruns. Steady iterations 2..60: p50≈956.81 ms; p95≈980.52 ms; p99≈1000.27 ms; max≈1017.24 ms. Bootstrap=1297.59 ms; final t≈300 s evidence tick=1392.97 ms. Start-to-start min/p50/p95/max≈5000.52/5001.06/5001.54/5002.11 ms. Avg/peak process CPU=97.85%/100.52%; avg/peak RSS=132.77/132.89 MB. Functional integrity exact: 50/50 lifecycle commits, 500/500 Occurrence STARTED, 50/50 Episode STARTED, 500/500 assignments, 0 closes, 0 TechnicalHold, 0 transitions, snapshot=500/500 and neutral=500. Independent WAL audit: 100 unique durable records / 1,496,950 bytes. First 50 records at 20:20:24Z are lifecycle bootstrap for perf-group-001..050; last 50 at 20:25:24Z are evidence-only periodic commits for the same groups. All 100 records declare ada-alarms-runtime/0.14.2. Journal head durable and materialized both end at byte_offset 1,496,950 and the same final commit. Final 50 snapshots contain exactly 500 ACTIVE alarms, 500 unique open Occurrences, 50 open Episodes, 500 assignments and 0 TechnicalHolds. Job Runtime execution status=success; 61 iterations, 2 work + 59 empty, errors=0, warnings=0, resource_pressure_events=0. Host gate console output was not included in the uploaded artifacts, so Ruff/pytest/build are not re-adjudicated from this result package; runtime artifact version 0.14.2 is independently present in WAL.</x:v>
      </x:c>
    </x:row>
    <x:row r="29">
      <x:c r="A29" s="36" t="str">
        <x:v>C-005</x:v>
      </x:c>
      <x:c r="B29" s="36" t="str">
        <x:v>R3.5C</x:v>
      </x:c>
      <x:c r="C29" s="36" t="n">
        <x:v>37</x:v>
      </x:c>
      <x:c r="D29" s="36" t="str">
        <x:v>C1 Immediate Routing Fan-out</x:v>
      </x:c>
      <x:c r="E29" s="36" t="str">
        <x:v>Medir el costo real de routing C1 inmediato con fan-out a múltiples Tools, cambiando la dimensión desde lifecycle C3 sin mezclar churn de estado</x:v>
      </x:c>
      <x:c r="F29" s="36" t="n">
        <x:v>1000</x:v>
      </x:c>
      <x:c r="G29" s="36" t="str">
        <x:v>Local FS</x:v>
      </x:c>
      <x:c r="H29" s="36" t="str">
        <x:v>Latest Narrow / stable 100% ACTIVE</x:v>
      </x:c>
      <x:c r="I29" s="36" t="str">
        <x:v>36 balanced / 100 priority groups × 10 alarms</x:v>
      </x:c>
      <x:c r="J29" s="36" t="str">
        <x:v>None</x:v>
      </x:c>
      <x:c r="K29" s="36" t="str">
        <x:v>Stable config / C1</x:v>
      </x:c>
      <x:c r="L29" s="36" t="n">
        <x:v>5</x:v>
      </x:c>
      <x:c r="M29" s="36" t="n">
        <x:v>5</x:v>
      </x:c>
      <x:c r="N29" s="36" t="n">
        <x:v>10</x:v>
      </x:c>
      <x:c r="O29" s="36" t="str">
        <x:v>Routing / assignment pressure</x:v>
      </x:c>
      <x:c r="P29" s="36" t="str">
        <x:v>100 lifecycle bootstrap commits; 1000 Occurrence STARTED; 100 Episode STARTED; 4000 AssignmentChange ASSIGNED = origin + 3 destinations per alarm; 0 SCHEDULED/RESCHEDULED/REMOVED; snapshot final=1000 alarms / 4000 Tool assignments / 0 pending; 0 TechnicalHold; 0 duplicate lifecycle commits; functional_integrity=true.</x:v>
      </x:c>
      <x:c r="Q29" s="36" t="str">
        <x:v>PASS/GREEN. p50/p95=956.05/978.11 ms; p99=1985.74 ms; max=2057.64 ms; 0 overruns. Steady state excluding bootstrap/final evidence tick: p95≈974.86 ms. Fan-out C1 increases durable/materialized volume but does not move the steady scheduling boundary.</x:v>
      </x:c>
      <x:c r="R29" s="36" t="str">
        <x:v>Completed</x:v>
      </x:c>
      <x:c r="S29" s="36" t="str">
        <x:v>C-004-R3 + C-005 harness patch 0.1.0</x:v>
      </x:c>
      <x:c r="T29" s="36" t="str">
        <x:v>Authoritative run c3547859-d2f4-4280-8359-e9913eb80e75. 61 iterations / 302.57 s; p50=956.05 ms; p95=978.11 ms; p99=1985.74 ms; max=2057.64 ms; 0 overruns. Steady iterations 2..60: p50≈955.52 ms; p95≈974.86 ms; p99≈982.46 ms; max≈988.47 ms. Bootstrap=2057.64 ms; final t≈300 s evidence tick=1937.81 ms. Start-to-start min/p50/p95/max≈5000.50/5001.05/5001.49/5001.86 ms. Avg/peak process CPU=97.47%/100.24%; avg/peak RSS=143.25/144.15 MB. Functional integrity exact: 100/100 lifecycle commits; 1000/1000 Occurrence STARTED; 100/100 Episode STARTED; 4000/4000 ASSIGNED; SCHEDULED=0; RESCHEDULED=0; REMOVED=0; snapshot=1000/1000 alarms, 4000/4000 assignments, 0/0 pending; 0 TechnicalHold; 0 transitions; 0 duplicates. Independent WAL audit: 200 unique records / 4,994,900 bytes. First 100 records at 20:48:24Z are lifecycle bootstrap with exactly 4000 ASSIGNED, 1000 occurrence changes, 100 episode changes, 1000 evidence and 5000 journey events; second 100 records at 20:53:24Z are evidence-only with 1000 evidence records. Every priority group has exactly two durable records. Tool assignment distribution is exact: perf-tool=1000 and perf-route-01/02/03=1000 each. All 200 records declare ada-alarms-runtime/0.14.2. Journal durable==materialized at byte_offset 4,994,900. Final 100 snapshots contain 1000 ACTIVE alarms, 1000 unique open Occurrences, 100 Episodes, exactly four Tool assignments per alarm and zero pending assignments. Job Runtime status=success; 61 iterations, 2 work + 59 empty, errors=0, warnings=0, resource_pressure_events=0. Relative to C-004-R3, p95 is effectively unchanged/slightly lower (987.97→978.11 ms), while peak RSS rises 132.89→144.15 MB (~+11.26 MB) and WAL rises 1.497→4.995 MB (~3.34×), consistent with larger routing state.</x:v>
      </x:c>
    </x:row>
    <x:row r="30">
      <x:c r="A30" s="36" t="str">
        <x:v>C-006</x:v>
      </x:c>
      <x:c r="B30" s="36" t="str">
        <x:v>R3.5C</x:v>
      </x:c>
      <x:c r="C30" s="36" t="n">
        <x:v>38</x:v>
      </x:c>
      <x:c r="D30" s="36" t="str">
        <x:v>C2 Delayed Routing Progression</x:v>
      </x:c>
      <x:c r="E30" s="36" t="str">
        <x:v>Caracterizar routing C2 real desde SCHEDULED hacia ASSIGNED en deadlines absolutos, manteniendo estable la evaluación y aislando timers/pending materialization</x:v>
      </x:c>
      <x:c r="F30" s="36" t="n">
        <x:v>1000</x:v>
      </x:c>
      <x:c r="G30" s="36" t="str">
        <x:v>Local FS</x:v>
      </x:c>
      <x:c r="H30" s="36" t="str">
        <x:v>Latest Narrow / stable 100% ACTIVE</x:v>
      </x:c>
      <x:c r="I30" s="36" t="str">
        <x:v>36 balanced / 100 priority groups × 10 alarms</x:v>
      </x:c>
      <x:c r="J30" s="36" t="str">
        <x:v>None</x:v>
      </x:c>
      <x:c r="K30" s="36" t="str">
        <x:v>Stable config / C2</x:v>
      </x:c>
      <x:c r="L30" s="36" t="n">
        <x:v>5</x:v>
      </x:c>
      <x:c r="M30" s="36" t="n">
        <x:v>5</x:v>
      </x:c>
      <x:c r="N30" s="36" t="n">
        <x:v>10</x:v>
      </x:c>
      <x:c r="O30" s="36" t="str">
        <x:v>Delayed routing / pending assignment pressure</x:v>
      </x:c>
      <x:c r="P30" s="36" t="str">
        <x:v>100 bootstrap lifecycle commits + 100 commits por ola 60/120/180 s = 400 lifecycle commits. Bootstrap: 1000 ASSIGNED origin + 3000 SCHEDULED; pending=3000. Waves: assigned/pending 2000/2000 @60s, 3000/1000 @120s, 4000/0 @180s. Totals: ASSIGNED=4000, SCHEDULED=3000, RESCHEDULED=0, REMOVED=0; final snapshot=4000 assignments / 0 pending; 0 TechnicalHold; 0 duplicates.</x:v>
      </x:c>
      <x:c r="Q30" s="36" t="str">
        <x:v>PASS/GREEN. Temporal contract exact. p50/p95/p99=965.30/1950.35/2012.16 ms; max=2060.52 ms; 0 overruns. Deadline waves occur exactly at +60/+120/+180 s. Steady cycles excluding bootstrap, three due waves and 5-minute evidence tick: p95≈984.58 ms.</x:v>
      </x:c>
      <x:c r="R30" s="36" t="str">
        <x:v>Completed</x:v>
      </x:c>
      <x:c r="S30" s="36" t="str">
        <x:v>C-005 + C-006 harness patch 0.1.0</x:v>
      </x:c>
      <x:c r="T30" s="36" t="str">
        <x:v>Authoritative run bccad405-b4a3-4d37-aced-d232a39dec33. 61 iterations / 303.02 s; p50=965.30 ms; p95=1950.35 ms; p99=2012.16 ms; max=2060.52 ms; 0 overruns. Special iterations: bootstrap=2060.52 ms; route-01 due wave at +60.018 s=1950.35 ms; route-02 at +120.036 s=1979.91 ms; route-03 at +180.054 s=1977.67 ms; evidence-only tick at +300.088 s=1902.65 ms. Remaining 56 cycles: p50≈963.87 ms; p95≈984.58 ms; p99≈998.24 ms; max≈1007.64 ms. Start-to-start min/p50/p95/max≈5000.49/5001.12/5003.67/5003.95 ms. Avg/peak process CPU=96.49%/101.00%; avg/peak RSS=145.38/145.77 MB. Functional integrity exact: lifecycle commits=400/400; Occurrence STARTED=1000/1000; Episode STARTED=100/100; ASSIGNED=4000/4000; SCHEDULED=3000/3000; RESCHEDULED=0; REMOVED=0; snapshot assignments=4000/4000; pending=0/0; TechnicalHold=0; duplicates=0. Independent WAL audit: 500 unique records / 9,144,500 bytes; every priority group has exactly 5 records. At 22:40:56Z bootstrap: 1000 origin ASSIGNED + 3000 SCHEDULED, 1000 Occurrences, 100 Episodes, 1000 evidence and 5000 Journey events; materialized assignments/pending=1000/3000. At 22:41:56Z route-01: +1000 ASSIGNED, state=2000/2000. At 22:42:56Z route-02: +1000 ASSIGNED, state=3000/1000. At 22:43:56Z route-03: +1000 ASSIGNED, state=4000/0. At 22:45:56Z: 100 evidence-only commits, state remains 4000/0. Scheduled due_at offsets are exact: 60 s ×1000 for perf-route-01, 120 s ×1000 for perf-route-02, 180 s ×1000 for perf-route-03. Final 100 snapshots contain 1000 ACTIVE alarms, 1000 unique Occurrences, 100 Episodes, exactly 4000 assignments (1000 per Tool) and zero pending/holds. Journal durable==materialized at byte_offset 9,144,500. Job Runtime status=success; 61 iterations, 5 work + 56 empty, errors=0, warnings=0, resource_pressure_events=0. Versus C-005: WAL 4.995→9.145 MB (~1.83×), peak RSS 144.15→145.77 MB (+1.61 MB); steady p95 remains ~0.98 s. Global p95 rises because the three legitimate deadline waves each cost ~1.95–1.98 s.</x:v>
      </x:c>
    </x:row>
    <x:row r="31">
      <x:c r="A31" s="36" t="str">
        <x:v>C-007</x:v>
      </x:c>
      <x:c r="B31" s="36" t="str">
        <x:v>R3.5C</x:v>
      </x:c>
      <x:c r="C31" s="36" t="n">
        <x:v>39</x:v>
      </x:c>
      <x:c r="D31" s="36" t="str">
        <x:v>C2 Reschedule Across Configuration Window</x:v>
      </x:c>
      <x:c r="E31" s="36" t="str">
        <x:v>Validar RESCHEDULED sobre assignments C2 pendientes cuando una nueva revisión de configuración se adopta en una ejecución/ventana posterior, preservando Occurrence y estado durable</x:v>
      </x:c>
      <x:c r="F31" s="36" t="n">
        <x:v>1000</x:v>
      </x:c>
      <x:c r="G31" s="36" t="str">
        <x:v>Local FS / same durable volume across phases</x:v>
      </x:c>
      <x:c r="H31" s="36" t="str">
        <x:v>Latest Narrow / stable 100% ACTIVE</x:v>
      </x:c>
      <x:c r="I31" s="36" t="str">
        <x:v>36 balanced / 100 priority groups × 10 alarms</x:v>
      </x:c>
      <x:c r="J31" s="36" t="str">
        <x:v>None</x:v>
      </x:c>
      <x:c r="K31" s="36" t="str">
        <x:v>C2 config revision boundary</x:v>
      </x:c>
      <x:c r="L31" s="36" t="n">
        <x:v>4.5</x:v>
      </x:c>
      <x:c r="M31" s="36" t="n">
        <x:v>5</x:v>
      </x:c>
      <x:c r="N31" s="36" t="n">
        <x:v>10</x:v>
      </x:c>
      <x:c r="O31" s="36" t="str">
        <x:v>C2 pending reconciliation / RESCHEDULED</x:v>
      </x:c>
      <x:c r="P31" s="36" t="str">
        <x:v>Two real Job Runtime phases on the same durable volume. Phase A AC-1 creates 3000 pending at +60/+120/+180. Phase B AC-2 changes only delays to +90/+150/+210. Expected: 3000 RESCHEDULED in 100 commits, same 1000 Occurrences, no new Episodes, REMOVED=0, then three revised ASSIGNED waves and final 4000/0.</x:v>
      </x:c>
      <x:c r="Q31" s="36" t="str">
        <x:v>PASS/GREEN. AC-1→AC-2 revision adoption exact: 3000 RESCHEDULED, 100 reschedule commits, occurrence_identity_mismatches=0 and revised due_at counts 1000×(+90/+150/+210). p50/p95/p99=968.81/1924.13/2010.80 ms; max=2080.40 ms; 0 overruns. 51 steady cycles excluding bootstrap/adoption/reschedule/deadline waves: p95≈984.28 ms.</x:v>
      </x:c>
      <x:c r="R31" s="36" t="str">
        <x:v>Completed</x:v>
      </x:c>
      <x:c r="S31" s="36" t="str">
        <x:v>C-006 + C-007 harness patch 0.1.1</x:v>
      </x:c>
      <x:c r="T31" s="36" t="str">
        <x:v>Authoritative aggregate run / Phase B run_id 52e52d15-ab29-4d02-ae0b-db8ef8b4346b; Phase A run_id fcb116ba-6438-46a9-8ba6-a1bfdd11e1ac. Phase A PERF-AC-1: planned 30 s, actual 31.389 s, status success, 7 iterations (1 work + 6 empty), 100 commits / 4,045,800 bytes. Phase B PERF-AC-2: planned 240 s, actual 243.883 s, status success, 50 iterations (4 work + 46 empty), 400 commits / 6,616,800 bytes. Aggregate: 57 samples / 275.273 s; p50=968.81 ms; p95=1924.13 ms; p99=2010.80 ms; max=2080.40 ms; 0 overruns. Special samples: bootstrap=2080.40 ms; AC-2 adoption-only=1376.13 ms; first post-adoption/reschedule cycle=1600.72 ms; revised route waves=1927.47/1923.29/1956.12 ms. Remaining 51 steady samples: p50≈965.23 ms; p95≈984.28 ms; p99≈992.51 ms; max≈997.15 ms. Normal 5 s cadence intervals (excluding the intentional immediate post-adoption cycle): min≈5000.65 ms; p50≈5001.12 ms; p95≈5003.34 ms; max≈5003.65 ms. Avg/peak process CPU=96.47%/100.77%; avg/peak RSS=147.96/150.37 MB. Functional integrity exact: lifecycle commits=500/500; Occurrence STARTED=1000/1000; Episode STARTED=100/100; ASSIGNED=4000/4000; SCHEDULED=3000/3000; RESCHEDULED=3000/3000; REMOVED=0; assignment changes=10000/10000; occurrence identity mismatches=0; final assignments=4000/4000; pending=0/0; TechnicalHold=0; duplicates=0; revision transition OK=true. Independent WAL audit: exactly 500 records / 10,662,600 bytes, 5 records per priority group. Cycle 23:44:30Z AC-1 bootstrap: origin 1000 ASSIGNED + 3000 SCHEDULED, 1000 Occurrences, 100 Episodes. Cycle 23:45:02Z AC-2 adoption: exactly 3000 RESCHEDULED, no new Occurrence/Episode; pending remains 3000. Cycles 23:46:03Z / 23:47:03Z / 23:48:03Z assign route-01/02/03 respectively. Old SCHEDULED offsets are exact +60/+120/+180 s, revised RESCHEDULED offsets exact +90/+150/+210 s, and delayed ASSIGNED effective offsets are exact +90/+150/+210 s, each 1000 times. All 500 records declare ada-alarms-runtime/0.14.2; revisions are AC-1=100 records and AC-2=400 records. Final 100 snapshots: 1000 ACTIVE, 1000 unique open Occurrences, 100 Episodes, exactly four assignments per alarm, zero pending; state_basis=PERF-AC-2 while occurrence configuration_revision_at_start remains PERF-AC-1, confirming continuity across adoption. Journal durable==materialized at byte_offset 10,662,600. No 5-minute evidence-only tick occurred because the two-phase scenario ended before occurrence +300 s.</x:v>
      </x:c>
    </x:row>
    <x:row r="32">
      <x:c r="A32" s="36" t="str">
        <x:v>C-008</x:v>
      </x:c>
      <x:c r="B32" s="36" t="str">
        <x:v>R3.5C</x:v>
      </x:c>
      <x:c r="C32" s="36" t="n">
        <x:v>40</x:v>
      </x:c>
      <x:c r="D32" s="36" t="str">
        <x:v>C2 Destination Removal Across Configuration Window</x:v>
      </x:c>
      <x:c r="E32" s="36" t="str">
        <x:v>Validar AssignmentChange REMOVED al adoptar una nueva revisión C2 que elimina destinos existentes, cubriendo simultáneamente un destino ya ASSIGNED y destinos todavía pending sin cerrar la Occurrence</x:v>
      </x:c>
      <x:c r="F32" s="36" t="n">
        <x:v>1000</x:v>
      </x:c>
      <x:c r="G32" s="36" t="str">
        <x:v>Local FS / same durable volume across phases</x:v>
      </x:c>
      <x:c r="H32" s="36" t="str">
        <x:v>Latest Narrow / stable 100% ACTIVE</x:v>
      </x:c>
      <x:c r="I32" s="36" t="str">
        <x:v>36 balanced / 100 priority groups × 10 alarms</x:v>
      </x:c>
      <x:c r="J32" s="36" t="str">
        <x:v>None</x:v>
      </x:c>
      <x:c r="K32" s="36" t="str">
        <x:v>C2 destination removal boundary</x:v>
      </x:c>
      <x:c r="L32" s="36" t="n">
        <x:v>3.5</x:v>
      </x:c>
      <x:c r="M32" s="36" t="n">
        <x:v>5</x:v>
      </x:c>
      <x:c r="N32" s="36" t="n">
        <x:v>10</x:v>
      </x:c>
      <x:c r="O32" s="36" t="str">
        <x:v>C2 pending/reached reconciliation / REMOVED</x:v>
      </x:c>
      <x:c r="P32" s="36" t="str">
        <x:v>Phase A AC-1 +60/+120/+180 crosses only the first deadline; Phase B AC-2 keeps the same C2 alarm/origin and removes all destinations. Expected: 2000 ASSIGNED, 3000 SCHEDULED, 3000 REMOVED, 0 RESCHEDULED; REMOVED split 1000 reached + 2000 pending; lifecycle=300; final 1000 origin assignments / 0 pending.</x:v>
      </x:c>
      <x:c r="Q32" s="36" t="str">
        <x:v>PASS/GREEN. Removal contract exact: 3000 REMOVED in 100 commits, tool counts 1000/1000/1000, removed reached/pending=1000/2000, occurrence_identity_mismatches=0 and revision transition OK. p50/p95/p99=931.63/1603.29/1978.43 ms; max=2043.89 ms; 0 overruns. 41 steady cycles excluding bootstrap, +60 wave, adoption and removal: p95≈983.79 ms.</x:v>
      </x:c>
      <x:c r="R32" s="36" t="str">
        <x:v>Completed</x:v>
      </x:c>
      <x:c r="S32" s="36" t="str">
        <x:v>C-007 + C-008 harness patch 0.1.0</x:v>
      </x:c>
      <x:c r="T32" s="36" t="str">
        <x:v>Authoritative aggregate / Phase B run_id d54b12b9-0300-48c4-a869-7c8402b7beba; Phase A run_id 267e39e5-f708-447f-b68d-79a50bf34c1f. Phase A PERF-AC-1: planned 90 s, actual 91.564 s; Phase B PERF-AC-2: planned 120 s, actual 123.592 s; aggregate actual=215.156 s / 45 samples. p50=931.63 ms; p95=1603.29 ms; p99=1978.43 ms; max=2043.89 ms; 0 overruns. Special samples: bootstrap=2043.89 ms; +60 route-01 wave=1895.12 ms; AC-2 adoption-only=1342.08 ms; removal cycle=1668.60 ms. Remaining 41 steady samples: p50≈924.71 ms; p95≈983.79 ms; p99≈1005.46 ms; max≈1011.52 ms. Normal 5 s cadence intervals excluding intentional immediate post-adoption cycle: min≈5000.70 ms; p50≈5001.25 ms; p95≈5003.01 ms; max≈5003.45 ms. Avg/peak process CPU=96.71%/99.88%; avg/peak RSS=148.98/152.84 MB. Functional integrity exact: lifecycle=300/300; Occurrence STARTED=1000/1000; Episode STARTED=100/100; ASSIGNED=2000/2000; SCHEDULED=3000/3000; RESCHEDULED=0; REMOVED=3000/3000; assignment changes=8000/8000; removal commits=100/100; removed assigned/pending=1000/2000; occurrence identity mismatches=0; final assignments=1000/1000; pending=0/0; TechnicalHold=0; duplicates=0; revision transition OK=true. Independent WAL audit: exactly 300 unique records / 7,696,200 bytes, exactly 3 records per priority group. 00:26:53Z AC-1 bootstrap: origin 1000 ASSIGNED + 3000 SCHEDULED, 1000 Occurrences, 100 Episodes. 00:27:53Z: exactly 1000 route-01 ASSIGNED at original +60 s deadline. 00:28:25Z (~+92 s, safely after +60 and before +120): AC-2 emits exactly 3000 REMOVED: route-01/02/03=1000 each. Every REMOVED has due_at=null. No durable records occur after removal, despite Phase B continuing across the old +120/+180 deadlines, proving removed pending destinations never assign later. All 300 records declare ada-alarms-runtime/0.14.2; revision distribution AC-1=200 / AC-2=100. Final 100 snapshots: 1000 ACTIVE, 1000 unique open Occurrences, 100 Episodes, only perf-tool assigned to every alarm, zero pending and zero holds. state_basis=PERF-AC-2 while occurrence configuration_revision_at_start remains PERF-AC-1, proving continuity across adoption. Journal durable==materialized at byte_offset 7,696,200. Job Runtime daily summary: 2 successful executions, 3 total work iterations, errors=0, warnings=0, resource_pressure_events=0.</x:v>
      </x:c>
    </x:row>
    <x:row r="33">
      <x:c r="A33" s="36" t="str">
        <x:v>D-001</x:v>
      </x:c>
      <x:c r="B33" s="36" t="str">
        <x:v>R3.5D</x:v>
      </x:c>
      <x:c r="C33" s="36" t="n">
        <x:v>50</x:v>
      </x:c>
      <x:c r="D33" s="36" t="str">
        <x:v>Single ManagementAction</x:v>
      </x:c>
      <x:c r="E33" s="36" t="str">
        <x:v>Establecer baseline end-to-end de una única gestión desde exposición al input consumer hasta InputReceipt durable.</x:v>
      </x:c>
      <x:c r="F33" s="36" t="n">
        <x:v>1000</x:v>
      </x:c>
      <x:c r="G33" s="36" t="str">
        <x:v>Local FS</x:v>
      </x:c>
      <x:c r="H33" s="36" t="str">
        <x:v>Latest Narrow / stable 100% ACTIVE</x:v>
      </x:c>
      <x:c r="I33" s="36" t="str">
        <x:v>36 balanced / 100 priority groups × 10 alarms</x:v>
      </x:c>
      <x:c r="J33" s="36" t="str">
        <x:v>1 ManagementAction</x:v>
      </x:c>
      <x:c r="K33" s="36" t="str">
        <x:v>Stable config / C3</x:v>
      </x:c>
      <x:c r="L33" s="36" t="n">
        <x:v>2</x:v>
      </x:c>
      <x:c r="M33" s="36" t="n">
        <x:v>5</x:v>
      </x:c>
      <x:c r="N33" s="36" t="n">
        <x:v>10</x:v>
      </x:c>
      <x:c r="O33" s="36" t="str">
        <x:v>Control-plane baseline</x:v>
      </x:c>
      <x:c r="P33" s="36" t="str">
        <x:v>100 bootstrap commits + 1 management commit. 1000 Occurrence STARTED, 100 Episode STARTED, 1000 origin assignments. PERF-M-000001 targets the current perf/alarm_00001 Occurrence. Expect exactly 1 InputReceipt MANAGEMENT/EFFECTIVE, 1 ManagementEffect STARTED, 0 CLEARED, no deactivation, target group durable records=2, total durable records=101, consumer cursor=256, pending=0, receipt-before-cursor=true, same occurrence_id and one final active management effect.</x:v>
      </x:c>
      <x:c r="Q33" s="36" t="str">
        <x:v>PASS/GREEN. Authoritative input→durable-receipt latency=997.95 ms. The management iteration lasted 1017.67 ms; global p50/p95/p99=917.33/1006.57/1520.45 ms, max=1679.23 ms, 0 overruns. Excluding bootstrap and the single management iteration, 23 steady cycles have p95≈935.46 ms. Receipt durability, cursor ordering and identity are exact.</x:v>
      </x:c>
      <x:c r="R33" s="36" t="str">
        <x:v>Completed</x:v>
      </x:c>
      <x:c r="S33" s="36" t="str">
        <x:v>R3.5C closed + D-001 harness patch 0.1.0</x:v>
      </x:c>
      <x:c r="T33" s="36" t="str">
        <x:v>Authoritative run 3204ca5b-1be9-4968-b9c0-c0b2fb6ede3e. Planned 120 s; actual 121.214 s; 25 iterations. p50=917.33 ms; p95=1006.57 ms; p99=1520.45 ms; max=1679.23 ms; 0 overruns. Bootstrap iteration=1679.23 ms; management iteration at +30.008 s=1017.67 ms; remaining 23 steady cycles p50≈914.44 ms, p95≈935.46 ms, p99≈956.45 ms, max≈962.17 ms. Start-to-start min/p50/p95/max≈5000.58/5001.09/5003.46/5004.17 ms. Avg/peak process CPU=96.78/99.45%; avg/peak RSS=136.26/136.63 MB. Input visible→receipt durable=997.95 ms. Independent WAL audit: exactly 101 records / 2,037,716 bytes. Exactly 99 priority groups have one bootstrap record and perf-group-001 has two. Bootstrap cycle at 01:32:13Z has 100 records with 1000 Occurrence STARTED, 100 Episode STARTED, 1000 ASSIGNED, 1000 evidence and 2000 initial journey events. At 01:32:43Z perf-group-001 adds exactly one record containing InputReceipt input_id=PERF-M-000001, input_kind=MANAGEMENT, outcome=EFFECTIVE; one ManagementEffect STARTED (PERF-ME-PERF-M-000001); and one management_applied journey event. No deactivation requests or ManagementEffect CLEARED records. Consumer state ends with management cursor hour_bucket=2026-08-27T01Z / byte_offset=256, pending=[], decisions cursor=null and pending_deactivation_request_ids=[]. Instrumentation confirms receipt-before-cursor=true. All 101 records declare ada-alarms-runtime/0.14.2. Journal durable==materialized at byte_offset 2,037,716. Final 100 snapshots contain 1000 ACTIVE alarms, 1000 unique open Occurrences, 1000 origin assignments, 0 pending, and exactly one active management effect on perf/alarm_00001 with source_occurrence_id=PERF-O-00000001 and reappearance_due_at=2026-08-27T02:32:43Z. Job Runtime status=success; 25 iterations, 2 work + 23 empty; errors=0, warnings=0, resource_pressure_events=0.</x:v>
      </x:c>
    </x:row>
    <x:row r="34">
      <x:c r="A34" s="36" t="str">
        <x:v>D-002</x:v>
      </x:c>
      <x:c r="B34" s="36" t="str">
        <x:v>R3.5D</x:v>
      </x:c>
      <x:c r="C34" s="36" t="n">
        <x:v>51</x:v>
      </x:c>
      <x:c r="D34" s="36" t="str">
        <x:v>Management continuous 1/s</x:v>
      </x:c>
      <x:c r="E34" s="36" t="str">
        <x:v>Caracterizar carga sostenida del AlarmDurableInputConsumer a una ManagementAction por segundo, midiendo latencia input→receipt, batching natural por ciclo y ausencia de pérdida/duplicados.</x:v>
      </x:c>
      <x:c r="F34" s="36" t="n">
        <x:v>1000</x:v>
      </x:c>
      <x:c r="G34" s="36" t="str">
        <x:v>Local FS</x:v>
      </x:c>
      <x:c r="H34" s="36" t="str">
        <x:v>Latest Narrow / stable 100% ACTIVE</x:v>
      </x:c>
      <x:c r="I34" s="36" t="str">
        <x:v>36 balanced / 100 priority groups × 10 alarms</x:v>
      </x:c>
      <x:c r="J34" s="36" t="str">
        <x:v>540 ManagementAction @ 1/s</x:v>
      </x:c>
      <x:c r="K34" s="36" t="str">
        <x:v>Stable config / C3</x:v>
      </x:c>
      <x:c r="L34" s="36" t="n">
        <x:v>10</x:v>
      </x:c>
      <x:c r="M34" s="36" t="n">
        <x:v>5</x:v>
      </x:c>
      <x:c r="N34" s="36" t="n">
        <x:v>10</x:v>
      </x:c>
      <x:c r="O34" s="36" t="str">
        <x:v>Control-plane sustained</x:v>
      </x:c>
      <x:c r="P34" s="36" t="str">
        <x:v>540 acciones únicas desde +30 a +569 s. Todas MANAGEMENT/EFFECTIVE, sin pérdida/duplicados, targets únicos distribuidos por priority group, pending final=0 y receipt-before-cursor para los 540 inputs.</x:v>
      </x:c>
      <x:c r="Q34" s="36" t="str">
        <x:v>PASS/GREEN on clean rerun with atlanticus-job-runtime 0.7.1. Exactly 540/540 MANAGEMENT/EFFECTIVE receipts, 540/540 ManagementEffect STARTED, 0 CLEARED, lost=0, duplicate receipts=0, deactivation=0, unique targets=540, identity mismatches=0, cursor=138240, pending=0, receipt-before-cursor=540/540 and 540 final management effects. Input→receipt p50/p95/p99/max=3125.85/5212.46/5246.56/5919.02 ms. Iteration p50/p95/p99=1022.86/1057.78/1890.78 ms, max=1944.68 ms, 0 overruns. The +600 s evidence wave completed successfully.</x:v>
      </x:c>
      <x:c r="R34" s="36" t="str">
        <x:v>Completed</x:v>
      </x:c>
      <x:c r="S34" s="36" t="str">
        <x:v>D-002 harness 0.1.0 + atlanticus-job-runtime 0.7.1</x:v>
      </x:c>
      <x:c r="T34" s="36" t="str">
        <x:v>Authoritative clean rerun 5e7bd0dc-d6b9-4556-a3bd-8b81a3eb3478 on GLONBW11, stage commit 489b7424f5051f7a276dafe8d5f318ccf1368d87. Planned 600 s; actual 603.156 s; 121 iterations; stop_reason=insufficient_remaining_time with execution status success. p50/p95/p99/max iteration=1022.859/1057.781/1890.777/1944.684 ms; 0 overruns. Avg/peak process CPU=91.966/100.085%; avg/peak RSS=137.093/137.828 MB. Management cycles are iterations 7..115: 109 non-empty batches = 1×1, 107×5, 1×4. Excluding the +300 s evidence-overlap iteration, management-cycle p50/p95/p99/max≈1024.00/1046.24/1188.27/1441.98 ms. Ten empty steady iterations have p50/p95/max≈925.47/950.78/961.50 ms. 5 s cadence start-to-start min/p50/p95/p99/max≈5000.664/5001.536/5004.047/5004.441/5004.677 ms. Input→receipt p50/p95/p99/max=3125.847/5212.464/5246.563/5919.025 ms; this distribution includes expected wait-to-next-5 s-cycle plus processing time. Independent WAL audit: exactly 835 EngineCommitRecord / 8,025,617 bytes, all engine-commit-record.v1 and ada-alarms-runtime/0.14.2. Cycles: bootstrap at 03:45:23Z = 100 records with 1000 Occurrence STARTED, 100 Episode STARTED, 1000 ASSIGNED, 1000 evidence and 2000 journey events; +300 s at 03:50:24Z = 100 records with 1000 evidence plus 5 management receipts/effects in the same five group commits; +600 s at 03:55:24Z = 100 evidence-only records completed successfully. Remaining management records give exactly 540 unique InputReceipt MANAGEMENT/EFFECTIVE, 540 unique ManagementEffect STARTED and 540 management_applied journey events. Commit distribution per group is consistent with target rotation and overlap: 40 groups×9 records, 55×8, 5×7. Final journal-head durable==materialized at segment 2026-08-27T03Z#0000, byte_offset=8,025,617, commit=20260827T035524000000Z__perf-group-100. Final snapshots: 1000 ACTIVE, 1000 unique open Occurrences, 1000 perf-tool assignments, 0 pending, 540 management effects, 0 TechnicalHold; state_basis PERF-AC-1/PERF-TR-1. Consumer management cursor hour_bucket=2026-08-27T03Z / byte_offset=138240, pending=[]; decisions cursor=null. Job Runtime execution.completed status=success, iterations=121, work=111, empty=10, errors=0, warnings=0, resource_pressure_events=0, lease_generation=1, alarm_commits_confirmed=835, commit bytes=8,025,617. This clean rerun confirms R20C.3.2 end-to-end and closes F-D002-001.</x:v>
      </x:c>
    </x:row>
    <x:row r="35">
      <x:c r="A35" s="36" t="str">
        <x:v>D-003</x:v>
      </x:c>
      <x:c r="B35" s="36" t="str">
        <x:v>R3.5D</x:v>
      </x:c>
      <x:c r="C35" s="36" t="n">
        <x:v>52</x:v>
      </x:c>
      <x:c r="D35" s="36" t="str">
        <x:v>Management burst 50</x:v>
      </x:c>
      <x:c r="E35" s="36" t="str">
        <x:v>Medir absorción instantánea de un burst de 50 ManagementAction y latencia hasta receipts durables, manteniendo semántica EFFECTIVE e identidad estable.</x:v>
      </x:c>
      <x:c r="F35" s="36" t="n">
        <x:v>1000</x:v>
      </x:c>
      <x:c r="G35" s="36" t="str">
        <x:v>Local FS</x:v>
      </x:c>
      <x:c r="H35" s="36" t="str">
        <x:v>Latest Narrow / stable 100% ACTIVE</x:v>
      </x:c>
      <x:c r="I35" s="36" t="str">
        <x:v>36 balanced / 100 priority groups × 10 alarms</x:v>
      </x:c>
      <x:c r="J35" s="36" t="str">
        <x:v>50 ManagementAction simultaneous burst</x:v>
      </x:c>
      <x:c r="K35" s="36" t="str">
        <x:v>Stable config / C3</x:v>
      </x:c>
      <x:c r="L35" s="36" t="n">
        <x:v>2</x:v>
      </x:c>
      <x:c r="M35" s="36" t="n">
        <x:v>5</x:v>
      </x:c>
      <x:c r="N35" s="36" t="n">
        <x:v>10</x:v>
      </x:c>
      <x:c r="O35" s="36" t="str">
        <x:v>Control-plane burst</x:v>
      </x:c>
      <x:c r="P35" s="36" t="str">
        <x:v>50 acciones simultáneas a +30 s, targets únicos slot-1 de perf-group-001..050. Esperar 50 MANAGEMENT/EFFECTIVE, 50 ManagementEffect STARTED, 0 CLEARED/deactivation/lost/duplicates, cursor=12800, pending=0, receipt-before-cursor=50/50 y absorción completa del burst en la primera iteración elegible.</x:v>
      </x:c>
      <x:c r="Q35" s="36" t="str">
        <x:v>PASS/GREEN. El burst completo fue absorbido en la primera iteración elegible: arrival_mode=burst, first_nonempty_batch_size=50/50, fully_absorbed=true, max_batch=50, nonempty_batches=1. 50/50 MANAGEMENT/EFFECTIVE receipts, 50/50 ManagementEffect STARTED, 0 CLEARED, 0 deactivation, lost=0, duplicates=0, 50 targets únicos, occurrence mismatch=0, cursor=12800, pending/high-water=0/0, receipt-before-cursor=50/50 y 50 ManagementEffects finales. Input→receipt p50/p95/p99/max idéntico=1393.99 ms porque todas las acciones comparten la misma frontera de exposición y se confirman en el mismo ciclo. Iteration p50/p95/p99/max=925.73/1295.43/1626.27/1704.32 ms; burst iteration=1379.08 ms; 0 overruns.</x:v>
      </x:c>
      <x:c r="R35" s="36" t="str">
        <x:v>Completed</x:v>
      </x:c>
      <x:c r="S35" s="36" t="str">
        <x:v>D-003 harness 0.1.0 + atlanticus-job-runtime 0.7.1</x:v>
      </x:c>
      <x:c r="T35" s="36" t="str">
        <x:v>Authoritative run 8f918b47-edd2-46e7-bc0b-de8a4206183a on GLONBW11, stage commit 489b7424f5051f7a276dafe8d5f318ccf1368d87. Planned 120 s; actual 121.247 s; 25 iterations; stop_reason=insufficient_remaining_time; execution status=success. Avg/peak process CPU=96.290/100.671%; avg/peak RSS=136.439/136.863 MB. Source load p50/p95/p99=3.902/5.042/5.112 ms; source merge p50/p95/p99=0.372/0.482/0.517 ms; recovery=1.176 ms; drain=253.830 ms. Steady cycles excluding bootstrap and burst: 23 cycles, p50/p95/p99/max≈925.42/941.59/956.69/960.83 ms. 5 s start-to-start min/p50/p95/p99/max≈5000.489/5001.260/5003.223/5003.924/5004.131 ms. Independent WAL audit: exactly 150 engine-commit-record.v1 / 2,376,600 bytes, all ada-alarms-runtime/0.14.2. Bootstrap cycle 20260827T140201000000Z contains exactly 100 commits; burst cycle 20260827T140231000000Z contains exactly 50 commits, one each in perf-group-001..050. Every burst commit has one MANAGEMENT/EFFECTIVE InputReceipt, one ManagementEffect STARTED and one management_applied journey event. Target mapping is exact: PERF-M-000001→perf-group-001/alarm_00001 through PERF-M-000050→perf-group-050/alarm_00491. Group record distribution: 50 groups×2 records, 50 groups×1 record. Final journal-head durable==materialized at segment 2026-08-27T14Z#0000, byte_offset=2,376,600, commit=20260827T140231000000Z__perf-group-050. Final snapshots: 1000 ACTIVE, 1000 unique open Occurrences, 1000 perf-tool assignments, 0 pending, 50 management effects, 0 TechnicalHold; exactly groups 001..050 contain one active management effect and groups 051..100 contain none. Consumer cursor hour_bucket=2026-08-27T14Z / byte_offset=12800, pending=[]; decisions cursor=null. Runtime execution.completed: success, iterations=25, work=2, empty=23, errors=0, warnings=0, resource_pressure_events=0, lease_generation=1, alarm_commits_confirmed=150, alarm_commit_bytes_appended=2,376,600.</x:v>
      </x:c>
    </x:row>
    <x:row r="36">
      <x:c r="A36" s="36" t="str">
        <x:v>D-004</x:v>
      </x:c>
      <x:c r="B36" s="36" t="str">
        <x:v>R3.5D</x:v>
      </x:c>
      <x:c r="C36" s="36" t="n">
        <x:v>53</x:v>
      </x:c>
      <x:c r="D36" s="36" t="str">
        <x:v>Management burst 100</x:v>
      </x:c>
      <x:c r="E36" s="36" t="str">
        <x:v>Escalar el burst simultáneo a 100 ManagementAction para medir la absorción de una acción por cada priority group en una sola iteración elegible.</x:v>
      </x:c>
      <x:c r="F36" s="36" t="n">
        <x:v>1000</x:v>
      </x:c>
      <x:c r="G36" s="36" t="str">
        <x:v>Local FS</x:v>
      </x:c>
      <x:c r="H36" s="36" t="str">
        <x:v>Latest Narrow / stable 100% ACTIVE</x:v>
      </x:c>
      <x:c r="I36" s="36" t="str">
        <x:v>36 balanced / 100 priority groups × 10 alarms</x:v>
      </x:c>
      <x:c r="J36" s="36" t="str">
        <x:v>100 ManagementAction simultaneous burst</x:v>
      </x:c>
      <x:c r="K36" s="36" t="str">
        <x:v>Stable config / C3</x:v>
      </x:c>
      <x:c r="L36" s="36" t="n">
        <x:v>2</x:v>
      </x:c>
      <x:c r="M36" s="36" t="n">
        <x:v>5</x:v>
      </x:c>
      <x:c r="N36" s="36" t="n">
        <x:v>10</x:v>
      </x:c>
      <x:c r="O36" s="36" t="str">
        <x:v>Control-plane burst</x:v>
      </x:c>
      <x:c r="P36" s="36" t="str">
        <x:v>100 acciones simultáneas a +30 s, slot-1 de perf-group-001..100. Esperar 100 MANAGEMENT/EFFECTIVE, 100 ManagementEffect STARTED, 0 CLEARED/deactivation/lost/duplicates, cursor=25600, pending=0, receipt-before-cursor=100/100 y absorción completa 100/100 en la primera iteración elegible.</x:v>
      </x:c>
      <x:c r="Q36" s="36" t="str">
        <x:v>PASS/GREEN. Burst completo absorbido en la primera iteración elegible: arrival_mode=burst, first_nonempty_batch_size=100/100, fully_absorbed=true, max_batch=100, nonempty_batches=1. 100/100 MANAGEMENT/EFFECTIVE receipts, 100/100 ManagementEffect STARTED, 0 CLEARED, 0 deactivation, lost=0, duplicates=0, 100 unique targets, occurrence mismatch=0, cursor=25600, pending/high-water=0/0, receipt-before-cursor=100/100 and 100 final ManagementEffects. Input→receipt p50/p95/p99/max identical=1727.51 ms. Iteration p50/p95/p99/max=916.02/1563.58/1720.27/1721.44 ms; burst iteration=1716.54 ms; 0 overruns.</x:v>
      </x:c>
      <x:c r="R36" s="36" t="str">
        <x:v>Completed</x:v>
      </x:c>
      <x:c r="S36" s="36" t="str">
        <x:v>D-003 generic burst harness 0.1.0 + atlanticus-job-runtime 0.7.1</x:v>
      </x:c>
      <x:c r="T36" s="36" t="str">
        <x:v>Authoritative run 248c19b9-3f16-471c-b1cf-0d730744b47a on GLONBW11, stage commit 489b7424f5051f7a276dafe8d5f318ccf1368d87. Planned 120 s; actual 121.339 s; 25 iterations; stop_reason=insufficient_remaining_time; execution status=success. Avg/peak process CPU=96.321/99.552%; avg/peak RSS=136.690/137.160 MB. Source load p50/p95/p99=4.250/5.672/6.329 ms; source merge p50/p95/p99=0.373/0.449/0.455 ms; recovery=1.121 ms; drain=309.345 ms. Steady cycles excluding bootstrap and burst: 23 cycles, p50/p95/p99/max≈914.76/945.92/950.68/951.76 ms. 5 s cadence start-to-start min/p50/p95/p99/max≈5000.420/5001.080/5003.515/5003.629/5003.651 ms. Independent WAL audit: exactly 200 engine-commit-record.v1 / 2,722,400 bytes, all ada-alarms-runtime/0.14.2. Bootstrap cycle 20260827T142125000000Z=100 commits and management burst cycle 20260827T142155000000Z=100 commits. Every priority group has exactly two records: one bootstrap and one management record. The burst records contain exactly 100 unique MANAGEMENT/EFFECTIVE InputReceipts, 100 unique ManagementEffect STARTED records and 100 management_applied journey events. Final journal-head durable==materialized at segment 2026-08-27T14Z#0000, byte_offset=2,722,400, commit=20260827T142155000000Z__perf-group-100. Final snapshots: 1000 ACTIVE, 1000 unique open Occurrences, 1000 perf-tool assignments, 0 pending, 100 ManagementEffects, 0 TechnicalHold; all 100 groups contain exactly one active management effect and state_basis PERF-AC-1/PERF-TR-1. Consumer management cursor hour_bucket=2026-08-27T14Z / byte_offset=25600, pending=[]; decisions cursor=null. Runtime execution.completed status=success, iterations=25, work=2, empty=23, errors=0, warnings=0, resource_pressure_events=0, lease_generation=1, alarm_commits_confirmed=200, alarm_commit_bytes_appended=2,722,400. Compared with D-003, doubling burst size 50→100 increased burst-cycle duration only ~24.5% (1379.08→1716.54 ms) and preserved one-cycle absorption.</x:v>
      </x:c>
    </x:row>
    <x:row r="37">
      <x:c r="A37" s="36" t="str">
        <x:v>D-005</x:v>
      </x:c>
      <x:c r="B37" s="36" t="str">
        <x:v>R3.5D</x:v>
      </x:c>
      <x:c r="C37" s="36" t="n">
        <x:v>54</x:v>
      </x:c>
      <x:c r="D37" s="36" t="str">
        <x:v>Single DeactivationDecision</x:v>
      </x:c>
      <x:c r="E37" s="36" t="str">
        <x:v>Establecer baseline end-to-end de una DeactivationDecision APPROVED contra un DeactivationRequest durable creado por el camino canónico ManagementAction→Runtime, midiendo decisión visible→receipt durable y causalidad exacta.</x:v>
      </x:c>
      <x:c r="F37" s="36" t="n">
        <x:v>1000</x:v>
      </x:c>
      <x:c r="G37" s="36" t="str">
        <x:v>Local FS</x:v>
      </x:c>
      <x:c r="H37" s="36" t="str">
        <x:v>Latest Narrow / stable 100% ACTIVE</x:v>
      </x:c>
      <x:c r="I37" s="36" t="str">
        <x:v>36 balanced / 100 priority groups × 10 alarms</x:v>
      </x:c>
      <x:c r="J37" s="36" t="str">
        <x:v>1 request setup + 1 APPROVED decision</x:v>
      </x:c>
      <x:c r="K37" s="36" t="str">
        <x:v>Stable config / C3; perf/alarm_00001 approval_required=true</x:v>
      </x:c>
      <x:c r="L37" s="36" t="n">
        <x:v>2</x:v>
      </x:c>
      <x:c r="M37" s="36" t="n">
        <x:v>5</x:v>
      </x:c>
      <x:c r="N37" s="36" t="n">
        <x:v>10</x:v>
      </x:c>
      <x:c r="O37" s="36" t="str">
        <x:v>Control-plane decision baseline</x:v>
      </x:c>
      <x:c r="P37" s="36" t="str">
        <x:v>At +30 s expose PERF-M-000001 with deactivation_intent and effective_until=+330 s from run baseline. Runtime must emit exactly one durable DEACTIVATION_REQUEST/PENDING_APPROVAL receipt and one durable request PERF-DR-PERF-M-000001 bound to the original occurrence; the target must remain visible while pending. At +60 s, and only after that request is durable, expose APPROVED decision PERF-D-000001. Expect exactly one DEACTIVATION_DECISION/APPLIED receipt, decision receipt durable before decision cursor advance, one DeactivationEffect STARTED with effective_from=decision.decided_at and effective_until unchanged from the original request, no CLEARED, management cursor=256, decision cursor=256, both stream pending lists=0, pending request final=0, pending-request high-water=1, decision-pending high-water=0, exact occurrence correlation, durable==materialized and 102 durable records total (100 bootstrap + request setup commit + decision commit).</x:v>
      </x:c>
      <x:c r="Q37" s="36" t="str">
        <x:v>PASS/GREEN. Authoritative run fa708376-dcb7-4fa4-b8af-ec09ea6bb5b5 completed successfully. Exact business path: 1 DEACTIVATION_REQUEST/PENDING_APPROVAL + 1 durable request PERF-DR-PERF-M-000001 (approval_required=true), followed 30 s later by 1 DEACTIVATION_DECISION/APPLIED and 1 DeactivationEffect STARTED. Target remained occurrence-bound and visible while pending; request/decision cursors=256/256; management/decision pending=0/0; pending request high-water=1 and final=0; request-before-decision=true; both receipt-before-cursor checks=true; effect window preserved exactly from 15:20:10Z to original 15:24:40Z, leaving 270 s. Decision visible→durable receipt=981.46 ms. Iteration p50/p95/p99/max=922.78/1169.96/1621.29/1749.98 ms; decision iteration=1213.77 ms; 0 overruns. Independent WAL audit: 102 engine-commit-record.v1 / 2,045,701 bytes; perf-group-001 has exactly 3 records and every other group exactly 1; all final group snapshots equal their latest journal snapshot_after; journal-head durable==materialized; execution status=success.</x:v>
      </x:c>
      <x:c r="R37" s="36" t="str">
        <x:v>Completed</x:v>
      </x:c>
      <x:c r="S37" s="36" t="str">
        <x:v>D-005 harness patch 0.1.0 + ada-alarms-runtime 0.14.2 + atlanticus-job-runtime 0.7.1</x:v>
      </x:c>
      <x:c r="T37" s="36" t="str">
        <x:v>Authoritative run fa708376-dcb7-4fa4-b8af-ec09ea6bb5b5 on GLONBW11, stage commit 489b7424f5051f7a276dafe8d5f318ccf1368d87. Planned 120 s; actual 121.218 s; 25 iterations; stop_reason=insufficient_remaining_time with Job Runtime status=success. Avg/peak process CPU=96.988/100.099%; avg/peak RSS=136.810/137.195 MB. Source load p50/p95/p99=4.350/6.348/6.869 ms; source merge p50/p95/p99=0.342/0.409/0.415 ms; recovery=0.870 ms; drain=216.662 ms. Request iteration≈994.72 ms; decision iteration≈1213.77 ms. Excluding bootstrap/request/decision, 22 steady cycles p50/p95/p99/max≈919.51/949.39/982.40/990.91 ms. 5 s cadence start-to-start min/p50/p95/p99/max≈5000.600/5001.183/5003.744/5003.966/5003.977 ms. Independent durable audit: bootstrap cycle 20260827T151910000000Z contains 100 records; request cycle 20260827T151940000000Z contains one perf-group-001 record with the durable request, PENDING_APPROVAL receipt and ManagementEffect STARTED; decision cycle 20260827T152010000000Z contains one perf-group-001 record with APPLIED receipt and DeactivationEffect STARTED. The request snapshot still contains occurrence PERF-O-00000001 and no deactivation effect; the decision event uses the same occurrence. Final consumer state has management and decisions cursors at byte_offset=256, both pending=[], pending_deactivation_request_ids=[]. Final journal-head durable==materialized at segment 2026-08-27T15Z#0000 / byte_offset=2,045,701.</x:v>
      </x:c>
    </x:row>
    <x:row r="38">
      <x:c r="A38" s="36" t="str">
        <x:v>D-006</x:v>
      </x:c>
      <x:c r="B38" s="36" t="str">
        <x:v>R3.5D</x:v>
      </x:c>
      <x:c r="C38" s="36" t="n">
        <x:v>55</x:v>
      </x:c>
      <x:c r="D38" s="36" t="str">
        <x:v>Decision continuous 1/s — two-phase</x:v>
      </x:c>
      <x:c r="E38" s="36" t="str">
        <x:v>Medir throughput y latencia sostenida de DeactivationDecision APPROVED a 1/s sin mezclar en la fase medida la creación de su prerequisito durable.</x:v>
      </x:c>
      <x:c r="F38" s="36" t="n">
        <x:v>1000</x:v>
      </x:c>
      <x:c r="G38" s="36" t="str">
        <x:v>Local FS</x:v>
      </x:c>
      <x:c r="H38" s="36" t="str">
        <x:v>Latest Narrow / stable 100% ACTIVE</x:v>
      </x:c>
      <x:c r="I38" s="36" t="str">
        <x:v>36 balanced / 100 priority groups × 10 alarms</x:v>
      </x:c>
      <x:c r="J38" s="36" t="str">
        <x:v>Phase A: 540 request setups @1/s; Phase B: 540 APPROVED decisions @1/s</x:v>
      </x:c>
      <x:c r="K38" s="36" t="str">
        <x:v>Stable config / C3; 540 unique approval_required targets; original deactivation window 1800 s</x:v>
      </x:c>
      <x:c r="L38" s="36" t="n">
        <x:v>20</x:v>
      </x:c>
      <x:c r="M38" s="36" t="n">
        <x:v>5</x:v>
      </x:c>
      <x:c r="N38" s="36" t="n">
        <x:v>10</x:v>
      </x:c>
      <x:c r="O38" s="36" t="str">
        <x:v>Control-plane sustained decision</x:v>
      </x:c>
      <x:c r="P38" s="36" t="str">
        <x:v>Phase A must finish with 540 unique durable pending requests and no lost/duplicate setup receipts. Phase B must reuse the same durable volume and only expose decisions after all request prerequisites exist. Expect 540/540 DEACTIVATION_DECISION/APPLIED, 540 DeactivationEffect STARTED, 0 wrong correlation, 0 duplicate/lost decisions, final decision pending=0, pending requests final=0, occurrence mismatches=0, management cursor=138240 and decision cursor=138240, durable==materialized. No CLEARED should occur inside the measured window; each effect must preserve its own request.effective_until.</x:v>
      </x:c>
      <x:c r="Q38" s="36" t="str">
        <x:v>PASS/GREEN. Authoritative two-phase run completed both executions successfully. Phase A produced exactly 540 DEACTIVATION_REQUEST/PENDING_APPROVAL receipts and 540 durable approval_required requests; Phase B produced exactly 540 DEACTIVATION_DECISION/APPLIED receipts and 540 DeactivationEffect STARTED with 0 CLEARED. Cursors=138240/138240; all pending final=0; lost/duplicates/wrong correlations/occurrence mismatches/window mismatches=0. Decision input→receipt p50/p95/p99/max=4060.15/6107.42/6166.73/6807.17 ms; batches=106×5 + 2×2 + 1×6. Global iteration p50/p95/p99/max=1020.79/1060.12/1707.01/1932.63 ms, 0 overruns. All 540 effects preserve request.effective_until; remaining=1197 s for every pair. Independent WAL audit: 1570 unique records / 15,160,690 bytes, 100 commit chains intact, 100 materialized snapshots equal latest snapshot_after and durable==materialized.</x:v>
      </x:c>
      <x:c r="R38" s="36" t="str">
        <x:v>Completed</x:v>
      </x:c>
      <x:c r="S38" s="36" t="str">
        <x:v>D-006 harness 0.1.2 + ada-alarms-runtime 0.14.2 + atlanticus-job-runtime 0.7.1</x:v>
      </x:c>
      <x:c r="T38" s="36" t="str">
        <x:v>Authoritative Phase A run f586e4a0-d802-40de-ba6f-90abe8950208 and Phase B run 4a45dc70-1f12-47dc-8687-79f59a94b3db on GLONBW11, stage commit 489b7424f5051f7a276dafe8d5f318ccf1368d87. Phase durations 602.877/604.814 s; both execution.completed status=success. Commit totals 835+735=1570 and bytes 8,377,157+6,783,533=15,160,690, exactly matching WAL. Final consumer: management/decisions cursor=138240/138240, pending=[]/[], pending requests=[]. Direct WAL reconstruction verifies exact IDs 000001..000540, same-commit decision receipt→matching effect, exact journey occurrence correlation and request-before-decision. Decision p95 is 17.17% above D-002 Management 1/s, consistent with cadence plus logical-time eligibility; global cycle p95 uses only 21.2% of the 5 s budget.</x:v>
      </x:c>
      <x:c r="U38"/>
    </x:row>
    <x:row r="39">
      <x:c r="A39" s="36" t="str">
        <x:v>D-007</x:v>
      </x:c>
      <x:c r="B39" s="36" t="str">
        <x:v>R3.5D</x:v>
      </x:c>
      <x:c r="C39" s="36" t="n">
        <x:v>56</x:v>
      </x:c>
      <x:c r="D39" s="36" t="str">
        <x:v>Decision burst 50 — two-phase</x:v>
      </x:c>
      <x:c r="E39" s="36" t="str">
        <x:v>Medir absorción instantánea de 50 DeactivationDecision APPROVED sin mezclar en la fase medida la creación de sus requests.</x:v>
      </x:c>
      <x:c r="F39" s="36" t="n">
        <x:v>1000</x:v>
      </x:c>
      <x:c r="G39" s="36" t="str">
        <x:v>Local FS</x:v>
      </x:c>
      <x:c r="H39" s="36" t="str">
        <x:v>Latest Narrow / stable 100% ACTIVE</x:v>
      </x:c>
      <x:c r="I39" s="36" t="str">
        <x:v>36 balanced / 100 priority groups × 10 alarms</x:v>
      </x:c>
      <x:c r="J39" s="36" t="str">
        <x:v>Phase A: 50 request setups simultaneous; Phase B: 50 APPROVED decisions simultaneous</x:v>
      </x:c>
      <x:c r="K39" s="36" t="str">
        <x:v>Stable config / C3; 50 unique approval_required targets in perf-group-001..050; original deactivation window 600 s</x:v>
      </x:c>
      <x:c r="L39" s="36" t="n">
        <x:v>4</x:v>
      </x:c>
      <x:c r="M39" s="36" t="n">
        <x:v>5</x:v>
      </x:c>
      <x:c r="N39" s="36" t="n">
        <x:v>10</x:v>
      </x:c>
      <x:c r="O39" s="36" t="str">
        <x:v>Control-plane decision burst</x:v>
      </x:c>
      <x:c r="P39" s="36" t="str">
        <x:v>Two sequential 120 s phases on the same durable volume. Phase A at +30 s emits 50 canonical ManagementAction+deactivation_intent inputs simultaneously, one target in perf-group-001..050, and must finish with exactly 50 durable approval_required requests pending. Phase B at +30 s exposes 50 APPROVED decisions simultaneously. Gate: 50/50 APPLIED + 50 DeactivationEffect STARTED, 0 CLEARED/lost/duplicates/wrong correlations/occurrence/window mismatches, cursors=12800/12800, all pending final=0, receipt-before-cursor=50/50 for both streams, durable==materialized, and first_nonempty_batch_size=50 with full absorption in the first eligible iteration.</x:v>
      </x:c>
      <x:c r="Q39" s="36" t="str">
        <x:v>PASS/GREEN. Authoritative two-phase burst completed successfully. Phase A: exactly 50 canonical DEACTIVATION_REQUEST/PENDING_APPROVAL + 50 approval_required requests in one request burst. Phase B: exactly 50 DEACTIVATION_DECISION/APPLIED + 50 DeactivationEffect STARTED in one decision burst; decision_arrival_mode=burst, first nonempty decision receipt batch=50/50, fully_absorbed_in_first_eligible_iteration=true. 0 CLEARED/lost/duplicates/wrong correlations/occurrence mismatches/window mismatches. Cursors=12800/12800; pending final=0/0/0; pending request high-water=50; decision pending high-water=0. Decision input→receipt p50/p95/p99/max identical =1851.26 ms. Global iteration p50/p95/p99/max=916.41/1247.71/1439.56/1556.87 ms; 0 overruns. All 50 effects preserve request.effective_until; remaining window=479 s for all. Independent WAL audit: exactly 200 engine-commit-record.v1 / 2,775,850 bytes; perf-group-001..050 each have bootstrap+request+decision and groups 051..100 bootstrap only; all 100 commit chains and final materialized snapshots align; durable==materialized.</x:v>
      </x:c>
      <x:c r="R39" s="36" t="str">
        <x:v>Completed</x:v>
      </x:c>
      <x:c r="S39" s="36" t="str">
        <x:v>D-007 harness 0.1.0 + ada-alarms-runtime 0.14.2 + atlanticus-job-runtime 0.7.1</x:v>
      </x:c>
      <x:c r="T39" s="36" t="str">
        <x:v>Authoritative Phase A run 2acf1950-9045-4781-bab2-16b328882371 and Phase B run b4acb562-5468-4276-b109-220c246065b2 on GLONBW11, stage commit 489b7424f5051f7a276dafe8d5f318ccf1368d87. Phase durations 121.223/121.557 s; both execution.completed status=success. Runtime confirmed 150 + 50 commits and 2,409,150 + 366,700 bytes, exactly matching the single WAL segment total 200 / 2,775,850. WAL cycles are rigid: 100 bootstrap records at 18:13:29Z, 50 request records at 18:13:59Z, 50 decision records at 18:16:01Z. Direct reconstruction verifies exact IDs 000001..000050, target alarm slot 1 in perf-group-001..050, same occurrence through request→decision→effect, same-commit decision receipt/effect, 50 deactivation_decision_applied journey events and remaining=479 s for all. Materialized snapshots equal each group's final snapshot_after; 1000 unique occurrences, 50 ManagementEffects, 50 DeactivationEffects. No recovery or discarded tail. Non-blocking harness metadata nuance: phases.json still labels Phase B role as `sustained-approved-decisions`, inherited from the generic D-006 two-phase runner. The authoritative scenario/result fields identify `decision_arrival_mode=burst`, interval=0, one 50-record decision cycle and first receipt batch=50/50, so this label does not affect execution or adjudication. No product finding is opened.</x:v>
      </x:c>
      <x:c r="U39"/>
    </x:row>
    <x:row r="40">
      <x:c r="A40" s="36" t="str">
        <x:v>D-008</x:v>
      </x:c>
      <x:c r="B40" s="36" t="str">
        <x:v>R3.5D</x:v>
      </x:c>
      <x:c r="C40" s="36" t="n">
        <x:v>57</x:v>
      </x:c>
      <x:c r="D40" s="36" t="str">
        <x:v>Early decisions before requests — inverted delivery</x:v>
      </x:c>
      <x:c r="E40" s="36" t="str">
        <x:v>Validar que DeactivationDecision que llega por su stream antes de que su request sea durable quede retenida como pending y se reprocesse exactamente una vez cuando aparece el prerequisito, sin perderse por avance de cursor ni violar causalidad temporal.</x:v>
      </x:c>
      <x:c r="F40" s="36" t="n">
        <x:v>1000</x:v>
      </x:c>
      <x:c r="G40" s="36" t="str">
        <x:v>Local FS</x:v>
      </x:c>
      <x:c r="H40" s="36" t="str">
        <x:v>Latest Narrow / stable 100% ACTIVE</x:v>
      </x:c>
      <x:c r="I40" s="36" t="str">
        <x:v>36 balanced / 100 priority groups × 10 alarms</x:v>
      </x:c>
      <x:c r="J40" s="36" t="str">
        <x:v>50 decisions delivered first; 50 canonical requests delivered later; same targets perf-group-001..050</x:v>
      </x:c>
      <x:c r="K40" s="36" t="str">
        <x:v>Stable config / C3; domain request timestamp precedes decision timestamp even though delivery order is inverted</x:v>
      </x:c>
      <x:c r="L40" s="36" t="n">
        <x:v>3</x:v>
      </x:c>
      <x:c r="M40" s="36" t="n">
        <x:v>5</x:v>
      </x:c>
      <x:c r="N40" s="36" t="n">
        <x:v>10</x:v>
      </x:c>
      <x:c r="O40" s="36" t="str">
        <x:v>Correctness / pending correlation</x:v>
      </x:c>
      <x:c r="P40" s="36" t="str">
        <x:v>Single execution. Domain timestamps: request source_created_at/requested_at=+30 s, decision decided_at=+45 s. Delivery order is intentionally inverted: expose 50 decisions at +45 s while their requests are not yet durable; delay the 50 ManagementAction+deactivation_intent records until +60 s even though their logical source_created_at remains +30 s. At first decision exposure expect 0 decision receipts/effects, decision cursor=12800 and exactly 50 decision pending locators. At request delivery expect 50 PENDING_APPROVAL requests and management cursor=12800 while the 50 decisions remain pending because the durable request index was captured before that cycle committed. On the next eligible cycle the pending decisions must replay without source re-read and produce exactly 50 APPLIED + 50 DeactivationEffect STARTED. Final decision pending=0, pending requests=0, lost/duplicates/wrong correlations=0, occurrence/window mismatches=0 and durable==materialized. Do NOT require decision receipt-before-cursor: in this scenario cursor-before-receipt is intentional and safe only because the locator is durably retained in pending.</x:v>
      </x:c>
      <x:c r="Q40" s="36" t="str">
        <x:v>PASS/GREEN. Authoritative single-execution inverted-delivery run completed successfully. Harness milestones are exact: early Decision state cursor=12800, pending=50, receipts=0 while Management cursor is unset; after delayed request delivery, Management cursor=12800, 50 durable pending requests and the same 50 Decision locators remain pending with receipts=0; a later cycle replays them to exactly 50 APPLIED + 50 DeactivationEffect STARTED with final pending=0/0/0. Fresh Decision records total exactly 50 while pending read_at count=200, proving no fresh redelivery. 50 PENDING_APPROVAL requests, 50 ManagementEffect STARTED, 0 CLEARED/lost/duplicates/wrong correlations/occurrence mismatches/window mismatches. Decision delivery→receipt p50/p95/p99/max=21310.39 ms; remaining window=585 s for all 50. Global iteration p50/p95/p99/max=913.49/1278.92/1494.77/1613.23 ms; 0 overruns. Independent WAL audit: exactly 200 records / 2,775,850 bytes, 100 bootstrap + 50 request + 50 decision, 0 commit duplicates, 100 chains intact, 100 materialized snapshots equal latest snapshot_after and durable==materialized.</x:v>
      </x:c>
      <x:c r="R40" s="36" t="str">
        <x:v>Completed</x:v>
      </x:c>
      <x:c r="S40" s="36" t="str">
        <x:v>D-008 harness 0.1.0 + ada-alarms-runtime 0.14.2 + atlanticus-job-runtime 0.7.1</x:v>
      </x:c>
      <x:c r="T40" s="36" t="str">
        <x:v>Authoritative run 7b0edb58-fa4f-4fca-9c11-cfda59d5c5c2 on GLONBW11, stage commit 489b7424f5051f7a276dafe8d5f318ccf1368d87. Planned 180 s; actual 181.356 s; 37 iterations; execution.completed status=success, work=3, empty=34, recovery/tail discarded=0. Runtime confirmed 200 commits / 2,775,850 bytes. Sample timing places iteration 10 at +45.014 s with no durable commit, iterations 11/12 at +50/+55 also empty, iteration 13 at +60.018 s committing 50 request records (cycle 18:43:06Z), and iteration 14 at +65.021 s committing 50 decision records (cycle 18:43:11Z). This independently matches cursor-first/pending/replay semantics. Direct WAL reconstruction verifies exact IDs 000001..000050, targets alarm 1 of groups 001..050, requested_at=18:42:36Z, decided/effective_from=18:42:51Z, request effective_until=18:52:36Z, same occurrence and remaining=585 s for every pair. Consumer final cursors=12800/12800 and all pending lists empty. Pending read_at count=200 for 50 inputs (4.0 calls/input on average) is expected polling cost while the prerequisite is delayed, not a product failure.</x:v>
      </x:c>
      <x:c r="U40"/>
    </x:row>
    <x:row r="41">
      <x:c r="A41" s="36" t="str">
        <x:v>D-009</x:v>
      </x:c>
      <x:c r="B41" s="36" t="str">
        <x:v>R3.5D</x:v>
      </x:c>
      <x:c r="C41" s="36" t="n">
        <x:v>58</x:v>
      </x:c>
      <x:c r="D41" s="36" t="str">
        <x:v>Mixed Management + Decisions continuous — concurrent pipeline</x:v>
      </x:c>
      <x:c r="E41" s="36" t="str">
        <x:v>Medir interferencia y throughput cuando ManagementAction deactivation requests y sus DeactivationDecision APPROVED circulan simultáneamente de forma sostenida, ahora que ambos consumers y el pending correlation ya fueron validados por separado.</x:v>
      </x:c>
      <x:c r="F41" s="36" t="n">
        <x:v>1000</x:v>
      </x:c>
      <x:c r="G41" s="36" t="str">
        <x:v>Local FS</x:v>
      </x:c>
      <x:c r="H41" s="36" t="str">
        <x:v>Latest Narrow / stable 100% ACTIVE</x:v>
      </x:c>
      <x:c r="I41" s="36" t="str">
        <x:v>36 balanced / 100 priority groups × 10 alarms</x:v>
      </x:c>
      <x:c r="J41" s="36" t="str">
        <x:v>480 ManagementAction+deactivation_intent @1/s from +30 s; matching 480 APPROVED decisions @1/s from +60 s</x:v>
      </x:c>
      <x:c r="K41" s="36" t="str">
        <x:v>Stable config / C3; 480 unique approval_required targets; 30 s decision delivery lag; original window 900 s</x:v>
      </x:c>
      <x:c r="L41" s="36" t="n">
        <x:v>10</x:v>
      </x:c>
      <x:c r="M41" s="36" t="n">
        <x:v>5</x:v>
      </x:c>
      <x:c r="N41" s="36" t="n">
        <x:v>10</x:v>
      </x:c>
      <x:c r="O41" s="36" t="str">
        <x:v>Mixed control-plane sustained stress</x:v>
      </x:c>
      <x:c r="P41" s="36" t="str">
        <x:v>Single 600 s execution. Emit PERF-M-000001..000480 at 1/s from +30 through +509 s. Each creates a canonical approval_required request with 900 s effective window. Emit matching PERF-D-000001..000480 APPROVED at 1/s from +60 through +539 s, preserving requested_at &lt; decided_at and a 30 s transport lag. The streams overlap for ~450 s; this concurrency is intentional and is the dimension under test. Expect exactly 480 PENDING_APPROVAL + 480 APPLIED, 480 ManagementEffect STARTED + 480 DeactivationEffect STARTED, 0 CLEARED/lost/duplicates/wrong correlations/occurrence/window mismatches, management/decision cursors=122880/122880 and final pending management/decision/request=0/0/0. Characterize request-pending high-water and decision-pending high-water rather than hardcoding them; a transient pending Decision is acceptable if it later resolves exactly once. Measure Management and Decision input→receipt p50/p95/p99/max separately, batch distributions, mixed-input cycle count, global iteration distribution, WAL bytes/records, drain and pending read_at amplification. durable==materialized and exact final snapshots remain hard gates.</x:v>
      </x:c>
      <x:c r="Q41" s="36" t="str">
        <x:v>PASS/GREEN. Authoritative mixed-stream run completed successfully. Exact 480 DEACTIVATION_REQUEST/PENDING_APPROVAL + 480 durable approval_required requests and 480 DEACTIVATION_DECISION/APPLIED; 480 ManagementEffect STARTED + 480 DeactivationEffect STARTED, 0 CLEARED/lost/duplicates/wrong correlations/occurrence mismatches/window mismatches. Management/Decision cursors=122880/122880; final pending management/decision/request=0/0/0. Fresh Management/Decision records=480/480. Management and Decision pending high-water=0/0 and pending read_at=0/0; pending-request high-water=30, matching the 30 s request→decision lag. Request input→receipt p50/p95/p99/max=3137.55/5190.44/5232.46/5870.52 ms; Decision=3144.07/5195.30/5232.46/5870.52 ms. Both receipt streams use 97 nonempty batches: 1×1 + 95×5 + 1×4. 91 cycles contain receipts from both streams. Global iteration p50/p95/p99/max=1049.87/1106.07/1737.63/3707.64 ms, 0 overruns. Each pair preserves occurrence/effective_until with exact 30 s lag and 870 s remaining. Independent WAL audit: 1250 records / 11,894,761 bytes; 0 duplicate commit IDs, 0 chain mismatches, 100/100 final snapshots equal latest snapshot_after and durable==materialized.</x:v>
      </x:c>
      <x:c r="R41" s="36" t="str">
        <x:v>Completed</x:v>
      </x:c>
      <x:c r="S41" s="36" t="str">
        <x:v>D-009 harness 0.1.0 + ada-alarms-runtime 0.14.2 + atlanticus-job-runtime 0.7.1</x:v>
      </x:c>
      <x:c r="T41" s="36" t="str">
        <x:v>Authoritative run 1cfa0555-b0c9-4674-b249-9dbde1f1d141 on GLONBW11, stage commit 489b7424f5051f7a276dafe8d5f318ccf1368d87. Planned 600 s; actual harness duration 605.426 s; Runtime execution.completed duration=605.307 s, status=success, iterations=121, work=105, empty=16, recovery/tail discarded=0. Runtime confirms 1250 commits / 11,894,761 bytes. Independent WAL geometry: 100 bootstrap records, 475 request-only, 475 decision-only, 190 evidence-only, 5 request+evidence and 5 decision+evidence = 1250. The +300 s evidence wave therefore merges with 10 already-required stream commits; +600 s adds 100 evidence records. WAL grouping reproduces 91 mixed receipt cycles directly: 90 M+D plus one M+D+evidence. All 480 expected targets are unique and follow group-first rotation; every request, ManagementEffect, Decision journey event and DeactivationEffect stays in the expected priority group and original occurrence. requested_at spans 19:09:09Z..19:17:08Z; decision/effective_from spans 19:09:39Z..19:17:38Z, exactly +30 s for all. pending-request high-water independently reconstructs to 30 from those intervals. Mixed iterations 13..103: p50/p95/p99/max≈1063.17/1101.77/1188.01/1783.24 ms. The global max 3707.64 ms occurs in iteration 121 at the final +600 s evidence wave, not during the mixed ingress window. Final snapshots contain 1000 open occurrences, 480 ManagementEffects and 480 DeactivationEffects.</x:v>
      </x:c>
      <x:c r="U41"/>
    </x:row>
    <x:row r="42">
      <x:c r="A42" s="36" t="str">
        <x:v>D-010</x:v>
      </x:c>
      <x:c r="B42" s="36" t="str">
        <x:v>R3.5D</x:v>
      </x:c>
      <x:c r="C42" s="36" t="n">
        <x:v>59</x:v>
      </x:c>
      <x:c r="D42" s="36" t="str">
        <x:v>Late decision after configuration removal — STALE_TARGET burst 100</x:v>
      </x:c>
      <x:c r="E42" s="36" t="str">
        <x:v>Validar que APPROVED Decisions recibidas después de remover de configuración las alarmas objetivo terminen exactamente como STALE_TARGET, limpien sus requests pendientes y nunca creen DeactivationEffect.</x:v>
      </x:c>
      <x:c r="F42" s="36" t="n">
        <x:v>1000</x:v>
      </x:c>
      <x:c r="G42" s="36" t="str">
        <x:v>Local FS</x:v>
      </x:c>
      <x:c r="H42" s="36" t="str">
        <x:v>Latest Narrow / stable 100% ACTIVE</x:v>
      </x:c>
      <x:c r="I42" s="36" t="str">
        <x:v>36 balanced / 100 priority groups × 10 alarms</x:v>
      </x:c>
      <x:c r="J42" s="36" t="str">
        <x:v>100 request setups simultaneous; remove the same 100 alarm identities; then 100 late APPROVED decisions simultaneous</x:v>
      </x:c>
      <x:c r="K42" s="36" t="str">
        <x:v>Source config C3 with 1000 alarms; target revision removes one target from each perf-group-001..100; original request window 600 s</x:v>
      </x:c>
      <x:c r="L42" s="36" t="n">
        <x:v>3</x:v>
      </x:c>
      <x:c r="M42" s="36" t="n">
        <x:v>5</x:v>
      </x:c>
      <x:c r="N42" s="36" t="n">
        <x:v>10</x:v>
      </x:c>
      <x:c r="O42" s="36" t="str">
        <x:v>Correctness / configuration adoption / stale decision</x:v>
      </x:c>
      <x:c r="P42" s="36" t="str">
        <x:v>Candidate single execution 180 s. At +30 s emit 100 canonical ManagementAction+deactivation_intent simultaneously, one target per priority group, and require 100 durable PENDING_APPROVAL requests bound to the original occurrences. At +60 s adopt a target AlarmConfigurationRevision that REMOVES exactly those 100 identities from both definition and execution session. Adoption must close exactly those 100 original occurrences with CONFIGURATION_REMOVED and leave the 100 DeactivationRequests available for later adjudication. At +90 s expose 100 APPROVED Decisions referencing those original requests. Expected: exactly 100 DEACTIVATION_DECISION/STALE_TARGET receipts, 0 APPLIED, 0 DeactivationEffect STARTED, pending requests final=0, decision pending final=0, exact decision cursor=25600 and management cursor=25600. No Decision may migrate to a new/current occurrence or another alarm. Final target revision contains 900 configured/runtime alarms. Preserve request timestamps/window so STALE_TARGET—not EXPIRED—is the only valid outcome. Adoption-specific assignment/journey record counts should be read from the existing adoption contract before implementation rather than guessed in the hard gate.</x:v>
      </x:c>
      <x:c r="Q42" s="36" t="str">
        <x:v>HARNESS READY 0.1.0. D-010 remains a single 180 s execution and uses the real revision/adoption path rather than mutating snapshots. At +30 s StaleTargetDeactivationInputSource exposes one canonical ManagementAction+deactivation_intent per perf-group-001..100, creating exactly 100 approval_required PENDING_APPROVAL requests against their original occurrences. A ScheduledRevisionSource makes PERF-AC-2 visible at +60 s; RuntimeRevisionResolver then resolves the registered 900-alarm target revision and the normal plan_configuration_adoption + AlarmConfigurationAdoptionExecutor path REMOVES those 100 identities. The adoption contract must close exactly 100 original occurrences with CONFIGURATION_REMOVED and clear exactly 100 ManagementEffects that are now outside scope. At +90 s the source exposes the matching 100 APPROVED Decisions against the original requests. Hard outcome: 100 STALE_TARGET, 0 APPLIED, 0 DeactivationEffect STARTED/CLEARED. Exact final cursors=25600/25600; pending management/decision/request=0/0/0; removed targets absent from snapshots; target execution session=900 alarms; fresh records=100/100; pending read_at=0/0; request and decision receipt batches each exactly 100. Request window remains open at decision time (600 s original, 540 s remaining), so EXPIRED is not an acceptable substitute. Expected WAL is exactly 400 records: 100 bootstrap + 100 request + 100 adoption + 100 stale-decision. No assignment-count gate is invented for removal adoption. Four focused regressions added; expected full suite is 290 tests. PACKAGE FIX 0.1.1: the 0.1.0 ZIP payload was correct but its internal paths were rooted at `performance/...` and `tests/...`; when unzipped from `atlanticus-stage` it created stray root-level directories and did not overwrite `scopes/ada/processes/alarms-runtime`. Therefore the observed 286-test gate was the unchanged D-009 suite and is not a D-010 functional result. Version 0.1.1 contains byte-identical payload files under the correct stage-relative `scopes/ada/processes/alarms-runtime/...` paths. CLOCK FIX 0.1.2: the first authoritative workload attempt failed in bootstrap before any iteration completed because PerformanceAlarmDurableInputConsumer.execute() prepared iteration.as_of for Sustained/Inverted/Mixed sources but omitted StaleTargetDeactivationInputSource from that dispatch tuple. The source itself already had the correct prepare_iteration contract. Version 0.1.2 adds only that missing dispatch and a bootstrap regression proving iteration.as_of is injected before the base consumer performs read_after(). ROUTING FIX 0.1.3: after the 0.1.2 clock fix, the authoritative run progressed through real request creation and PERF-AC-2 adoption, but `main()` still selected the generic two-phase runner because D-010 has 100 Decisions and the dispatch condition excluded inverted/mixed scenarios but not stale-target. This caused two executions and then failed while building D-006/D-007 phase metrics. Version 0.1.3 makes the runner contract explicit: multi-decision uses two-phase only when it is not stale-target, not inverted and not mixed. D-010 therefore stays single-execution; D-007 remains two-phase. One routing regression is added. ROUTING TEST FIX 0.1.4: the 0.1.3 routing implementation was not reached by its new regression. The regression constructed D-010 and D-007 BaselineScenario fixtures with Management pressure but omitted `data_profile='latest-narrow'`, so BaselineScenario.__post_init__ correctly rejected the fixture before the routing assertions. Both fixtures are now made canonical with data_refresh=10, latest-narrow, physical_partition_count=36 and balanced layout. No production harness code changes. COVERAGE RESTORE 0.1.5: audit of the actual 0.1.2/0.1.3/0.1.4 test payloads showed why the 0.1.4 gate completed at 291 rather than 292. Version 0.1.2 contained the bootstrap regression `test_stale_target_consumer_prepares_iteration_as_of_before_bootstrap_read`; when 0.1.3 added the new single-run/two-phase routing regression it was built from a stale test-file base and accidentally dropped that bootstrap regression. 0.1.4 correctly fixed the routing fixture and all 291 tests passed, thereby validating the production routing fix, but the suite still lacked the bootstrap coverage from 0.1.2. Version 0.1.5 restores that exact regression on top of 0.1.4. Both tests are now present simultaneously; no production code changes. ADJUDICATION FIX 0.1.6: the first successful single-execution D-010 workload completed its product path with 400 commits and 100 STALE_TARGET receipts but result.json reported FAIL because the metrics builder encoded two assumptions that do not match the durable contract. First, it compared OccurrenceChange.closure_reason to uppercase `CONFIGURATION_REMOVED`, while `as_document()` persisted `configuration_removed`. Second, it attempted to map stale journey events by a serialized `discriminator` field that does not exist; the durable correlation is the DEACTIVATION_DECISION receipt and `deactivation_decision_stale_target` journey emitted in the same engine commit/priority group, then checked against the request's original alarm/occurrence. Version 0.1.6 normalizes the closure value and correlates receipt↔journey by commit. The synthetic metrics regression is updated to the actual durable representation. FINAL CLOSURE: harness 0.1.6 gate passed 292/292. Authoritative clean run 24b97fa3-80b4-4f25-bab1-ca074d05590c returned PASS/GREEN with functional_integrity_ok=true. Independent durable audit matched the adjudicator: exact 400-record WAL geometry, 100 configuration removals, 100 STALE_TARGET, zero APPLIED/DeactivationEffect, exact cursors/pending state and durable==materialized. One 5.499 s overrun occurred on the isolated PERF-AC-2 adoption iteration; performance remains GREEN and the observation is carried into R3.5E configuration-adoption tests.</x:v>
      </x:c>
      <x:c r="R42" s="36" t="str">
        <x:v>Completed</x:v>
      </x:c>
      <x:c r="S42" s="36" t="str">
        <x:v>D-009 PASS/GREEN; D-010 harness 0.1.6 gate 292/292</x:v>
      </x:c>
      <x:c r="T42" s="36" t="str">
        <x:v>PASS / GREEN — run 24b97fa3-80b4-4f25-bab1-ca074d05590c. 100 PENDING_APPROVAL; 100 CLOSED/configuration_removed; 100 ManagementEffect STARTED + 100 CLEARED; 100 STALE_TARGET; 0 APPLIED; 0 DeactivationEffect; cursors=25600/25600; pending=0/0/0; 900 final alarms; request/decision input→receipt=1748.08/2165.09 ms; p95 iteration=1670.58 ms; 1 adoption overrun (5499.03 ms) accepted as secondary characterization; WAL=400 / 4,037,700 B; 0 duplicate commits/chains/snapshot mismatches; durable==materialized. R3.5D CLOSED 10/10.</x:v>
      </x:c>
      <x:c r="U42"/>
    </x:row>
    <x:row r="43">
      <x:c r="A43" s="36" t="str">
        <x:v>E-001</x:v>
      </x:c>
      <x:c r="B43" s="36" t="str">
        <x:v>R3.5E</x:v>
      </x:c>
      <x:c r="C43" s="36" t="n">
        <x:v>70</x:v>
      </x:c>
      <x:c r="D43" s="36" t="str">
        <x:v>Parameter-only adoption</x:v>
      </x:c>
      <x:c r="E43" s="36" t="str">
        <x:v>Validar adopción COMPATIBLE de una revisión que cambia sólo parámetros de evaluación, sin fabricar commits durables por el cambio de configuración.</x:v>
      </x:c>
      <x:c r="F43" s="36" t="n">
        <x:v>1000</x:v>
      </x:c>
      <x:c r="G43" s="36" t="str">
        <x:v>Local FS</x:v>
      </x:c>
      <x:c r="H43" s="36" t="str">
        <x:v>Latest Narrow / stable 100% ACTIVE</x:v>
      </x:c>
      <x:c r="I43" s="36" t="str">
        <x:v>36 balanced / 100 priority groups × 10 alarms</x:v>
      </x:c>
      <x:c r="J43" s="36" t="str">
        <x:v>No external Management/Decision input; ScheduledRevisionSource exposes PERF-AC-2 at +60 s</x:v>
      </x:c>
      <x:c r="K43" s="36" t="str">
        <x:v>PERF-AC-1 threshold=0.50 → PERF-AC-2 threshold=0.75; signal=1.00; Tool revision PERF-TR-1 stable</x:v>
      </x:c>
      <x:c r="L43" s="36" t="n">
        <x:v>3</x:v>
      </x:c>
      <x:c r="M43" s="36" t="n">
        <x:v>5</x:v>
      </x:c>
      <x:c r="N43" s="36" t="n">
        <x:v>10</x:v>
      </x:c>
      <x:c r="O43" s="36" t="str">
        <x:v>Correctness / compatible configuration adoption</x:v>
      </x:c>
      <x:c r="P43" s="36" t="str">
        <x:v>At +60 s the target revision must classify exactly 1000 alarms as COMPATIBLE and zero as UNCHANGED/STRUCTURAL_RESET/DISABLED/REMOVED/REJECTED. Adoption must produce no materialization/commit_result of its own, promote the effective cache to PERF-AC-2, and execute the normal operational cycle with PERF-AC-2 in the same iteration. Because status remains ACTIVE and periodic evidence is due only at +300 s, exact WAL for the 180 s run is 100 bootstrap records, all PERF-AC-1; zero durable records may use PERF-AC-2. Final 100 group snapshots remain state_basis PERF-AC-1 while the effective runtime cache is PERF-AC-2; 1000 occurrences remain open. This is intentional and proves revision promotion without artificial state rewriting.</x:v>
      </x:c>
      <x:c r="Q43" s="36" t="str">
        <x:v>HARNESS READY 0.1.0. New scenario contract fields: parameter_adoption_at_seconds and parameter_target_threshold. Target revision is built with the same 1000 identities and structural contract while changing threshold only. Metrics capture adoption plan dispositions, target session threshold count, effective cache revision, exact adoption iteration and CPU/duration, post-adoption CACHE_CURRENT observations, WAL revision geometry, snapshot state_basis and open occurrences. Hard expected: plan_change_count=1000, compatible=1000, every other disposition=0; target_runtime_alarm_count=1000; target_threshold_alarm_count=1000; one SOURCE_CANDIDATE/ADOPTED sample with cycle_executed=true; at least one later CACHE_CURRENT/not_required; effective cache PERF-AC-2; durable records=100 expected/actual, PERF-AC-1 records=100, PERF-AC-2 records=0; source state_basis snapshots=100, target state_basis snapshots=0; open occurrences=1000. D-010 adoption 5499.03 ms is comparison reference only, not a hard FAIL threshold. Four focused regressions added; expected full suite=296. Patch scope exactly baseline/metrics/run, their commented mirrors and tests. No Core/Runtime/dependency/version/lock change. Local AST production↔commented equivalence PASS; Python 3.13 compile sanity PASS for compatible files. Authoritative Ruff/pytest remains GLONBW11 Python 3.14.2 + UV. TEST FIX 0.1.1: the first GLONBW11 gate reached 295 PASS / 1 FAIL. The only failure occurred inside `test_e001_metrics_require_cache_promotion_without_target_revision_commits` while constructing its synthetic RuntimeManifest: the fixture used `schema_version=1` (int), but RuntimeManifest validates schema_version through `_required_text()` and requires a non-empty string. Version 0.1.1 changes only that fixture to `schema_version='1'`. No production/harness execution code changes; test count remains 296. TEST FIX 0.1.2: the 0.1.1 fixture corrected schema_version from int to string but still used the unsupported literal `'1'`. RuntimeManifest requires the exact public contract value `RUNTIME_MANIFEST_SCHEMA_VERSION`, currently `alarm-runtime-manifest.v1`. Version 0.1.2 imports and uses that constant directly instead of another hardcoded literal, so the regression follows the product contract without duplicating schema knowledge. No harness execution/product code changes; test count remains 296. AUTHORITATIVE CLOSURE: harness 0.1.2 gate passed 296/296. Run `29fdaf99-f789-4401-8866-a1cd9cff2bac` returned PASS/GREEN with integrity_ok=true and parameter_adoption functional_integrity_ok=true. Independent WAL/cache/snapshot audit matched the harness: 1000 COMPATIBLE, every other disposition=0; one SOURCE_CANDIDATE/ADOPTED iteration at #13 with cycle_executed=true; 24 subsequent CACHE_CURRENT/not_required iterations; effective cache PERF-AC-2; exact WAL=100 bootstrap records / 2,030,800 bytes, all PERF-AC-1 and all from the same bootstrap cycle; 0 PERF-AC-2 durable records; 100 snapshots remain state_basis PERF-AC-1; 1000 open occurrences; 0 duplicate commit IDs, 0 chain mismatches, 0 materialized snapshot mismatches; durable==materialized. Adoption iteration=1346.11 ms with 0 overruns, ~75.5% below the D-010 removal-adoption reference of 5499.03 ms.</x:v>
      </x:c>
      <x:c r="R43" s="36" t="str">
        <x:v>Completed</x:v>
      </x:c>
      <x:c r="S43" s="36" t="str">
        <x:v>E-001 harness 0.1.2 gate 296/296</x:v>
      </x:c>
      <x:c r="T43" s="36" t="str">
        <x:v>PASS / GREEN — run 29fdaf99-f789-4401-8866-a1cd9cff2bac. 1000 COMPATIBLE; 0 unchanged/structural reset/disabled/removed/rejected; target runtime=1000; target threshold 0.75 applied to 1000 alarms; adoption iteration #13=1346.11 ms, CPU=95.09%, cycle_executed=true; 24 post-adoption cache-current iterations; cache final PERF-AC-2. WAL exact=100 records / 2,030,800 B, all PERF-AC-1 bootstrap, target durable records=0; 100 snapshots state_basis PERF-AC-1, target state_basis=0; 1000 open occurrences; p50/p95/p99/max=918.55/1038.26/1728.05/1942.89 ms; 0 overruns; durable==materialized. E-001 CLOSED PASS/GREEN.</x:v>
      </x:c>
      <x:c r="U43"/>
    </x:row>
    <x:row r="44">
      <x:c r="A44" s="36" t="str">
        <x:v>E-002</x:v>
      </x:c>
      <x:c r="B44" s="36" t="str">
        <x:v>R3.5E</x:v>
      </x:c>
      <x:c r="C44" s="36" t="n">
        <x:v>71</x:v>
      </x:c>
      <x:c r="D44" s="36" t="str">
        <x:v>C2 routing adoption</x:v>
      </x:c>
      <x:c r="E44" s="36" t="str">
        <x:v>Validar reconciliación C2 dentro de una sola ejecución usando el camino real ScheduledRevisionSource → RuntimeRevisionResolver → plan_configuration_adoption → AlarmConfigurationAdoptionExecutor → cache.</x:v>
      </x:c>
      <x:c r="F44" s="36" t="n">
        <x:v>1000</x:v>
      </x:c>
      <x:c r="G44" s="36" t="str">
        <x:v>Local FS</x:v>
      </x:c>
      <x:c r="H44" s="36" t="str">
        <x:v>Latest Narrow / stable 100% ACTIVE</x:v>
      </x:c>
      <x:c r="I44" s="36" t="str">
        <x:v>36 balanced / 100 priority groups × 10 alarms</x:v>
      </x:c>
      <x:c r="J44" s="36" t="str">
        <x:v>No external Management/Decision input; C2 routing progresses normally and PERF-AC-2 becomes visible at +90 s</x:v>
      </x:c>
      <x:c r="K44" s="36" t="str">
        <x:v>PERF-AC-1 C2 delays=(60,120,180) → PERF-AC-2 delays=(60,90,150) at +90 s; destinations perf-route-01..03 and Tool revision PERF-TR-1 preserved</x:v>
      </x:c>
      <x:c r="L44" s="36" t="n">
        <x:v>3.5</x:v>
      </x:c>
      <x:c r="M44" s="36" t="n">
        <x:v>5</x:v>
      </x:c>
      <x:c r="N44" s="36" t="n">
        <x:v>10</x:v>
      </x:c>
      <x:c r="O44" s="36" t="str">
        <x:v>Correctness / C2 configuration adoption / routing reconciliation</x:v>
      </x:c>
      <x:c r="P44" s="36" t="str">
        <x:v>Single 210 s execution. Bootstrap creates origin assignment plus three C2 pending destinations per alarm. At +60 s route-01 becomes ASSIGNED under PERF-AC-1. At +90 s PERF-AC-2 is adopted: route-01 must be retained, route-02 pending due120 becomes immediately ASSIGNED because target due90 is already reached, and route-03 pending due180 becomes RESCHEDULED to due150. Adoption must materialize exactly 100 group commits and therefore cycle_executed=false for that iteration. At +150 s route-03 becomes ASSIGNED normally under PERF-AC-2. Hard final gate: 400 lifecycle/WAL records; source/target revision records=200/200; ASSIGNED=4000, SCHEDULED=3000, RESCHEDULED=1000, REMOVED=0; final assignments=4000, pending=0; 1000 open occurrences with preserved identity; routing waves assigned=(1000,2000,3000,4000), pending=(3000,2000,1000,0); 100 final snapshots state_basis PERF-AC-2; cache final PERF-AC-2; durable==materialized.</x:v>
      </x:c>
      <x:c r="Q44" s="36" t="str">
        <x:v>HARNESS READY 0.1.0. E-002 is intentionally distinct from C-007: C-007 validated C2 reschedule across two separate Job Runtime phases on the same volume, while E-002 performs the revision transition inside one execution through the real revision source/resolver/adoption/cache path. The adoption plan must contain exactly 1000 COMPATIBLE changes and zero UNCHANGED/STRUCTURAL_RESET/DISABLED/REMOVED/REJECTED. The scenario contract requires a mixed adoption point with at least one retained assigned destination, one pending destination promoted to ASSIGNED and one pending destination RESCHEDULED. Metrics capture plan dispositions, adoption iteration duration/CPU/cycle flag, post-adoption CACHE_CURRENT observations, adoption commit/ASSIGNED/RESCHEDULED counts, revision WAL geometry, final state_basis, assignments/pending and occurrence identity. Expected adoption iteration: one SOURCE_CANDIDATE/ADOPTED sample, cycle_executed=false. Expected WAL geometry: 100 bootstrap AC-1 + 100 route-01 AC-1 + 100 adoption AC-2 + 100 route-03 AC-2 = 400. Four focused regressions added; full suite expected=300. Patch scope exactly 7 files: baseline/metrics/run, their three commented mirrors and tests/test_performance_harness.py. No Core/Runtime/version/dependency/lock change. Production↔commented AST equivalence PASS (run validated after normalizing only pre-existing Python-3.14 PEP 758 multi-except syntax). Local py_compile sanity PASS for compatible files; local pytest collection cannot complete because this environment lacks pyarrow, so GLONBW11 Python 3.14.2 + UV remains authoritative. Patch SHA-256 0e4b544b206a7a9134f8b24d241adef56ed3b09d41c5b9d51a99bad380c9b94c. AUTHORITATIVE CLOSURE: harness 0.1.0 gate passed 300/300. Run `b474c653-ee7b-4750-b90e-e5182ec82756` returned PASS/GREEN with integrity_ok=true, routing functional_integrity_ok=true and c2_routing_adoption functional_integrity_ok=true. Independent durable audit matched the harness exactly: four 100-record cycles, one record per priority group per cycle, AC-1/AC-2 durable records=200/200; bootstrap created 3000 SCHEDULED + 1000 origin ASSIGNED; +60 s assigned route-01 for all 1000 alarms; +90 s adoption retained route-01 without a duplicate event, assigned route-02 exactly 1000 times and rescheduled route-03 exactly 1000 times to the new +150 s due time; +150 s assigned route-03 exactly 1000 times. Final assignments=4000, pending=0, 1000 original occurrences remain open, all 100 final snapshots state_basis PERF-AC-2, cache final PERF-AC-2, 0 duplicate commit IDs, 0 previous_commit chain errors and 0 materialized snapshot mismatches. WAL=400 / 8,646,400 B. Adoption iteration #19=1381.63 ms, cycle_executed=false; p95 global=1837.70 ms, max=2272.82 ms, 0 overruns.</x:v>
      </x:c>
      <x:c r="R44" s="36" t="str">
        <x:v>Completed</x:v>
      </x:c>
      <x:c r="S44" s="36" t="str">
        <x:v>E-001 CLOSED PASS/GREEN; E-002 harness 0.1.0 gate 300/300</x:v>
      </x:c>
      <x:c r="T44" s="36" t="str">
        <x:v>PASS / GREEN — run b474c653-ee7b-4750-b90e-e5182ec82756. 1000 COMPATIBLE; 0 unchanged/structural reset/disabled/removed/rejected. Adoption #19=1381.63 ms, 100 commits, 1000 route-02 ASSIGNED + 1000 route-03 RESCHEDULED, cycle_executed=false; 25 post-adoption cache-current iterations. Routing waves assigned=(1000,2000,3000,4000), pending=(3000,2000,1000,0). Final assignments=4000, pending=0; ASSIGNED=4000, SCHEDULED=3000, RESCHEDULED=1000, REMOVED=0; 1000 open original occurrences. WAL=400 / 8,646,400 B with AC-1/AC-2=200/200; 100 final snapshots state_basis PERF-AC-2; 0 duplicate commits/chains/materialized mismatches; p50/p95/p99/max=939.85/1837.70/2130.55/2272.82 ms; 0 overruns. E-002 CLOSED PASS/GREEN.</x:v>
      </x:c>
      <x:c r="U44"/>
    </x:row>
    <x:row r="45">
      <x:c r="A45" s="36" t="str">
        <x:v>E-003</x:v>
      </x:c>
      <x:c r="B45" s="36" t="str">
        <x:v>R3.5E</x:v>
      </x:c>
      <x:c r="C45" s="36" t="n">
        <x:v>72</x:v>
      </x:c>
      <x:c r="D45" s="36" t="str">
        <x:v>Disabled 10%</x:v>
      </x:c>
      <x:c r="E45" s="36" t="str">
        <x:v>Validar cierres provocados por configuration DISABLED preservando las identidades definidas y retirando sólo las alarmas deshabilitadas de la execution session.</x:v>
      </x:c>
      <x:c r="F45" s="36" t="n">
        <x:v>1000</x:v>
      </x:c>
      <x:c r="G45" s="36" t="str">
        <x:v>Local FS</x:v>
      </x:c>
      <x:c r="H45" s="36" t="str">
        <x:v>Latest Narrow / stable 100% ACTIVE</x:v>
      </x:c>
      <x:c r="I45" s="36" t="str">
        <x:v>36 balanced / 100 priority groups × 10 alarms</x:v>
      </x:c>
      <x:c r="J45" s="36" t="str">
        <x:v>No external Management/Decision input; PERF-AC-2 becomes visible at +60 s</x:v>
      </x:c>
      <x:c r="K45" s="36" t="str">
        <x:v>PERF-AC-1: 1000 defined/executable. PERF-AC-2: 1000 defined / 900 executable; exactly one disabled alarm per priority group (alarm_00001, alarm_00011, ..., alarm_00991). Tool revision PERF-TR-1 stable.</x:v>
      </x:c>
      <x:c r="L45" s="36" t="n">
        <x:v>3</x:v>
      </x:c>
      <x:c r="M45" s="36" t="n">
        <x:v>5</x:v>
      </x:c>
      <x:c r="N45" s="36" t="n">
        <x:v>10</x:v>
      </x:c>
      <x:c r="O45" s="36" t="str">
        <x:v>Correctness / configuration DISABLED adoption</x:v>
      </x:c>
      <x:c r="P45" s="36" t="str">
        <x:v>Single 180 s execution. Bootstrap starts all 1000 occurrences. At +60 s PERF-AC-2 remains definition-complete but excludes exactly 100 alarms from execution, one per priority group. Adoption plan must classify exactly 100 DISABLED + 900 UNCHANGED and zero COMPATIBLE/STRUCTURAL_RESET/REMOVED/REJECTED. Adoption must close the 100 original target occurrences with configuration_disabled, preserve occurrence identity, keep every group episode open through its remaining 9 alarms, write exactly 100 group commits and set cycle_executed=false. Hard final state: target defined=1000, runtime=900; 100 final group snapshots all state_basis PERF-AC-2, 9 alarms/group, 900 open occurrences, 100 open episodes, 900 assignments, disabled targets absent. Exact WAL=200 records: 100 bootstrap PERF-AC-1 + 100 adoption PERF-AC-2; no periodic evidence before +300 s.</x:v>
      </x:c>
      <x:c r="Q45" s="36" t="str">
        <x:v>HARNESS READY 0.1.0. E-003 selects the first alarm slot of every priority group so no group becomes empty and episode semantics stay deterministic. Disabled identities remain in target_revision.defined_alarm_identities but are absent from target_revision.session.identities, which forces ConfigurationAdoptionDisposition.DISABLED rather than REMOVED. Metrics independently reconstruct plan dispositions, effective cache, adoption sample, configuration_disabled/configuration_removed closures, original occurrence identity, WAL revision geometry, final snapshot state_basis, alarms/assignments/open occurrences/open episodes and absence of disabled targets. Expected: plan=1000 changes = 900 UNCHANGED + 100 DISABLED; one SOURCE_CANDIDATE/ADOPTED iteration, cycle_executed=false; 100 adoption commits; 100 configuration_disabled closures; 0 configuration_removed; AC-1/AC-2 durable records=100/100; WAL=200; source/target basis snapshots=0/100; final alarms/assignments/occurrences=900/900/900, episodes=100. Four focused regressions added; full suite expected=304. Patch scope exactly 7 files: baseline/metrics/run, three commented mirrors and tests/test_performance_harness.py. No Core/Runtime/version/dependency/lock change. Production↔commented AST equivalence PASS; local py_compile sanity PASS for compatible files and run.py PASS after normalizing only pre-existing Python-3.14 PEP 758 syntax. GLONBW11 Python 3.14.2 + UV remains authoritative. Harness SHA-256 4d87502e628e2c57f7d0db6397acb64a876d84f4bdb347e4dc6dd8c0548178c6. AUTHORITATIVE CLOSURE: harness 0.1.0 gate passed 304/304. Run `50b15483-d99c-40d2-93c6-79c1c1e369a6` returned PASS/GREEN with integrity_ok=true and disabled_adoption functional_integrity_ok=true. Independent durable audit matched exactly: 900 UNCHANGED + 100 DISABLED and zero COMPATIBLE/STRUCTURAL_RESET/REMOVED/REJECTED; one SOURCE_CANDIDATE/ADOPTED iteration at #13, cycle_executed=false, 100 adoption group commits, 100 configuration_disabled closures and 0 configuration_removed. The 100 closed alarm identities are exactly alarm_00001, alarm_00011, ..., alarm_00991 and each closure preserves its original occurrence_id. WAL=200 records / 2,658,600 bytes with exactly two records per each of 100 groups and AC-1/AC-2=100/100; 0 duplicate commit IDs and 0 previous_commit_id chain mismatches. Final materialized state: 100 snapshots, 9 alarms/group, 900 alarms, 900 open occurrences, 900 assignments, pending=0, 100 open episodes, all state_basis PERF-AC-2, disabled targets absent, and 100/100 snapshots deep-equal latest WAL snapshot_after. Journal durable==materialized at byte_offset 2,658,600. Adoption=1093.36 ms; p95=968.33 ms, max=1699.95 ms, 0 overruns.</x:v>
      </x:c>
      <x:c r="R45" s="36" t="str">
        <x:v>Completed</x:v>
      </x:c>
      <x:c r="S45" s="36" t="str">
        <x:v>E-002 CLOSED PASS/GREEN; E-003 harness 0.1.0 gate 304/304</x:v>
      </x:c>
      <x:c r="T45" s="36" t="str">
        <x:v>PASS / GREEN — run 50b15483-d99c-40d2-93c6-79c1c1e369a6. Plan=900 UNCHANGED + 100 DISABLED; 0 compatible/structural reset/removed/rejected. Adoption #13=1093.36 ms, CPU=58.54%, 100 commits, cycle_executed=false; 25 post-adoption CACHE_CURRENT/not_required iterations; cache final PERF-AC-2. 100 configuration_disabled closures, 0 configuration_removed, occurrence identity mismatches=0. Final defined/runtime=1000/900; alarms/assignments/open occurrences=900/900/900; open episodes=100; 100 snapshots state_basis PERF-AC-2; disabled targets present=0. WAL exact=200 / 2,658,600 B, AC-1/AC-2=100/100; 0 duplicate commits/chains/materialized mismatches; durable==materialized. p50/p95/p99/max=824.21/968.33/1475.51/1699.95 ms; 0 overruns. E-003 CLOSED PASS/GREEN.</x:v>
      </x:c>
      <x:c r="U45"/>
    </x:row>
    <x:row r="46">
      <x:c r="A46" s="36" t="str">
        <x:v>E-004</x:v>
      </x:c>
      <x:c r="B46" s="36" t="str">
        <x:v>R3.5E</x:v>
      </x:c>
      <x:c r="C46" s="36" t="n">
        <x:v>73</x:v>
      </x:c>
      <x:c r="D46" s="36" t="str">
        <x:v>Removed 10%</x:v>
      </x:c>
      <x:c r="E46" s="36" t="str">
        <x:v>Validar removal real de 10% de las identidades y preservación durable de DeactivationEffect activo cuando el occurrence y ManagementEffect desaparecen por configuración.</x:v>
      </x:c>
      <x:c r="F46" s="36" t="n">
        <x:v>1000</x:v>
      </x:c>
      <x:c r="G46" s="36" t="str">
        <x:v>Local FS</x:v>
      </x:c>
      <x:c r="H46" s="36" t="str">
        <x:v>Latest Narrow / stable 100% ACTIVE</x:v>
      </x:c>
      <x:c r="I46" s="36" t="str">
        <x:v>36 balanced / 100 priority groups × 10 alarms</x:v>
      </x:c>
      <x:c r="J46" s="36" t="str">
        <x:v>100 DEACTIVATION_REQUEST at +20 s + 100 approved DEACTIVATION_DECISION at +30 s, one target per priority group</x:v>
      </x:c>
      <x:c r="K46" s="36" t="str">
        <x:v>PERF-AC-1: 1000 defined/executable. Deactivation window=300 s. At +60 s PERF-AC-2 removes completely alarm_00001, alarm_00011, ..., alarm_00991 from both definitions and execution; Tool revision PERF-TR-1 stable.</x:v>
      </x:c>
      <x:c r="L46" s="36" t="n">
        <x:v>3</x:v>
      </x:c>
      <x:c r="M46" s="36" t="n">
        <x:v>5</x:v>
      </x:c>
      <x:c r="N46" s="36" t="n">
        <x:v>10</x:v>
      </x:c>
      <x:c r="O46" s="36" t="str">
        <x:v>Correctness / REMOVED adoption / orphan deactivation preservation</x:v>
      </x:c>
      <x:c r="P46" s="36" t="str">
        <x:v>Single 180 s execution. Bootstrap starts 1000 occurrences. At +20 s 100 requests must become PENDING_APPROVAL with durable ManagementEffect STARTED. At +30 s 100 decisions must become APPLIED and start 100 DeactivationEffect records with effective_until beyond the run. At +60 s PERF-AC-2 removes exactly those 100 identities from defined_alarm_identities and execution. Adoption plan must be 900 UNCHANGED + 100 REMOVED, with zero COMPATIBLE/STRUCTURAL_RESET/DISABLED/REJECTED. Adoption must close exactly the 100 original occurrences with configuration_removed, clear exactly 100 ManagementEffect, preserve all 100 active DeactivationEffect (0 CLEARED), write exactly 100 group commits and set cycle_executed=false. Final target defined/runtime=900/900; 900 open occurrences + 900 assignments + 100 open episodes. Materialized snapshots intentionally retain 100 removed-target alarm-state entries containing only the active DeactivationEffect, so final alarm-state entries=1000 although only 900 identities remain defined/executable. Exact WAL=400 records: 100 bootstrap + 100 request + 100 decision in PERF-AC-1, then 100 removal adoption in PERF-AC-2; expected revision geometry AC-1/AC-2=300/100.</x:v>
      </x:c>
      <x:c r="Q46" s="36" t="str">
        <x:v>HARNESS READY 0.1.0. E-004 uses the same deterministic first-slot-per-group target set as E-003, but removal is semantically different: target identities are absent from PERF-AC-2 definitions, forcing REMOVED rather than DISABLED. The pre-removal approval path is intentional and exercises the Core guarantee that active DeactivationEffect survives configuration removal after occurrence closure, while ManagementEffect is cleared. Hard expectations: plan=1000 changes = 900 UNCHANGED + 100 REMOVED; request receipts=100 PENDING_APPROVAL; request documents=100; ManagementEffect STARTED=100; decision receipts=100 APPLIED; DeactivationEffect STARTED=100; adoption commits=100; configuration_removed closures=100; configuration_disabled=0; ManagementEffect CLEARED=100; DeactivationEffect CLEARED=0; occurrence/control-plane correlation mismatches=0. Final cache PERF-AC-2; source/target durable records=300/100; WAL=400; source/target snapshot basis=0/100; final alarm-state entries=1000; assignments/open occurrences/open episodes=900/900/100; orphan DeactivationEffect states=100; orphan occurrence=0; orphan ManagementEffect=0; management/decision cursors=25600/25600; pending management/decision/request=0/0/0. Four focused regressions added; full suite expected=308. Patch scope exactly 7 files: baseline/metrics/run, their commented mirrors and tests/test_performance_harness.py. No Core/Runtime/version/dependency/lock change. Production↔commented AST equivalence PASS. Local syntax checks PASS; local Python 3.14.2 pytest could not run because this environment cannot download the missing runtime, so GLONBW11 remains authoritative. Harness SHA-256 3ee729e98026fa74f9a81e6c8509a391bca19093c0c25efccdaa4a53948b15a2. TEST FIX 0.1.1: first GLONBW11 gate reached 306 PASS / 2 FAIL. Both failures are harness-contract/test issues, not product failures. (1) validation order checked management request count before rejecting removed_alarm_percent=0; 0.1.1 validates removed_alarm_percent as an int/range early and explicitly rejects percent&lt;=0 before count correlation. (2) the reduced 10-alarm metrics regression has exactly one removed target, but the shared StaleTargetDeactivationInputSource and E-004 validation artificially required multiple inputs. E-004's true invariant is one request + one decision per removed target, so 0.1.1 removes the multi-only requirement for REMOVED adoption and lets the shared source accept input_count&gt;=1; D-010 stale-target still retains its own BaselineScenario requirement for multiple inputs. A latent test-message mismatch is also corrected from `management action` to the implemented `management request`. No metrics/run/product code changes; suite count remains 308. TEST FIX 0.1.2: second GLONBW11 gate reached 307 PASS / 1 FAIL. The remaining FAIL is again validation-order only: case removed_adoption_at_seconds=0 with removed_alarm_percent=10 should raise the E-004-specific `removed_alarm_percent requires removed_adoption_at_seconds &gt; 0`, but generic deactivation classification runs first and emits `mixed deactivation pressure requires positive request interval`. Version 0.1.2 moves that existing REMOVED guard to the early basic removed_alarm_percent validation block, before generic management/deactivation pressure branching. No semantic rule is relaxed and no execution path for valid E-004 scenarios changes. Patch contains only baseline.py + commented mirror; tests/metrics/run/product remain unchanged. Suite remains 308. AUTHORITATIVE CLOSURE: harness 0.1.2 gate passed 308/308. Run `8ab0d2a9-b933-46df-bc4a-e84456299877` returned PASS/GREEN with integrity_ok=true and removed_adoption functional_integrity_ok=true. Independent durable audit matched the harness exactly: 900 UNCHANGED + 100 REMOVED and zero COMPATIBLE/STRUCTURAL_RESET/DISABLED/REJECTED; 100 PENDING_APPROVAL request receipts and 100 durable requests at +20 s; 100 APPLIED decisions and 100 DeactivationEffect STARTED at +30 s; one SOURCE_CANDIDATE/ADOPTED iteration at #13 (+60 s), cycle_executed=false, 100 removal commits, 100 configuration_removed closures, 100 ManagementEffect CLEARED, 0 configuration_disabled and 0 DeactivationEffect CLEARED. The removed/closed/orphan target set is exactly alarm_00001, alarm_00011, ..., alarm_00991 and all 100 closures preserve original occurrence_id. Final materialized state deliberately contains 1000 alarm-state entries: 900 operational + 100 exact removed targets containing only active DeactivationEffect; orphan occurrence=0 and orphan ManagementEffect=0. WAL=400 records / 4,177,400 bytes in four 100-record cycles, AC-1/AC-2=300/100, exactly 4 records/group, 0 duplicate commit IDs and 0 previous_commit chain mismatches. All 100 snapshots state_basis PERF-AC-2 and deep-equal latest WAL snapshot_after; durable==materialized at byte_offset 4,177,400. Management/decision cursors=25600/25600 with pending=0/0 and pending requests=0. Adoption=1102.53 ms; p95=1721.00 ms, max=1781.93 ms, 0 overruns.</x:v>
      </x:c>
      <x:c r="R46" s="36" t="str">
        <x:v>Completed</x:v>
      </x:c>
      <x:c r="S46" s="36" t="str">
        <x:v>E-003 CLOSED PASS/GREEN; E-004 harness 0.1.2 gate 308/308</x:v>
      </x:c>
      <x:c r="T46" s="36" t="str">
        <x:v>PASS / GREEN — run 8ab0d2a9-b933-46df-bc4a-e84456299877. 900 UNCHANGED + 100 REMOVED; 0 disabled/compatible/reset/rejected. 100 requests PENDING_APPROVAL, 100 decisions APPLIED, 100 DeactivationEffect STARTED. Adoption #13=1102.53 ms, CPU=60.77%, 100 commits, cycle_executed=false; 25 post-adoption cache-current iterations. 100 configuration_removed, 100 ManagementEffect CLEARED, 0 DeactivationEffect CLEARED, 0 identity/correlation mismatches. Final defined/runtime=900/900; 1000 alarm-state entries = 900 operational + 100 deactivation-only orphans; assignments/open occurrences/open episodes=900/900/100. WAL=400 / 4,177,400 B, AC1/AC2=300/100; 4 records/group, 0 duplicate commits/chains/materialized mismatches; cache/snapshots PERF-AC-2; durable==materialized. p50/p95/p99/max=834.76/1721.00/1767.12/1781.93 ms; 0 overruns. E-004 CLOSED PASS/GREEN.</x:v>
      </x:c>
      <x:c r="U46"/>
    </x:row>
    <x:row r="47">
      <x:c r="A47" s="36" t="str">
        <x:v>E-005</x:v>
      </x:c>
      <x:c r="B47" s="36" t="str">
        <x:v>R3.5E</x:v>
      </x:c>
      <x:c r="C47" s="36" t="n">
        <x:v>74</x:v>
      </x:c>
      <x:c r="D47" s="36" t="str">
        <x:v>Structural reset 5%</x:v>
      </x:c>
      <x:c r="E47" s="36" t="str">
        <x:v>Validar reset estructural group-scoped y reinicio del epoch en la iteración inmediatamente siguiente.</x:v>
      </x:c>
      <x:c r="F47" s="36" t="n">
        <x:v>1000</x:v>
      </x:c>
      <x:c r="G47" s="36" t="str">
        <x:v>Local FS</x:v>
      </x:c>
      <x:c r="H47" s="36" t="str">
        <x:v>Latest Narrow / stable 100% ACTIVE</x:v>
      </x:c>
      <x:c r="I47" s="36" t="str">
        <x:v>36 balanced / 100 priority groups × 10 alarms; first 5 complete groups affected</x:v>
      </x:c>
      <x:c r="J47" s="36" t="str">
        <x:v>No external Management/Decision input; PERF-AC-2 becomes visible at +60 s</x:v>
      </x:c>
      <x:c r="K47" s="36" t="str">
        <x:v>PERF-AC-1: all 1000 alarms C3. PERF-AC-2: alarms 00001..00050 (groups 001..005 complete) change C3→C2 with the same identity/group/evaluator and origin-only routing; remaining 950 alarms unchanged.</x:v>
      </x:c>
      <x:c r="L47" s="36" t="n">
        <x:v>3</x:v>
      </x:c>
      <x:c r="M47" s="36" t="n">
        <x:v>5</x:v>
      </x:c>
      <x:c r="N47" s="36" t="n">
        <x:v>10</x:v>
      </x:c>
      <x:c r="O47" s="36" t="str">
        <x:v>Correctness / STRUCTURAL_RESET adoption / immediate next-iteration restart</x:v>
      </x:c>
      <x:c r="P47" s="36" t="str">
        <x:v>Single 180 s execution. Because structural reset is group-scoped, the 5% target is represented as five complete priority groups (50 alarms), not one alarm scattered across 50 groups. Adoption at +60 s must classify exactly 950 UNCHANGED + 50 STRUCTURAL_RESET and zero COMPATIBLE/DISABLED/REMOVED/REJECTED. It must reset exactly groups perf-group-001..005, close 50 original occurrences with configuration_reconfigured and 5 episodes with configuration_terminated, write exactly 5 target-revision commits and set cycle_executed=false. The immediately following runtime iteration (adoption iteration + 1, approximately +65 s) must be CACHE_CURRENT/not_required with cycle_executed=true and must write exactly 5 commits that start 50 new occurrences and 5 new episodes under PERF-AC-2, with no occurrence ID reuse. Hard WAL gate: 110 records = 100 bootstrap AC-1 + 5 reset AC-2 + 5 immediate restart AC-2; AC-1/AC-2=100/10. Final state: 1000 alarms/assignments/open occurrences, 100 open episodes. Only the five mutated groups require target-basis snapshots, so final state_basis geometry must be 95 PERF-AC-1 + 5 PERF-AC-2; cache effective revision PERF-AC-2.</x:v>
      </x:c>
      <x:c r="Q47" s="36" t="str">
        <x:v>HARNESS READY 0.1.0. New scenario fields: structural_reset_adoption_at_seconds and structural_reset_alarm_percent. Validation requires latest-narrow, balanced partitions, complete priority groups, source C3 without routing pressure, 100% initial ACTIVE, adoption aligned to refresh and enough duration for the next iteration. Target builder changes criticality only for the first 50 alarm indices, producing five complete reset groups. Metrics independently reconstruct planner dispositions, structural_reset_groups, adoption sample, immediate next sample, reset/restart commit counts, configuration_reconfigured occurrence closures, configuration_terminated episode closures, new occurrence/episode starts, occurrence ID reuse, WAL revision geometry and mixed snapshot state_basis. Expected: 50 STRUCTURAL_RESET, 950 UNCHANGED; reset groups=5; adoption commits=5; restart commits=5; closures/restarts=50/50 occurrences and 5/5 episodes; WAL=110; source/target records=100/10; source/target snapshot basis=95/5; final alarms/assignments/occurrences/episodes=1000/1000/1000/100. Four regressions added; test functions increase from 108 to 112 and full suite expected=312. Patch scope exactly 7 files: baseline/metrics/run, their commented mirrors and tests/test_performance_harness.py. No Core/Runtime/version/dependency/lock change. Production↔commented token equivalence PASS for all three modules; py_compile PASS for compatible files and run.py normalized-Python-3.13 compile PASS after changing only pre-existing PEP 758 syntax. Local targeted pytest cannot collect because this environment lacks pyarrow; GLONBW11 Python 3.14.2 + UV remains authoritative. Harness SHA-256 e4f262767505d2790e4d63205453ad1349d1a7a445c48ce3d71fd3781bd4024d. AUTHORITATIVE CLOSURE: harness 0.1.0 gate passed 312/312. Run `501e21ca-8230-4335-9267-4ff98f711a76` returned PASS/GREEN with integrity_ok=true and structural_reset_adoption functional_integrity_ok=true. Independent WAL/state audit matched exactly: 950 UNCHANGED + 50 STRUCTURAL_RESET, reset groups exactly perf-group-001..005, and zero COMPATIBLE/DISABLED/REMOVED/REJECTED. Adoption iteration #13 wrote exactly 5 PERF-AC-2 group commits, cycle_executed=false, closed 50 original occurrences with configuration_reconfigured and 5 original episodes with configuration_terminated. Iteration #14 was immediately next, CACHE_CURRENT/not_required, cycle_executed=true and started only ~396.11 ms after the adoption iteration began/finished boundary rather than waiting a full 5 s cadence; it wrote exactly 5 restart commits, created 50 fresh occurrences and 5 fresh episodes under PERF-AC-2, with zero occurrence/episode ID reuse. The closed/restarted alarm set is exactly alarm_00001..alarm_00050. WAL=110 records / 2,167,095 bytes in three cycles: 100 bootstrap AC-1, 5 reset AC-2 and 5 restart AC-2; AC-1/AC-2=100/10. Group geometry is exact: 95 groups have 1 record, 5 groups have 3 records; 0 duplicate commit IDs and 0 previous_commit chain mismatches. Final state has 100 snapshots ×10 alarms, 1000 open occurrences, 100 open episodes and 1000 assignments; state_basis is 95 PERF-AC-1 + 5 PERF-AC-2. All 100 materialized snapshots deep-equal their group's latest WAL snapshot_after; journal durable==materialized at byte_offset 2,167,095. Adoption=394.88 ms; immediate restart iteration duration=975.82 ms; p95=970.68 ms, max=1687.02 ms, 0 overruns.</x:v>
      </x:c>
      <x:c r="R47" s="36" t="str">
        <x:v>Completed</x:v>
      </x:c>
      <x:c r="S47" s="36" t="str">
        <x:v>E-004 CLOSED PASS/GREEN; E-005 harness 0.1.0 gate 312/312</x:v>
      </x:c>
      <x:c r="T47" s="36" t="str">
        <x:v>PASS / GREEN — run 501e21ca-8230-4335-9267-4ff98f711a76. 950 UNCHANGED + 50 STRUCTURAL_RESET across exactly 5 groups; 0 other dispositions. Adoption #13=394.88 ms, CPU=75.97%, 5 commits, cycle_executed=false. 50 configuration_reconfigured occurrence closures + 5 configuration_terminated episode closures. Immediate iteration #14 CACHE_CURRENT/not_required, cycle_executed=true, start_interval≈396.11 ms, 5 restart commits, 50 fresh occurrences +5 fresh episodes, 0 ID reuse. WAL=110 / 2,167,095 B, AC1/AC2=100/10; group record geometry 95×1 +5×3; 0 duplicate commits/chains/materialized mismatches. Final alarms/assignments/open occurrences/open episodes=1000/1000/1000/100; snapshot basis AC1/AC2=95/5; cache PERF-AC-2; durable==materialized. p50/p95/p99/max=918.45/970.68/1423.87/1687.02 ms; 0 overruns. E-005 CLOSED PASS/GREEN.</x:v>
      </x:c>
      <x:c r="U47"/>
    </x:row>
    <x:row r="48">
      <x:c r="A48" s="36" t="str">
        <x:v>E-006</x:v>
      </x:c>
      <x:c r="B48" s="36" t="str">
        <x:v>R3.5E</x:v>
      </x:c>
      <x:c r="C48" s="36" t="n">
        <x:v>75</x:v>
      </x:c>
      <x:c r="D48" s="36" t="str">
        <x:v>Large mixed revision</x:v>
      </x:c>
      <x:c r="E48" s="36" t="str">
        <x:v>Combinar COMPATIBLE, DISABLED, REMOVED y STRUCTURAL_RESET en una sola revisión grande, forzando materialización de adoption en los 100 priority groups para caracterizar el peak real.</x:v>
      </x:c>
      <x:c r="F48" s="36" t="n">
        <x:v>1000</x:v>
      </x:c>
      <x:c r="G48" s="36" t="str">
        <x:v>Local FS</x:v>
      </x:c>
      <x:c r="H48" s="36" t="str">
        <x:v>Latest Narrow / stable 100% ACTIVE</x:v>
      </x:c>
      <x:c r="I48" s="36" t="str">
        <x:v>36 balanced / 100 priority groups × 10 alarms; every group touched by a materializing disposition</x:v>
      </x:c>
      <x:c r="J48" s="36" t="str">
        <x:v>No external Management/Decision input; PERF-AC-2 becomes visible at +60 s</x:v>
      </x:c>
      <x:c r="K48" s="36" t="str">
        <x:v>PERF-AC-1: 1000 C3, threshold=0.50. PERF-AC-2: threshold=0.75 globally; groups 001..005 complete C3→C2 (50 STRUCTURAL_RESET); first slot of groups 006..055 disabled (50 DISABLED); second slot of groups 051..100 removed from definition (50 REMOVED); remaining 850 executable alarms are parameter-only COMPATIBLE. Groups 051..055 contain both one disabled and one removed target.</x:v>
      </x:c>
      <x:c r="L48" s="36" t="n">
        <x:v>3</x:v>
      </x:c>
      <x:c r="M48" s="36" t="n">
        <x:v>5</x:v>
      </x:c>
      <x:c r="N48" s="36" t="n">
        <x:v>10</x:v>
      </x:c>
      <x:c r="O48" s="36" t="str">
        <x:v>Stress / mixed configuration adoption / durability peak</x:v>
      </x:c>
      <x:c r="P48" s="36" t="str">
        <x:v>Single 180 s execution. Adoption at +60 s must classify exactly 850 COMPATIBLE + 50 DISABLED + 50 REMOVED + 50 STRUCTURAL_RESET, with 0 UNCHANGED/REJECTED. Structural reset covers exactly groups 001..005. Disabled groups 006..055 and removed groups 051..100 overlap in exactly five groups, so reset ∪ disabled ∪ removed touches all 100 priority groups. Adoption must therefore materialize exactly 100 target-revision commits in one iteration and set cycle_executed=false. Durable effects: 50 configuration_reconfigured closures +5 configuration_terminated episodes, 50 configuration_disabled closures, 50 configuration_removed closures. Immediate next iteration must be CACHE_CURRENT/not_required, cycle_executed=true and write exactly 5 commits restarting only the reset groups with 50 fresh occurrences +5 fresh episodes and zero ID reuse. Hard WAL gate: 205 records =100 bootstrap AC-1 +100 mixed-adoption AC-2 +5 restart AC-2; AC-1/AC-2=100/105; group geometry 95 groups×2 records +5 groups×3. Target defined/runtime=950/900. Final state: 900 alarm states, 900 assignments, 900 open occurrences, 100 open episodes; all 100 snapshots state_basis PERF-AC-2; cache PERF-AC-2; durable==materialized.</x:v>
      </x:c>
      <x:c r="Q48" s="36" t="str">
        <x:v>HARNESS READY 0.1.0. New mixed-revision scenario contract is independent from the single-pressure E-001/E-003/E-004/E-005 knobs: mixed_revision_adoption_at_seconds, mixed_revision_target_threshold, mixed_revision_disabled_alarm_percent, mixed_revision_removed_alarm_percent and mixed_revision_structural_reset_alarm_percent. Deterministic index geometry: reset first complete groups; disabled uses slot 1 of the next N non-reset groups; removed uses slot 2 of the last N groups. Validation requires exact percentages, complete reset groups, at least one compatible alarm, all non-reset groups covered by disabled/removed union, overlapping closure groups to retain at least one executable alarm, steady C3 source, no other pressure and duration through the immediate next iteration. Metrics independently reconstruct all four dispositions, exact target defined/runtime counts, touched-group and disabled/removed overlap geometry, adoption/next-cycle commits, three closure reasons, episode termination, restart IDs, revision WAL geometry, 95×2+5×3 group record distribution, snapshot state_basis and final operational counts. Four regressions added; test functions increase from 112 to 116 and full suite expected=316. Patch scope exactly 7 files: baseline/metrics/run, their commented mirrors and tests/test_performance_harness.py. No Core/Runtime/version/dependency/lock change. Production↔commented AST equivalence PASS for all three modules; py_compile/AST sanity PASS for compatible files and run.py after normalizing only pre-existing Python-3.14 PEP 758 syntax. Local full pytest is not authoritative in this environment; GLONBW11 Python 3.14.2 + UV remains authoritative. Harness SHA-256 fff42f9ac11dbcc90a95246c11514356d9cc224896b839629f2470ebcf905427. AUTHORITATIVE CLOSURE: harness 0.1.0 gate passed 316/316. Run `165f1396-21fe-4770-ac0a-6b7093a917f1` returned PASS/GREEN with integrity_ok=true and mixed_revision_adoption functional_integrity_ok=true. Independent durable audit matched exactly: 850 COMPATIBLE + 50 DISABLED + 50 REMOVED + 50 STRUCTURAL_RESET, 0 UNCHANGED/REJECTED; structural reset groups 001..005, disabled groups 006..055, removed groups 051..100 and exactly five disabled/removed overlap groups 051..055. Adoption iteration #13 wrote exactly 100 PERF-AC-2 commits across all 100 groups, cycle_executed=false, closing 50 occurrences configuration_reconfigured, 50 configuration_disabled and 50 configuration_removed plus 5 episodes configuration_terminated. All 150 closures preserve their original occurrence_id. Iteration #14 was immediately next, CACHE_CURRENT/not_required, cycle_executed=true, start_interval≈1099.63 ms and wrote exactly 5 restart commits for groups 001..005, creating 50 fresh occurrences +5 fresh episodes with zero occurrence/episode ID reuse. WAL=205 records / 2,750,435 bytes in three cycles: 100 bootstrap AC-1, 100 mixed adoption AC-2 and 5 restart AC-2; AC-1/AC-2=100/105. Exact per-group geometry: 95 groups×2 records +5 groups×3; 0 duplicate commit IDs and 0 previous_commit chain mismatches. Final snapshots reflect the expected mixed cardinality: groups 001..005 have 10 alarms, groups 051..055 have 8, the other 90 affected non-reset groups have 9; total=900. Final state has 900 assignments, 900 open occurrences and 100 open episodes. All 100 snapshots state_basis PERF-AC-2 and deep-equal their latest WAL snapshot_after; journal durable==materialized at byte_offset 2,750,435. Adoption=1098.43 ms; immediate restart=931.77 ms; p95=977.48 ms, max=1775.12 ms, 0 overruns. Mixed-adoption peak is essentially aligned with E-003/E-004 (~1.1 s) and far below D-010 5499 ms reference.</x:v>
      </x:c>
      <x:c r="R48" s="36" t="str">
        <x:v>Completed</x:v>
      </x:c>
      <x:c r="S48" s="36" t="str">
        <x:v>E-005 CLOSED PASS/GREEN; E-006 harness 0.1.0 gate 316/316</x:v>
      </x:c>
      <x:c r="T48" s="36" t="str">
        <x:v>PASS / GREEN — run 165f1396-21fe-4770-ac0a-6b7093a917f1. 850 COMPATIBLE +50 DISABLED +50 REMOVED +50 STRUCTURAL_RESET; 0 unchanged/rejected. Adoption #13=1098.43 ms, CPU=60.09%, 100 commits, cycle_executed=false; closures reconfigured/disabled/removed=50/50/50 plus 5 configuration_terminated episodes. Immediate iteration #14 CACHE_CURRENT/not_required, cycle_executed=true, start_interval≈1099.63 ms, 5 restart commits, 50 fresh occurrences +5 fresh episodes, 0 ID reuse. WAL=205 / 2,750,435 B, AC1/AC2=100/105; group geometry 95×2 +5×3; 0 duplicate commits/chains/materialized mismatches. Final defined/runtime=950/900; alarms/assignments/open occurrences/open episodes=900/900/900/100; 100 snapshots state_basis PERF-AC-2; durable==materialized. p50/p95/p99/max=818.95/977.48/1524.75/1775.12 ms; 0 overruns. E-006 CLOSED PASS/GREEN.</x:v>
      </x:c>
      <x:c r="U48"/>
    </x:row>
    <x:row r="49">
      <x:c r="A49" s="36" t="str">
        <x:v>E-007</x:v>
      </x:c>
      <x:c r="B49" s="36" t="str">
        <x:v>R3.5E</x:v>
      </x:c>
      <x:c r="C49" s="36" t="n">
        <x:v>76</x:v>
      </x:c>
      <x:c r="D49" s="36" t="str">
        <x:v>Rejected target</x:v>
      </x:c>
      <x:c r="E49" s="36" t="str">
        <x:v>Validar fail-closed de Configuration Adoption: candidato rechazado repetidamente, cache last-known-good preservado y continuidad operacional degradada sobre PERF-AC-1.</x:v>
      </x:c>
      <x:c r="F49" s="36" t="n">
        <x:v>1000</x:v>
      </x:c>
      <x:c r="G49" s="36" t="str">
        <x:v>Local FS</x:v>
      </x:c>
      <x:c r="H49" s="36" t="str">
        <x:v>Latest Narrow / stable 100% ACTIVE</x:v>
      </x:c>
      <x:c r="I49" s="36" t="str">
        <x:v>36 balanced / 100 priority groups × 10 alarms</x:v>
      </x:c>
      <x:c r="J49" s="36" t="str">
        <x:v>No external Management/Decision input; PERF-AC-2 rejected candidate becomes visible at +60 s</x:v>
      </x:c>
      <x:c r="K49" s="36" t="str">
        <x:v>PERF-AC-1: 1000 C3 alarms, threshold=0.50, normal groups. PERF-AC-2 keeps the same 1000 identities and execution semantics except alarm_00001 moves from perf-group-001 to perf-rejected-group. This produces exactly one REJECTED change with reason priority_group_changed and 999 UNCHANGED.</x:v>
      </x:c>
      <x:c r="L49" s="36" t="n">
        <x:v>3</x:v>
      </x:c>
      <x:c r="M49" s="36" t="n">
        <x:v>5</x:v>
      </x:c>
      <x:c r="N49" s="36" t="n">
        <x:v>10</x:v>
      </x:c>
      <x:c r="O49" s="36" t="str">
        <x:v>Failure / rejected configuration candidate / last-known-good continuity</x:v>
      </x:c>
      <x:c r="P49" s="36" t="str">
        <x:v>Single 180 s execution. Bootstrap must create the normal PERF-AC-1 durable state. At +60 s PERF-AC-2 becomes visible but its plan must be non-adoptable: 999 UNCHANGED +1 REJECTED, with 0 COMPATIBLE/DISABLED/REMOVED/STRUCTURAL_RESET and rejection_reason=priority_group_changed for perf/alarm_00001. Because rejected candidates are never promoted, every iteration from the first candidate iteration onward must remain SOURCE_CANDIDATE + REJECTED, cycle_executed=true and degraded=true while executing the old PERF-AC-1 session. Effective cache must remain PERF-AC-1; PERF-AC-2 durable records=0; perf-rejected-group must never materialize. Hard WAL gate: exactly 100 records, all bootstrap PERF-AC-1, one per priority group. Final snapshots must be 100/100 state_basis PERF-AC-1 and 0 PERF-AC-2, with 1000 alarm states, 1000 assignments, 1000 open occurrences and 100 open episodes. No closures/resets/restarts are expected. At 60 s / 5 s cadence the first rejection is expected at iteration 13, and all later samples must remain rejected/degraded until the run ends.</x:v>
      </x:c>
      <x:c r="Q49" s="36" t="str">
        <x:v>HARNESS READY 0.1.0. New scenario field/CLI: rejected_candidate_at_seconds / --rejected-candidate-at-seconds. Target builder changes only priority_group for alarm_00001 to perf-rejected-group. Metrics reconstruct the adoption plan and rejection reason, count repeated rejected samples, require degraded=true and cycle_executed=true on every rejected iteration, verify first rejection iteration 13, effective cache PERF-AC-1, target WAL=0, source WAL=100, snapshot basis AC1/AC2=100/0, zero materialization of perf-rejected-group and unchanged final operational cardinality. IterationSample now records the product result's degraded flag explicitly. Four E-007 regressions added; test functions increase from 116 to 120 and full suite expected=320. Patch scope exactly 7 files: baseline/metrics/run, their commented mirrors and tests/test_performance_harness.py. No Core/Runtime/version/dependency/lock change. Production↔commented AST equivalence PASS for baseline/metrics/run; py_compile PASS for baseline/metrics/tests; run.py/mirror parse PASS after normalizing only pre-existing Python-3.14 PEP 758 syntax. Local pytest is not authoritative because the container interpreter has no installed ADA workspace packages; GLONBW11 Python 3.14.2 + UV remains authoritative. Harness SHA-256 bb80c9fd588c04edaab395e8dbca7f10059125f0eb686ad414abd1255b544046.</x:v>
      </x:c>
      <x:c r="R49" s="36" t="str">
        <x:v>Completed</x:v>
      </x:c>
      <x:c r="S49" s="36" t="str">
        <x:v>E-006 CLOSED PASS/GREEN; E-007 harness 0.1.0 gate 320/320 on GLONBW11 with Python 3.14.2 + UV</x:v>
      </x:c>
      <x:c r="T49" s="36" t="str">
        <x:v>PASS / GREEN — run 53342c61-aef8-4302-95f6-ada0c72719d3. Exactly 999 UNCHANGED + 1 REJECTED(priority_group_changed); first rejection iteration=13. Iterations 13..37 are 25/25 SOURCE_CANDIDATE + REJECTED + cycle_executed=true + degraded=true; 0 post-candidate non-rejected iterations. Effective cache remains PERF-AC-1. WAL=100 records / 2,030,800 B, all PERF-AC-1; PERF-AC-2 WAL=0. Snapshot basis AC1/AC2=100/0; perf-rejected-group materialized=0. Final=1000 alarms/assignments/open occurrences +100 open episodes; 0 closures/resets/restarts. p50/p95/p99/max=1173.26/1222.58/1491.42/1635.06 ms; 0 overruns; integrity_ok=true. Repeated candidate rejection raises steady median iteration from ~911.70 ms pre-candidate to ~1180.62 ms post-candidate (+29.5%), but remains well inside the 5 s period. E-007 CLOSED PASS/GREEN.</x:v>
      </x:c>
      <x:c r="U49"/>
    </x:row>
    <x:row r="50">
      <x:c r="A50" s="36" t="str">
        <x:v>E-008</x:v>
      </x:c>
      <x:c r="B50" s="36" t="str">
        <x:v>R3.5E</x:v>
      </x:c>
      <x:c r="C50" s="36" t="n">
        <x:v>77</x:v>
      </x:c>
      <x:c r="D50" s="36" t="str">
        <x:v>Source unavailable</x:v>
      </x:c>
      <x:c r="E50" s="36" t="str">
        <x:v>Validar CACHE_FALLBACK sostenido bajo operational churn, preservando el last-known-good y la continuidad operacional degradada cuando el runtime manifest deja de estar disponible.</x:v>
      </x:c>
      <x:c r="F50" s="36" t="n">
        <x:v>1000</x:v>
      </x:c>
      <x:c r="G50" s="36" t="str">
        <x:v>Local FS</x:v>
      </x:c>
      <x:c r="H50" s="36" t="str">
        <x:v>Latest Narrow / operational churn 10% / initial 50% ACTIVE</x:v>
      </x:c>
      <x:c r="I50" s="36" t="str">
        <x:v>36 balanced / 100 priority groups × 10 alarms</x:v>
      </x:c>
      <x:c r="J50" s="36" t="str">
        <x:v>No external Management/Decision input; runtime manifest becomes persistently unavailable at +60 s</x:v>
      </x:c>
      <x:c r="K50" s="36" t="str">
        <x:v>PERF-AC-1 / PERF-TR-1 bootstrap normally and become the effective cache. From +60 s read_manifest fails persistently; no PERF-AC-2 exists in this scenario.</x:v>
      </x:c>
      <x:c r="L50" s="36" t="n">
        <x:v>10</x:v>
      </x:c>
      <x:c r="M50" s="36" t="n">
        <x:v>5</x:v>
      </x:c>
      <x:c r="N50" s="36" t="n">
        <x:v>10</x:v>
      </x:c>
      <x:c r="O50" s="36" t="str">
        <x:v>Failure / sustained source unavailability / CACHE_FALLBACK</x:v>
      </x:c>
      <x:c r="P50" s="36" t="str">
        <x:v>Single 600 s execution. At +60 s the manifest source becomes persistently unavailable. First fallback is expected at iteration 13. Every iteration from #13 to the end must be CACHE_FALLBACK + NOT_REQUIRED + cycle_executed=true + degraded=true, with zero post-failure non-fallback iterations. Effective cache must remain PERF-AC-1/PERF-TR-1. Cache replace count must remain exactly 1 (bootstrap) and post-failure replaces=0. All durable commits and all snapshot state_basis entries must remain PERF-AC-1/PERF-TR-1. Operational churn must continue to satisfy the existing FunctionalPressure contract; journal must remain aligned and durable==materialized.</x:v>
      </x:c>
      <x:c r="Q50" s="36" t="str">
        <x:v>CLOSED PASS/GREEN. Harness 0.1.1 gate 324/324. Run autoritativo 5a696b96-41f5-4cbe-8d27-9ed2e66874f1: 109/109 iteraciones post-failure CACHE_FALLBACK/NOT_REQUIRED/cycle_executed/degraded desde #13; cache LKG PERF-AC-1/PERF-TR-1 sin reemplazos post-failure; operational churn exacto y durable==materialized.</x:v>
      </x:c>
      <x:c r="R50" s="36" t="str">
        <x:v>Completed</x:v>
      </x:c>
      <x:c r="S50" s="36" t="str">
        <x:v>E-007 CLOSED PASS/GREEN; E-008 contract accepted</x:v>
      </x:c>
      <x:c r="T50" s="36" t="str">
        <x:v>PASS / GREEN — run 5a696b96-41f5-4cbe-8d27-9ed2e66874f1. 602.151 s / 600 planned, 121 iterations, p50/p95/p99/max=927.23/1025.78/1039.25/1508.42 ms, 0 overruns. Manifest success/failure=12/109. First fallback #13; 109/109 fallback samples degraded+cycle+NOT_REQUIRED; post-failure non-fallback=0. Cache replace total/post-failure=1/0; effective LKG=PERF-AC-1/PERF-TR-1. WAL=700 records / 10,253,900 B, all AC1/TR1; 100 groups × 7 commits; 0 chain/materialization mismatches; durable==materialized. Functional churn exact: 6000 transitions, 3500 occurrence STARTED, 3000 CLOSED(condition_normalized), 3500 ASSIGNED, 100 episodes STARTED; final 500 ACTIVE alarms/assignments/open occurrences, 100 episodes, 0 pending. WAL bytes equal C-001. E-008 CLOSED PASS/GREEN.</x:v>
      </x:c>
    </x:row>
    <x:row r="51">
      <x:c r="A51" s="36" t="str">
        <x:v>E-009</x:v>
      </x:c>
      <x:c r="B51" s="36" t="str">
        <x:v>R3.5E</x:v>
      </x:c>
      <x:c r="C51" s="36" t="n">
        <x:v>78</x:v>
      </x:c>
      <x:c r="D51" s="36" t="str">
        <x:v>Invalid source candidate</x:v>
      </x:c>
      <x:c r="E51" s="36" t="str">
        <x:v>Validar CACHE_FALLBACK por candidate accesible pero contractualmente inválido, preservando el last-known-good y el operational churn sin alcanzar Configuration Adoption.</x:v>
      </x:c>
      <x:c r="F51" s="36" t="n">
        <x:v>1000</x:v>
      </x:c>
      <x:c r="G51" s="36" t="str">
        <x:v>Local FS</x:v>
      </x:c>
      <x:c r="H51" s="36" t="str">
        <x:v>Latest Narrow / operational churn 10% / initial 50% ACTIVE</x:v>
      </x:c>
      <x:c r="I51" s="36" t="str">
        <x:v>36 balanced / 100 priority groups × 10 alarms</x:v>
      </x:c>
      <x:c r="J51" s="36" t="str">
        <x:v>No external Management/Decision input; valid manifest switches to PERF-AC-2 / PERF-TR-1 at +60 s while candidate documents remain readable</x:v>
      </x:c>
      <x:c r="K51" s="36" t="str">
        <x:v>PERF-AC-1 / PERF-TR-1 bootstrap as LKG. A physical alarm-configuration/PERF-AC-2.json exists and is readable, but declares revision=PERF-AC-CORRUPT. From +60 s the scheduled manifest points to PERF-AC-2 / PERF-TR-1; cross-validation must fail before Configuration Adoption.</x:v>
      </x:c>
      <x:c r="L51" s="36" t="n">
        <x:v>10</x:v>
      </x:c>
      <x:c r="M51" s="36" t="n">
        <x:v>5</x:v>
      </x:c>
      <x:c r="N51" s="36" t="n">
        <x:v>10</x:v>
      </x:c>
      <x:c r="O51" s="36" t="str">
        <x:v>Failure / invalid source candidate / CACHE_FALLBACK</x:v>
      </x:c>
      <x:c r="P51" s="36" t="str">
        <x:v>Single 600 s execution. First fallback expected at iteration 13. Every iteration from #13 to end must be CACHE_FALLBACK + NOT_REQUIRED + cycle_executed=true + degraded=true. Manifest failures=0. Candidate manifest/document reads and contract failures must each equal actual fallback iterations. post-candidate non-fallback=0, SOURCE_CANDIDATE=0 and REJECTED=0. Effective cache remains PERF-AC-1/PERF-TR-1; cache replace total=1 and post-candidate=0. PERF-AC-2 durable records=0 and candidate state_basis snapshots=0. Operational churn must remain exact; journal aligned and durable==materialized.</x:v>
      </x:c>
      <x:c r="Q51" s="36" t="str">
        <x:v>CLOSED PASS/GREEN. Harness 0.1.0 gate 328/328. Run autoritativo a89f6c7b-5d96-47c8-b191-3d66763ad020: Source siempre accesible; 121 manifest successes/0 failures; 109 candidate manifest/config/tool reads y 109 contract failures; #13..#121 = 109/109 CACHE_FALLBACK/NOT_REQUIRED/cycle_executed/degraded; LKG intacto y operational churn exacto.</x:v>
      </x:c>
      <x:c r="R51" s="36" t="str">
        <x:v>Completed</x:v>
      </x:c>
      <x:c r="S51" s="36" t="str">
        <x:v>E-008 CLOSED PASS/GREEN; E-009 contract accepted</x:v>
      </x:c>
      <x:c r="T51" s="36" t="str">
        <x:v>PASS / GREEN — run a89f6c7b-5d96-47c8-b191-3d66763ad020. 602.148 s / 600 planned, 121 iterations, p50/p95/p99/max=943.75/1030.23/1039.81/1473.35 ms, 0 overruns. First fallback #13; 109/109 post-candidate iterations CACHE_FALLBACK/NOT_REQUIRED/cycle_executed/degraded. Manifest success/failure=121/0; candidate manifest/config/tool reads=109/109/109; contract failures=109; post-candidate non-fallback/SOURCE_CANDIDATE/REJECTED=0/0/0. Physical PERF-AC-2.json is readable but declares PERF-AC-CORRUPT. Cache replace total/post-candidate=1/0; effective LKG=PERF-AC-1/PERF-TR-1. WAL=700 records / 10,253,900 B, all AC1/TR1; 100 groups × 7; 0 duplicate commits/chain/snapshot mismatches; durable==materialized. Functional churn exact: 6000 transitions, 3500 STARTED, 3000 CLOSED(condition_normalized), 3500 ASSIGNED, final 500 ACTIVE/assignments/open occurrences +100 episodes, 0 pending. p95 is only +0.43% vs E-008; no product/performance finding. E-009 CLOSED PASS/GREEN.</x:v>
      </x:c>
    </x:row>
    <x:row r="52">
      <x:c r="A52" s="36" t="str">
        <x:v>E-010</x:v>
      </x:c>
      <x:c r="B52" s="36" t="str">
        <x:v>R3.5E</x:v>
      </x:c>
      <x:c r="C52" s="36" t="n">
        <x:v>79</x:v>
      </x:c>
      <x:c r="D52" s="36" t="str">
        <x:v>Lease lost after WAL before cache</x:v>
      </x:c>
      <x:c r="E52" s="36" t="str">
        <x:v>Validar fencing real y replay idempotente cuando una adopción ya quedó durable/materializada pero el owner pierde el lease antes de promover el cache.</x:v>
      </x:c>
      <x:c r="F52" s="36" t="n">
        <x:v>1000</x:v>
      </x:c>
      <x:c r="G52" s="36" t="str">
        <x:v>SMB</x:v>
      </x:c>
      <x:c r="H52" s="36" t="str">
        <x:v>Latest Narrow / operational churn 10% / initial 50% ACTIVE</x:v>
      </x:c>
      <x:c r="I52" s="36" t="str">
        <x:v>36 balanced / 100 priority groups × 10 alarms</x:v>
      </x:c>
      <x:c r="J52" s="36" t="str">
        <x:v>Two-owner real. PERF-AC-2 visible a +60 s; Owner A generation 1 materializa adoption y queda pausado antes del fence físico de cache; Owner B generation 2 toma lease real sobre SMB.</x:v>
      </x:c>
      <x:c r="K52" s="36" t="str">
        <x:v>PERF-AC-1/PERF-TR-1 bootstrap. PERF-AC-2 cambia criticality C3→C2 para alarm_00001..00050, exactamente 5 grupos completos: 950 UNCHANGED +50 STRUCTURAL_RESET. Owner A completa 5 adoption commits y journal queda aligned; pierde lease antes de cache promotion. Owner B recupera autoridad, persistence recovery es no-op, replay de adoption produce 0 nuevos commits y promueve AC-2.</x:v>
      </x:c>
      <x:c r="L52" s="36" t="n">
        <x:v>10</x:v>
      </x:c>
      <x:c r="M52" s="36" t="n">
        <x:v>5</x:v>
      </x:c>
      <x:c r="N52" s="36" t="n">
        <x:v>10</x:v>
      </x:c>
      <x:c r="O52" s="36" t="str">
        <x:v>Failure / real SMB lease fencing / adoption replay</x:v>
      </x:c>
      <x:c r="P52" s="36" t="str">
        <x:v>Preflight obligatorio: smb_fencing_probe scenario=post-durable debe PASS sobre una ruta SMB realmente montada. Workload 600 s sólo si el preflight pasa. Owner A falla en iteration #13 después de 5 adoption commits durable/materialized y antes de cache promotion; stale cache writes=0. Owner B generation 2 inicia #14; recovery applied/skipped/discarded_tail=0/0/0; replay adoption commits=0; first B result SOURCE_CANDIDATE+ADOPTED+cycle_executed=true+degraded=false; luego CACHE_CURRENT. Expected WAL=710, AC1/AC2=150/560; reset groups 001..005=9 records each, other 95 groups=7 each. Lifecycle: 3525 STARTED, 3025 CLOSED (3000 condition_normalized +25 configuration_reconfigured), 105 episode STARTED, 5 configuration_terminated, 3525 ASSIGNED; identity reuse=0. Final cache AC2/TR1; 100 final snapshots basis AC2/TR1; final 500 ACTIVE/assignments/open occurrences +100 open episodes, 0 pending; durable==materialized.</x:v>
      </x:c>
      <x:c r="Q52" s="36" t="str">
        <x:v>HARNESS FIX READY 0.1.1. Gate 0.1.0: Ruff encontró 3 issues y los corrigió; format reformateó 5 archivos; suite 331/332. Único FAIL en la regresión sintética de adjudicación: `_e010_synthetic_evidence()` emitía `alarm_00001` mientras el WAL real y `ConfigurationAdoptionPlan.identity.canonical_key` usan `perf/alarm_00001`. Esto hacía que el adjudicador contara 0 configuration_reconfigured/restarted occurrences pese a que toda la geometría takeover/WAL era correcta. Corrective 0.1.1 cambia sólo cuatro construcciones de alarm_key dentro del helper sintético a `perf/alarm_*`; no modifica lógica productiva ni harness runtime.</x:v>
      </x:c>
      <x:c r="R52" s="36" t="str">
        <x:v>Harness Fix Ready</x:v>
      </x:c>
      <x:c r="S52" s="36" t="str">
        <x:v>E-009 CLOSED PASS/GREEN; E-010 contract accepted; SMB preflight required</x:v>
      </x:c>
      <x:c r="T52" s="36" t="str">
        <x:v>Gate 0.1.0 observado: 331 passed / 1 failed in 8.21 s. Failure test-only por identidad no canónica en evidencia sintética E-010. Corrective 0.1.1 test-only SHA-256 8184d0983b0d87ccd495f7738b2e63ae92fe3c4fd538b2f1c18d642b31c953a1. Las cuatro regresiones E-010 pasan en reproducción local adaptada; gate autoritativo sigue siendo GLONBW11 332/332. Workload NO ejecutado.</x:v>
      </x:c>
    </x:row>
    <x:row r="53">
      <x:c r="A53" s="36" t="str">
        <x:v>E-011</x:v>
      </x:c>
      <x:c r="B53" s="36" t="str">
        <x:v>R3.5E</x:v>
      </x:c>
      <x:c r="C53" s="36" t="n">
        <x:v>80</x:v>
      </x:c>
      <x:c r="D53" s="36" t="str">
        <x:v>Cache promotion failure</x:v>
      </x:c>
      <x:c r="E53" s="36" t="str">
        <x:v>Validar fail-closed tras adopción durable</x:v>
      </x:c>
      <x:c r="F53" s="36" t="n">
        <x:v>1000</x:v>
      </x:c>
      <x:c r="G53" s="36" t="str">
        <x:v>Local FS</x:v>
      </x:c>
      <x:c r="H53" s="36" t="str">
        <x:v>Operational churn</x:v>
      </x:c>
      <x:c r="I53" s="36" t="str">
        <x:v>Baseline</x:v>
      </x:c>
      <x:c r="J53" s="36" t="str">
        <x:v>None</x:v>
      </x:c>
      <x:c r="K53" s="36" t="str">
        <x:v>Injected cache write failure</x:v>
      </x:c>
      <x:c r="L53" s="36" t="n">
        <x:v>10</x:v>
      </x:c>
      <x:c r="M53" s="36" t="n">
        <x:v>5</x:v>
      </x:c>
      <x:c r="N53" s="36" t="n">
        <x:v>10</x:v>
      </x:c>
      <x:c r="O53" s="36" t="str">
        <x:v>Failure</x:v>
      </x:c>
      <x:c r="P53" s="36" t="str">
        <x:v>no new operational cycle</x:v>
      </x:c>
      <x:c r="Q53" s="36" t="str">
        <x:v>Debe detener run</x:v>
      </x:c>
      <x:c r="R53" s="36" t="str">
        <x:v>Planned</x:v>
      </x:c>
      <x:c r="S53" s="36" t="str">
        <x:v>E-006</x:v>
      </x:c>
      <x:c r="T53" s="36" t="str"/>
    </x:row>
    <x:row r="54">
      <x:c r="A54" s="36" t="str">
        <x:v>E-012</x:v>
      </x:c>
      <x:c r="B54" s="36" t="str">
        <x:v>R3.5E</x:v>
      </x:c>
      <x:c r="C54" s="36" t="n">
        <x:v>81</x:v>
      </x:c>
      <x:c r="D54" s="36" t="str">
        <x:v>Drain under workload</x:v>
      </x:c>
      <x:c r="E54" s="36" t="str">
        <x:v>Validar no new frozen unit y reconciliación</x:v>
      </x:c>
      <x:c r="F54" s="36" t="n">
        <x:v>1000</x:v>
      </x:c>
      <x:c r="G54" s="36" t="str">
        <x:v>Local FS</x:v>
      </x:c>
      <x:c r="H54" s="36" t="str">
        <x:v>Operational churn</x:v>
      </x:c>
      <x:c r="I54" s="36" t="str">
        <x:v>Mixed</x:v>
      </x:c>
      <x:c r="J54" s="36" t="str">
        <x:v>Mgmt + decisions</x:v>
      </x:c>
      <x:c r="K54" s="36" t="str">
        <x:v>Stop/drain</x:v>
      </x:c>
      <x:c r="L54" s="36" t="n">
        <x:v>10</x:v>
      </x:c>
      <x:c r="M54" s="36" t="n">
        <x:v>5</x:v>
      </x:c>
      <x:c r="N54" s="36" t="n">
        <x:v>10</x:v>
      </x:c>
      <x:c r="O54" s="36" t="str">
        <x:v>Drain</x:v>
      </x:c>
      <x:c r="P54" s="36" t="str">
        <x:v>durable==materialized</x:v>
      </x:c>
      <x:c r="Q54" s="36" t="str">
        <x:v>Drain duration separada</x:v>
      </x:c>
      <x:c r="R54" s="36" t="str">
        <x:v>Planned</x:v>
      </x:c>
      <x:c r="S54" s="36" t="str">
        <x:v>D-009</x:v>
      </x:c>
      <x:c r="T54" s="36" t="str"/>
    </x:row>
    <x:row r="55">
      <x:c r="A55" s="36" t="str">
        <x:v>F-001</x:v>
      </x:c>
      <x:c r="B55" s="36" t="str">
        <x:v>R3.5F</x:v>
      </x:c>
      <x:c r="C55" s="36" t="n">
        <x:v>90</x:v>
      </x:c>
      <x:c r="D55" s="36" t="str">
        <x:v>Soak 500 local 30m</x:v>
      </x:c>
      <x:c r="E55" s="36" t="str">
        <x:v>Observar estabilidad temporal</x:v>
      </x:c>
      <x:c r="F55" s="36" t="n">
        <x:v>500</x:v>
      </x:c>
      <x:c r="G55" s="36" t="str">
        <x:v>Local FS</x:v>
      </x:c>
      <x:c r="H55" s="36" t="str">
        <x:v>Mixed realistic</x:v>
      </x:c>
      <x:c r="I55" s="36" t="str">
        <x:v>Mixed</x:v>
      </x:c>
      <x:c r="J55" s="36" t="str">
        <x:v>Low control-plane</x:v>
      </x:c>
      <x:c r="K55" s="36" t="str">
        <x:v>Stable config</x:v>
      </x:c>
      <x:c r="L55" s="36" t="n">
        <x:v>30</x:v>
      </x:c>
      <x:c r="M55" s="36" t="n">
        <x:v>5</x:v>
      </x:c>
      <x:c r="N55" s="36" t="n">
        <x:v>10</x:v>
      </x:c>
      <x:c r="O55" s="36" t="str">
        <x:v>Soak</x:v>
      </x:c>
      <x:c r="P55" s="36" t="str">
        <x:v>0 integrity errors / bounded memory</x:v>
      </x:c>
      <x:c r="Q55" s="36" t="str">
        <x:v>Trend &gt; absolute threshold</x:v>
      </x:c>
      <x:c r="R55" s="36" t="str">
        <x:v>Planned</x:v>
      </x:c>
      <x:c r="S55" s="36" t="str">
        <x:v>A-003</x:v>
      </x:c>
      <x:c r="T55" s="36" t="str"/>
    </x:row>
    <x:row r="56">
      <x:c r="A56" s="36" t="str">
        <x:v>F-002</x:v>
      </x:c>
      <x:c r="B56" s="36" t="str">
        <x:v>R3.5F</x:v>
      </x:c>
      <x:c r="C56" s="36" t="n">
        <x:v>91</x:v>
      </x:c>
      <x:c r="D56" s="36" t="str">
        <x:v>Soak 1000 local 30m</x:v>
      </x:c>
      <x:c r="E56" s="36" t="str">
        <x:v>Observar estabilidad temporal objetivo</x:v>
      </x:c>
      <x:c r="F56" s="36" t="n">
        <x:v>1000</x:v>
      </x:c>
      <x:c r="G56" s="36" t="str">
        <x:v>Local FS</x:v>
      </x:c>
      <x:c r="H56" s="36" t="str">
        <x:v>Mixed realistic</x:v>
      </x:c>
      <x:c r="I56" s="36" t="str">
        <x:v>Mixed</x:v>
      </x:c>
      <x:c r="J56" s="36" t="str">
        <x:v>Low control-plane</x:v>
      </x:c>
      <x:c r="K56" s="36" t="str">
        <x:v>Stable config</x:v>
      </x:c>
      <x:c r="L56" s="36" t="n">
        <x:v>30</x:v>
      </x:c>
      <x:c r="M56" s="36" t="n">
        <x:v>5</x:v>
      </x:c>
      <x:c r="N56" s="36" t="n">
        <x:v>10</x:v>
      </x:c>
      <x:c r="O56" s="36" t="str">
        <x:v>Soak</x:v>
      </x:c>
      <x:c r="P56" s="36" t="str">
        <x:v>0 integrity errors / bounded memory</x:v>
      </x:c>
      <x:c r="Q56" s="36" t="str">
        <x:v>RSS slope + p95 trend</x:v>
      </x:c>
      <x:c r="R56" s="36" t="str">
        <x:v>Planned</x:v>
      </x:c>
      <x:c r="S56" s="36" t="str">
        <x:v>A-005</x:v>
      </x:c>
      <x:c r="T56" s="36" t="str"/>
    </x:row>
    <x:row r="57">
      <x:c r="A57" s="36" t="str">
        <x:v>F-003</x:v>
      </x:c>
      <x:c r="B57" s="36" t="str">
        <x:v>R3.5F</x:v>
      </x:c>
      <x:c r="C57" s="36" t="n">
        <x:v>92</x:v>
      </x:c>
      <x:c r="D57" s="36" t="str">
        <x:v>Soak 1000 local 60m</x:v>
      </x:c>
      <x:c r="E57" s="36" t="str">
        <x:v>Confirmar estabilidad prolongada</x:v>
      </x:c>
      <x:c r="F57" s="36" t="n">
        <x:v>1000</x:v>
      </x:c>
      <x:c r="G57" s="36" t="str">
        <x:v>Local FS</x:v>
      </x:c>
      <x:c r="H57" s="36" t="str">
        <x:v>Mixed realistic</x:v>
      </x:c>
      <x:c r="I57" s="36" t="str">
        <x:v>Mixed</x:v>
      </x:c>
      <x:c r="J57" s="36" t="str">
        <x:v>Low control-plane</x:v>
      </x:c>
      <x:c r="K57" s="36" t="str">
        <x:v>Stable config</x:v>
      </x:c>
      <x:c r="L57" s="36" t="n">
        <x:v>60</x:v>
      </x:c>
      <x:c r="M57" s="36" t="n">
        <x:v>5</x:v>
      </x:c>
      <x:c r="N57" s="36" t="n">
        <x:v>10</x:v>
      </x:c>
      <x:c r="O57" s="36" t="str">
        <x:v>Soak</x:v>
      </x:c>
      <x:c r="P57" s="36" t="str">
        <x:v>0 integrity errors / bounded memory</x:v>
      </x:c>
      <x:c r="Q57" s="36" t="str">
        <x:v>RSS slope + no degradation</x:v>
      </x:c>
      <x:c r="R57" s="36" t="str">
        <x:v>Conditional</x:v>
      </x:c>
      <x:c r="S57" s="36" t="str">
        <x:v>F-002</x:v>
      </x:c>
      <x:c r="T57" s="36" t="str"/>
    </x:row>
    <x:row r="58">
      <x:c r="A58" s="36" t="str">
        <x:v>F-004</x:v>
      </x:c>
      <x:c r="B58" s="36" t="str">
        <x:v>R3.5F</x:v>
      </x:c>
      <x:c r="C58" s="36" t="n">
        <x:v>93</x:v>
      </x:c>
      <x:c r="D58" s="36" t="str">
        <x:v>Soak 500 SMB 30m</x:v>
      </x:c>
      <x:c r="E58" s="36" t="str">
        <x:v>Separar costo filesystem compartido</x:v>
      </x:c>
      <x:c r="F58" s="36" t="n">
        <x:v>500</x:v>
      </x:c>
      <x:c r="G58" s="36" t="str">
        <x:v>SMB</x:v>
      </x:c>
      <x:c r="H58" s="36" t="str">
        <x:v>Mixed realistic</x:v>
      </x:c>
      <x:c r="I58" s="36" t="str">
        <x:v>Mixed</x:v>
      </x:c>
      <x:c r="J58" s="36" t="str">
        <x:v>Low control-plane</x:v>
      </x:c>
      <x:c r="K58" s="36" t="str">
        <x:v>Stable config</x:v>
      </x:c>
      <x:c r="L58" s="36" t="n">
        <x:v>30</x:v>
      </x:c>
      <x:c r="M58" s="36" t="n">
        <x:v>5</x:v>
      </x:c>
      <x:c r="N58" s="36" t="n">
        <x:v>10</x:v>
      </x:c>
      <x:c r="O58" s="36" t="str">
        <x:v>Soak</x:v>
      </x:c>
      <x:c r="P58" s="36" t="str">
        <x:v>0 integrity errors</x:v>
      </x:c>
      <x:c r="Q58" s="36" t="str">
        <x:v>Comparar local vs SMB</x:v>
      </x:c>
      <x:c r="R58" s="36" t="str">
        <x:v>Conditional</x:v>
      </x:c>
      <x:c r="S58" s="36" t="str">
        <x:v>SMB environment</x:v>
      </x:c>
      <x:c r="T58" s="36" t="str"/>
    </x:row>
    <x:row r="59">
      <x:c r="A59" s="36" t="str">
        <x:v>F-005</x:v>
      </x:c>
      <x:c r="B59" s="36" t="str">
        <x:v>R3.5F</x:v>
      </x:c>
      <x:c r="C59" s="36" t="n">
        <x:v>94</x:v>
      </x:c>
      <x:c r="D59" s="36" t="str">
        <x:v>Soak 1000 SMB 30m</x:v>
      </x:c>
      <x:c r="E59" s="36" t="str">
        <x:v>Caracterizar target sobre SMB</x:v>
      </x:c>
      <x:c r="F59" s="36" t="n">
        <x:v>1000</x:v>
      </x:c>
      <x:c r="G59" s="36" t="str">
        <x:v>SMB</x:v>
      </x:c>
      <x:c r="H59" s="36" t="str">
        <x:v>Mixed realistic</x:v>
      </x:c>
      <x:c r="I59" s="36" t="str">
        <x:v>Mixed</x:v>
      </x:c>
      <x:c r="J59" s="36" t="str">
        <x:v>Low control-plane</x:v>
      </x:c>
      <x:c r="K59" s="36" t="str">
        <x:v>Stable config</x:v>
      </x:c>
      <x:c r="L59" s="36" t="n">
        <x:v>30</x:v>
      </x:c>
      <x:c r="M59" s="36" t="n">
        <x:v>5</x:v>
      </x:c>
      <x:c r="N59" s="36" t="n">
        <x:v>10</x:v>
      </x:c>
      <x:c r="O59" s="36" t="str">
        <x:v>Soak</x:v>
      </x:c>
      <x:c r="P59" s="36" t="str">
        <x:v>0 integrity errors</x:v>
      </x:c>
      <x:c r="Q59" s="36" t="str">
        <x:v>Comparar p95/WAL/snapshot</x:v>
      </x:c>
      <x:c r="R59" s="36" t="str">
        <x:v>Conditional</x:v>
      </x:c>
      <x:c r="S59" s="36" t="str">
        <x:v>F-004</x:v>
      </x:c>
      <x:c r="T59" s="36" t="str"/>
    </x:row>
    <x:row r="60">
      <x:c r="A60" s="36" t="str">
        <x:v>F-006</x:v>
      </x:c>
      <x:c r="B60" s="36" t="str">
        <x:v>R3.5F</x:v>
      </x:c>
      <x:c r="C60" s="36" t="n">
        <x:v>95</x:v>
      </x:c>
      <x:c r="D60" s="36" t="str">
        <x:v>Progressive memory pressure</x:v>
      </x:c>
      <x:c r="E60" s="36" t="str">
        <x:v>Aumentar volumen de datos manteniendo alarmas</x:v>
      </x:c>
      <x:c r="F60" s="36" t="n">
        <x:v>1000</x:v>
      </x:c>
      <x:c r="G60" s="36" t="str">
        <x:v>Local FS</x:v>
      </x:c>
      <x:c r="H60" s="36" t="str">
        <x:v>Increasing dataset volume</x:v>
      </x:c>
      <x:c r="I60" s="36" t="str">
        <x:v>Increasing partitions/sources</x:v>
      </x:c>
      <x:c r="J60" s="36" t="str">
        <x:v>None</x:v>
      </x:c>
      <x:c r="K60" s="36" t="str">
        <x:v>Stable config</x:v>
      </x:c>
      <x:c r="L60" s="36" t="n">
        <x:v>20</x:v>
      </x:c>
      <x:c r="M60" s="36" t="n">
        <x:v>5</x:v>
      </x:c>
      <x:c r="N60" s="36" t="n">
        <x:v>10</x:v>
      </x:c>
      <x:c r="O60" s="36" t="str">
        <x:v>Stress</x:v>
      </x:c>
      <x:c r="P60" s="36" t="str">
        <x:v>no OOM/corruption</x:v>
      </x:c>
      <x:c r="Q60" s="36" t="str">
        <x:v>Registrar peak y slope</x:v>
      </x:c>
      <x:c r="R60" s="36" t="str">
        <x:v>Planned</x:v>
      </x:c>
      <x:c r="S60" s="36" t="str">
        <x:v>B-010</x:v>
      </x:c>
      <x:c r="T60" s="36" t="str"/>
    </x:row>
    <x:row r="61">
      <x:c r="A61" s="36" t="str">
        <x:v>F-007</x:v>
      </x:c>
      <x:c r="B61" s="36" t="str">
        <x:v>R3.5F</x:v>
      </x:c>
      <x:c r="C61" s="36" t="n">
        <x:v>96</x:v>
      </x:c>
      <x:c r="D61" s="36" t="str">
        <x:v>Alarm saturation 1250→2000+</x:v>
      </x:c>
      <x:c r="E61" s="36" t="str">
        <x:v>Encontrar rodilla de capacidad</x:v>
      </x:c>
      <x:c r="F61" s="36" t="n">
        <x:v>1250</x:v>
      </x:c>
      <x:c r="G61" s="36" t="str">
        <x:v>Local FS</x:v>
      </x:c>
      <x:c r="H61" s="36" t="str">
        <x:v>Mixed realistic</x:v>
      </x:c>
      <x:c r="I61" s="36" t="str">
        <x:v>Mixed</x:v>
      </x:c>
      <x:c r="J61" s="36" t="str">
        <x:v>Low control-plane</x:v>
      </x:c>
      <x:c r="K61" s="36" t="str">
        <x:v>Stable config</x:v>
      </x:c>
      <x:c r="L61" s="36" t="n">
        <x:v>10</x:v>
      </x:c>
      <x:c r="M61" s="36" t="n">
        <x:v>5</x:v>
      </x:c>
      <x:c r="N61" s="36" t="n">
        <x:v>10</x:v>
      </x:c>
      <x:c r="O61" s="36" t="str">
        <x:v>Saturation</x:v>
      </x:c>
      <x:c r="P61" s="36" t="str">
        <x:v>0 integrity errors</x:v>
      </x:c>
      <x:c r="Q61" s="36" t="str">
        <x:v>Escalar progresivamente hasta evidencia de límite</x:v>
      </x:c>
      <x:c r="R61" s="36" t="str">
        <x:v>Conditional</x:v>
      </x:c>
      <x:c r="S61" s="36" t="str">
        <x:v>F-002</x:v>
      </x:c>
      <x:c r="T61" s="36" t="str"/>
    </x:row>
    <x:row r="62">
      <x:c r="A62" s="36" t="str">
        <x:v>F-008</x:v>
      </x:c>
      <x:c r="B62" s="36" t="str">
        <x:v>R3.5F</x:v>
      </x:c>
      <x:c r="C62" s="36" t="n">
        <x:v>97</x:v>
      </x:c>
      <x:c r="D62" s="36" t="str">
        <x:v>Partition saturation</x:v>
      </x:c>
      <x:c r="E62" s="36" t="str">
        <x:v>Encontrar límite práctico de particiones</x:v>
      </x:c>
      <x:c r="F62" s="36" t="n">
        <x:v>1000</x:v>
      </x:c>
      <x:c r="G62" s="36" t="str">
        <x:v>Local FS</x:v>
      </x:c>
      <x:c r="H62" s="36" t="str">
        <x:v>Latest + historical</x:v>
      </x:c>
      <x:c r="I62" s="36" t="str">
        <x:v>Progressive partitions</x:v>
      </x:c>
      <x:c r="J62" s="36" t="str">
        <x:v>None</x:v>
      </x:c>
      <x:c r="K62" s="36" t="str">
        <x:v>Stable config</x:v>
      </x:c>
      <x:c r="L62" s="36" t="n">
        <x:v>10</x:v>
      </x:c>
      <x:c r="M62" s="36" t="n">
        <x:v>5</x:v>
      </x:c>
      <x:c r="N62" s="36" t="n">
        <x:v>10</x:v>
      </x:c>
      <x:c r="O62" s="36" t="str">
        <x:v>Saturation</x:v>
      </x:c>
      <x:c r="P62" s="36" t="str">
        <x:v>0 integrity errors</x:v>
      </x:c>
      <x:c r="Q62" s="36" t="str">
        <x:v>Buscar inflexión de data load</x:v>
      </x:c>
      <x:c r="R62" s="36" t="str">
        <x:v>Conditional</x:v>
      </x:c>
      <x:c r="S62" s="36" t="str">
        <x:v>B-006</x:v>
      </x:c>
      <x:c r="T62" s="36" t="str"/>
    </x:row>
    <x:row r="63">
      <x:c r="A63" s="36" t="str">
        <x:v>F-009</x:v>
      </x:c>
      <x:c r="B63" s="36" t="str">
        <x:v>R3.5F</x:v>
      </x:c>
      <x:c r="C63" s="36" t="n">
        <x:v>98</x:v>
      </x:c>
      <x:c r="D63" s="36" t="str">
        <x:v>All-source maximum pressure</x:v>
      </x:c>
      <x:c r="E63" s="36" t="str">
        <x:v>Combinar mayor presión de lectura razonable</x:v>
      </x:c>
      <x:c r="F63" s="36" t="n">
        <x:v>1000</x:v>
      </x:c>
      <x:c r="G63" s="36" t="str">
        <x:v>Local FS</x:v>
      </x:c>
      <x:c r="H63" s="36" t="str">
        <x:v>All available data profiles</x:v>
      </x:c>
      <x:c r="I63" s="36" t="str">
        <x:v>All sources/partitions</x:v>
      </x:c>
      <x:c r="J63" s="36" t="str">
        <x:v>None</x:v>
      </x:c>
      <x:c r="K63" s="36" t="str">
        <x:v>Stable config</x:v>
      </x:c>
      <x:c r="L63" s="36" t="n">
        <x:v>10</x:v>
      </x:c>
      <x:c r="M63" s="36" t="n">
        <x:v>5</x:v>
      </x:c>
      <x:c r="N63" s="36" t="n">
        <x:v>10</x:v>
      </x:c>
      <x:c r="O63" s="36" t="str">
        <x:v>Extreme</x:v>
      </x:c>
      <x:c r="P63" s="36" t="str">
        <x:v>0 integrity errors</x:v>
      </x:c>
      <x:c r="Q63" s="36" t="str">
        <x:v>Caracterizar borde de lectura</x:v>
      </x:c>
      <x:c r="R63" s="36" t="str">
        <x:v>Conditional</x:v>
      </x:c>
      <x:c r="S63" s="36" t="str">
        <x:v>B-012</x:v>
      </x:c>
      <x:c r="T63" s="36" t="str"/>
    </x:row>
    <x:row r="64">
      <x:c r="A64" s="36" t="str">
        <x:v>F-010</x:v>
      </x:c>
      <x:c r="B64" s="36" t="str">
        <x:v>R3.5F</x:v>
      </x:c>
      <x:c r="C64" s="36" t="n">
        <x:v>99</x:v>
      </x:c>
      <x:c r="D64" s="36" t="str">
        <x:v>Full mixed pressure</x:v>
      </x:c>
      <x:c r="E64" s="36" t="str">
        <x:v>Combinar datos + churn + control-plane + adoption</x:v>
      </x:c>
      <x:c r="F64" s="36" t="n">
        <x:v>1000</x:v>
      </x:c>
      <x:c r="G64" s="36" t="str">
        <x:v>SMB</x:v>
      </x:c>
      <x:c r="H64" s="36" t="str">
        <x:v>Heavy mixed</x:v>
      </x:c>
      <x:c r="I64" s="36" t="str">
        <x:v>All available</x:v>
      </x:c>
      <x:c r="J64" s="36" t="str">
        <x:v>Mgmt + decisions</x:v>
      </x:c>
      <x:c r="K64" s="36" t="str">
        <x:v>Mixed adoption</x:v>
      </x:c>
      <x:c r="L64" s="36" t="n">
        <x:v>20</x:v>
      </x:c>
      <x:c r="M64" s="36" t="n">
        <x:v>5</x:v>
      </x:c>
      <x:c r="N64" s="36" t="n">
        <x:v>10</x:v>
      </x:c>
      <x:c r="O64" s="36" t="str">
        <x:v>Extreme</x:v>
      </x:c>
      <x:c r="P64" s="36" t="str">
        <x:v>0 integrity errors</x:v>
      </x:c>
      <x:c r="Q64" s="36" t="str">
        <x:v>Caso final de presión integrada</x:v>
      </x:c>
      <x:c r="R64" s="36" t="str">
        <x:v>Conditional</x:v>
      </x:c>
      <x:c r="S64" s="36" t="str">
        <x:v>E-012 + F-005</x:v>
      </x:c>
      <x:c r="T64" s="36" t="str"/>
    </x:row>
    <x:row r="65">
      <x:c r="A65" s="36" t="str">
        <x:v>F-011</x:v>
      </x:c>
      <x:c r="B65" s="36" t="str">
        <x:v>R3.5F</x:v>
      </x:c>
      <x:c r="C65" s="36" t="n">
        <x:v>100</x:v>
      </x:c>
      <x:c r="D65" s="36" t="str">
        <x:v>Granular profiling trigger</x:v>
      </x:c>
      <x:c r="E65" s="36" t="str">
        <x:v>Perfilar sólo el escenario donde aparezca cuello</x:v>
      </x:c>
      <x:c r="F65" s="36"/>
      <x:c r="G65" s="36" t="str">
        <x:v>As observed</x:v>
      </x:c>
      <x:c r="H65" s="36" t="str">
        <x:v>Reproduce bottleneck</x:v>
      </x:c>
      <x:c r="I65" s="36" t="str">
        <x:v>As observed</x:v>
      </x:c>
      <x:c r="J65" s="36" t="str">
        <x:v>As observed</x:v>
      </x:c>
      <x:c r="K65" s="36" t="str">
        <x:v>As observed</x:v>
      </x:c>
      <x:c r="L65" s="36" t="n">
        <x:v>10</x:v>
      </x:c>
      <x:c r="M65" s="36" t="n">
        <x:v>5</x:v>
      </x:c>
      <x:c r="N65" s="36" t="n">
        <x:v>10</x:v>
      </x:c>
      <x:c r="O65" s="36" t="str">
        <x:v>Profiling</x:v>
      </x:c>
      <x:c r="P65" s="36" t="str">
        <x:v>No cambia semántica</x:v>
      </x:c>
      <x:c r="Q65" s="36" t="str">
        <x:v>Wall/CPU/RSS/bytes por frontera</x:v>
      </x:c>
      <x:c r="R65" s="36" t="str">
        <x:v>Conditional</x:v>
      </x:c>
      <x:c r="S65" s="36" t="str">
        <x:v>Finding de cuello real</x:v>
      </x:c>
      <x:c r="T65" s="36" t="str"/>
    </x:row>
    <x:row r="66">
      <x:c r="A66" s="32" t="str">
        <x:v>B-011-R2</x:v>
      </x:c>
      <x:c r="B66" s="32" t="str">
        <x:v>R3.5B</x:v>
      </x:c>
      <x:c r="C66" s="32" t="n">
        <x:v>22</x:v>
      </x:c>
      <x:c r="D66" s="32" t="str">
        <x:v>Historical Width Reproduction — 6 series/alarm</x:v>
      </x:c>
      <x:c r="E66" s="32" t="str">
        <x:v>Repetir exactamente B-011 para determinar si el único overrun de 6 series es reproducible o ruido transitorio</x:v>
      </x:c>
      <x:c r="F66" s="32" t="n">
        <x:v>1000</x:v>
      </x:c>
      <x:c r="G66" s="32" t="str">
        <x:v>Local FS</x:v>
      </x:c>
      <x:c r="H66" s="32" t="str">
        <x:v>Latest + Historical 3h / 10s</x:v>
      </x:c>
      <x:c r="I66" s="32" t="str">
        <x:v>36 balanced per view / 72 chunks total</x:v>
      </x:c>
      <x:c r="J66" s="32" t="str">
        <x:v>None</x:v>
      </x:c>
      <x:c r="K66" s="32" t="str">
        <x:v>Stable config</x:v>
      </x:c>
      <x:c r="L66" s="32" t="n">
        <x:v>10</x:v>
      </x:c>
      <x:c r="M66" s="32" t="n">
        <x:v>5</x:v>
      </x:c>
      <x:c r="N66" s="32" t="n">
        <x:v>10</x:v>
      </x:c>
      <x:c r="O66" s="32" t="str">
        <x:v>Adaptive reproduction</x:v>
      </x:c>
      <x:c r="P66" s="32" t="str">
        <x:v>0 integrity errors</x:v>
      </x:c>
      <x:c r="Q66" s="32" t="str">
        <x:v>Reproducción limpia permite cerrar R3.5B; conservar advertencia de tail estrecho cerca de 5 s</x:v>
      </x:c>
      <x:c r="R66" s="32" t="str">
        <x:v>Completed</x:v>
      </x:c>
      <x:c r="S66" s="32" t="str">
        <x:v>B-011-R1</x:v>
      </x:c>
      <x:c r="T66" s="32" t="str">
        <x:v>PASS / GREEN — exact 6-series reproduction; 121 iterations; p50 3260.76 ms; p95 4139.16 ms; p99 4865.38 ms; max 4969.75 ms; 0 overruns; avg/peak process CPU 99.55%/100.59%; avg/peak RSS 195.38/198.34 MB; Latest 1000 cols + Historical 6000 cols × 1080 rows = 6,480,000 historical values; source-load p95 13.83 ms; merge p95 0.910 ms; journal aligned; snapshot 1000/1000; 3 durable commits; drain 411.66 ms. 11 iterations &gt;4 s, 4 &gt;4.5 s, 2 &gt;4.9 s, 0 &gt;=5 s. Start-to-start max 5002.21 ms. The original B-011 overrun did not reproduce; 6-series × 3h remains a narrow-tail stress envelope, not a production certification.</x:v>
      </x:c>
    </x:row>
  </x:sheetData>
  <x:mergeCells>
    <x:mergeCell ref="A1:T2"/>
  </x:mergeCells>
  <x:conditionalFormatting sqref="R5:R200">
    <x:cfRule type="expression" dxfId="0" priority="1">
      <x:formula>R5="Completed"</x:formula>
    </x:cfRule>
    <x:cfRule type="expression" dxfId="1" priority="2">
      <x:formula>R5="Running"</x:formula>
    </x:cfRule>
    <x:cfRule type="expression" dxfId="2" priority="3">
      <x:formula>R5="Blocked"</x:formula>
    </x:cfRule>
    <x:cfRule type="expression" dxfId="3" priority="4">
      <x:formula>R5="Ready"</x:formula>
    </x:cfRule>
  </x:conditionalFormatting>
  <x:dataValidations count="1">
    <x:dataValidation type="list" sqref="R5:R200">
      <x:formula1>"Planned,Ready,Running,Completed,Blocked,Skipped,Conditional"</x:formula1>
    </x:dataValidation>
  </x:dataValidations>
  <x:pageMargins left="0.7" right="0.7" top="0.75" bottom="0.75" header="0.3" footer="0.3"/>
  <x:tableParts count="1">
    <x:tablePart xmlns:r="http://schemas.openxmlformats.org/officeDocument/2006/relationships" r:id="R5f98cdf9a3ce474e"/>
  </x:tableParts>
</x:worksheet>
</file>

<file path=xl/worksheets/sheet3.xml><?xml version="1.0" encoding="utf-8"?>
<x:worksheet xmlns:x="http://schemas.openxmlformats.org/spreadsheetml/2006/main">
  <x:sheetFormatPr defaultRowHeight="15"/>
  <x:cols>
    <x:col min="1" max="1" width="14" hidden="0" customWidth="1"/>
    <x:col min="2" max="2"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14" hidden="0" customWidth="1"/>
    <x:col min="22" max="22" width="14" hidden="0" customWidth="1"/>
    <x:col min="23" max="23" width="14" hidden="0" customWidth="1"/>
    <x:col min="24" max="24" width="14" hidden="0" customWidth="1"/>
    <x:col min="25" max="25" width="14" hidden="0" customWidth="1"/>
    <x:col min="26" max="26" width="14" hidden="0" customWidth="1"/>
    <x:col min="27" max="27" width="14" hidden="0" customWidth="1"/>
    <x:col min="28" max="28" width="14" hidden="0" customWidth="1"/>
    <x:col min="29" max="29" width="14" hidden="0" customWidth="1"/>
    <x:col min="30" max="30" width="14" hidden="0" customWidth="1"/>
    <x:col min="31" max="31" width="14" hidden="0" customWidth="1"/>
    <x:col min="32" max="32" width="14" hidden="0" customWidth="1"/>
    <x:col min="33" max="33" width="14" hidden="0" customWidth="1"/>
    <x:col min="34" max="34" width="14" hidden="0" customWidth="1"/>
    <x:col min="35" max="35" width="14" hidden="0" customWidth="1"/>
    <x:col min="36" max="36" width="14" hidden="0" customWidth="1"/>
    <x:col min="4" max="4" width="24" hidden="0" customWidth="1"/>
    <x:col min="3" max="3" width="18" hidden="0" customWidth="1"/>
    <x:col min="37" max="37" width="16" hidden="0" customWidth="1"/>
    <x:col min="38" max="38" width="16" hidden="0" customWidth="1"/>
    <x:col min="39" max="39" width="16" hidden="0" customWidth="1"/>
    <x:col min="40" max="40" width="16" hidden="0" customWidth="1"/>
    <x:col min="41" max="41" width="16" hidden="0" customWidth="1"/>
    <x:col min="42" max="42" width="16" hidden="0" customWidth="1"/>
    <x:col min="43" max="43" width="16" hidden="0" customWidth="1"/>
    <x:col min="44" max="44" width="16" hidden="0" customWidth="1"/>
    <x:col min="45" max="45" width="16" hidden="0" customWidth="1"/>
    <x:col min="46" max="46" width="18" hidden="0" customWidth="1"/>
    <x:col min="47" max="47" width="18" hidden="0" customWidth="1"/>
    <x:col min="48" max="48" width="18" hidden="0" customWidth="1"/>
    <x:col min="49" max="49" width="18" hidden="0" customWidth="1"/>
    <x:col min="50" max="50" width="18" hidden="0" customWidth="1"/>
    <x:col min="51" max="51" width="18" hidden="0" customWidth="1"/>
    <x:col min="52" max="52" width="17" hidden="0" customWidth="1"/>
    <x:col min="53" max="53" width="17" hidden="0" customWidth="1"/>
    <x:col min="54" max="54" width="17" hidden="0" customWidth="1"/>
    <x:col min="55" max="55" width="17" hidden="0" customWidth="1"/>
    <x:col min="56" max="56" width="38" hidden="0" customWidth="1"/>
    <x:col min="57" max="57" width="18" hidden="0" customWidth="1"/>
    <x:col min="58" max="58" width="18" hidden="0" customWidth="1"/>
    <x:col min="59" max="59" width="18" hidden="0" customWidth="1"/>
    <x:col min="60" max="60" width="18" hidden="0" customWidth="1"/>
    <x:col min="61" max="61" width="18" hidden="0" customWidth="1"/>
    <x:col min="62" max="62" width="18" hidden="0" customWidth="1"/>
    <x:col min="63" max="63" width="18" hidden="0" customWidth="1"/>
    <x:col min="64" max="64" width="18" hidden="0" customWidth="1"/>
    <x:col min="65" max="65" width="18" hidden="0" customWidth="1"/>
    <x:col min="595" max="595" width="14" hidden="0" customWidth="1"/>
    <x:col min="596" max="596" width="14" hidden="0" customWidth="1"/>
    <x:col min="597" max="597" width="14" hidden="0" customWidth="1"/>
    <x:col min="598" max="598" width="14" hidden="0" customWidth="1"/>
    <x:col min="599" max="599" width="14" hidden="0" customWidth="1"/>
    <x:col min="600" max="600" width="14" hidden="0" customWidth="1"/>
    <x:col min="601" max="601" width="14" hidden="0" customWidth="1"/>
    <x:col min="602" max="602" width="14" hidden="0" customWidth="1"/>
    <x:col min="603" max="603" width="14" hidden="0" customWidth="1"/>
    <x:col min="604" max="604" width="14" hidden="0" customWidth="1"/>
    <x:col min="605" max="605" width="14" hidden="0" customWidth="1"/>
    <x:col min="606" max="606" width="14" hidden="0" customWidth="1"/>
    <x:col min="607" max="607" width="14" hidden="0" customWidth="1"/>
    <x:col min="608" max="608" width="14" hidden="0" customWidth="1"/>
    <x:col min="609" max="609" width="14" hidden="0" customWidth="1"/>
    <x:col min="610" max="610" width="14" hidden="0" customWidth="1"/>
    <x:col min="611" max="611" width="14" hidden="0" customWidth="1"/>
    <x:col min="612" max="612" width="14" hidden="0" customWidth="1"/>
    <x:col min="613" max="613" width="14" hidden="0" customWidth="1"/>
    <x:col min="614" max="614" width="14" hidden="0" customWidth="1"/>
    <x:col min="615" max="615" width="14" hidden="0" customWidth="1"/>
    <x:col min="616" max="616" width="14" hidden="0" customWidth="1"/>
    <x:col min="617" max="617" width="14" hidden="0" customWidth="1"/>
    <x:col min="618" max="618" width="14" hidden="0" customWidth="1"/>
    <x:col min="619" max="619" width="14" hidden="0" customWidth="1"/>
    <x:col min="620" max="620" width="14" hidden="0" customWidth="1"/>
    <x:col min="621" max="621" width="14" hidden="0" customWidth="1"/>
    <x:col min="622" max="622" width="14" hidden="0" customWidth="1"/>
    <x:col min="623" max="623" width="14" hidden="0" customWidth="1"/>
    <x:col min="624" max="624" width="14" hidden="0" customWidth="1"/>
    <x:col min="625" max="625" width="14" hidden="0" customWidth="1"/>
    <x:col min="626" max="626" width="14" hidden="0" customWidth="1"/>
    <x:col min="627" max="627" width="14" hidden="0" customWidth="1"/>
    <x:col min="628" max="628" width="14" hidden="0" customWidth="1"/>
    <x:col min="629" max="629" width="18" hidden="0" customWidth="1"/>
    <x:col min="630" max="630" width="18" hidden="0" customWidth="1"/>
    <x:col min="631" max="631" width="18" hidden="0" customWidth="1"/>
    <x:col min="632" max="632" width="18" hidden="0" customWidth="1"/>
    <x:col min="633" max="633" width="18" hidden="0" customWidth="1"/>
    <x:col min="634" max="634" width="18" hidden="0" customWidth="1"/>
    <x:col min="635" max="635" width="18" hidden="0" customWidth="1"/>
    <x:col min="636" max="636" width="18" hidden="0" customWidth="1"/>
    <x:col min="637" max="637" width="18" hidden="0" customWidth="1"/>
    <x:col min="638" max="638" width="18" hidden="0" customWidth="1"/>
    <x:col min="639" max="639" width="18" hidden="0" customWidth="1"/>
    <x:col min="640" max="640" width="18" hidden="0" customWidth="1"/>
    <x:col min="641" max="641" width="18" hidden="0" customWidth="1"/>
    <x:col min="642" max="642" width="18" hidden="0" customWidth="1"/>
    <x:col min="643" max="643" width="18" hidden="0" customWidth="1"/>
    <x:col min="644" max="644" width="18" hidden="0" customWidth="1"/>
    <x:col min="645" max="645" width="18" hidden="0" customWidth="1"/>
    <x:col min="646" max="646" width="18" hidden="0" customWidth="1"/>
    <x:col min="647" max="647" width="18" hidden="0" customWidth="1"/>
    <x:col min="648" max="648" width="18" hidden="0" customWidth="1"/>
    <x:col min="649" max="649" width="18" hidden="0" customWidth="1"/>
    <x:col min="650" max="650" width="18" hidden="0" customWidth="1"/>
    <x:col min="651" max="651" width="18" hidden="0" customWidth="1"/>
    <x:col min="652" max="652" width="18" hidden="0" customWidth="1"/>
    <x:col min="653" max="653" width="18" hidden="0" customWidth="1"/>
    <x:col min="654" max="654" width="18" hidden="0" customWidth="1"/>
    <x:col min="655" max="655" width="18" hidden="0" customWidth="1"/>
    <x:col min="656" max="656" width="18" hidden="0" customWidth="1"/>
    <x:col min="657" max="657" width="18" hidden="0" customWidth="1"/>
    <x:col min="658" max="658" width="18" hidden="0" customWidth="1"/>
    <x:col min="659" max="659" width="18" hidden="0" customWidth="1"/>
    <x:col min="660" max="660" width="18" hidden="0" customWidth="1"/>
    <x:col min="661" max="661" width="18" hidden="0" customWidth="1"/>
    <x:col min="662" max="662" width="18" hidden="0" customWidth="1"/>
    <x:col min="663" max="663" width="18" hidden="0" customWidth="1"/>
    <x:col min="664" max="664" width="18" hidden="0" customWidth="1"/>
    <x:col min="665" max="665" width="18" hidden="0" customWidth="1"/>
    <x:col min="666" max="666" width="18" hidden="0" customWidth="1"/>
    <x:col min="667" max="667" width="18" hidden="0" customWidth="1"/>
    <x:col min="668" max="668" width="18" hidden="0" customWidth="1"/>
    <x:col min="669" max="669" width="18" hidden="0" customWidth="1"/>
    <x:col min="670" max="670" width="18" hidden="0" customWidth="1"/>
    <x:col min="671" max="671" width="18" hidden="0" customWidth="1"/>
    <x:col min="672" max="672" width="18" hidden="0" customWidth="1"/>
    <x:col min="673" max="673" width="18" hidden="0" customWidth="1"/>
    <x:col min="674" max="674" width="18" hidden="0" customWidth="1"/>
    <x:col min="675" max="675" width="18" hidden="0" customWidth="1"/>
    <x:col min="676" max="676" width="18" hidden="0" customWidth="1"/>
    <x:col min="677" max="677" width="18" hidden="0" customWidth="1"/>
    <x:col min="678" max="678" width="18" hidden="0" customWidth="1"/>
    <x:col min="679" max="679" width="18" hidden="0" customWidth="1"/>
    <x:col min="680" max="680" width="18" hidden="0" customWidth="1"/>
    <x:col min="681" max="681" width="18" hidden="0" customWidth="1"/>
    <x:col min="682" max="682" width="18" hidden="0" customWidth="1"/>
    <x:col min="683" max="683" width="18" hidden="0" customWidth="1"/>
    <x:col min="684" max="684" width="18" hidden="0" customWidth="1"/>
    <x:col min="685" max="685" width="18" hidden="0" customWidth="1"/>
    <x:col min="686" max="686" width="18" hidden="0" customWidth="1"/>
    <x:col min="687" max="687" width="18" hidden="0" customWidth="1"/>
    <x:col min="688" max="688" width="18" hidden="0" customWidth="1"/>
    <x:col min="689" max="689" width="18" hidden="0" customWidth="1"/>
    <x:col min="690" max="690" width="18" hidden="0" customWidth="1"/>
    <x:col min="691" max="691" width="18" hidden="0" customWidth="1"/>
    <x:col min="692" max="692" width="18" hidden="0" customWidth="1"/>
    <x:col min="693" max="693" width="18" hidden="0" customWidth="1"/>
    <x:col min="694" max="694" width="18" hidden="0" customWidth="1"/>
    <x:col min="695" max="695" width="18" hidden="0" customWidth="1"/>
    <x:col min="696" max="696" width="18" hidden="0" customWidth="1"/>
    <x:col min="697" max="697" width="18" hidden="0" customWidth="1"/>
    <x:col min="698" max="698" width="18" hidden="0" customWidth="1"/>
    <x:col min="699" max="699" width="18" hidden="0" customWidth="1"/>
    <x:col min="700" max="700" width="18" hidden="0" customWidth="1"/>
    <x:col min="701" max="701" width="18" hidden="0" customWidth="1"/>
    <x:col min="702" max="702" width="18" hidden="0" customWidth="1"/>
    <x:col min="703" max="703" width="18" hidden="0" customWidth="1"/>
    <x:col min="704" max="704" width="18" hidden="0" customWidth="1"/>
    <x:col min="705" max="705" width="18" hidden="0" customWidth="1"/>
    <x:col min="706" max="706" width="18" hidden="0" customWidth="1"/>
    <x:col min="707" max="707" width="18" hidden="0" customWidth="1"/>
    <x:col min="708" max="708" width="18" hidden="0" customWidth="1"/>
  </x:cols>
  <x:sheetData>
    <x:row r="1">
      <x:c r="A1" s="4" t="str">
        <x:v>Ejecuciones — una fila por corrida autoritativa</x:v>
      </x:c>
      <x:c r="B1" s="4"/>
      <x:c r="C1" s="4"/>
      <x:c r="D1" s="4"/>
      <x:c r="E1" s="4"/>
      <x:c r="F1" s="4"/>
      <x:c r="G1" s="4"/>
      <x:c r="H1" s="4"/>
      <x:c r="I1" s="4"/>
      <x:c r="J1" s="4"/>
      <x:c r="K1" s="4"/>
      <x:c r="L1" s="4"/>
      <x:c r="M1" s="4"/>
      <x:c r="N1" s="4"/>
      <x:c r="O1" s="4"/>
      <x:c r="P1" s="4"/>
      <x:c r="Q1" s="4"/>
      <x:c r="R1" s="4"/>
      <x:c r="S1" s="4"/>
      <x:c r="T1" s="4"/>
      <x:c r="U1" s="4"/>
      <x:c r="V1" s="4"/>
      <x:c r="W1" s="4"/>
      <x:c r="X1" s="4"/>
      <x:c r="Y1" s="4"/>
      <x:c r="Z1" s="4"/>
      <x:c r="AA1" s="4"/>
      <x:c r="AB1" s="4"/>
      <x:c r="AC1" s="4"/>
      <x:c r="AD1" s="4"/>
      <x:c r="AE1" s="4"/>
      <x:c r="AF1" s="4"/>
      <x:c r="AG1" s="4"/>
      <x:c r="AH1" s="4"/>
      <x:c r="AI1" s="4"/>
      <x:c r="AJ1" s="4"/>
    </x:row>
    <x:row r="2">
      <x:c r="A2" s="4"/>
      <x:c r="B2" s="4"/>
      <x:c r="C2" s="4"/>
      <x:c r="D2" s="4"/>
      <x:c r="E2" s="4"/>
      <x:c r="F2" s="4"/>
      <x:c r="G2" s="4"/>
      <x:c r="H2" s="4"/>
      <x:c r="I2" s="4"/>
      <x:c r="J2" s="4"/>
      <x:c r="K2" s="4"/>
      <x:c r="L2" s="4"/>
      <x:c r="M2" s="4"/>
      <x:c r="N2" s="4"/>
      <x:c r="O2" s="4"/>
      <x:c r="P2" s="4"/>
      <x:c r="Q2" s="4"/>
      <x:c r="R2" s="4"/>
      <x:c r="S2" s="4"/>
      <x:c r="T2" s="4"/>
      <x:c r="U2" s="4"/>
      <x:c r="V2" s="4"/>
      <x:c r="W2" s="4"/>
      <x:c r="X2" s="4"/>
      <x:c r="Y2" s="4"/>
      <x:c r="Z2" s="4"/>
      <x:c r="AA2" s="4"/>
      <x:c r="AB2" s="4"/>
      <x:c r="AC2" s="4"/>
      <x:c r="AD2" s="4"/>
      <x:c r="AE2" s="4"/>
      <x:c r="AF2" s="4"/>
      <x:c r="AG2" s="4"/>
      <x:c r="AH2" s="4"/>
      <x:c r="AI2" s="4"/>
      <x:c r="AJ2" s="4"/>
    </x:row>
    <x:row r="4">
      <x:c r="A4" s="12" t="str">
        <x:v>Run ID</x:v>
      </x:c>
      <x:c r="B4" s="12" t="str">
        <x:v>Test ID</x:v>
      </x:c>
      <x:c r="C4" s="12" t="str">
        <x:v>Run Date</x:v>
      </x:c>
      <x:c r="D4" s="12" t="str">
        <x:v>Stage / Commit</x:v>
      </x:c>
      <x:c r="E4" s="12" t="str">
        <x:v>Host</x:v>
      </x:c>
      <x:c r="F4" s="12" t="str">
        <x:v>Backend</x:v>
      </x:c>
      <x:c r="G4" s="12" t="str">
        <x:v>Python</x:v>
      </x:c>
      <x:c r="H4" s="12" t="str">
        <x:v>Seed</x:v>
      </x:c>
      <x:c r="I4" s="12" t="str">
        <x:v>Alarm Count</x:v>
      </x:c>
      <x:c r="J4" s="12" t="str">
        <x:v>Planned Duration (min)</x:v>
      </x:c>
      <x:c r="K4" s="12" t="str">
        <x:v>Actual Duration (min)</x:v>
      </x:c>
      <x:c r="L4" s="12" t="str">
        <x:v>Iterations</x:v>
      </x:c>
      <x:c r="M4" s="12" t="str">
        <x:v>Iteration Period (s)</x:v>
      </x:c>
      <x:c r="N4" s="12" t="str">
        <x:v>Data Refresh (s)</x:v>
      </x:c>
      <x:c r="O4" s="12" t="str">
        <x:v>p50 Iteration (ms)</x:v>
      </x:c>
      <x:c r="P4" s="12" t="str">
        <x:v>p95 Iteration (ms)</x:v>
      </x:c>
      <x:c r="Q4" s="12" t="str">
        <x:v>p99 Iteration (ms)</x:v>
      </x:c>
      <x:c r="R4" s="12" t="str">
        <x:v>Max Iteration (ms)</x:v>
      </x:c>
      <x:c r="S4" s="12" t="str">
        <x:v>Overrun Count</x:v>
      </x:c>
      <x:c r="T4" s="12" t="str">
        <x:v>Overrun Ratio</x:v>
      </x:c>
      <x:c r="U4" s="12" t="str">
        <x:v>Avg CPU %</x:v>
      </x:c>
      <x:c r="V4" s="12" t="str">
        <x:v>Peak CPU %</x:v>
      </x:c>
      <x:c r="W4" s="12" t="str">
        <x:v>Avg RSS MB</x:v>
      </x:c>
      <x:c r="X4" s="12" t="str">
        <x:v>Peak RSS MB</x:v>
      </x:c>
      <x:c r="Y4" s="12" t="str">
        <x:v>WAL p95 (ms)</x:v>
      </x:c>
      <x:c r="Z4" s="12" t="str">
        <x:v>Snapshot p95 (ms)</x:v>
      </x:c>
      <x:c r="AA4" s="12" t="str">
        <x:v>Management p95 (ms)</x:v>
      </x:c>
      <x:c r="AB4" s="12" t="str">
        <x:v>Decision p95 (ms)</x:v>
      </x:c>
      <x:c r="AC4" s="12" t="str">
        <x:v>Durability Errors</x:v>
      </x:c>
      <x:c r="AD4" s="12" t="str">
        <x:v>Duplicate Effects</x:v>
      </x:c>
      <x:c r="AE4" s="12" t="str">
        <x:v>Invalid Snapshots</x:v>
      </x:c>
      <x:c r="AF4" s="12" t="str">
        <x:v>Lost Receipts</x:v>
      </x:c>
      <x:c r="AG4" s="12" t="str">
        <x:v>Stale Writer Mutations</x:v>
      </x:c>
      <x:c r="AH4" s="12" t="str">
        <x:v>Drain (ms)</x:v>
      </x:c>
      <x:c r="AI4" s="12" t="str">
        <x:v>Result</x:v>
      </x:c>
      <x:c r="AJ4" s="12" t="str">
        <x:v>Performance Class</x:v>
      </x:c>
      <x:c r="AK4" s="12" t="str">
        <x:v>Data Profile</x:v>
      </x:c>
      <x:c r="AL4" s="12" t="str">
        <x:v>Columns / Alarm</x:v>
      </x:c>
      <x:c r="AM4" s="12" t="str">
        <x:v>Source Views</x:v>
      </x:c>
      <x:c r="AN4" s="12" t="str">
        <x:v>Source Columns</x:v>
      </x:c>
      <x:c r="AO4" s="12" t="str">
        <x:v>Source Rows</x:v>
      </x:c>
      <x:c r="AP4" s="12" t="str">
        <x:v>Source Frame Bytes</x:v>
      </x:c>
      <x:c r="AQ4" s="12" t="str">
        <x:v>Source Load p50 (ms)</x:v>
      </x:c>
      <x:c r="AR4" s="12" t="str">
        <x:v>Source Load p95 (ms)</x:v>
      </x:c>
      <x:c r="AS4" s="12" t="str">
        <x:v>Source Load p99 (ms)</x:v>
      </x:c>
      <x:c r="AT4" s="12" t="str">
        <x:v>Physical Partition Count</x:v>
      </x:c>
      <x:c r="AU4" s="12" t="str">
        <x:v>Physical Partition Column Counts</x:v>
      </x:c>
      <x:c r="AV4" s="12" t="str">
        <x:v>Source Merge p50 (ms)</x:v>
      </x:c>
      <x:c r="AW4" s="12" t="str">
        <x:v>Source Merge p95 (ms)</x:v>
      </x:c>
      <x:c r="AX4" s="12" t="str">
        <x:v>Source Merge p99 (ms)</x:v>
      </x:c>
      <x:c r="AY4" s="12" t="str">
        <x:v>Physical Partition Layout</x:v>
      </x:c>
      <x:c r="AZ4" s="114" t="str">
        <x:v>Raw Harness Result</x:v>
      </x:c>
      <x:c r="BA4" s="114" t="str">
        <x:v>Expected Snapshot Alarms</x:v>
      </x:c>
      <x:c r="BB4" s="114" t="str">
        <x:v>Neutral Alarm Count</x:v>
      </x:c>
      <x:c r="BC4" s="114" t="str">
        <x:v>Adjudicated Integrity</x:v>
      </x:c>
      <x:c r="BD4" s="114" t="str">
        <x:v>Adjudication Note</x:v>
      </x:c>
      <x:c r="BE4" s="12" t="str">
        <x:v>Historical Series / Alarm</x:v>
      </x:c>
      <x:c r="BF4" s="12" t="str">
        <x:v>Historical Window (min)</x:v>
      </x:c>
      <x:c r="BG4" s="12" t="str">
        <x:v>Historical Step (s)</x:v>
      </x:c>
      <x:c r="BH4" s="12" t="str">
        <x:v>Historical Points / Series</x:v>
      </x:c>
      <x:c r="BI4" s="12" t="str">
        <x:v>Historical Value Count</x:v>
      </x:c>
      <x:c r="BJ4" s="12" t="str">
        <x:v>Source Numeric Value Count</x:v>
      </x:c>
      <x:c r="BK4" s="12" t="str">
        <x:v>Latest Source Columns</x:v>
      </x:c>
      <x:c r="BL4" s="12" t="str">
        <x:v>Historical Source Columns</x:v>
      </x:c>
      <x:c r="BM4" s="12" t="str">
        <x:v>Historical Source Rows</x:v>
      </x:c>
      <x:c r="BN4" s="32" t="str">
        <x:v>Priority Group Count</x:v>
      </x:c>
      <x:c r="BO4" s="32" t="str">
        <x:v>Priority Group Size</x:v>
      </x:c>
      <x:c r="BP4" s="32" t="str">
        <x:v>Operational Churn %</x:v>
      </x:c>
      <x:c r="BQ4" s="32" t="str">
        <x:v>Initial Active %</x:v>
      </x:c>
      <x:c r="BR4" s="32" t="str">
        <x:v>Churn Generations</x:v>
      </x:c>
      <x:c r="BS4" s="32" t="str">
        <x:v>Planned State Transitions</x:v>
      </x:c>
      <x:c r="BT4" s="32" t="str">
        <x:v>Lifecycle Commits</x:v>
      </x:c>
      <x:c r="BU4" s="32" t="str">
        <x:v>Expected Lifecycle Commits</x:v>
      </x:c>
      <x:c r="BV4" s="32" t="str">
        <x:v>Duplicate Lifecycle Commits</x:v>
      </x:c>
      <x:c r="BW4" s="32" t="str">
        <x:v>Occurrence Started</x:v>
      </x:c>
      <x:c r="BX4" s="32" t="str">
        <x:v>Expected Occurrence Started</x:v>
      </x:c>
      <x:c r="BY4" s="32" t="str">
        <x:v>Occurrence Closed</x:v>
      </x:c>
      <x:c r="BZ4" s="32" t="str">
        <x:v>Expected Occurrence Closed</x:v>
      </x:c>
      <x:c r="CA4" s="32" t="str">
        <x:v>Episode Started</x:v>
      </x:c>
      <x:c r="CB4" s="32" t="str">
        <x:v>Expected Episode Started</x:v>
      </x:c>
      <x:c r="CC4" s="32" t="str">
        <x:v>Episode Closed</x:v>
      </x:c>
      <x:c r="CD4" s="32" t="str">
        <x:v>Expected Episode Closed</x:v>
      </x:c>
      <x:c r="CE4" s="32" t="str">
        <x:v>Assignment Changes</x:v>
      </x:c>
      <x:c r="CF4" s="32" t="str">
        <x:v>Journey Events</x:v>
      </x:c>
      <x:c r="CG4" s="32" t="str">
        <x:v>Evidence Records</x:v>
      </x:c>
      <x:c r="CH4" s="32" t="str">
        <x:v>Evidence-only Commits</x:v>
      </x:c>
      <x:c r="CI4" s="32" t="str">
        <x:v>Functional Integrity</x:v>
      </x:c>
      <x:c r="CJ4" s="32" t="str">
        <x:v>Technical Hold Churn %</x:v>
      </x:c>
      <x:c r="CK4" s="32" t="str">
        <x:v>Expected Assignment Changes</x:v>
      </x:c>
      <x:c r="CL4" s="32" t="str">
        <x:v>Technical Hold Started</x:v>
      </x:c>
      <x:c r="CM4" s="32" t="str">
        <x:v>Expected Technical Hold Started</x:v>
      </x:c>
      <x:c r="CN4" s="32" t="str">
        <x:v>Technical Hold Cleared</x:v>
      </x:c>
      <x:c r="CO4" s="32" t="str">
        <x:v>Expected Technical Hold Cleared</x:v>
      </x:c>
      <x:c r="CP4" s="32" t="str">
        <x:v>Technical Hold Expired</x:v>
      </x:c>
      <x:c r="CQ4" s="32" t="str">
        <x:v>Occurrence Identity Mismatches</x:v>
      </x:c>
      <x:c r="CR4" s="32" t="str">
        <x:v>Technical Hold Expiry %</x:v>
      </x:c>
      <x:c r="CS4" s="32" t="str">
        <x:v>Expiry Stagger (s)</x:v>
      </x:c>
      <x:c r="CT4" s="32" t="str">
        <x:v>Error Duration (s)</x:v>
      </x:c>
      <x:c r="CU4" s="32" t="str">
        <x:v>Expected Technical Hold Expired</x:v>
      </x:c>
      <x:c r="CV4" s="32" t="str">
        <x:v>Post-expiry Occurrence Started</x:v>
      </x:c>
      <x:c r="CW4" s="32" t="str">
        <x:v>Expected Post-expiry Occurrence Started</x:v>
      </x:c>
      <x:c r="CX4" s="32" t="str">
        <x:v>Post-expiry Occurrence Identity Reuse</x:v>
      </x:c>
      <x:c r="CY4" s="32" t="str">
        <x:v>Invalid Occurrence Closure Reasons</x:v>
      </x:c>
      <x:c r="CZ4" s="32" t="str">
        <x:v>Invalid Episode Closure Reasons</x:v>
      </x:c>
      <x:c r="DA4" s="32" t="str">
        <x:v>Initial ERROR Activation %</x:v>
      </x:c>
      <x:c r="DB4" s="32" t="str">
        <x:v>Initial ERROR Hold (s)</x:v>
      </x:c>
      <x:c r="DC4" s="32" t="str">
        <x:v>Initial ERROR Activation Stagger (s)</x:v>
      </x:c>
      <x:c r="DD4" s="32" t="str">
        <x:v>Initial ERROR Activations</x:v>
      </x:c>
      <x:c r="DE4" s="32" t="str">
        <x:v>Expected Initial ERROR Activations</x:v>
      </x:c>
      <x:c r="DF4" s="32" t="str">
        <x:v>Pre-activation Lifecycle Commits</x:v>
      </x:c>
      <x:c r="DG4" s="32" t="str">
        <x:v>Fixed Initial ERROR %</x:v>
      </x:c>
      <x:c r="DH4" s="32" t="str">
        <x:v>Durable History Lookup Mode</x:v>
      </x:c>
      <x:c r="DI4" s="32" t="str">
        <x:v>History Lookup Cycles</x:v>
      </x:c>
      <x:c r="DJ4" s="32" t="str">
        <x:v>History Lookup Calls</x:v>
      </x:c>
      <x:c r="DK4" s="32" t="str">
        <x:v>History Lookup Total (ms)</x:v>
      </x:c>
      <x:c r="DL4" s="32" t="str">
        <x:v>Durable Journal Scans</x:v>
      </x:c>
      <x:c r="DM4" s="32" t="str">
        <x:v>Durable Journal Scan Total (ms)</x:v>
      </x:c>
      <x:c r="DN4" s="32" t="str">
        <x:v>Durable Record Entries Seen</x:v>
      </x:c>
      <x:c r="DO4" s="32" t="str">
        <x:v>History Index Builds</x:v>
      </x:c>
      <x:c r="DP4" s="32" t="str">
        <x:v>History Index Build Total (ms)</x:v>
      </x:c>
      <x:c r="DQ4" s="32" t="str">
        <x:v>Routing Criticality</x:v>
      </x:c>
      <x:c r="DR4" s="32" t="str">
        <x:v>C1 Routing Destinations</x:v>
      </x:c>
      <x:c r="DS4" s="32" t="str">
        <x:v>Assignment ASSIGNED</x:v>
      </x:c>
      <x:c r="DT4" s="32" t="str">
        <x:v>Expected Assignment ASSIGNED</x:v>
      </x:c>
      <x:c r="DU4" s="32" t="str">
        <x:v>Assignment SCHEDULED</x:v>
      </x:c>
      <x:c r="DV4" s="32" t="str">
        <x:v>Assignment RESCHEDULED</x:v>
      </x:c>
      <x:c r="DW4" s="32" t="str">
        <x:v>Assignment REMOVED</x:v>
      </x:c>
      <x:c r="DX4" s="32" t="str">
        <x:v>Snapshot Tool Assignments</x:v>
      </x:c>
      <x:c r="DY4" s="32" t="str">
        <x:v>Expected Snapshot Tool Assignments</x:v>
      </x:c>
      <x:c r="DZ4" s="32" t="str">
        <x:v>Snapshot Pending Assignments</x:v>
      </x:c>
      <x:c r="EA4" s="32" t="str">
        <x:v>Expected Snapshot Pending Assignments</x:v>
      </x:c>
      <x:c r="EB4" s="32" t="str">
        <x:v>C2 Routing Delays (s)</x:v>
      </x:c>
      <x:c r="EC4" s="32" t="str">
        <x:v>Expected Assignment SCHEDULED</x:v>
      </x:c>
      <x:c r="ED4" s="32" t="str">
        <x:v>Scheduled Delay Counts</x:v>
      </x:c>
      <x:c r="EE4" s="32" t="str">
        <x:v>Expected Scheduled Delay Counts</x:v>
      </x:c>
      <x:c r="EF4" s="32" t="str">
        <x:v>Routing Wave Assignment Counts</x:v>
      </x:c>
      <x:c r="EG4" s="32" t="str">
        <x:v>Expected Routing Wave Assignment Counts</x:v>
      </x:c>
      <x:c r="EH4" s="32" t="str">
        <x:v>Routing Wave Pending Counts</x:v>
      </x:c>
      <x:c r="EI4" s="32" t="str">
        <x:v>Expected Routing Wave Pending Counts</x:v>
      </x:c>
      <x:c r="EJ4" s="32" t="str">
        <x:v>C2 Reschedule Delays (s)</x:v>
      </x:c>
      <x:c r="EK4" s="32" t="str">
        <x:v>C2 Phase A Seconds</x:v>
      </x:c>
      <x:c r="EL4" s="32" t="str">
        <x:v>Expected Assignment RESCHEDULED</x:v>
      </x:c>
      <x:c r="EM4" s="32" t="str">
        <x:v>Rescheduled Delay Counts</x:v>
      </x:c>
      <x:c r="EN4" s="32" t="str">
        <x:v>Expected Rescheduled Delay Counts</x:v>
      </x:c>
      <x:c r="EO4" s="32" t="str">
        <x:v>Delayed Assignment Delay Counts</x:v>
      </x:c>
      <x:c r="EP4" s="32" t="str">
        <x:v>Expected Delayed Assignment Delay Counts</x:v>
      </x:c>
      <x:c r="EQ4" s="32" t="str">
        <x:v>Reschedule Commits</x:v>
      </x:c>
      <x:c r="ER4" s="32" t="str">
        <x:v>Expected Reschedule Commits</x:v>
      </x:c>
      <x:c r="ES4" s="32" t="str">
        <x:v>Routing Revision Transition OK</x:v>
      </x:c>
      <x:c r="ET4" s="32" t="str">
        <x:v>Phase A Run ID</x:v>
      </x:c>
      <x:c r="EU4" s="32" t="str">
        <x:v>Phase B Run ID</x:v>
      </x:c>
      <x:c r="EV4" s="32" t="str">
        <x:v>C2 Removal Phase A Seconds</x:v>
      </x:c>
      <x:c r="EW4" s="32" t="str">
        <x:v>Expected Assignment REMOVED</x:v>
      </x:c>
      <x:c r="EX4" s="32" t="str">
        <x:v>Removal Tool Counts</x:v>
      </x:c>
      <x:c r="EY4" s="32" t="str">
        <x:v>Expected Removal Tool Counts</x:v>
      </x:c>
      <x:c r="EZ4" s="32" t="str">
        <x:v>Removed Assigned Count</x:v>
      </x:c>
      <x:c r="FA4" s="32" t="str">
        <x:v>Expected Removed Assigned Count</x:v>
      </x:c>
      <x:c r="FB4" s="32" t="str">
        <x:v>Removed Pending Count</x:v>
      </x:c>
      <x:c r="FC4" s="32" t="str">
        <x:v>Expected Removed Pending Count</x:v>
      </x:c>
      <x:c r="FD4" s="32" t="str">
        <x:v>Removal Commits</x:v>
      </x:c>
      <x:c r="FE4" s="32" t="str">
        <x:v>Expected Removal Commits</x:v>
      </x:c>
      <x:c r="FF4" s="32" t="str">
        <x:v>Management Action At (s)</x:v>
      </x:c>
      <x:c r="FG4" s="32" t="str">
        <x:v>Management Input ID</x:v>
      </x:c>
      <x:c r="FH4" s="32" t="str">
        <x:v>Management Input Receipts</x:v>
      </x:c>
      <x:c r="FI4" s="32" t="str">
        <x:v>Expected Management Input Receipts</x:v>
      </x:c>
      <x:c r="FJ4" s="32" t="str">
        <x:v>Management EFFECTIVE Receipts</x:v>
      </x:c>
      <x:c r="FK4" s="32" t="str">
        <x:v>Management Effect STARTED</x:v>
      </x:c>
      <x:c r="FL4" s="32" t="str">
        <x:v>Management Effect CLEARED</x:v>
      </x:c>
      <x:c r="FM4" s="32" t="str">
        <x:v>Management Commits</x:v>
      </x:c>
      <x:c r="FN4" s="32" t="str">
        <x:v>Management Deactivation Requests</x:v>
      </x:c>
      <x:c r="FO4" s="32" t="str">
        <x:v>Target Group Durable Records</x:v>
      </x:c>
      <x:c r="FP4" s="32" t="str">
        <x:v>Total Durable Records</x:v>
      </x:c>
      <x:c r="FQ4" s="32" t="str">
        <x:v>Management Cursor Offset</x:v>
      </x:c>
      <x:c r="FR4" s="32" t="str">
        <x:v>Management Consumer Pending</x:v>
      </x:c>
      <x:c r="FS4" s="32" t="str">
        <x:v>Snapshot Management Effects</x:v>
      </x:c>
      <x:c r="FT4" s="32" t="str">
        <x:v>Receipt Before Cursor</x:v>
      </x:c>
      <x:c r="FU4" s="32" t="str">
        <x:v>Input→Receipt (ms)</x:v>
      </x:c>
      <x:c r="FV4" s="32" t="str">
        <x:v>Management Target Occurrence ID</x:v>
      </x:c>
      <x:c r="FW4" s="32" t="str">
        <x:v>Management Occurrence Identity Mismatches</x:v>
      </x:c>
      <x:c r="FX4" s="32" t="str">
        <x:v>Management Action Count</x:v>
      </x:c>
      <x:c r="FY4" s="32" t="str">
        <x:v>Management Action Interval (s)</x:v>
      </x:c>
      <x:c r="FZ4" s="32" t="str">
        <x:v>Management Lost Inputs</x:v>
      </x:c>
      <x:c r="GA4" s="32" t="str">
        <x:v>Management Duplicate Receipts</x:v>
      </x:c>
      <x:c r="GB4" s="32" t="str">
        <x:v>Management Unique Targets</x:v>
      </x:c>
      <x:c r="GC4" s="32" t="str">
        <x:v>Expected Management Unique Targets</x:v>
      </x:c>
      <x:c r="GD4" s="32" t="str">
        <x:v>Management Pending High Water</x:v>
      </x:c>
      <x:c r="GE4" s="32" t="str">
        <x:v>Management Max Batch</x:v>
      </x:c>
      <x:c r="GF4" s="32" t="str">
        <x:v>Management Nonempty Batches</x:v>
      </x:c>
      <x:c r="GG4" s="32" t="str">
        <x:v>Management Batch Sizes</x:v>
      </x:c>
      <x:c r="GH4" s="32" t="str">
        <x:v>Receipt-before-Cursor Checked</x:v>
      </x:c>
      <x:c r="GI4" s="32" t="str">
        <x:v>Input→Receipt p50 (ms)</x:v>
      </x:c>
      <x:c r="GJ4" s="32" t="str">
        <x:v>Input→Receipt p95 (ms)</x:v>
      </x:c>
      <x:c r="GK4" s="32" t="str">
        <x:v>Input→Receipt p99 (ms)</x:v>
      </x:c>
      <x:c r="GL4" s="32" t="str">
        <x:v>Input→Receipt Max (ms)</x:v>
      </x:c>
      <x:c r="GM4" s="32" t="str">
        <x:v>Management Arrival Mode</x:v>
      </x:c>
      <x:c r="GN4" s="32" t="str">
        <x:v>Management First Nonempty Batch</x:v>
      </x:c>
      <x:c r="GO4" s="32" t="str">
        <x:v>Expected First Nonempty Batch</x:v>
      </x:c>
      <x:c r="GP4" s="32" t="str">
        <x:v>Burst Fully Absorbed First Eligible Iteration</x:v>
      </x:c>
      <x:c r="GQ4" s="32" t="str">
        <x:v>Decision Request At (s)</x:v>
      </x:c>
      <x:c r="GR4" s="32" t="str">
        <x:v>Decision At (s)</x:v>
      </x:c>
      <x:c r="GS4" s="32" t="str">
        <x:v>Deactivation Window (s)</x:v>
      </x:c>
      <x:c r="GT4" s="32" t="str">
        <x:v>Deactivation Request ID</x:v>
      </x:c>
      <x:c r="GU4" s="32" t="str">
        <x:v>Deactivation Decision ID</x:v>
      </x:c>
      <x:c r="GV4" s="32" t="str">
        <x:v>Decision Target Alarm</x:v>
      </x:c>
      <x:c r="GW4" s="32" t="str">
        <x:v>Decision Target Occurrence</x:v>
      </x:c>
      <x:c r="GX4" s="32" t="str">
        <x:v>Request Receipts</x:v>
      </x:c>
      <x:c r="GY4" s="32" t="str">
        <x:v>PENDING_APPROVAL Receipts</x:v>
      </x:c>
      <x:c r="GZ4" s="32" t="str">
        <x:v>Deactivation Request Records</x:v>
      </x:c>
      <x:c r="HA4" s="32" t="str">
        <x:v>Approval-required Requests</x:v>
      </x:c>
      <x:c r="HB4" s="32" t="str">
        <x:v>Decision Receipts</x:v>
      </x:c>
      <x:c r="HC4" s="32" t="str">
        <x:v>APPLIED Decision Receipts</x:v>
      </x:c>
      <x:c r="HD4" s="32" t="str">
        <x:v>Management Effect STARTED (Decision Setup)</x:v>
      </x:c>
      <x:c r="HE4" s="32" t="str">
        <x:v>Deactivation Effect STARTED</x:v>
      </x:c>
      <x:c r="HF4" s="32" t="str">
        <x:v>Deactivation Effect CLEARED</x:v>
      </x:c>
      <x:c r="HG4" s="32" t="str">
        <x:v>Decision Management Cursor Offset</x:v>
      </x:c>
      <x:c r="HH4" s="32" t="str">
        <x:v>Decision Cursor Offset</x:v>
      </x:c>
      <x:c r="HI4" s="32" t="str">
        <x:v>Decision Management Pending</x:v>
      </x:c>
      <x:c r="HJ4" s="32" t="str">
        <x:v>Decision Pending Final</x:v>
      </x:c>
      <x:c r="HK4" s="32" t="str">
        <x:v>Pending Requests Final</x:v>
      </x:c>
      <x:c r="HL4" s="32" t="str">
        <x:v>Pending Request High Water</x:v>
      </x:c>
      <x:c r="HM4" s="32" t="str">
        <x:v>Decision Pending High Water</x:v>
      </x:c>
      <x:c r="HN4" s="32" t="str">
        <x:v>Request Before Decision</x:v>
      </x:c>
      <x:c r="HO4" s="32" t="str">
        <x:v>Target Visible While Pending</x:v>
      </x:c>
      <x:c r="HP4" s="32" t="str">
        <x:v>Request Receipt Before Management Cursor</x:v>
      </x:c>
      <x:c r="HQ4" s="32" t="str">
        <x:v>Decision Receipt Before Decision Cursor</x:v>
      </x:c>
      <x:c r="HR4" s="32" t="str">
        <x:v>Effect Window Preserved</x:v>
      </x:c>
      <x:c r="HS4" s="32" t="str">
        <x:v>Remaining Window (s)</x:v>
      </x:c>
      <x:c r="HT4" s="32" t="str">
        <x:v>Expected Remaining Window (s)</x:v>
      </x:c>
      <x:c r="HU4" s="32" t="str">
        <x:v>Decision Input→Receipt (ms)</x:v>
      </x:c>
      <x:c r="HV4" s="32" t="str">
        <x:v>Decision Target Group Durable Records</x:v>
      </x:c>
      <x:c r="HW4" s="32" t="str">
        <x:v>Expected Decision Target Group Records</x:v>
      </x:c>
      <x:c r="HX4" s="32" t="str">
        <x:v>Expected Decision Total Durable Records</x:v>
      </x:c>
      <x:c r="HY4" s="32" t="str">
        <x:v>Decision Functional Integrity</x:v>
      </x:c>
      <x:c r="JA4" t="str">
        <x:v>Decision Phase A Run ID</x:v>
      </x:c>
      <x:c r="JB4" t="str">
        <x:v>Decision Phase B Run ID</x:v>
      </x:c>
      <x:c r="JC4" t="str">
        <x:v>Phase A Actual Duration (s)</x:v>
      </x:c>
      <x:c r="JD4" t="str">
        <x:v>Phase B Actual Duration (s)</x:v>
      </x:c>
      <x:c r="JE4" t="str">
        <x:v>Phase A Pending Requests</x:v>
      </x:c>
      <x:c r="JF4" t="str">
        <x:v>Request Receipt Before Cursor Checked</x:v>
      </x:c>
      <x:c r="JG4" t="str">
        <x:v>Decision Receipt Before Cursor Checked</x:v>
      </x:c>
      <x:c r="JH4" t="str">
        <x:v>Decision Lost Inputs</x:v>
      </x:c>
      <x:c r="JI4" t="str">
        <x:v>Decision Duplicate Receipts</x:v>
      </x:c>
      <x:c r="JJ4" t="str">
        <x:v>Wrong Decision→Request Correlations</x:v>
      </x:c>
      <x:c r="JK4" t="str">
        <x:v>Request Occurrence Identity Mismatches</x:v>
      </x:c>
      <x:c r="JL4" t="str">
        <x:v>Final Occurrence Identity Mismatches</x:v>
      </x:c>
      <x:c r="JM4" t="str">
        <x:v>Effect Window Mismatches</x:v>
      </x:c>
      <x:c r="JN4" t="str">
        <x:v>Decision Source Max Batch</x:v>
      </x:c>
      <x:c r="JO4" t="str">
        <x:v>Decision Receipt Max Batch</x:v>
      </x:c>
      <x:c r="JP4" t="str">
        <x:v>Decision Nonempty Batch Count</x:v>
      </x:c>
      <x:c r="JQ4" t="str">
        <x:v>Decision Batch Sizes</x:v>
      </x:c>
      <x:c r="JR4" t="str">
        <x:v>Decision Input→Receipt p50 (ms)</x:v>
      </x:c>
      <x:c r="JS4" t="str">
        <x:v>Decision Input→Receipt p95 (ms)</x:v>
      </x:c>
      <x:c r="JT4" t="str">
        <x:v>Decision Input→Receipt p99 (ms)</x:v>
      </x:c>
      <x:c r="JU4" t="str">
        <x:v>Decision Input→Receipt Max (ms)</x:v>
      </x:c>
      <x:c r="JV4" t="str">
        <x:v>Remaining Window Min (s)</x:v>
      </x:c>
      <x:c r="JW4" t="str">
        <x:v>Remaining Window Max (s)</x:v>
      </x:c>
      <x:c r="JX4" t="str">
        <x:v>Snapshot Management Effects (Decision)</x:v>
      </x:c>
      <x:c r="JY4" t="str">
        <x:v>Snapshot Deactivation Effects</x:v>
      </x:c>
      <x:c r="JZ4" t="str">
        <x:v>Decision Functional Integrity (Sustained)</x:v>
      </x:c>
      <x:c r="KA4" t="str">
        <x:v>WAL Durable Records</x:v>
      </x:c>
      <x:c r="KB4" t="str">
        <x:v>WAL Bytes</x:v>
      </x:c>
      <x:c r="KC4" t="str">
        <x:v>WAL Commit ID Duplicates</x:v>
      </x:c>
      <x:c r="KD4" t="str">
        <x:v>Materialized Snapshot Mismatches</x:v>
      </x:c>
      <x:c r="KE4" t="str">
        <x:v>Commit Chain Mismatches</x:v>
      </x:c>
      <x:c r="KF4" t="str">
        <x:v>Durable == Materialized</x:v>
      </x:c>
      <x:c r="KG4" t="str">
        <x:v>Phase A Execution Status</x:v>
      </x:c>
      <x:c r="KH4" t="str">
        <x:v>Phase B Execution Status</x:v>
      </x:c>
      <x:c r="KI4" t="str">
        <x:v>Decision Batch Sum</x:v>
      </x:c>
      <x:c r="KJ4" t="str">
        <x:v>Decision Batch Distribution</x:v>
      </x:c>
      <x:c r="KK4" t="str">
        <x:v>Decision Arrival Mode</x:v>
      </x:c>
      <x:c r="KL4" t="str">
        <x:v>Decision First Nonempty Receipt Batch</x:v>
      </x:c>
      <x:c r="KM4" t="str">
        <x:v>Decision Fully Absorbed First Eligible Iteration</x:v>
      </x:c>
      <x:c r="KN4" t="str">
        <x:v>D008 Early Decision Cursor</x:v>
      </x:c>
      <x:c r="KO4" t="str">
        <x:v>D008 Early Decision Pending</x:v>
      </x:c>
      <x:c r="KP4" t="str">
        <x:v>D008 Early Decision Receipts</x:v>
      </x:c>
      <x:c r="KQ4" t="str">
        <x:v>D008 Post-request Management Cursor</x:v>
      </x:c>
      <x:c r="KR4" t="str">
        <x:v>D008 Post-request Decision Pending</x:v>
      </x:c>
      <x:c r="KS4" t="str">
        <x:v>D008 Post-request Pending Requests</x:v>
      </x:c>
      <x:c r="KT4" t="str">
        <x:v>D008 Post-request Decision Receipts</x:v>
      </x:c>
      <x:c r="KU4" t="str">
        <x:v>D008 Fresh Decision Records</x:v>
      </x:c>
      <x:c r="KV4" t="str">
        <x:v>D008 Pending read_at Count</x:v>
      </x:c>
      <x:c r="KW4" t="str">
        <x:v>D008 Pending read_at / Input</x:v>
      </x:c>
      <x:c r="KX4" t="str">
        <x:v>D008 Delivery→Receipt (ms)</x:v>
      </x:c>
      <x:c r="KY4" t="str">
        <x:v>D008 Early Pending State OK</x:v>
      </x:c>
      <x:c r="KZ4" t="str">
        <x:v>D008 Post-request Pending State OK</x:v>
      </x:c>
      <x:c r="LA4" t="str">
        <x:v>D008 Final Replay State OK</x:v>
      </x:c>
      <x:c r="LB4" t="str">
        <x:v>D009 Request Input→Receipt p50 (ms)</x:v>
      </x:c>
      <x:c r="LC4" t="str">
        <x:v>D009 Request Input→Receipt p95 (ms)</x:v>
      </x:c>
      <x:c r="LD4" t="str">
        <x:v>D009 Request Input→Receipt p99 (ms)</x:v>
      </x:c>
      <x:c r="LE4" t="str">
        <x:v>D009 Request Input→Receipt Max (ms)</x:v>
      </x:c>
      <x:c r="LF4" t="str">
        <x:v>D009 Request Batch Distribution</x:v>
      </x:c>
      <x:c r="LG4" t="str">
        <x:v>D009 Decision Batch Distribution</x:v>
      </x:c>
      <x:c r="LH4" t="str">
        <x:v>D009 Mixed Receipt Cycles</x:v>
      </x:c>
      <x:c r="LI4" t="str">
        <x:v>D009 Management Pending High Water</x:v>
      </x:c>
      <x:c r="LJ4" t="str">
        <x:v>D009 Decision Pending High Water</x:v>
      </x:c>
      <x:c r="LK4" t="str">
        <x:v>D009 Pending Request High Water</x:v>
      </x:c>
      <x:c r="LL4" t="str">
        <x:v>D009 Management pending read_at</x:v>
      </x:c>
      <x:c r="LM4" t="str">
        <x:v>D009 Decision pending read_at</x:v>
      </x:c>
      <x:c r="LN4" t="str">
        <x:v>D009 Fresh Management Records</x:v>
      </x:c>
      <x:c r="LO4" t="str">
        <x:v>D009 Fresh Decision Records</x:v>
      </x:c>
      <x:c r="LP4" t="str">
        <x:v>D009 Mixed Cycle p50 (ms)</x:v>
      </x:c>
      <x:c r="LQ4" t="str">
        <x:v>D009 Mixed Cycle p95 (ms)</x:v>
      </x:c>
      <x:c r="LR4" t="str">
        <x:v>D009 Mixed Cycle p99 (ms)</x:v>
      </x:c>
      <x:c r="LS4" t="str">
        <x:v>D009 Mixed Cycle Max (ms)</x:v>
      </x:c>
      <x:c r="LT4" t="str">
        <x:v>D010 STALE_TARGET Receipts</x:v>
      </x:c>
      <x:c r="LU4" t="str">
        <x:v>D010 Harness Config Removed Count</x:v>
      </x:c>
      <x:c r="LV4" t="str">
        <x:v>D010 Durable Config Removed Count</x:v>
      </x:c>
      <x:c r="LW4" t="str">
        <x:v>D010 Harness Wrong Correlation Count</x:v>
      </x:c>
      <x:c r="LX4" t="str">
        <x:v>D010 Durable Wrong Correlation Count</x:v>
      </x:c>
      <x:c r="LY4" t="str">
        <x:v>D010 ManagementEffect CLEARED</x:v>
      </x:c>
      <x:c r="LZ4" t="str">
        <x:v>D010 Runtime Alarm Count</x:v>
      </x:c>
      <x:c r="MA4" t="str">
        <x:v>D010 Removed Targets Present</x:v>
      </x:c>
      <x:c r="MB4" t="str">
        <x:v>D010 Fresh Management</x:v>
      </x:c>
      <x:c r="MC4" t="str">
        <x:v>D010 Fresh Decisions</x:v>
      </x:c>
      <x:c r="MD4" t="str">
        <x:v>D010 Management pending read_at</x:v>
      </x:c>
      <x:c r="ME4" t="str">
        <x:v>D010 Decision pending read_at</x:v>
      </x:c>
      <x:c r="MF4" t="str">
        <x:v>D010 Request Batch</x:v>
      </x:c>
      <x:c r="MG4" t="str">
        <x:v>D010 Decision Batch</x:v>
      </x:c>
      <x:c r="MH4" t="str">
        <x:v>D010 WAL Expected</x:v>
      </x:c>
      <x:c r="MI4" t="str">
        <x:v>D010 WAL Actual</x:v>
      </x:c>
      <x:c r="MJ4" t="str">
        <x:v>D010 Single Execution</x:v>
      </x:c>
      <x:c r="MK4" t="str">
        <x:v>D010 False Negative Cause</x:v>
      </x:c>
      <x:c r="ML4" t="str">
        <x:v>E001 Plan Change Count</x:v>
      </x:c>
      <x:c r="MM4" t="str">
        <x:v>E001 Compatible</x:v>
      </x:c>
      <x:c r="MN4" t="str">
        <x:v>E001 Unchanged</x:v>
      </x:c>
      <x:c r="MO4" t="str">
        <x:v>E001 Structural Reset</x:v>
      </x:c>
      <x:c r="MP4" t="str">
        <x:v>E001 Disabled</x:v>
      </x:c>
      <x:c r="MQ4" t="str">
        <x:v>E001 Removed</x:v>
      </x:c>
      <x:c r="MR4" t="str">
        <x:v>E001 Rejected</x:v>
      </x:c>
      <x:c r="MS4" t="str">
        <x:v>E001 Source Revision</x:v>
      </x:c>
      <x:c r="MT4" t="str">
        <x:v>E001 Target Revision</x:v>
      </x:c>
      <x:c r="MU4" t="str">
        <x:v>E001 Source Threshold</x:v>
      </x:c>
      <x:c r="MV4" t="str">
        <x:v>E001 Target Threshold</x:v>
      </x:c>
      <x:c r="MW4" t="str">
        <x:v>E001 Target Runtime Alarms</x:v>
      </x:c>
      <x:c r="MX4" t="str">
        <x:v>E001 Target Threshold Alarms</x:v>
      </x:c>
      <x:c r="MY4" t="str">
        <x:v>E001 Adoption Iteration</x:v>
      </x:c>
      <x:c r="MZ4" t="str">
        <x:v>E001 Adoption Iteration (ms)</x:v>
      </x:c>
      <x:c r="NA4" t="str">
        <x:v>E001 Adoption CPU %</x:v>
      </x:c>
      <x:c r="NB4" t="str">
        <x:v>E001 Adoption Cycle Executed</x:v>
      </x:c>
      <x:c r="NC4" t="str">
        <x:v>E001 Post-adoption Cache Current Iterations</x:v>
      </x:c>
      <x:c r="ND4" t="str">
        <x:v>E001 Effective Cache Revision</x:v>
      </x:c>
      <x:c r="NE4" t="str">
        <x:v>E001 Source Revision Durable Records</x:v>
      </x:c>
      <x:c r="NF4" t="str">
        <x:v>E001 Target Revision Durable Records</x:v>
      </x:c>
      <x:c r="NG4" t="str">
        <x:v>E001 Source State Basis Snapshots</x:v>
      </x:c>
      <x:c r="NH4" t="str">
        <x:v>E001 Target State Basis Snapshots</x:v>
      </x:c>
      <x:c r="NI4" t="str">
        <x:v>E001 Open Occurrences</x:v>
      </x:c>
      <x:c r="NJ4" t="str">
        <x:v>E001 Expected Durable Records</x:v>
      </x:c>
      <x:c r="NK4" t="str">
        <x:v>E001 Actual Durable Records</x:v>
      </x:c>
      <x:c r="NL4" t="str">
        <x:v>E001 Adoption vs D010 Reduction %</x:v>
      </x:c>
      <x:c r="NM4" t="str">
        <x:v>E002 Plan Change Count</x:v>
      </x:c>
      <x:c r="NN4" t="str">
        <x:v>E002 Compatible</x:v>
      </x:c>
      <x:c r="NO4" t="str">
        <x:v>E002 Unchanged</x:v>
      </x:c>
      <x:c r="NP4" t="str">
        <x:v>E002 Structural Reset</x:v>
      </x:c>
      <x:c r="NQ4" t="str">
        <x:v>E002 Disabled</x:v>
      </x:c>
      <x:c r="NR4" t="str">
        <x:v>E002 Removed</x:v>
      </x:c>
      <x:c r="NS4" t="str">
        <x:v>E002 Rejected</x:v>
      </x:c>
      <x:c r="NT4" t="str">
        <x:v>E002 Source Revision</x:v>
      </x:c>
      <x:c r="NU4" t="str">
        <x:v>E002 Target Revision</x:v>
      </x:c>
      <x:c r="NV4" t="str">
        <x:v>E002 Source Delays</x:v>
      </x:c>
      <x:c r="NW4" t="str">
        <x:v>E002 Target Delays</x:v>
      </x:c>
      <x:c r="NX4" t="str">
        <x:v>E002 Adoption Iteration</x:v>
      </x:c>
      <x:c r="NY4" t="str">
        <x:v>E002 Adoption Iteration (ms)</x:v>
      </x:c>
      <x:c r="NZ4" t="str">
        <x:v>E002 Adoption CPU %</x:v>
      </x:c>
      <x:c r="OA4" t="str">
        <x:v>E002 Adoption Cycle Executed</x:v>
      </x:c>
      <x:c r="OB4" t="str">
        <x:v>E002 Adoption Commits</x:v>
      </x:c>
      <x:c r="OC4" t="str">
        <x:v>E002 Adoption ASSIGNED</x:v>
      </x:c>
      <x:c r="OD4" t="str">
        <x:v>E002 Adoption RESCHEDULED</x:v>
      </x:c>
      <x:c r="OE4" t="str">
        <x:v>E002 Post-adoption Cache Current Iterations</x:v>
      </x:c>
      <x:c r="OF4" t="str">
        <x:v>E002 Effective Cache Revision</x:v>
      </x:c>
      <x:c r="OG4" t="str">
        <x:v>E002 Source Revision Durable Records</x:v>
      </x:c>
      <x:c r="OH4" t="str">
        <x:v>E002 Target Revision Durable Records</x:v>
      </x:c>
      <x:c r="OI4" t="str">
        <x:v>E002 Final Assignments</x:v>
      </x:c>
      <x:c r="OJ4" t="str">
        <x:v>E002 Final Pending</x:v>
      </x:c>
      <x:c r="OK4" t="str">
        <x:v>E002 Open Occurrences</x:v>
      </x:c>
      <x:c r="OL4" t="str">
        <x:v>E002 Source State Basis Snapshots</x:v>
      </x:c>
      <x:c r="OM4" t="str">
        <x:v>E002 Target State Basis Snapshots</x:v>
      </x:c>
      <x:c r="ON4" t="str">
        <x:v>E002 WAL Expected</x:v>
      </x:c>
      <x:c r="OO4" t="str">
        <x:v>E002 WAL Actual</x:v>
      </x:c>
      <x:c r="OP4" t="str">
        <x:v>E002 Routing Waves Assigned</x:v>
      </x:c>
      <x:c r="OQ4" t="str">
        <x:v>E002 Routing Waves Pending</x:v>
      </x:c>
      <x:c r="OR4" t="str">
        <x:v>E002 Route01 Adoption Duplicate Events</x:v>
      </x:c>
      <x:c r="OS4" t="str">
        <x:v>E003 Plan Change Count</x:v>
      </x:c>
      <x:c r="OT4" t="str">
        <x:v>E003 Unchanged</x:v>
      </x:c>
      <x:c r="OU4" t="str">
        <x:v>E003 Disabled</x:v>
      </x:c>
      <x:c r="OV4" t="str">
        <x:v>E003 Compatible</x:v>
      </x:c>
      <x:c r="OW4" t="str">
        <x:v>E003 Structural Reset</x:v>
      </x:c>
      <x:c r="OX4" t="str">
        <x:v>E003 Removed</x:v>
      </x:c>
      <x:c r="OY4" t="str">
        <x:v>E003 Rejected</x:v>
      </x:c>
      <x:c r="OZ4" t="str">
        <x:v>E003 Source Revision</x:v>
      </x:c>
      <x:c r="PA4" t="str">
        <x:v>E003 Target Revision</x:v>
      </x:c>
      <x:c r="PB4" t="str">
        <x:v>E003 Adoption Iteration</x:v>
      </x:c>
      <x:c r="PC4" t="str">
        <x:v>E003 Adoption Iteration (ms)</x:v>
      </x:c>
      <x:c r="PD4" t="str">
        <x:v>E003 Adoption CPU %</x:v>
      </x:c>
      <x:c r="PE4" t="str">
        <x:v>E003 Adoption Cycle Executed</x:v>
      </x:c>
      <x:c r="PF4" t="str">
        <x:v>E003 Adoption Commits</x:v>
      </x:c>
      <x:c r="PG4" t="str">
        <x:v>E003 Post-adoption Cache Current Iterations</x:v>
      </x:c>
      <x:c r="PH4" t="str">
        <x:v>E003 Effective Cache Revision</x:v>
      </x:c>
      <x:c r="PI4" t="str">
        <x:v>E003 Defined Target Alarms</x:v>
      </x:c>
      <x:c r="PJ4" t="str">
        <x:v>E003 Runtime Target Alarms</x:v>
      </x:c>
      <x:c r="PK4" t="str">
        <x:v>E003 Configuration Disabled Closures</x:v>
      </x:c>
      <x:c r="PL4" t="str">
        <x:v>E003 Configuration Removed Closures</x:v>
      </x:c>
      <x:c r="PM4" t="str">
        <x:v>E003 Occurrence Identity Mismatches</x:v>
      </x:c>
      <x:c r="PN4" t="str">
        <x:v>E003 Source Revision Durable Records</x:v>
      </x:c>
      <x:c r="PO4" t="str">
        <x:v>E003 Target Revision Durable Records</x:v>
      </x:c>
      <x:c r="PP4" t="str">
        <x:v>E003 Source Basis Snapshots</x:v>
      </x:c>
      <x:c r="PQ4" t="str">
        <x:v>E003 Target Basis Snapshots</x:v>
      </x:c>
      <x:c r="PR4" t="str">
        <x:v>E003 Final Alarms</x:v>
      </x:c>
      <x:c r="PS4" t="str">
        <x:v>E003 Final Assignments</x:v>
      </x:c>
      <x:c r="PT4" t="str">
        <x:v>E003 Final Pending</x:v>
      </x:c>
      <x:c r="PU4" t="str">
        <x:v>E003 Open Occurrences</x:v>
      </x:c>
      <x:c r="PV4" t="str">
        <x:v>E003 Open Episodes</x:v>
      </x:c>
      <x:c r="PW4" t="str">
        <x:v>E003 Disabled Targets Present</x:v>
      </x:c>
      <x:c r="PX4" t="str">
        <x:v>E003 WAL Expected</x:v>
      </x:c>
      <x:c r="PY4" t="str">
        <x:v>E003 WAL Actual</x:v>
      </x:c>
      <x:c r="PZ4" t="str">
        <x:v>E004 Plan Change Count</x:v>
      </x:c>
      <x:c r="QA4" t="str">
        <x:v>E004 Unchanged</x:v>
      </x:c>
      <x:c r="QB4" t="str">
        <x:v>E004 Removed</x:v>
      </x:c>
      <x:c r="QC4" t="str">
        <x:v>E004 Disabled</x:v>
      </x:c>
      <x:c r="QD4" t="str">
        <x:v>E004 Compatible</x:v>
      </x:c>
      <x:c r="QE4" t="str">
        <x:v>E004 Structural Reset</x:v>
      </x:c>
      <x:c r="QF4" t="str">
        <x:v>E004 Rejected</x:v>
      </x:c>
      <x:c r="QG4" t="str">
        <x:v>E004 Source Revision</x:v>
      </x:c>
      <x:c r="QH4" t="str">
        <x:v>E004 Target Revision</x:v>
      </x:c>
      <x:c r="QI4" t="str">
        <x:v>E004 Request At (s)</x:v>
      </x:c>
      <x:c r="QJ4" t="str">
        <x:v>E004 Decision At (s)</x:v>
      </x:c>
      <x:c r="QK4" t="str">
        <x:v>E004 Removal At (s)</x:v>
      </x:c>
      <x:c r="QL4" t="str">
        <x:v>E004 Deactivation Window (s)</x:v>
      </x:c>
      <x:c r="QM4" t="str">
        <x:v>E004 Adoption Iteration</x:v>
      </x:c>
      <x:c r="QN4" t="str">
        <x:v>E004 Adoption Iteration (ms)</x:v>
      </x:c>
      <x:c r="QO4" t="str">
        <x:v>E004 Adoption CPU %</x:v>
      </x:c>
      <x:c r="QP4" t="str">
        <x:v>E004 Adoption Cycle Executed</x:v>
      </x:c>
      <x:c r="QQ4" t="str">
        <x:v>E004 Adoption Commits</x:v>
      </x:c>
      <x:c r="QR4" t="str">
        <x:v>E004 Post-adoption Cache Current Iterations</x:v>
      </x:c>
      <x:c r="QS4" t="str">
        <x:v>E004 Effective Cache Revision</x:v>
      </x:c>
      <x:c r="QT4" t="str">
        <x:v>E004 Request Receipts PENDING_APPROVAL</x:v>
      </x:c>
      <x:c r="QU4" t="str">
        <x:v>E004 Deactivation Requests</x:v>
      </x:c>
      <x:c r="QV4" t="str">
        <x:v>E004 ManagementEffect STARTED</x:v>
      </x:c>
      <x:c r="QW4" t="str">
        <x:v>E004 Decision Receipts APPLIED</x:v>
      </x:c>
      <x:c r="QX4" t="str">
        <x:v>E004 DeactivationEffect STARTED</x:v>
      </x:c>
      <x:c r="QY4" t="str">
        <x:v>E004 Configuration Removed Closures</x:v>
      </x:c>
      <x:c r="QZ4" t="str">
        <x:v>E004 Configuration Disabled Closures</x:v>
      </x:c>
      <x:c r="RA4" t="str">
        <x:v>E004 ManagementEffect CLEARED</x:v>
      </x:c>
      <x:c r="RB4" t="str">
        <x:v>E004 DeactivationEffect CLEARED</x:v>
      </x:c>
      <x:c r="RC4" t="str">
        <x:v>E004 Occurrence Identity Mismatches</x:v>
      </x:c>
      <x:c r="RD4" t="str">
        <x:v>E004 Control-plane Correlation Mismatches</x:v>
      </x:c>
      <x:c r="RE4" t="str">
        <x:v>E004 Source Revision Durable Records</x:v>
      </x:c>
      <x:c r="RF4" t="str">
        <x:v>E004 Target Revision Durable Records</x:v>
      </x:c>
      <x:c r="RG4" t="str">
        <x:v>E004 Source Basis Snapshots</x:v>
      </x:c>
      <x:c r="RH4" t="str">
        <x:v>E004 Target Basis Snapshots</x:v>
      </x:c>
      <x:c r="RI4" t="str">
        <x:v>E004 Target Defined Alarms</x:v>
      </x:c>
      <x:c r="RJ4" t="str">
        <x:v>E004 Target Runtime Alarms</x:v>
      </x:c>
      <x:c r="RK4" t="str">
        <x:v>E004 Final Alarm-State Entries</x:v>
      </x:c>
      <x:c r="RL4" t="str">
        <x:v>E004 Final Assignments</x:v>
      </x:c>
      <x:c r="RM4" t="str">
        <x:v>E004 Final Pending</x:v>
      </x:c>
      <x:c r="RN4" t="str">
        <x:v>E004 Open Occurrences</x:v>
      </x:c>
      <x:c r="RO4" t="str">
        <x:v>E004 Open Episodes</x:v>
      </x:c>
      <x:c r="RP4" t="str">
        <x:v>E004 Orphan Deactivation States</x:v>
      </x:c>
      <x:c r="RQ4" t="str">
        <x:v>E004 Orphan Occurrences</x:v>
      </x:c>
      <x:c r="RR4" t="str">
        <x:v>E004 Orphan ManagementEffects</x:v>
      </x:c>
      <x:c r="RS4" t="str">
        <x:v>E004 Management Cursor</x:v>
      </x:c>
      <x:c r="RT4" t="str">
        <x:v>E004 Decision Cursor</x:v>
      </x:c>
      <x:c r="RU4" t="str">
        <x:v>E004 Management Pending</x:v>
      </x:c>
      <x:c r="RV4" t="str">
        <x:v>E004 Decision Pending</x:v>
      </x:c>
      <x:c r="RW4" t="str">
        <x:v>E004 Pending Requests</x:v>
      </x:c>
      <x:c r="RX4" t="str">
        <x:v>E004 Removed Target Set Exact</x:v>
      </x:c>
      <x:c r="RY4" t="str">
        <x:v>E004 WAL Expected</x:v>
      </x:c>
      <x:c r="RZ4" t="str">
        <x:v>E004 WAL Actual</x:v>
      </x:c>
      <x:c r="SA4" t="str">
        <x:v>E004 WAL Bytes</x:v>
      </x:c>
      <x:c r="SB4" t="str">
        <x:v>E005 Plan Change Count</x:v>
      </x:c>
      <x:c r="SC4" t="str">
        <x:v>E005 Unchanged</x:v>
      </x:c>
      <x:c r="SD4" t="str">
        <x:v>E005 Structural Reset</x:v>
      </x:c>
      <x:c r="SE4" t="str">
        <x:v>E005 Compatible</x:v>
      </x:c>
      <x:c r="SF4" t="str">
        <x:v>E005 Disabled</x:v>
      </x:c>
      <x:c r="SG4" t="str">
        <x:v>E005 Removed</x:v>
      </x:c>
      <x:c r="SH4" t="str">
        <x:v>E005 Rejected</x:v>
      </x:c>
      <x:c r="SI4" t="str">
        <x:v>E005 Structural Reset Groups</x:v>
      </x:c>
      <x:c r="SJ4" t="str">
        <x:v>E005 Source Revision</x:v>
      </x:c>
      <x:c r="SK4" t="str">
        <x:v>E005 Target Revision</x:v>
      </x:c>
      <x:c r="SL4" t="str">
        <x:v>E005 Adoption Iteration</x:v>
      </x:c>
      <x:c r="SM4" t="str">
        <x:v>E005 Adoption Iteration (ms)</x:v>
      </x:c>
      <x:c r="SN4" t="str">
        <x:v>E005 Adoption CPU %</x:v>
      </x:c>
      <x:c r="SO4" t="str">
        <x:v>E005 Adoption Cycle Executed</x:v>
      </x:c>
      <x:c r="SP4" t="str">
        <x:v>E005 Adoption Commits</x:v>
      </x:c>
      <x:c r="SQ4" t="str">
        <x:v>E005 Configuration Reconfigured Closures</x:v>
      </x:c>
      <x:c r="SR4" t="str">
        <x:v>E005 Configuration Terminated Episodes</x:v>
      </x:c>
      <x:c r="SS4" t="str">
        <x:v>E005 Immediate Next Iteration</x:v>
      </x:c>
      <x:c r="ST4" t="str">
        <x:v>E005 Immediate Next Cache Current</x:v>
      </x:c>
      <x:c r="SU4" t="str">
        <x:v>E005 Immediate Next Cycle Executed</x:v>
      </x:c>
      <x:c r="SV4" t="str">
        <x:v>E005 Immediate Next Start Interval (ms)</x:v>
      </x:c>
      <x:c r="SW4" t="str">
        <x:v>E005 Immediate Next Duration (ms)</x:v>
      </x:c>
      <x:c r="SX4" t="str">
        <x:v>E005 Next Cycle Commits</x:v>
      </x:c>
      <x:c r="SY4" t="str">
        <x:v>E005 Restarted Occurrences</x:v>
      </x:c>
      <x:c r="SZ4" t="str">
        <x:v>E005 Restarted Episodes</x:v>
      </x:c>
      <x:c r="TA4" t="str">
        <x:v>E005 Occurrence ID Reuse</x:v>
      </x:c>
      <x:c r="TB4" t="str">
        <x:v>E005 Episode ID Reuse</x:v>
      </x:c>
      <x:c r="TC4" t="str">
        <x:v>E005 Reset Group Set Exact</x:v>
      </x:c>
      <x:c r="TD4" t="str">
        <x:v>E005 Reset/Restart Alarm Set Exact</x:v>
      </x:c>
      <x:c r="TE4" t="str">
        <x:v>E005 Source Revision Durable Records</x:v>
      </x:c>
      <x:c r="TF4" t="str">
        <x:v>E005 Target Revision Durable Records</x:v>
      </x:c>
      <x:c r="TG4" t="str">
        <x:v>E005 Groups With 1 Record</x:v>
      </x:c>
      <x:c r="TH4" t="str">
        <x:v>E005 Groups With 3 Records</x:v>
      </x:c>
      <x:c r="TI4" t="str">
        <x:v>E005 Source Basis Snapshots</x:v>
      </x:c>
      <x:c r="TJ4" t="str">
        <x:v>E005 Target Basis Snapshots</x:v>
      </x:c>
      <x:c r="TK4" t="str">
        <x:v>E005 Final Alarms</x:v>
      </x:c>
      <x:c r="TL4" t="str">
        <x:v>E005 Final Assignments</x:v>
      </x:c>
      <x:c r="TM4" t="str">
        <x:v>E005 Open Occurrences</x:v>
      </x:c>
      <x:c r="TN4" t="str">
        <x:v>E005 Open Episodes</x:v>
      </x:c>
      <x:c r="TO4" t="str">
        <x:v>E005 Effective Cache Revision</x:v>
      </x:c>
      <x:c r="TP4" t="str">
        <x:v>E005 WAL Expected</x:v>
      </x:c>
      <x:c r="TQ4" t="str">
        <x:v>E005 WAL Actual</x:v>
      </x:c>
      <x:c r="TR4" t="str">
        <x:v>E005 WAL Bytes</x:v>
      </x:c>
      <x:c r="TS4" t="str">
        <x:v>E006 Plan Change Count</x:v>
      </x:c>
      <x:c r="TT4" t="str">
        <x:v>E006 Compatible</x:v>
      </x:c>
      <x:c r="TU4" t="str">
        <x:v>E006 Disabled</x:v>
      </x:c>
      <x:c r="TV4" t="str">
        <x:v>E006 Removed</x:v>
      </x:c>
      <x:c r="TW4" t="str">
        <x:v>E006 Structural Reset</x:v>
      </x:c>
      <x:c r="TX4" t="str">
        <x:v>E006 Unchanged</x:v>
      </x:c>
      <x:c r="TY4" t="str">
        <x:v>E006 Rejected</x:v>
      </x:c>
      <x:c r="TZ4" t="str">
        <x:v>E006 Structural Reset Groups</x:v>
      </x:c>
      <x:c r="UA4" t="str">
        <x:v>E006 Touched Priority Groups</x:v>
      </x:c>
      <x:c r="UB4" t="str">
        <x:v>E006 Disabled/Removed Overlap Groups</x:v>
      </x:c>
      <x:c r="UC4" t="str">
        <x:v>E006 Source Revision</x:v>
      </x:c>
      <x:c r="UD4" t="str">
        <x:v>E006 Target Revision</x:v>
      </x:c>
      <x:c r="UE4" t="str">
        <x:v>E006 Source Threshold</x:v>
      </x:c>
      <x:c r="UF4" t="str">
        <x:v>E006 Target Threshold</x:v>
      </x:c>
      <x:c r="UG4" t="str">
        <x:v>E006 Target Defined Alarms</x:v>
      </x:c>
      <x:c r="UH4" t="str">
        <x:v>E006 Target Runtime Alarms</x:v>
      </x:c>
      <x:c r="UI4" t="str">
        <x:v>E006 Adoption Iteration</x:v>
      </x:c>
      <x:c r="UJ4" t="str">
        <x:v>E006 Adoption Iteration (ms)</x:v>
      </x:c>
      <x:c r="UK4" t="str">
        <x:v>E006 Adoption CPU %</x:v>
      </x:c>
      <x:c r="UL4" t="str">
        <x:v>E006 Adoption Cycle Executed</x:v>
      </x:c>
      <x:c r="UM4" t="str">
        <x:v>E006 Adoption Commits</x:v>
      </x:c>
      <x:c r="UN4" t="str">
        <x:v>E006 Reconfigured Closures</x:v>
      </x:c>
      <x:c r="UO4" t="str">
        <x:v>E006 Disabled Closures</x:v>
      </x:c>
      <x:c r="UP4" t="str">
        <x:v>E006 Removed Closures</x:v>
      </x:c>
      <x:c r="UQ4" t="str">
        <x:v>E006 Terminated Episodes</x:v>
      </x:c>
      <x:c r="UR4" t="str">
        <x:v>E006 Immediate Next Iteration</x:v>
      </x:c>
      <x:c r="US4" t="str">
        <x:v>E006 Immediate Next Cache Current</x:v>
      </x:c>
      <x:c r="UT4" t="str">
        <x:v>E006 Immediate Next Cycle Executed</x:v>
      </x:c>
      <x:c r="UU4" t="str">
        <x:v>E006 Immediate Next Start Interval (ms)</x:v>
      </x:c>
      <x:c r="UV4" t="str">
        <x:v>E006 Immediate Next Duration (ms)</x:v>
      </x:c>
      <x:c r="UW4" t="str">
        <x:v>E006 Next Cycle Commits</x:v>
      </x:c>
      <x:c r="UX4" t="str">
        <x:v>E006 Restarted Occurrences</x:v>
      </x:c>
      <x:c r="UY4" t="str">
        <x:v>E006 Restarted Episodes</x:v>
      </x:c>
      <x:c r="UZ4" t="str">
        <x:v>E006 Occurrence ID Reuse</x:v>
      </x:c>
      <x:c r="VA4" t="str">
        <x:v>E006 Episode ID Reuse</x:v>
      </x:c>
      <x:c r="VB4" t="str">
        <x:v>E006 Closure Identity Mismatches</x:v>
      </x:c>
      <x:c r="VC4" t="str">
        <x:v>E006 Reset Group Set Exact</x:v>
      </x:c>
      <x:c r="VD4" t="str">
        <x:v>E006 Disabled Group Set Exact</x:v>
      </x:c>
      <x:c r="VE4" t="str">
        <x:v>E006 Removed Group Set Exact</x:v>
      </x:c>
      <x:c r="VF4" t="str">
        <x:v>E006 Overlap Group Set Exact</x:v>
      </x:c>
      <x:c r="VG4" t="str">
        <x:v>E006 Source Durable Records</x:v>
      </x:c>
      <x:c r="VH4" t="str">
        <x:v>E006 Target Durable Records</x:v>
      </x:c>
      <x:c r="VI4" t="str">
        <x:v>E006 Groups With 2 Records</x:v>
      </x:c>
      <x:c r="VJ4" t="str">
        <x:v>E006 Groups With 3 Records</x:v>
      </x:c>
      <x:c r="VK4" t="str">
        <x:v>E006 Target Basis Snapshots</x:v>
      </x:c>
      <x:c r="VL4" t="str">
        <x:v>E006 Final Alarms</x:v>
      </x:c>
      <x:c r="VM4" t="str">
        <x:v>E006 Final Assignments</x:v>
      </x:c>
      <x:c r="VN4" t="str">
        <x:v>E006 Open Occurrences</x:v>
      </x:c>
      <x:c r="VO4" t="str">
        <x:v>E006 Open Episodes</x:v>
      </x:c>
      <x:c r="VP4" t="str">
        <x:v>E006 Final Groups With 10 Alarms</x:v>
      </x:c>
      <x:c r="VQ4" t="str">
        <x:v>E006 Final Groups With 9 Alarms</x:v>
      </x:c>
      <x:c r="VR4" t="str">
        <x:v>E006 Final Groups With 8 Alarms</x:v>
      </x:c>
      <x:c r="VS4" t="str">
        <x:v>E006 Effective Cache Revision</x:v>
      </x:c>
      <x:c r="VT4" t="str">
        <x:v>E006 WAL Expected</x:v>
      </x:c>
      <x:c r="VU4" t="str">
        <x:v>E006 WAL Actual</x:v>
      </x:c>
      <x:c r="VV4" t="str">
        <x:v>E006 WAL Bytes</x:v>
      </x:c>
      <x:c r="VW4" s="32" t="str">
        <x:v>E007 Plan Change Count</x:v>
      </x:c>
      <x:c r="VX4" s="32" t="str">
        <x:v>E007 Unchanged</x:v>
      </x:c>
      <x:c r="VY4" s="32" t="str">
        <x:v>E007 Rejected</x:v>
      </x:c>
      <x:c r="VZ4" s="32" t="str">
        <x:v>E007 Compatible</x:v>
      </x:c>
      <x:c r="WA4" s="32" t="str">
        <x:v>E007 Disabled</x:v>
      </x:c>
      <x:c r="WB4" s="32" t="str">
        <x:v>E007 Removed</x:v>
      </x:c>
      <x:c r="WC4" s="32" t="str">
        <x:v>E007 Structural Reset</x:v>
      </x:c>
      <x:c r="WD4" s="32" t="str">
        <x:v>E007 Priority Group Changed Rejections</x:v>
      </x:c>
      <x:c r="WE4" s="32" t="str">
        <x:v>E007 Rejected Alarm Key</x:v>
      </x:c>
      <x:c r="WF4" s="32" t="str">
        <x:v>E007 Rejected Target Group</x:v>
      </x:c>
      <x:c r="WG4" s="32" t="str">
        <x:v>E007 Source Revision</x:v>
      </x:c>
      <x:c r="WH4" s="32" t="str">
        <x:v>E007 Target Revision</x:v>
      </x:c>
      <x:c r="WI4" s="32" t="str">
        <x:v>E007 Plan Adoptable</x:v>
      </x:c>
      <x:c r="WJ4" s="32" t="str">
        <x:v>E007 First Rejected Iteration</x:v>
      </x:c>
      <x:c r="WK4" s="32" t="str">
        <x:v>E007 Expected First Rejected Iteration</x:v>
      </x:c>
      <x:c r="WL4" s="32" t="str">
        <x:v>E007 Rejected Iterations</x:v>
      </x:c>
      <x:c r="WM4" s="32" t="str">
        <x:v>E007 Degraded Rejected Iterations</x:v>
      </x:c>
      <x:c r="WN4" s="32" t="str">
        <x:v>E007 Rejected Cycles Executed</x:v>
      </x:c>
      <x:c r="WO4" s="32" t="str">
        <x:v>E007 Post-Candidate Non-Rejected</x:v>
      </x:c>
      <x:c r="WP4" s="32" t="str">
        <x:v>E007 Effective Cache Revision</x:v>
      </x:c>
      <x:c r="WQ4" s="32" t="str">
        <x:v>E007 Source Durable Records</x:v>
      </x:c>
      <x:c r="WR4" s="32" t="str">
        <x:v>E007 Target Durable Records</x:v>
      </x:c>
      <x:c r="WS4" s="32" t="str">
        <x:v>E007 Source Basis Snapshots</x:v>
      </x:c>
      <x:c r="WT4" s="32" t="str">
        <x:v>E007 Target Basis Snapshots</x:v>
      </x:c>
      <x:c r="WU4" s="32" t="str">
        <x:v>E007 Rejected Group Materialized</x:v>
      </x:c>
      <x:c r="WV4" s="32" t="str">
        <x:v>E007 Final Alarms</x:v>
      </x:c>
      <x:c r="WW4" s="32" t="str">
        <x:v>E007 Final Assignments</x:v>
      </x:c>
      <x:c r="WX4" s="32" t="str">
        <x:v>E007 Open Occurrences</x:v>
      </x:c>
      <x:c r="WY4" s="32" t="str">
        <x:v>E007 Open Episodes</x:v>
      </x:c>
      <x:c r="WZ4" s="32" t="str">
        <x:v>E007 Occurrence Closures</x:v>
      </x:c>
      <x:c r="XA4" s="32" t="str">
        <x:v>E007 Structural Resets</x:v>
      </x:c>
      <x:c r="XB4" s="32" t="str">
        <x:v>E007 Restarts</x:v>
      </x:c>
      <x:c r="XC4" s="32" t="str">
        <x:v>E007 WAL Actual</x:v>
      </x:c>
      <x:c r="XD4" s="32" t="str">
        <x:v>E007 WAL Bytes</x:v>
      </x:c>
      <x:c r="XE4" s="32" t="str">
        <x:v>E008 Unavailable At (s)</x:v>
      </x:c>
      <x:c r="XF4" s="32" t="str">
        <x:v>E008 First Fallback Iteration</x:v>
      </x:c>
      <x:c r="XG4" s="32" t="str">
        <x:v>E008 Expected First Fallback Iteration</x:v>
      </x:c>
      <x:c r="XH4" s="32" t="str">
        <x:v>E008 Fallback Iterations</x:v>
      </x:c>
      <x:c r="XI4" s="32" t="str">
        <x:v>E008 Expected Fallback Iterations</x:v>
      </x:c>
      <x:c r="XJ4" s="32" t="str">
        <x:v>E008 Degraded Fallback Iterations</x:v>
      </x:c>
      <x:c r="XK4" s="32" t="str">
        <x:v>E008 Fallback Cycles Executed</x:v>
      </x:c>
      <x:c r="XL4" s="32" t="str">
        <x:v>E008 NOT_REQUIRED Fallback Iterations</x:v>
      </x:c>
      <x:c r="XM4" s="32" t="str">
        <x:v>E008 Post-Failure Non-Fallback</x:v>
      </x:c>
      <x:c r="XN4" s="32" t="str">
        <x:v>E008 Manifest Successes</x:v>
      </x:c>
      <x:c r="XO4" s="32" t="str">
        <x:v>E008 Manifest Failures</x:v>
      </x:c>
      <x:c r="XP4" s="32" t="str">
        <x:v>E008 Cache Replace Count</x:v>
      </x:c>
      <x:c r="XQ4" s="32" t="str">
        <x:v>E008 Post-Failure Cache Replace Count</x:v>
      </x:c>
      <x:c r="XR4" s="32" t="str">
        <x:v>E008 Effective Cache Alarm Revision</x:v>
      </x:c>
      <x:c r="XS4" s="32" t="str">
        <x:v>E008 Effective Cache Tool Revision</x:v>
      </x:c>
      <x:c r="XT4" s="32" t="str">
        <x:v>E008 Source Alarm Revision</x:v>
      </x:c>
      <x:c r="XU4" s="32" t="str">
        <x:v>E008 Source Tool Revision</x:v>
      </x:c>
      <x:c r="XV4" s="32" t="str">
        <x:v>E008 Source Durable Records</x:v>
      </x:c>
      <x:c r="XW4" s="32" t="str">
        <x:v>E008 Unexpected Revision Durable Records</x:v>
      </x:c>
      <x:c r="XX4" s="32" t="str">
        <x:v>E008 Source Basis Snapshots</x:v>
      </x:c>
      <x:c r="XY4" s="32" t="str">
        <x:v>E008 Unexpected Basis Snapshots</x:v>
      </x:c>
      <x:c r="XZ4" s="32" t="str">
        <x:v>E008 Final Alarms</x:v>
      </x:c>
      <x:c r="YA4" s="32" t="str">
        <x:v>E008 Final Assignments</x:v>
      </x:c>
      <x:c r="YB4" s="32" t="str">
        <x:v>E008 Final Pending</x:v>
      </x:c>
      <x:c r="YC4" s="32" t="str">
        <x:v>E008 Open Occurrences</x:v>
      </x:c>
      <x:c r="YD4" s="32" t="str">
        <x:v>E008 Open Episodes</x:v>
      </x:c>
      <x:c r="YE4" s="32" t="str">
        <x:v>E008 WAL Actual</x:v>
      </x:c>
      <x:c r="YF4" s="32" t="str">
        <x:v>E008 WAL Bytes</x:v>
      </x:c>
      <x:c r="YG4" s="32" t="str">
        <x:v>E008 Commit Chain Mismatches</x:v>
      </x:c>
      <x:c r="YH4" s="32" t="str">
        <x:v>E008 Materialized Snapshot Mismatches</x:v>
      </x:c>
      <x:c r="YI4" s="32" t="str">
        <x:v>E008 Durable == Materialized</x:v>
      </x:c>
      <x:c r="YJ4" s="32" t="str">
        <x:v>E008 C001 WAL Byte Match</x:v>
      </x:c>
      <x:c r="YK4" s="32" t="str">
        <x:v>E008 C001 Functional Counter Match</x:v>
      </x:c>
      <x:c r="YL4" s="32" t="str">
        <x:v>E009 Invalid At (s)</x:v>
      </x:c>
      <x:c r="YM4" s="32" t="str">
        <x:v>E009 First Fallback Iteration</x:v>
      </x:c>
      <x:c r="YN4" s="32" t="str">
        <x:v>E009 Expected First Fallback Iteration</x:v>
      </x:c>
      <x:c r="YO4" s="32" t="str">
        <x:v>E009 Fallback Iterations</x:v>
      </x:c>
      <x:c r="YP4" s="32" t="str">
        <x:v>E009 Expected Fallback Iterations</x:v>
      </x:c>
      <x:c r="YQ4" s="32" t="str">
        <x:v>E009 Degraded Fallback Iterations</x:v>
      </x:c>
      <x:c r="YR4" s="32" t="str">
        <x:v>E009 Fallback Cycles Executed</x:v>
      </x:c>
      <x:c r="YS4" s="32" t="str">
        <x:v>E009 NOT_REQUIRED Fallback Iterations</x:v>
      </x:c>
      <x:c r="YT4" s="32" t="str">
        <x:v>E009 Post-Candidate Non-Fallback</x:v>
      </x:c>
      <x:c r="YU4" s="32" t="str">
        <x:v>E009 Post-Candidate SOURCE_CANDIDATE</x:v>
      </x:c>
      <x:c r="YV4" s="32" t="str">
        <x:v>E009 Post-Candidate REJECTED</x:v>
      </x:c>
      <x:c r="YW4" s="32" t="str">
        <x:v>E009 Manifest Successes</x:v>
      </x:c>
      <x:c r="YX4" s="32" t="str">
        <x:v>E009 Manifest Failures</x:v>
      </x:c>
      <x:c r="YY4" s="32" t="str">
        <x:v>E009 Candidate Manifest Count</x:v>
      </x:c>
      <x:c r="YZ4" s="32" t="str">
        <x:v>E009 Candidate Alarm Reads</x:v>
      </x:c>
      <x:c r="ZA4" s="32" t="str">
        <x:v>E009 Candidate Tool Reads</x:v>
      </x:c>
      <x:c r="ZB4" s="32" t="str">
        <x:v>E009 Contract Failures</x:v>
      </x:c>
      <x:c r="ZC4" s="32" t="str">
        <x:v>E009 Cache Replace Count</x:v>
      </x:c>
      <x:c r="ZD4" s="32" t="str">
        <x:v>E009 Post-Candidate Cache Replace Count</x:v>
      </x:c>
      <x:c r="ZE4" s="32" t="str">
        <x:v>E009 Effective Cache Alarm Revision</x:v>
      </x:c>
      <x:c r="ZF4" s="32" t="str">
        <x:v>E009 Effective Cache Tool Revision</x:v>
      </x:c>
      <x:c r="ZG4" s="32" t="str">
        <x:v>E009 Source Alarm Revision</x:v>
      </x:c>
      <x:c r="ZH4" s="32" t="str">
        <x:v>E009 Source Tool Revision</x:v>
      </x:c>
      <x:c r="ZI4" s="32" t="str">
        <x:v>E009 Candidate Alarm Revision</x:v>
      </x:c>
      <x:c r="ZJ4" s="32" t="str">
        <x:v>E009 Candidate Tool Revision</x:v>
      </x:c>
      <x:c r="ZK4" s="32" t="str">
        <x:v>E009 Invalid Alarm Document Revision</x:v>
      </x:c>
      <x:c r="ZL4" s="32" t="str">
        <x:v>E009 Source Durable Records</x:v>
      </x:c>
      <x:c r="ZM4" s="32" t="str">
        <x:v>E009 Candidate Durable Records</x:v>
      </x:c>
      <x:c r="ZN4" s="32" t="str">
        <x:v>E009 Unexpected Durable Records</x:v>
      </x:c>
      <x:c r="ZO4" s="32" t="str">
        <x:v>E009 Source Basis Snapshots</x:v>
      </x:c>
      <x:c r="ZP4" s="32" t="str">
        <x:v>E009 Candidate Basis Snapshots</x:v>
      </x:c>
      <x:c r="ZQ4" s="32" t="str">
        <x:v>E009 Unexpected Basis Snapshots</x:v>
      </x:c>
      <x:c r="ZR4" s="32" t="str">
        <x:v>E009 Final Alarms</x:v>
      </x:c>
      <x:c r="ZS4" s="32" t="str">
        <x:v>E009 Final Assignments</x:v>
      </x:c>
      <x:c r="ZT4" s="32" t="str">
        <x:v>E009 Final Pending</x:v>
      </x:c>
      <x:c r="ZU4" s="32" t="str">
        <x:v>E009 Open Occurrences</x:v>
      </x:c>
      <x:c r="ZV4" s="32" t="str">
        <x:v>E009 Open Episodes</x:v>
      </x:c>
      <x:c r="ZW4" s="32" t="str">
        <x:v>E009 WAL Actual</x:v>
      </x:c>
      <x:c r="ZX4" s="32" t="str">
        <x:v>E009 WAL Bytes</x:v>
      </x:c>
      <x:c r="ZY4" s="32" t="str">
        <x:v>E009 Duplicate Commit IDs</x:v>
      </x:c>
      <x:c r="ZZ4" s="32" t="str">
        <x:v>E009 Commit Chain Mismatches</x:v>
      </x:c>
      <x:c r="AAA4" s="32" t="str">
        <x:v>E009 Materialized Snapshot Mismatches</x:v>
      </x:c>
      <x:c r="AAB4" s="32" t="str">
        <x:v>E009 Durable == Materialized</x:v>
      </x:c>
      <x:c r="AAC4" s="32" t="str">
        <x:v>E009 C001 WAL Byte Match</x:v>
      </x:c>
      <x:c r="AAD4" s="32" t="str">
        <x:v>E009 E008 WAL Byte Match</x:v>
      </x:c>
      <x:c r="AAE4" s="32" t="str">
        <x:v>E009 C001 Functional Counter Match</x:v>
      </x:c>
      <x:c r="AAF4" s="32" t="str">
        <x:v>E009 E008 Functional Counter Match</x:v>
      </x:c>
    </x:row>
    <x:row r="5">
      <x:c r="A5" s="32" t="str">
        <x:v>814c4814-de17-43fc-bc59-d2f2fcda6b92</x:v>
      </x:c>
      <x:c r="B5" s="32" t="str">
        <x:v>A-001</x:v>
      </x:c>
      <x:c r="C5" s="42" t="n">
        <x:v>46259.53097222222</x:v>
      </x:c>
      <x:c r="D5" s="32" t="str">
        <x:v>489b7424f5051f7a276dafe8d5f318ccf1368d87</x:v>
      </x:c>
      <x:c r="E5" s="32" t="str">
        <x:v>GLONBW11</x:v>
      </x:c>
      <x:c r="F5" s="32" t="str">
        <x:v>local-filesystem</x:v>
      </x:c>
      <x:c r="G5" s="32" t="str">
        <x:v>3.14.2</x:v>
      </x:c>
      <x:c r="H5" s="32" t="str">
        <x:v>deterministic</x:v>
      </x:c>
      <x:c r="I5" s="32" t="n">
        <x:v>100</x:v>
      </x:c>
      <x:c r="J5" s="32" t="n">
        <x:v>2</x:v>
      </x:c>
      <x:c r="K5" s="47" t="n">
        <x:v>2.0030225666666666</x:v>
      </x:c>
      <x:c r="L5" s="32" t="n">
        <x:v>25</x:v>
      </x:c>
      <x:c r="M5" s="32" t="n">
        <x:v>5</x:v>
      </x:c>
      <x:c r="N5" s="32" t="n">
        <x:v>10</x:v>
      </x:c>
      <x:c r="O5" s="48" t="n">
        <x:v>99.05531300046277</x:v>
      </x:c>
      <x:c r="P5" s="48" t="n">
        <x:v>141.46000239998102</x:v>
      </x:c>
      <x:c r="Q5" s="48" t="n">
        <x:v>150.42760952004758</x:v>
      </x:c>
      <x:c r="R5" s="48" t="n">
        <x:v>153.10098200006905</x:v>
      </x:c>
      <x:c r="S5" s="32" t="n">
        <x:v>0</x:v>
      </x:c>
      <x:c r="T5" s="43" t="n">
        <x:v>0</x:v>
      </x:c>
      <x:c r="U5" s="48" t="n">
        <x:v>81.68319132736048</x:v>
      </x:c>
      <x:c r="V5" s="48" t="n">
        <x:v>104.84169290975099</x:v>
      </x:c>
      <x:c r="W5" s="48" t="n">
        <x:v>125.051015625</x:v>
      </x:c>
      <x:c r="X5" s="48" t="n">
        <x:v>125.984375</x:v>
      </x:c>
      <x:c r="Y5" s="32"/>
      <x:c r="Z5" s="32"/>
      <x:c r="AA5" s="32"/>
      <x:c r="AB5" s="32"/>
      <x:c r="AC5" s="32" t="n">
        <x:v>0</x:v>
      </x:c>
      <x:c r="AD5" s="32" t="n">
        <x:v>0</x:v>
      </x:c>
      <x:c r="AE5" s="32" t="n">
        <x:v>0</x:v>
      </x:c>
      <x:c r="AF5" s="32"/>
      <x:c r="AG5" s="32"/>
      <x:c r="AH5" s="48" t="n">
        <x:v>27.81820800009882</x:v>
      </x:c>
      <x:c r="AI5" s="32" t="str">
        <x:v>PASS</x:v>
      </x:c>
      <x:c r="AJ5" s="32" t="str">
        <x:v>GREEN</x:v>
      </x:c>
      <x:c r="AK5" s="32" t="str">
        <x:v>shared-latest</x:v>
      </x:c>
      <x:c r="AL5" s="32" t="n">
        <x:v>1</x:v>
      </x:c>
      <x:c r="AM5" s="32" t="n">
        <x:v>1</x:v>
      </x:c>
      <x:c r="AN5" s="32" t="n">
        <x:v>1</x:v>
      </x:c>
      <x:c r="AO5" s="32" t="n">
        <x:v>1</x:v>
      </x:c>
      <x:c r="AP5" s="32"/>
      <x:c r="AQ5" s="32"/>
      <x:c r="AR5" s="32"/>
      <x:c r="AS5" s="32"/>
      <x:c r="AT5" s="32"/>
      <x:c r="AU5" s="32"/>
      <x:c r="AV5" s="32"/>
      <x:c r="AW5" s="32"/>
      <x:c r="AX5" s="32"/>
      <x:c r="AY5" s="32"/>
      <x:c r="AZ5" s="32"/>
      <x:c r="BA5" s="32"/>
      <x:c r="BB5" s="32"/>
      <x:c r="BC5" s="32"/>
      <x:c r="BD5" s="32"/>
      <x:c r="BE5" s="32"/>
      <x:c r="BF5" s="32"/>
      <x:c r="BG5" s="32"/>
      <x:c r="BH5" s="32"/>
      <x:c r="BI5" s="32"/>
      <x:c r="BJ5" s="32"/>
      <x:c r="BK5" s="32"/>
      <x:c r="BL5" s="32"/>
      <x:c r="BM5" s="32"/>
      <x:c r="BN5" s="32"/>
      <x:c r="BO5" s="32"/>
      <x:c r="BP5" s="32"/>
      <x:c r="BQ5" s="32"/>
      <x:c r="BR5" s="32"/>
      <x:c r="BS5" s="32"/>
      <x:c r="BT5" s="32"/>
      <x:c r="BU5" s="32"/>
      <x:c r="BV5" s="32"/>
      <x:c r="BW5" s="32"/>
      <x:c r="BX5" s="32"/>
      <x:c r="BY5" s="32"/>
      <x:c r="BZ5" s="32"/>
      <x:c r="CA5" s="32"/>
      <x:c r="CB5" s="32"/>
      <x:c r="CC5" s="32"/>
      <x:c r="CD5" s="32"/>
      <x:c r="CE5" s="32"/>
      <x:c r="CF5" s="32"/>
      <x:c r="CG5" s="32"/>
      <x:c r="CH5" s="32"/>
      <x:c r="CI5" s="32"/>
      <x:c r="CJ5" s="32"/>
      <x:c r="CK5" s="32"/>
      <x:c r="CL5" s="32"/>
      <x:c r="CM5" s="32"/>
      <x:c r="CN5" s="32"/>
      <x:c r="CO5" s="32"/>
      <x:c r="CP5" s="32"/>
      <x:c r="CQ5" s="32"/>
      <x:c r="CR5" s="32"/>
      <x:c r="CS5" s="32"/>
      <x:c r="CT5" s="32"/>
      <x:c r="CU5" s="32"/>
      <x:c r="CV5" s="32"/>
      <x:c r="CW5" s="32"/>
      <x:c r="CX5" s="32"/>
      <x:c r="CY5" s="32"/>
      <x:c r="CZ5" s="32"/>
      <x:c r="DA5" s="32"/>
      <x:c r="DB5" s="32"/>
      <x:c r="DC5" s="32"/>
      <x:c r="DD5" s="32"/>
      <x:c r="DE5" s="32"/>
      <x:c r="DF5" s="32"/>
      <x:c r="DG5" s="32"/>
      <x:c r="DH5" s="32"/>
      <x:c r="DI5" s="32"/>
      <x:c r="DJ5" s="32"/>
      <x:c r="DK5" s="32"/>
      <x:c r="DL5" s="32"/>
      <x:c r="DM5" s="32"/>
      <x:c r="DN5" s="32"/>
      <x:c r="DO5" s="32"/>
      <x:c r="DP5" s="32"/>
      <x:c r="DQ5" s="32"/>
      <x:c r="DR5" s="32"/>
      <x:c r="DS5" s="32"/>
      <x:c r="DT5" s="32"/>
      <x:c r="DU5" s="32"/>
      <x:c r="DV5" s="32"/>
      <x:c r="DW5" s="32"/>
      <x:c r="DX5" s="32"/>
      <x:c r="DY5" s="32"/>
      <x:c r="DZ5" s="32"/>
      <x:c r="EA5" s="32"/>
      <x:c r="EB5" s="32"/>
      <x:c r="EC5" s="32"/>
      <x:c r="ED5" s="32"/>
      <x:c r="EE5" s="32"/>
      <x:c r="EF5" s="32"/>
      <x:c r="EG5" s="32"/>
      <x:c r="EH5" s="32"/>
      <x:c r="EI5" s="32"/>
      <x:c r="EJ5" s="32"/>
      <x:c r="EK5" s="32"/>
      <x:c r="EL5" s="32"/>
      <x:c r="EM5" s="32"/>
      <x:c r="EN5" s="32"/>
      <x:c r="EO5" s="32"/>
      <x:c r="EP5" s="32"/>
      <x:c r="EQ5" s="32"/>
      <x:c r="ER5" s="32"/>
      <x:c r="ES5" s="32"/>
      <x:c r="ET5" s="32"/>
      <x:c r="EU5" s="32"/>
      <x:c r="EV5" s="32"/>
      <x:c r="EW5" s="32"/>
      <x:c r="EX5" s="32"/>
      <x:c r="EY5" s="32"/>
      <x:c r="EZ5" s="32"/>
      <x:c r="FA5" s="32"/>
      <x:c r="FB5" s="32"/>
      <x:c r="FC5" s="32"/>
      <x:c r="FD5" s="32"/>
      <x:c r="FE5" s="32"/>
      <x:c r="FF5" s="32"/>
      <x:c r="FG5" s="32"/>
      <x:c r="FH5" s="32"/>
      <x:c r="FI5" s="32"/>
      <x:c r="FJ5" s="32"/>
      <x:c r="FK5" s="32"/>
      <x:c r="FL5" s="32"/>
      <x:c r="FM5" s="32"/>
      <x:c r="FN5" s="32"/>
      <x:c r="FO5" s="32"/>
      <x:c r="FP5" s="32"/>
      <x:c r="FQ5" s="32"/>
      <x:c r="FR5" s="32"/>
      <x:c r="FS5" s="32"/>
      <x:c r="FT5" s="32"/>
      <x:c r="FU5" s="32"/>
      <x:c r="FV5" s="32"/>
      <x:c r="FW5" s="32"/>
      <x:c r="FX5" s="32"/>
      <x:c r="FY5" s="32"/>
      <x:c r="FZ5" s="32"/>
      <x:c r="GA5" s="32"/>
      <x:c r="GB5" s="32"/>
      <x:c r="GC5" s="32"/>
      <x:c r="GD5" s="32"/>
      <x:c r="GE5" s="32"/>
      <x:c r="GF5" s="32"/>
      <x:c r="GG5" s="32"/>
      <x:c r="GH5" s="32"/>
      <x:c r="GI5" s="32"/>
      <x:c r="GJ5" s="32"/>
      <x:c r="GK5" s="32"/>
      <x:c r="GL5" s="32"/>
      <x:c r="GM5" s="32"/>
      <x:c r="GN5" s="32"/>
      <x:c r="GO5" s="32"/>
      <x:c r="GP5" s="32"/>
      <x:c r="GQ5" s="32"/>
      <x:c r="GR5" s="32"/>
      <x:c r="GS5" s="32"/>
      <x:c r="GT5" s="32"/>
      <x:c r="GU5" s="32"/>
      <x:c r="GV5" s="32"/>
      <x:c r="GW5" s="32"/>
      <x:c r="GX5" s="32"/>
      <x:c r="GY5" s="32"/>
      <x:c r="GZ5" s="32"/>
      <x:c r="HA5" s="32"/>
      <x:c r="HB5" s="32"/>
      <x:c r="HC5" s="32"/>
      <x:c r="HD5" s="32"/>
      <x:c r="HE5" s="32"/>
      <x:c r="HF5" s="32"/>
      <x:c r="HG5" s="32"/>
      <x:c r="HH5" s="32"/>
      <x:c r="HI5" s="32"/>
      <x:c r="HJ5" s="32"/>
      <x:c r="HK5" s="32"/>
      <x:c r="HL5" s="32"/>
      <x:c r="HM5" s="32"/>
      <x:c r="HN5" s="32"/>
      <x:c r="HO5" s="32"/>
      <x:c r="HP5" s="32"/>
      <x:c r="HQ5" s="32"/>
      <x:c r="HR5" s="32"/>
      <x:c r="HS5" s="32"/>
      <x:c r="HT5" s="32"/>
      <x:c r="HU5" s="32"/>
      <x:c r="HV5" s="32"/>
      <x:c r="HW5" s="32"/>
      <x:c r="HX5" s="32"/>
      <x:c r="HY5" s="32"/>
      <x:c r="VW5" s="32"/>
      <x:c r="VX5" s="32"/>
      <x:c r="VY5" s="32"/>
      <x:c r="VZ5" s="32"/>
      <x:c r="WA5" s="32"/>
      <x:c r="WB5" s="32"/>
      <x:c r="WC5" s="32"/>
      <x:c r="WD5" s="32"/>
      <x:c r="WE5" s="32"/>
      <x:c r="WF5" s="32"/>
      <x:c r="WG5" s="32"/>
      <x:c r="WH5" s="32"/>
      <x:c r="WI5" s="32"/>
      <x:c r="WJ5" s="32"/>
      <x:c r="WK5" s="32"/>
      <x:c r="WL5" s="32"/>
      <x:c r="WM5" s="32"/>
      <x:c r="WN5" s="32"/>
      <x:c r="WO5" s="32"/>
      <x:c r="WP5" s="32"/>
      <x:c r="WQ5" s="32"/>
      <x:c r="WR5" s="32"/>
      <x:c r="WS5" s="32"/>
      <x:c r="WT5" s="32"/>
      <x:c r="WU5" s="32"/>
      <x:c r="WV5" s="32"/>
      <x:c r="WW5" s="32"/>
      <x:c r="WX5" s="32"/>
      <x:c r="WY5" s="32"/>
      <x:c r="WZ5" s="32"/>
      <x:c r="XA5" s="32"/>
      <x:c r="XB5" s="32"/>
      <x:c r="XC5" s="32"/>
      <x:c r="XD5" s="32"/>
    </x:row>
    <x:row r="6">
      <x:c r="A6" s="32" t="str">
        <x:v>90ae9223-a513-4643-aa8c-a2658d41bec9</x:v>
      </x:c>
      <x:c r="B6" s="32" t="str">
        <x:v>A-002</x:v>
      </x:c>
      <x:c r="C6" s="42" t="n">
        <x:v>46259.54824074074</x:v>
      </x:c>
      <x:c r="D6" s="32" t="str">
        <x:v>489b7424f5051f7a276dafe8d5f318ccf1368d87</x:v>
      </x:c>
      <x:c r="E6" s="32" t="str">
        <x:v>GLONBW11</x:v>
      </x:c>
      <x:c r="F6" s="32" t="str">
        <x:v>local-filesystem</x:v>
      </x:c>
      <x:c r="G6" s="32" t="str">
        <x:v>3.14.2</x:v>
      </x:c>
      <x:c r="H6" s="32" t="str">
        <x:v>deterministic</x:v>
      </x:c>
      <x:c r="I6" s="32" t="n">
        <x:v>250</x:v>
      </x:c>
      <x:c r="J6" s="32" t="n">
        <x:v>10</x:v>
      </x:c>
      <x:c r="K6" s="47" t="n">
        <x:v>10.010283416666665</x:v>
      </x:c>
      <x:c r="L6" s="32" t="n">
        <x:v>121</x:v>
      </x:c>
      <x:c r="M6" s="32" t="n">
        <x:v>5</x:v>
      </x:c>
      <x:c r="N6" s="32" t="n">
        <x:v>10</x:v>
      </x:c>
      <x:c r="O6" s="48" t="n">
        <x:v>205.6304830002773</x:v>
      </x:c>
      <x:c r="P6" s="48" t="n">
        <x:v>307.31912499959435</x:v>
      </x:c>
      <x:c r="Q6" s="48" t="n">
        <x:v>444.96683280012763</x:v>
      </x:c>
      <x:c r="R6" s="48" t="n">
        <x:v>909.0204719996109</x:v>
      </x:c>
      <x:c r="S6" s="32" t="n">
        <x:v>0</x:v>
      </x:c>
      <x:c r="T6" s="43" t="n">
        <x:v>0</x:v>
      </x:c>
      <x:c r="U6" s="48" t="n">
        <x:v>91.28019166600153</x:v>
      </x:c>
      <x:c r="V6" s="48" t="n">
        <x:v>105.63529435775803</x:v>
      </x:c>
      <x:c r="W6" s="48" t="n">
        <x:v>129.58950477789256</x:v>
      </x:c>
      <x:c r="X6" s="48" t="n">
        <x:v>129.65234375</x:v>
      </x:c>
      <x:c r="Y6" s="32"/>
      <x:c r="Z6" s="32"/>
      <x:c r="AA6" s="32"/>
      <x:c r="AB6" s="32"/>
      <x:c r="AC6" s="32" t="n">
        <x:v>0</x:v>
      </x:c>
      <x:c r="AD6" s="32" t="n">
        <x:v>0</x:v>
      </x:c>
      <x:c r="AE6" s="32" t="n">
        <x:v>0</x:v>
      </x:c>
      <x:c r="AF6" s="32"/>
      <x:c r="AG6" s="32"/>
      <x:c r="AH6" s="48" t="n">
        <x:v>97.70235399992089</x:v>
      </x:c>
      <x:c r="AI6" s="32" t="str">
        <x:v>PASS</x:v>
      </x:c>
      <x:c r="AJ6" s="32" t="str">
        <x:v>GREEN</x:v>
      </x:c>
      <x:c r="AK6" s="32" t="str">
        <x:v>shared-latest</x:v>
      </x:c>
      <x:c r="AL6" s="32" t="n">
        <x:v>1</x:v>
      </x:c>
      <x:c r="AM6" s="32" t="n">
        <x:v>1</x:v>
      </x:c>
      <x:c r="AN6" s="32" t="n">
        <x:v>1</x:v>
      </x:c>
      <x:c r="AO6" s="32" t="n">
        <x:v>1</x:v>
      </x:c>
      <x:c r="AP6" s="32"/>
      <x:c r="AQ6" s="32"/>
      <x:c r="AR6" s="32"/>
      <x:c r="AS6" s="32"/>
      <x:c r="AT6" s="32"/>
      <x:c r="AU6" s="32"/>
      <x:c r="AV6" s="32"/>
      <x:c r="AW6" s="32"/>
      <x:c r="AX6" s="32"/>
      <x:c r="AY6" s="32"/>
      <x:c r="AZ6" s="32"/>
      <x:c r="BA6" s="32"/>
      <x:c r="BB6" s="32"/>
      <x:c r="BC6" s="32"/>
      <x:c r="BD6" s="32"/>
      <x:c r="BE6" s="32"/>
      <x:c r="BF6" s="32"/>
      <x:c r="BG6" s="32"/>
      <x:c r="BH6" s="32"/>
      <x:c r="BI6" s="32"/>
      <x:c r="BJ6" s="32"/>
      <x:c r="BK6" s="32"/>
      <x:c r="BL6" s="32"/>
      <x:c r="BM6" s="32"/>
      <x:c r="BN6" s="32"/>
      <x:c r="BO6" s="32"/>
      <x:c r="BP6" s="32"/>
      <x:c r="BQ6" s="32"/>
      <x:c r="BR6" s="32"/>
      <x:c r="BS6" s="32"/>
      <x:c r="BT6" s="32"/>
      <x:c r="BU6" s="32"/>
      <x:c r="BV6" s="32"/>
      <x:c r="BW6" s="32"/>
      <x:c r="BX6" s="32"/>
      <x:c r="BY6" s="32"/>
      <x:c r="BZ6" s="32"/>
      <x:c r="CA6" s="32"/>
      <x:c r="CB6" s="32"/>
      <x:c r="CC6" s="32"/>
      <x:c r="CD6" s="32"/>
      <x:c r="CE6" s="32"/>
      <x:c r="CF6" s="32"/>
      <x:c r="CG6" s="32"/>
      <x:c r="CH6" s="32"/>
      <x:c r="CI6" s="32"/>
      <x:c r="CJ6" s="32"/>
      <x:c r="CK6" s="32"/>
      <x:c r="CL6" s="32"/>
      <x:c r="CM6" s="32"/>
      <x:c r="CN6" s="32"/>
      <x:c r="CO6" s="32"/>
      <x:c r="CP6" s="32"/>
      <x:c r="CQ6" s="32"/>
      <x:c r="CR6" s="32"/>
      <x:c r="CS6" s="32"/>
      <x:c r="CT6" s="32"/>
      <x:c r="CU6" s="32"/>
      <x:c r="CV6" s="32"/>
      <x:c r="CW6" s="32"/>
      <x:c r="CX6" s="32"/>
      <x:c r="CY6" s="32"/>
      <x:c r="CZ6" s="32"/>
      <x:c r="DA6" s="32"/>
      <x:c r="DB6" s="32"/>
      <x:c r="DC6" s="32"/>
      <x:c r="DD6" s="32"/>
      <x:c r="DE6" s="32"/>
      <x:c r="DF6" s="32"/>
      <x:c r="DG6" s="32"/>
      <x:c r="DH6" s="32"/>
      <x:c r="DI6" s="32"/>
      <x:c r="DJ6" s="32"/>
      <x:c r="DK6" s="32"/>
      <x:c r="DL6" s="32"/>
      <x:c r="DM6" s="32"/>
      <x:c r="DN6" s="32"/>
      <x:c r="DO6" s="32"/>
      <x:c r="DP6" s="32"/>
      <x:c r="DQ6" s="32"/>
      <x:c r="DR6" s="32"/>
      <x:c r="DS6" s="32"/>
      <x:c r="DT6" s="32"/>
      <x:c r="DU6" s="32"/>
      <x:c r="DV6" s="32"/>
      <x:c r="DW6" s="32"/>
      <x:c r="DX6" s="32"/>
      <x:c r="DY6" s="32"/>
      <x:c r="DZ6" s="32"/>
      <x:c r="EA6" s="32"/>
      <x:c r="EB6" s="32"/>
      <x:c r="EC6" s="32"/>
      <x:c r="ED6" s="32"/>
      <x:c r="EE6" s="32"/>
      <x:c r="EF6" s="32"/>
      <x:c r="EG6" s="32"/>
      <x:c r="EH6" s="32"/>
      <x:c r="EI6" s="32"/>
      <x:c r="EJ6" s="32"/>
      <x:c r="EK6" s="32"/>
      <x:c r="EL6" s="32"/>
      <x:c r="EM6" s="32"/>
      <x:c r="EN6" s="32"/>
      <x:c r="EO6" s="32"/>
      <x:c r="EP6" s="32"/>
      <x:c r="EQ6" s="32"/>
      <x:c r="ER6" s="32"/>
      <x:c r="ES6" s="32"/>
      <x:c r="ET6" s="32"/>
      <x:c r="EU6" s="32"/>
      <x:c r="EV6" s="32"/>
      <x:c r="EW6" s="32"/>
      <x:c r="EX6" s="32"/>
      <x:c r="EY6" s="32"/>
      <x:c r="EZ6" s="32"/>
      <x:c r="FA6" s="32"/>
      <x:c r="FB6" s="32"/>
      <x:c r="FC6" s="32"/>
      <x:c r="FD6" s="32"/>
      <x:c r="FE6" s="32"/>
      <x:c r="FF6" s="32"/>
      <x:c r="FG6" s="32"/>
      <x:c r="FH6" s="32"/>
      <x:c r="FI6" s="32"/>
      <x:c r="FJ6" s="32"/>
      <x:c r="FK6" s="32"/>
      <x:c r="FL6" s="32"/>
      <x:c r="FM6" s="32"/>
      <x:c r="FN6" s="32"/>
      <x:c r="FO6" s="32"/>
      <x:c r="FP6" s="32"/>
      <x:c r="FQ6" s="32"/>
      <x:c r="FR6" s="32"/>
      <x:c r="FS6" s="32"/>
      <x:c r="FT6" s="32"/>
      <x:c r="FU6" s="32"/>
      <x:c r="FV6" s="32"/>
      <x:c r="FW6" s="32"/>
      <x:c r="FX6" s="32"/>
      <x:c r="FY6" s="32"/>
      <x:c r="FZ6" s="32"/>
      <x:c r="GA6" s="32"/>
      <x:c r="GB6" s="32"/>
      <x:c r="GC6" s="32"/>
      <x:c r="GD6" s="32"/>
      <x:c r="GE6" s="32"/>
      <x:c r="GF6" s="32"/>
      <x:c r="GG6" s="32"/>
      <x:c r="GH6" s="32"/>
      <x:c r="GI6" s="32"/>
      <x:c r="GJ6" s="32"/>
      <x:c r="GK6" s="32"/>
      <x:c r="GL6" s="32"/>
      <x:c r="GM6" s="32"/>
      <x:c r="GN6" s="32"/>
      <x:c r="GO6" s="32"/>
      <x:c r="GP6" s="32"/>
      <x:c r="GQ6" s="32"/>
      <x:c r="GR6" s="32"/>
      <x:c r="GS6" s="32"/>
      <x:c r="GT6" s="32"/>
      <x:c r="GU6" s="32"/>
      <x:c r="GV6" s="32"/>
      <x:c r="GW6" s="32"/>
      <x:c r="GX6" s="32"/>
      <x:c r="GY6" s="32"/>
      <x:c r="GZ6" s="32"/>
      <x:c r="HA6" s="32"/>
      <x:c r="HB6" s="32"/>
      <x:c r="HC6" s="32"/>
      <x:c r="HD6" s="32"/>
      <x:c r="HE6" s="32"/>
      <x:c r="HF6" s="32"/>
      <x:c r="HG6" s="32"/>
      <x:c r="HH6" s="32"/>
      <x:c r="HI6" s="32"/>
      <x:c r="HJ6" s="32"/>
      <x:c r="HK6" s="32"/>
      <x:c r="HL6" s="32"/>
      <x:c r="HM6" s="32"/>
      <x:c r="HN6" s="32"/>
      <x:c r="HO6" s="32"/>
      <x:c r="HP6" s="32"/>
      <x:c r="HQ6" s="32"/>
      <x:c r="HR6" s="32"/>
      <x:c r="HS6" s="32"/>
      <x:c r="HT6" s="32"/>
      <x:c r="HU6" s="32"/>
      <x:c r="HV6" s="32"/>
      <x:c r="HW6" s="32"/>
      <x:c r="HX6" s="32"/>
      <x:c r="HY6" s="32"/>
      <x:c r="VW6" s="32"/>
      <x:c r="VX6" s="32"/>
      <x:c r="VY6" s="32"/>
      <x:c r="VZ6" s="32"/>
      <x:c r="WA6" s="32"/>
      <x:c r="WB6" s="32"/>
      <x:c r="WC6" s="32"/>
      <x:c r="WD6" s="32"/>
      <x:c r="WE6" s="32"/>
      <x:c r="WF6" s="32"/>
      <x:c r="WG6" s="32"/>
      <x:c r="WH6" s="32"/>
      <x:c r="WI6" s="32"/>
      <x:c r="WJ6" s="32"/>
      <x:c r="WK6" s="32"/>
      <x:c r="WL6" s="32"/>
      <x:c r="WM6" s="32"/>
      <x:c r="WN6" s="32"/>
      <x:c r="WO6" s="32"/>
      <x:c r="WP6" s="32"/>
      <x:c r="WQ6" s="32"/>
      <x:c r="WR6" s="32"/>
      <x:c r="WS6" s="32"/>
      <x:c r="WT6" s="32"/>
      <x:c r="WU6" s="32"/>
      <x:c r="WV6" s="32"/>
      <x:c r="WW6" s="32"/>
      <x:c r="WX6" s="32"/>
      <x:c r="WY6" s="32"/>
      <x:c r="WZ6" s="32"/>
      <x:c r="XA6" s="32"/>
      <x:c r="XB6" s="32"/>
      <x:c r="XC6" s="32"/>
      <x:c r="XD6" s="32"/>
    </x:row>
    <x:row r="7">
      <x:c r="A7" s="32" t="str">
        <x:v>a6d0eae4-9bc6-47f7-91e2-7f02741ca635</x:v>
      </x:c>
      <x:c r="B7" s="32" t="str">
        <x:v>A-003</x:v>
      </x:c>
      <x:c r="C7" s="42" t="n">
        <x:v>46259.56309027778</x:v>
      </x:c>
      <x:c r="D7" s="32" t="str">
        <x:v>489b7424f5051f7a276dafe8d5f318ccf1368d87</x:v>
      </x:c>
      <x:c r="E7" s="32" t="str">
        <x:v>GLONBW11</x:v>
      </x:c>
      <x:c r="F7" s="32" t="str">
        <x:v>local-filesystem</x:v>
      </x:c>
      <x:c r="G7" s="32" t="str">
        <x:v>3.14.2</x:v>
      </x:c>
      <x:c r="H7" s="32" t="str">
        <x:v>deterministic</x:v>
      </x:c>
      <x:c r="I7" s="32" t="n">
        <x:v>500</x:v>
      </x:c>
      <x:c r="J7" s="32" t="n">
        <x:v>10</x:v>
      </x:c>
      <x:c r="K7" s="47" t="n">
        <x:v>10.020355599999998</x:v>
      </x:c>
      <x:c r="L7" s="32" t="n">
        <x:v>121</x:v>
      </x:c>
      <x:c r="M7" s="32" t="n">
        <x:v>5</x:v>
      </x:c>
      <x:c r="N7" s="32" t="n">
        <x:v>10</x:v>
      </x:c>
      <x:c r="O7" s="48" t="n">
        <x:v>387.4734989994977</x:v>
      </x:c>
      <x:c r="P7" s="48" t="n">
        <x:v>437.5932749999265</x:v>
      </x:c>
      <x:c r="Q7" s="48" t="n">
        <x:v>618.8205041999024</x:v>
      </x:c>
      <x:c r="R7" s="48" t="n">
        <x:v>728.3200030005901</x:v>
      </x:c>
      <x:c r="S7" s="32" t="n">
        <x:v>0</x:v>
      </x:c>
      <x:c r="T7" s="43" t="n">
        <x:v>0</x:v>
      </x:c>
      <x:c r="U7" s="48" t="n">
        <x:v>96.15783685614771</x:v>
      </x:c>
      <x:c r="V7" s="48" t="n">
        <x:v>102.92344872173985</x:v>
      </x:c>
      <x:c r="W7" s="48" t="n">
        <x:v>130.55139462809916</x:v>
      </x:c>
      <x:c r="X7" s="48" t="n">
        <x:v>131.265625</x:v>
      </x:c>
      <x:c r="Y7" s="32"/>
      <x:c r="Z7" s="32"/>
      <x:c r="AA7" s="32"/>
      <x:c r="AB7" s="32"/>
      <x:c r="AC7" s="32" t="n">
        <x:v>0</x:v>
      </x:c>
      <x:c r="AD7" s="32" t="n">
        <x:v>0</x:v>
      </x:c>
      <x:c r="AE7" s="32" t="n">
        <x:v>0</x:v>
      </x:c>
      <x:c r="AF7" s="32"/>
      <x:c r="AG7" s="32"/>
      <x:c r="AH7" s="48" t="n">
        <x:v>192.9753990007157</x:v>
      </x:c>
      <x:c r="AI7" s="32" t="str">
        <x:v>PASS</x:v>
      </x:c>
      <x:c r="AJ7" s="32" t="str">
        <x:v>GREEN</x:v>
      </x:c>
      <x:c r="AK7" s="32" t="str">
        <x:v>shared-latest</x:v>
      </x:c>
      <x:c r="AL7" s="32" t="n">
        <x:v>1</x:v>
      </x:c>
      <x:c r="AM7" s="32" t="n">
        <x:v>1</x:v>
      </x:c>
      <x:c r="AN7" s="32" t="n">
        <x:v>1</x:v>
      </x:c>
      <x:c r="AO7" s="32" t="n">
        <x:v>1</x:v>
      </x:c>
      <x:c r="AP7" s="32"/>
      <x:c r="AQ7" s="32"/>
      <x:c r="AR7" s="32"/>
      <x:c r="AS7" s="32"/>
      <x:c r="AT7" s="32"/>
      <x:c r="AU7" s="32"/>
      <x:c r="AV7" s="32"/>
      <x:c r="AW7" s="32"/>
      <x:c r="AX7" s="32"/>
      <x:c r="AY7" s="32"/>
      <x:c r="AZ7" s="32"/>
      <x:c r="BA7" s="32"/>
      <x:c r="BB7" s="32"/>
      <x:c r="BC7" s="32"/>
      <x:c r="BD7" s="32"/>
      <x:c r="BE7" s="32"/>
      <x:c r="BF7" s="32"/>
      <x:c r="BG7" s="32"/>
      <x:c r="BH7" s="32"/>
      <x:c r="BI7" s="32"/>
      <x:c r="BJ7" s="32"/>
      <x:c r="BK7" s="32"/>
      <x:c r="BL7" s="32"/>
      <x:c r="BM7" s="32"/>
      <x:c r="BN7" s="32"/>
      <x:c r="BO7" s="32"/>
      <x:c r="BP7" s="32"/>
      <x:c r="BQ7" s="32"/>
      <x:c r="BR7" s="32"/>
      <x:c r="BS7" s="32"/>
      <x:c r="BT7" s="32"/>
      <x:c r="BU7" s="32"/>
      <x:c r="BV7" s="32"/>
      <x:c r="BW7" s="32"/>
      <x:c r="BX7" s="32"/>
      <x:c r="BY7" s="32"/>
      <x:c r="BZ7" s="32"/>
      <x:c r="CA7" s="32"/>
      <x:c r="CB7" s="32"/>
      <x:c r="CC7" s="32"/>
      <x:c r="CD7" s="32"/>
      <x:c r="CE7" s="32"/>
      <x:c r="CF7" s="32"/>
      <x:c r="CG7" s="32"/>
      <x:c r="CH7" s="32"/>
      <x:c r="CI7" s="32"/>
      <x:c r="CJ7" s="32"/>
      <x:c r="CK7" s="32"/>
      <x:c r="CL7" s="32"/>
      <x:c r="CM7" s="32"/>
      <x:c r="CN7" s="32"/>
      <x:c r="CO7" s="32"/>
      <x:c r="CP7" s="32"/>
      <x:c r="CQ7" s="32"/>
      <x:c r="CR7" s="32"/>
      <x:c r="CS7" s="32"/>
      <x:c r="CT7" s="32"/>
      <x:c r="CU7" s="32"/>
      <x:c r="CV7" s="32"/>
      <x:c r="CW7" s="32"/>
      <x:c r="CX7" s="32"/>
      <x:c r="CY7" s="32"/>
      <x:c r="CZ7" s="32"/>
      <x:c r="DA7" s="32"/>
      <x:c r="DB7" s="32"/>
      <x:c r="DC7" s="32"/>
      <x:c r="DD7" s="32"/>
      <x:c r="DE7" s="32"/>
      <x:c r="DF7" s="32"/>
      <x:c r="DG7" s="32"/>
      <x:c r="DH7" s="32"/>
      <x:c r="DI7" s="32"/>
      <x:c r="DJ7" s="32"/>
      <x:c r="DK7" s="32"/>
      <x:c r="DL7" s="32"/>
      <x:c r="DM7" s="32"/>
      <x:c r="DN7" s="32"/>
      <x:c r="DO7" s="32"/>
      <x:c r="DP7" s="32"/>
      <x:c r="DQ7" s="32"/>
      <x:c r="DR7" s="32"/>
      <x:c r="DS7" s="32"/>
      <x:c r="DT7" s="32"/>
      <x:c r="DU7" s="32"/>
      <x:c r="DV7" s="32"/>
      <x:c r="DW7" s="32"/>
      <x:c r="DX7" s="32"/>
      <x:c r="DY7" s="32"/>
      <x:c r="DZ7" s="32"/>
      <x:c r="EA7" s="32"/>
      <x:c r="EB7" s="32"/>
      <x:c r="EC7" s="32"/>
      <x:c r="ED7" s="32"/>
      <x:c r="EE7" s="32"/>
      <x:c r="EF7" s="32"/>
      <x:c r="EG7" s="32"/>
      <x:c r="EH7" s="32"/>
      <x:c r="EI7" s="32"/>
      <x:c r="EJ7" s="32"/>
      <x:c r="EK7" s="32"/>
      <x:c r="EL7" s="32"/>
      <x:c r="EM7" s="32"/>
      <x:c r="EN7" s="32"/>
      <x:c r="EO7" s="32"/>
      <x:c r="EP7" s="32"/>
      <x:c r="EQ7" s="32"/>
      <x:c r="ER7" s="32"/>
      <x:c r="ES7" s="32"/>
      <x:c r="ET7" s="32"/>
      <x:c r="EU7" s="32"/>
      <x:c r="EV7" s="32"/>
      <x:c r="EW7" s="32"/>
      <x:c r="EX7" s="32"/>
      <x:c r="EY7" s="32"/>
      <x:c r="EZ7" s="32"/>
      <x:c r="FA7" s="32"/>
      <x:c r="FB7" s="32"/>
      <x:c r="FC7" s="32"/>
      <x:c r="FD7" s="32"/>
      <x:c r="FE7" s="32"/>
      <x:c r="FF7" s="32"/>
      <x:c r="FG7" s="32"/>
      <x:c r="FH7" s="32"/>
      <x:c r="FI7" s="32"/>
      <x:c r="FJ7" s="32"/>
      <x:c r="FK7" s="32"/>
      <x:c r="FL7" s="32"/>
      <x:c r="FM7" s="32"/>
      <x:c r="FN7" s="32"/>
      <x:c r="FO7" s="32"/>
      <x:c r="FP7" s="32"/>
      <x:c r="FQ7" s="32"/>
      <x:c r="FR7" s="32"/>
      <x:c r="FS7" s="32"/>
      <x:c r="FT7" s="32"/>
      <x:c r="FU7" s="32"/>
      <x:c r="FV7" s="32"/>
      <x:c r="FW7" s="32"/>
      <x:c r="FX7" s="32"/>
      <x:c r="FY7" s="32"/>
      <x:c r="FZ7" s="32"/>
      <x:c r="GA7" s="32"/>
      <x:c r="GB7" s="32"/>
      <x:c r="GC7" s="32"/>
      <x:c r="GD7" s="32"/>
      <x:c r="GE7" s="32"/>
      <x:c r="GF7" s="32"/>
      <x:c r="GG7" s="32"/>
      <x:c r="GH7" s="32"/>
      <x:c r="GI7" s="32"/>
      <x:c r="GJ7" s="32"/>
      <x:c r="GK7" s="32"/>
      <x:c r="GL7" s="32"/>
      <x:c r="GM7" s="32"/>
      <x:c r="GN7" s="32"/>
      <x:c r="GO7" s="32"/>
      <x:c r="GP7" s="32"/>
      <x:c r="GQ7" s="32"/>
      <x:c r="GR7" s="32"/>
      <x:c r="GS7" s="32"/>
      <x:c r="GT7" s="32"/>
      <x:c r="GU7" s="32"/>
      <x:c r="GV7" s="32"/>
      <x:c r="GW7" s="32"/>
      <x:c r="GX7" s="32"/>
      <x:c r="GY7" s="32"/>
      <x:c r="GZ7" s="32"/>
      <x:c r="HA7" s="32"/>
      <x:c r="HB7" s="32"/>
      <x:c r="HC7" s="32"/>
      <x:c r="HD7" s="32"/>
      <x:c r="HE7" s="32"/>
      <x:c r="HF7" s="32"/>
      <x:c r="HG7" s="32"/>
      <x:c r="HH7" s="32"/>
      <x:c r="HI7" s="32"/>
      <x:c r="HJ7" s="32"/>
      <x:c r="HK7" s="32"/>
      <x:c r="HL7" s="32"/>
      <x:c r="HM7" s="32"/>
      <x:c r="HN7" s="32"/>
      <x:c r="HO7" s="32"/>
      <x:c r="HP7" s="32"/>
      <x:c r="HQ7" s="32"/>
      <x:c r="HR7" s="32"/>
      <x:c r="HS7" s="32"/>
      <x:c r="HT7" s="32"/>
      <x:c r="HU7" s="32"/>
      <x:c r="HV7" s="32"/>
      <x:c r="HW7" s="32"/>
      <x:c r="HX7" s="32"/>
      <x:c r="HY7" s="32"/>
      <x:c r="VW7" s="32"/>
      <x:c r="VX7" s="32"/>
      <x:c r="VY7" s="32"/>
      <x:c r="VZ7" s="32"/>
      <x:c r="WA7" s="32"/>
      <x:c r="WB7" s="32"/>
      <x:c r="WC7" s="32"/>
      <x:c r="WD7" s="32"/>
      <x:c r="WE7" s="32"/>
      <x:c r="WF7" s="32"/>
      <x:c r="WG7" s="32"/>
      <x:c r="WH7" s="32"/>
      <x:c r="WI7" s="32"/>
      <x:c r="WJ7" s="32"/>
      <x:c r="WK7" s="32"/>
      <x:c r="WL7" s="32"/>
      <x:c r="WM7" s="32"/>
      <x:c r="WN7" s="32"/>
      <x:c r="WO7" s="32"/>
      <x:c r="WP7" s="32"/>
      <x:c r="WQ7" s="32"/>
      <x:c r="WR7" s="32"/>
      <x:c r="WS7" s="32"/>
      <x:c r="WT7" s="32"/>
      <x:c r="WU7" s="32"/>
      <x:c r="WV7" s="32"/>
      <x:c r="WW7" s="32"/>
      <x:c r="WX7" s="32"/>
      <x:c r="WY7" s="32"/>
      <x:c r="WZ7" s="32"/>
      <x:c r="XA7" s="32"/>
      <x:c r="XB7" s="32"/>
      <x:c r="XC7" s="32"/>
      <x:c r="XD7" s="32"/>
    </x:row>
    <x:row r="8">
      <x:c r="A8" s="32" t="str">
        <x:v>79fff64c-2594-4e2d-958f-c32cb7f57d6c</x:v>
      </x:c>
      <x:c r="B8" s="32" t="str">
        <x:v>A-004</x:v>
      </x:c>
      <x:c r="C8" s="42" t="n">
        <x:v>46259.5750462963</x:v>
      </x:c>
      <x:c r="D8" s="32" t="str">
        <x:v>489b7424f5051f7a276dafe8d5f318ccf1368d87</x:v>
      </x:c>
      <x:c r="E8" s="32" t="str">
        <x:v>GLONBW11</x:v>
      </x:c>
      <x:c r="F8" s="32" t="str">
        <x:v>local-filesystem</x:v>
      </x:c>
      <x:c r="G8" s="32" t="str">
        <x:v>3.14.2</x:v>
      </x:c>
      <x:c r="H8" s="32" t="str">
        <x:v>deterministic</x:v>
      </x:c>
      <x:c r="I8" s="32" t="n">
        <x:v>750</x:v>
      </x:c>
      <x:c r="J8" s="32" t="n">
        <x:v>10</x:v>
      </x:c>
      <x:c r="K8" s="47" t="n">
        <x:v>10.02327265</x:v>
      </x:c>
      <x:c r="L8" s="32" t="n">
        <x:v>121</x:v>
      </x:c>
      <x:c r="M8" s="32" t="n">
        <x:v>5</x:v>
      </x:c>
      <x:c r="N8" s="32" t="n">
        <x:v>10</x:v>
      </x:c>
      <x:c r="O8" s="48" t="n">
        <x:v>585.9871780003232</x:v>
      </x:c>
      <x:c r="P8" s="48" t="n">
        <x:v>645.0332279991926</x:v>
      </x:c>
      <x:c r="Q8" s="48" t="n">
        <x:v>888.147127799857</x:v>
      </x:c>
      <x:c r="R8" s="48" t="n">
        <x:v>955.182177000097</x:v>
      </x:c>
      <x:c r="S8" s="32" t="n">
        <x:v>0</x:v>
      </x:c>
      <x:c r="T8" s="43" t="n">
        <x:v>0</x:v>
      </x:c>
      <x:c r="U8" s="48" t="n">
        <x:v>96.90615969732796</x:v>
      </x:c>
      <x:c r="V8" s="48" t="n">
        <x:v>102.23419021095788</x:v>
      </x:c>
      <x:c r="W8" s="48" t="n">
        <x:v>134.60314436983472</x:v>
      </x:c>
      <x:c r="X8" s="48" t="n">
        <x:v>135.6328125</x:v>
      </x:c>
      <x:c r="Y8" s="32"/>
      <x:c r="Z8" s="32"/>
      <x:c r="AA8" s="32"/>
      <x:c r="AB8" s="32"/>
      <x:c r="AC8" s="32" t="n">
        <x:v>0</x:v>
      </x:c>
      <x:c r="AD8" s="32" t="n">
        <x:v>0</x:v>
      </x:c>
      <x:c r="AE8" s="32" t="n">
        <x:v>0</x:v>
      </x:c>
      <x:c r="AF8" s="32"/>
      <x:c r="AG8" s="32"/>
      <x:c r="AH8" s="48" t="n">
        <x:v>310.23053099943354</x:v>
      </x:c>
      <x:c r="AI8" s="32" t="str">
        <x:v>PASS</x:v>
      </x:c>
      <x:c r="AJ8" s="32" t="str">
        <x:v>GREEN</x:v>
      </x:c>
      <x:c r="AK8" s="32" t="str">
        <x:v>shared-latest</x:v>
      </x:c>
      <x:c r="AL8" s="32" t="n">
        <x:v>1</x:v>
      </x:c>
      <x:c r="AM8" s="32" t="n">
        <x:v>1</x:v>
      </x:c>
      <x:c r="AN8" s="32" t="n">
        <x:v>1</x:v>
      </x:c>
      <x:c r="AO8" s="32" t="n">
        <x:v>1</x:v>
      </x:c>
      <x:c r="AP8" s="32"/>
      <x:c r="AQ8" s="32"/>
      <x:c r="AR8" s="32"/>
      <x:c r="AS8" s="32"/>
      <x:c r="AT8" s="32"/>
      <x:c r="AU8" s="32"/>
      <x:c r="AV8" s="32"/>
      <x:c r="AW8" s="32"/>
      <x:c r="AX8" s="32"/>
      <x:c r="AY8" s="32"/>
      <x:c r="AZ8" s="32"/>
      <x:c r="BA8" s="32"/>
      <x:c r="BB8" s="32"/>
      <x:c r="BC8" s="32"/>
      <x:c r="BD8" s="32"/>
      <x:c r="BE8" s="32"/>
      <x:c r="BF8" s="32"/>
      <x:c r="BG8" s="32"/>
      <x:c r="BH8" s="32"/>
      <x:c r="BI8" s="32"/>
      <x:c r="BJ8" s="32"/>
      <x:c r="BK8" s="32"/>
      <x:c r="BL8" s="32"/>
      <x:c r="BM8" s="32"/>
      <x:c r="BN8" s="32"/>
      <x:c r="BO8" s="32"/>
      <x:c r="BP8" s="32"/>
      <x:c r="BQ8" s="32"/>
      <x:c r="BR8" s="32"/>
      <x:c r="BS8" s="32"/>
      <x:c r="BT8" s="32"/>
      <x:c r="BU8" s="32"/>
      <x:c r="BV8" s="32"/>
      <x:c r="BW8" s="32"/>
      <x:c r="BX8" s="32"/>
      <x:c r="BY8" s="32"/>
      <x:c r="BZ8" s="32"/>
      <x:c r="CA8" s="32"/>
      <x:c r="CB8" s="32"/>
      <x:c r="CC8" s="32"/>
      <x:c r="CD8" s="32"/>
      <x:c r="CE8" s="32"/>
      <x:c r="CF8" s="32"/>
      <x:c r="CG8" s="32"/>
      <x:c r="CH8" s="32"/>
      <x:c r="CI8" s="32"/>
      <x:c r="CJ8" s="32"/>
      <x:c r="CK8" s="32"/>
      <x:c r="CL8" s="32"/>
      <x:c r="CM8" s="32"/>
      <x:c r="CN8" s="32"/>
      <x:c r="CO8" s="32"/>
      <x:c r="CP8" s="32"/>
      <x:c r="CQ8" s="32"/>
      <x:c r="CR8" s="32"/>
      <x:c r="CS8" s="32"/>
      <x:c r="CT8" s="32"/>
      <x:c r="CU8" s="32"/>
      <x:c r="CV8" s="32"/>
      <x:c r="CW8" s="32"/>
      <x:c r="CX8" s="32"/>
      <x:c r="CY8" s="32"/>
      <x:c r="CZ8" s="32"/>
      <x:c r="DA8" s="32"/>
      <x:c r="DB8" s="32"/>
      <x:c r="DC8" s="32"/>
      <x:c r="DD8" s="32"/>
      <x:c r="DE8" s="32"/>
      <x:c r="DF8" s="32"/>
      <x:c r="DG8" s="32"/>
      <x:c r="DH8" s="32"/>
      <x:c r="DI8" s="32"/>
      <x:c r="DJ8" s="32"/>
      <x:c r="DK8" s="32"/>
      <x:c r="DL8" s="32"/>
      <x:c r="DM8" s="32"/>
      <x:c r="DN8" s="32"/>
      <x:c r="DO8" s="32"/>
      <x:c r="DP8" s="32"/>
      <x:c r="DQ8" s="32"/>
      <x:c r="DR8" s="32"/>
      <x:c r="DS8" s="32"/>
      <x:c r="DT8" s="32"/>
      <x:c r="DU8" s="32"/>
      <x:c r="DV8" s="32"/>
      <x:c r="DW8" s="32"/>
      <x:c r="DX8" s="32"/>
      <x:c r="DY8" s="32"/>
      <x:c r="DZ8" s="32"/>
      <x:c r="EA8" s="32"/>
      <x:c r="EB8" s="32"/>
      <x:c r="EC8" s="32"/>
      <x:c r="ED8" s="32"/>
      <x:c r="EE8" s="32"/>
      <x:c r="EF8" s="32"/>
      <x:c r="EG8" s="32"/>
      <x:c r="EH8" s="32"/>
      <x:c r="EI8" s="32"/>
      <x:c r="EJ8" s="32"/>
      <x:c r="EK8" s="32"/>
      <x:c r="EL8" s="32"/>
      <x:c r="EM8" s="32"/>
      <x:c r="EN8" s="32"/>
      <x:c r="EO8" s="32"/>
      <x:c r="EP8" s="32"/>
      <x:c r="EQ8" s="32"/>
      <x:c r="ER8" s="32"/>
      <x:c r="ES8" s="32"/>
      <x:c r="ET8" s="32"/>
      <x:c r="EU8" s="32"/>
      <x:c r="EV8" s="32"/>
      <x:c r="EW8" s="32"/>
      <x:c r="EX8" s="32"/>
      <x:c r="EY8" s="32"/>
      <x:c r="EZ8" s="32"/>
      <x:c r="FA8" s="32"/>
      <x:c r="FB8" s="32"/>
      <x:c r="FC8" s="32"/>
      <x:c r="FD8" s="32"/>
      <x:c r="FE8" s="32"/>
      <x:c r="FF8" s="32"/>
      <x:c r="FG8" s="32"/>
      <x:c r="FH8" s="32"/>
      <x:c r="FI8" s="32"/>
      <x:c r="FJ8" s="32"/>
      <x:c r="FK8" s="32"/>
      <x:c r="FL8" s="32"/>
      <x:c r="FM8" s="32"/>
      <x:c r="FN8" s="32"/>
      <x:c r="FO8" s="32"/>
      <x:c r="FP8" s="32"/>
      <x:c r="FQ8" s="32"/>
      <x:c r="FR8" s="32"/>
      <x:c r="FS8" s="32"/>
      <x:c r="FT8" s="32"/>
      <x:c r="FU8" s="32"/>
      <x:c r="FV8" s="32"/>
      <x:c r="FW8" s="32"/>
      <x:c r="FX8" s="32"/>
      <x:c r="FY8" s="32"/>
      <x:c r="FZ8" s="32"/>
      <x:c r="GA8" s="32"/>
      <x:c r="GB8" s="32"/>
      <x:c r="GC8" s="32"/>
      <x:c r="GD8" s="32"/>
      <x:c r="GE8" s="32"/>
      <x:c r="GF8" s="32"/>
      <x:c r="GG8" s="32"/>
      <x:c r="GH8" s="32"/>
      <x:c r="GI8" s="32"/>
      <x:c r="GJ8" s="32"/>
      <x:c r="GK8" s="32"/>
      <x:c r="GL8" s="32"/>
      <x:c r="GM8" s="32"/>
      <x:c r="GN8" s="32"/>
      <x:c r="GO8" s="32"/>
      <x:c r="GP8" s="32"/>
      <x:c r="GQ8" s="32"/>
      <x:c r="GR8" s="32"/>
      <x:c r="GS8" s="32"/>
      <x:c r="GT8" s="32"/>
      <x:c r="GU8" s="32"/>
      <x:c r="GV8" s="32"/>
      <x:c r="GW8" s="32"/>
      <x:c r="GX8" s="32"/>
      <x:c r="GY8" s="32"/>
      <x:c r="GZ8" s="32"/>
      <x:c r="HA8" s="32"/>
      <x:c r="HB8" s="32"/>
      <x:c r="HC8" s="32"/>
      <x:c r="HD8" s="32"/>
      <x:c r="HE8" s="32"/>
      <x:c r="HF8" s="32"/>
      <x:c r="HG8" s="32"/>
      <x:c r="HH8" s="32"/>
      <x:c r="HI8" s="32"/>
      <x:c r="HJ8" s="32"/>
      <x:c r="HK8" s="32"/>
      <x:c r="HL8" s="32"/>
      <x:c r="HM8" s="32"/>
      <x:c r="HN8" s="32"/>
      <x:c r="HO8" s="32"/>
      <x:c r="HP8" s="32"/>
      <x:c r="HQ8" s="32"/>
      <x:c r="HR8" s="32"/>
      <x:c r="HS8" s="32"/>
      <x:c r="HT8" s="32"/>
      <x:c r="HU8" s="32"/>
      <x:c r="HV8" s="32"/>
      <x:c r="HW8" s="32"/>
      <x:c r="HX8" s="32"/>
      <x:c r="HY8" s="32"/>
      <x:c r="VW8" s="32"/>
      <x:c r="VX8" s="32"/>
      <x:c r="VY8" s="32"/>
      <x:c r="VZ8" s="32"/>
      <x:c r="WA8" s="32"/>
      <x:c r="WB8" s="32"/>
      <x:c r="WC8" s="32"/>
      <x:c r="WD8" s="32"/>
      <x:c r="WE8" s="32"/>
      <x:c r="WF8" s="32"/>
      <x:c r="WG8" s="32"/>
      <x:c r="WH8" s="32"/>
      <x:c r="WI8" s="32"/>
      <x:c r="WJ8" s="32"/>
      <x:c r="WK8" s="32"/>
      <x:c r="WL8" s="32"/>
      <x:c r="WM8" s="32"/>
      <x:c r="WN8" s="32"/>
      <x:c r="WO8" s="32"/>
      <x:c r="WP8" s="32"/>
      <x:c r="WQ8" s="32"/>
      <x:c r="WR8" s="32"/>
      <x:c r="WS8" s="32"/>
      <x:c r="WT8" s="32"/>
      <x:c r="WU8" s="32"/>
      <x:c r="WV8" s="32"/>
      <x:c r="WW8" s="32"/>
      <x:c r="WX8" s="32"/>
      <x:c r="WY8" s="32"/>
      <x:c r="WZ8" s="32"/>
      <x:c r="XA8" s="32"/>
      <x:c r="XB8" s="32"/>
      <x:c r="XC8" s="32"/>
      <x:c r="XD8" s="32"/>
    </x:row>
    <x:row r="9">
      <x:c r="A9" s="32" t="str">
        <x:v>c4128825-75f6-43a9-8c1d-ec8112d89cf3</x:v>
      </x:c>
      <x:c r="B9" s="32" t="str">
        <x:v>A-005</x:v>
      </x:c>
      <x:c r="C9" s="42" t="n">
        <x:v>46259.587905092594</x:v>
      </x:c>
      <x:c r="D9" s="32" t="str">
        <x:v>489b7424f5051f7a276dafe8d5f318ccf1368d87</x:v>
      </x:c>
      <x:c r="E9" s="32" t="str">
        <x:v>GLONBW11</x:v>
      </x:c>
      <x:c r="F9" s="32" t="str">
        <x:v>local-filesystem</x:v>
      </x:c>
      <x:c r="G9" s="32" t="str">
        <x:v>3.14.2</x:v>
      </x:c>
      <x:c r="H9" s="32" t="str">
        <x:v>deterministic</x:v>
      </x:c>
      <x:c r="I9" s="32" t="n">
        <x:v>1000</x:v>
      </x:c>
      <x:c r="J9" s="32" t="n">
        <x:v>10</x:v>
      </x:c>
      <x:c r="K9" s="47" t="n">
        <x:v>10.030038766666667</x:v>
      </x:c>
      <x:c r="L9" s="32" t="n">
        <x:v>121</x:v>
      </x:c>
      <x:c r="M9" s="32" t="n">
        <x:v>5</x:v>
      </x:c>
      <x:c r="N9" s="32" t="n">
        <x:v>10</x:v>
      </x:c>
      <x:c r="O9" s="48" t="n">
        <x:v>806.6423309992388</x:v>
      </x:c>
      <x:c r="P9" s="48" t="n">
        <x:v>907.3825960003887</x:v>
      </x:c>
      <x:c r="Q9" s="48" t="n">
        <x:v>1230.2396648003196</x:v>
      </x:c>
      <x:c r="R9" s="48" t="n">
        <x:v>1274.5961770015128</x:v>
      </x:c>
      <x:c r="S9" s="32" t="n">
        <x:v>0</x:v>
      </x:c>
      <x:c r="T9" s="43" t="n">
        <x:v>0</x:v>
      </x:c>
      <x:c r="U9" s="48" t="n">
        <x:v>97.9749689443221</x:v>
      </x:c>
      <x:c r="V9" s="48" t="n">
        <x:v>101.39052744181197</x:v>
      </x:c>
      <x:c r="W9" s="48" t="n">
        <x:v>136.5167549070248</x:v>
      </x:c>
      <x:c r="X9" s="48" t="n">
        <x:v>139.6171875</x:v>
      </x:c>
      <x:c r="Y9" s="32"/>
      <x:c r="Z9" s="32"/>
      <x:c r="AA9" s="32"/>
      <x:c r="AB9" s="32"/>
      <x:c r="AC9" s="32" t="n">
        <x:v>0</x:v>
      </x:c>
      <x:c r="AD9" s="32" t="n">
        <x:v>0</x:v>
      </x:c>
      <x:c r="AE9" s="32" t="n">
        <x:v>0</x:v>
      </x:c>
      <x:c r="AF9" s="32"/>
      <x:c r="AG9" s="32"/>
      <x:c r="AH9" s="48" t="n">
        <x:v>401.48390300055325</x:v>
      </x:c>
      <x:c r="AI9" s="32" t="str">
        <x:v>PASS</x:v>
      </x:c>
      <x:c r="AJ9" s="32" t="str">
        <x:v>GREEN</x:v>
      </x:c>
      <x:c r="AK9" s="32" t="str">
        <x:v>shared-latest</x:v>
      </x:c>
      <x:c r="AL9" s="32" t="n">
        <x:v>1</x:v>
      </x:c>
      <x:c r="AM9" s="32" t="n">
        <x:v>1</x:v>
      </x:c>
      <x:c r="AN9" s="32" t="n">
        <x:v>1</x:v>
      </x:c>
      <x:c r="AO9" s="32" t="n">
        <x:v>1</x:v>
      </x:c>
      <x:c r="AP9" s="32"/>
      <x:c r="AQ9" s="32"/>
      <x:c r="AR9" s="32"/>
      <x:c r="AS9" s="32"/>
      <x:c r="AT9" s="32"/>
      <x:c r="AU9" s="32"/>
      <x:c r="AV9" s="32"/>
      <x:c r="AW9" s="32"/>
      <x:c r="AX9" s="32"/>
      <x:c r="AY9" s="32"/>
      <x:c r="AZ9" s="32"/>
      <x:c r="BA9" s="32"/>
      <x:c r="BB9" s="32"/>
      <x:c r="BC9" s="32"/>
      <x:c r="BD9" s="32"/>
      <x:c r="BE9" s="32"/>
      <x:c r="BF9" s="32"/>
      <x:c r="BG9" s="32"/>
      <x:c r="BH9" s="32"/>
      <x:c r="BI9" s="32"/>
      <x:c r="BJ9" s="32"/>
      <x:c r="BK9" s="32"/>
      <x:c r="BL9" s="32"/>
      <x:c r="BM9" s="32"/>
      <x:c r="BN9" s="32"/>
      <x:c r="BO9" s="32"/>
      <x:c r="BP9" s="32"/>
      <x:c r="BQ9" s="32"/>
      <x:c r="BR9" s="32"/>
      <x:c r="BS9" s="32"/>
      <x:c r="BT9" s="32"/>
      <x:c r="BU9" s="32"/>
      <x:c r="BV9" s="32"/>
      <x:c r="BW9" s="32"/>
      <x:c r="BX9" s="32"/>
      <x:c r="BY9" s="32"/>
      <x:c r="BZ9" s="32"/>
      <x:c r="CA9" s="32"/>
      <x:c r="CB9" s="32"/>
      <x:c r="CC9" s="32"/>
      <x:c r="CD9" s="32"/>
      <x:c r="CE9" s="32"/>
      <x:c r="CF9" s="32"/>
      <x:c r="CG9" s="32"/>
      <x:c r="CH9" s="32"/>
      <x:c r="CI9" s="32"/>
      <x:c r="CJ9" s="32"/>
      <x:c r="CK9" s="32"/>
      <x:c r="CL9" s="32"/>
      <x:c r="CM9" s="32"/>
      <x:c r="CN9" s="32"/>
      <x:c r="CO9" s="32"/>
      <x:c r="CP9" s="32"/>
      <x:c r="CQ9" s="32"/>
      <x:c r="CR9" s="32"/>
      <x:c r="CS9" s="32"/>
      <x:c r="CT9" s="32"/>
      <x:c r="CU9" s="32"/>
      <x:c r="CV9" s="32"/>
      <x:c r="CW9" s="32"/>
      <x:c r="CX9" s="32"/>
      <x:c r="CY9" s="32"/>
      <x:c r="CZ9" s="32"/>
      <x:c r="DA9" s="32"/>
      <x:c r="DB9" s="32"/>
      <x:c r="DC9" s="32"/>
      <x:c r="DD9" s="32"/>
      <x:c r="DE9" s="32"/>
      <x:c r="DF9" s="32"/>
      <x:c r="DG9" s="32"/>
      <x:c r="DH9" s="32"/>
      <x:c r="DI9" s="32"/>
      <x:c r="DJ9" s="32"/>
      <x:c r="DK9" s="32"/>
      <x:c r="DL9" s="32"/>
      <x:c r="DM9" s="32"/>
      <x:c r="DN9" s="32"/>
      <x:c r="DO9" s="32"/>
      <x:c r="DP9" s="32"/>
      <x:c r="DQ9" s="32"/>
      <x:c r="DR9" s="32"/>
      <x:c r="DS9" s="32"/>
      <x:c r="DT9" s="32"/>
      <x:c r="DU9" s="32"/>
      <x:c r="DV9" s="32"/>
      <x:c r="DW9" s="32"/>
      <x:c r="DX9" s="32"/>
      <x:c r="DY9" s="32"/>
      <x:c r="DZ9" s="32"/>
      <x:c r="EA9" s="32"/>
      <x:c r="EB9" s="32"/>
      <x:c r="EC9" s="32"/>
      <x:c r="ED9" s="32"/>
      <x:c r="EE9" s="32"/>
      <x:c r="EF9" s="32"/>
      <x:c r="EG9" s="32"/>
      <x:c r="EH9" s="32"/>
      <x:c r="EI9" s="32"/>
      <x:c r="EJ9" s="32"/>
      <x:c r="EK9" s="32"/>
      <x:c r="EL9" s="32"/>
      <x:c r="EM9" s="32"/>
      <x:c r="EN9" s="32"/>
      <x:c r="EO9" s="32"/>
      <x:c r="EP9" s="32"/>
      <x:c r="EQ9" s="32"/>
      <x:c r="ER9" s="32"/>
      <x:c r="ES9" s="32"/>
      <x:c r="ET9" s="32"/>
      <x:c r="EU9" s="32"/>
      <x:c r="EV9" s="32"/>
      <x:c r="EW9" s="32"/>
      <x:c r="EX9" s="32"/>
      <x:c r="EY9" s="32"/>
      <x:c r="EZ9" s="32"/>
      <x:c r="FA9" s="32"/>
      <x:c r="FB9" s="32"/>
      <x:c r="FC9" s="32"/>
      <x:c r="FD9" s="32"/>
      <x:c r="FE9" s="32"/>
      <x:c r="FF9" s="32"/>
      <x:c r="FG9" s="32"/>
      <x:c r="FH9" s="32"/>
      <x:c r="FI9" s="32"/>
      <x:c r="FJ9" s="32"/>
      <x:c r="FK9" s="32"/>
      <x:c r="FL9" s="32"/>
      <x:c r="FM9" s="32"/>
      <x:c r="FN9" s="32"/>
      <x:c r="FO9" s="32"/>
      <x:c r="FP9" s="32"/>
      <x:c r="FQ9" s="32"/>
      <x:c r="FR9" s="32"/>
      <x:c r="FS9" s="32"/>
      <x:c r="FT9" s="32"/>
      <x:c r="FU9" s="32"/>
      <x:c r="FV9" s="32"/>
      <x:c r="FW9" s="32"/>
      <x:c r="FX9" s="32"/>
      <x:c r="FY9" s="32"/>
      <x:c r="FZ9" s="32"/>
      <x:c r="GA9" s="32"/>
      <x:c r="GB9" s="32"/>
      <x:c r="GC9" s="32"/>
      <x:c r="GD9" s="32"/>
      <x:c r="GE9" s="32"/>
      <x:c r="GF9" s="32"/>
      <x:c r="GG9" s="32"/>
      <x:c r="GH9" s="32"/>
      <x:c r="GI9" s="32"/>
      <x:c r="GJ9" s="32"/>
      <x:c r="GK9" s="32"/>
      <x:c r="GL9" s="32"/>
      <x:c r="GM9" s="32"/>
      <x:c r="GN9" s="32"/>
      <x:c r="GO9" s="32"/>
      <x:c r="GP9" s="32"/>
      <x:c r="GQ9" s="32"/>
      <x:c r="GR9" s="32"/>
      <x:c r="GS9" s="32"/>
      <x:c r="GT9" s="32"/>
      <x:c r="GU9" s="32"/>
      <x:c r="GV9" s="32"/>
      <x:c r="GW9" s="32"/>
      <x:c r="GX9" s="32"/>
      <x:c r="GY9" s="32"/>
      <x:c r="GZ9" s="32"/>
      <x:c r="HA9" s="32"/>
      <x:c r="HB9" s="32"/>
      <x:c r="HC9" s="32"/>
      <x:c r="HD9" s="32"/>
      <x:c r="HE9" s="32"/>
      <x:c r="HF9" s="32"/>
      <x:c r="HG9" s="32"/>
      <x:c r="HH9" s="32"/>
      <x:c r="HI9" s="32"/>
      <x:c r="HJ9" s="32"/>
      <x:c r="HK9" s="32"/>
      <x:c r="HL9" s="32"/>
      <x:c r="HM9" s="32"/>
      <x:c r="HN9" s="32"/>
      <x:c r="HO9" s="32"/>
      <x:c r="HP9" s="32"/>
      <x:c r="HQ9" s="32"/>
      <x:c r="HR9" s="32"/>
      <x:c r="HS9" s="32"/>
      <x:c r="HT9" s="32"/>
      <x:c r="HU9" s="32"/>
      <x:c r="HV9" s="32"/>
      <x:c r="HW9" s="32"/>
      <x:c r="HX9" s="32"/>
      <x:c r="HY9" s="32"/>
      <x:c r="VW9" s="32"/>
      <x:c r="VX9" s="32"/>
      <x:c r="VY9" s="32"/>
      <x:c r="VZ9" s="32"/>
      <x:c r="WA9" s="32"/>
      <x:c r="WB9" s="32"/>
      <x:c r="WC9" s="32"/>
      <x:c r="WD9" s="32"/>
      <x:c r="WE9" s="32"/>
      <x:c r="WF9" s="32"/>
      <x:c r="WG9" s="32"/>
      <x:c r="WH9" s="32"/>
      <x:c r="WI9" s="32"/>
      <x:c r="WJ9" s="32"/>
      <x:c r="WK9" s="32"/>
      <x:c r="WL9" s="32"/>
      <x:c r="WM9" s="32"/>
      <x:c r="WN9" s="32"/>
      <x:c r="WO9" s="32"/>
      <x:c r="WP9" s="32"/>
      <x:c r="WQ9" s="32"/>
      <x:c r="WR9" s="32"/>
      <x:c r="WS9" s="32"/>
      <x:c r="WT9" s="32"/>
      <x:c r="WU9" s="32"/>
      <x:c r="WV9" s="32"/>
      <x:c r="WW9" s="32"/>
      <x:c r="WX9" s="32"/>
      <x:c r="WY9" s="32"/>
      <x:c r="WZ9" s="32"/>
      <x:c r="XA9" s="32"/>
      <x:c r="XB9" s="32"/>
      <x:c r="XC9" s="32"/>
      <x:c r="XD9" s="32"/>
    </x:row>
    <x:row r="10">
      <x:c r="A10" s="32" t="str">
        <x:v>a6bf1f5d-5664-40ca-bd9f-257d7e022c46</x:v>
      </x:c>
      <x:c r="B10" s="32" t="str">
        <x:v>B-001</x:v>
      </x:c>
      <x:c r="C10" s="42" t="n">
        <x:v>46259.60527777778</x:v>
      </x:c>
      <x:c r="D10" s="32" t="str">
        <x:v>489b7424f5051f7a276dafe8d5f318ccf1368d87</x:v>
      </x:c>
      <x:c r="E10" s="32" t="str">
        <x:v>GLONBW11</x:v>
      </x:c>
      <x:c r="F10" s="32" t="str">
        <x:v>local-filesystem</x:v>
      </x:c>
      <x:c r="G10" s="32" t="str">
        <x:v>3.14.2</x:v>
      </x:c>
      <x:c r="H10" s="32" t="str">
        <x:v>deterministic</x:v>
      </x:c>
      <x:c r="I10" s="32" t="n">
        <x:v>1000</x:v>
      </x:c>
      <x:c r="J10" s="32" t="n">
        <x:v>10</x:v>
      </x:c>
      <x:c r="K10" s="47" t="n">
        <x:v>10.037309749999999</x:v>
      </x:c>
      <x:c r="L10" s="32" t="n">
        <x:v>121</x:v>
      </x:c>
      <x:c r="M10" s="32" t="n">
        <x:v>5</x:v>
      </x:c>
      <x:c r="N10" s="32" t="n">
        <x:v>10</x:v>
      </x:c>
      <x:c r="O10" s="48" t="n">
        <x:v>982.2968089993083</x:v>
      </x:c>
      <x:c r="P10" s="48" t="n">
        <x:v>1285.5415329995594</x:v>
      </x:c>
      <x:c r="Q10" s="48" t="n">
        <x:v>1587.6863376004615</x:v>
      </x:c>
      <x:c r="R10" s="48" t="n">
        <x:v>1633.9424289999442</x:v>
      </x:c>
      <x:c r="S10" s="32" t="n">
        <x:v>0</x:v>
      </x:c>
      <x:c r="T10" s="43" t="n">
        <x:v>0</x:v>
      </x:c>
      <x:c r="U10" s="48" t="n">
        <x:v>98.20538623182864</x:v>
      </x:c>
      <x:c r="V10" s="48" t="n">
        <x:v>100.85503377277843</x:v>
      </x:c>
      <x:c r="W10" s="48" t="n">
        <x:v>138.66231921487602</x:v>
      </x:c>
      <x:c r="X10" s="48" t="n">
        <x:v>142.03125</x:v>
      </x:c>
      <x:c r="Y10" s="32"/>
      <x:c r="Z10" s="32"/>
      <x:c r="AA10" s="32"/>
      <x:c r="AB10" s="32"/>
      <x:c r="AC10" s="32" t="n">
        <x:v>0</x:v>
      </x:c>
      <x:c r="AD10" s="32" t="n">
        <x:v>0</x:v>
      </x:c>
      <x:c r="AE10" s="32" t="n">
        <x:v>0</x:v>
      </x:c>
      <x:c r="AF10" s="32"/>
      <x:c r="AG10" s="32"/>
      <x:c r="AH10" s="48" t="n">
        <x:v>418.60777200054144</x:v>
      </x:c>
      <x:c r="AI10" s="32" t="str">
        <x:v>PASS</x:v>
      </x:c>
      <x:c r="AJ10" s="32" t="str">
        <x:v>GREEN</x:v>
      </x:c>
      <x:c r="AK10" s="32" t="str">
        <x:v>latest-narrow</x:v>
      </x:c>
      <x:c r="AL10" s="32" t="n">
        <x:v>1</x:v>
      </x:c>
      <x:c r="AM10" s="32" t="n">
        <x:v>1</x:v>
      </x:c>
      <x:c r="AN10" s="32" t="n">
        <x:v>1000</x:v>
      </x:c>
      <x:c r="AO10" s="32" t="n">
        <x:v>1</x:v>
      </x:c>
      <x:c r="AP10" s="82" t="n">
        <x:v>8132</x:v>
      </x:c>
      <x:c r="AQ10" s="48" t="n">
        <x:v>5.875147000551806</x:v>
      </x:c>
      <x:c r="AR10" s="48" t="n">
        <x:v>7.693696999922395</x:v>
      </x:c>
      <x:c r="AS10" s="48" t="n">
        <x:v>8.412352200321038</x:v>
      </x:c>
      <x:c r="AT10" s="32" t="n">
        <x:v>1</x:v>
      </x:c>
      <x:c r="AU10" s="32" t="str">
        <x:v>1000</x:v>
      </x:c>
      <x:c r="AV10" s="32"/>
      <x:c r="AW10" s="32"/>
      <x:c r="AX10" s="32"/>
      <x:c r="AY10" s="32" t="str">
        <x:v>single</x:v>
      </x:c>
      <x:c r="AZ10" s="32"/>
      <x:c r="BA10" s="32"/>
      <x:c r="BB10" s="32"/>
      <x:c r="BC10" s="32"/>
      <x:c r="BD10" s="32"/>
      <x:c r="BE10" s="32"/>
      <x:c r="BF10" s="32"/>
      <x:c r="BG10" s="32"/>
      <x:c r="BH10" s="32"/>
      <x:c r="BI10" s="32"/>
      <x:c r="BJ10" s="32"/>
      <x:c r="BK10" s="32"/>
      <x:c r="BL10" s="32"/>
      <x:c r="BM10" s="32"/>
      <x:c r="BN10" s="32"/>
      <x:c r="BO10" s="32"/>
      <x:c r="BP10" s="32"/>
      <x:c r="BQ10" s="32"/>
      <x:c r="BR10" s="32"/>
      <x:c r="BS10" s="32"/>
      <x:c r="BT10" s="32"/>
      <x:c r="BU10" s="32"/>
      <x:c r="BV10" s="32"/>
      <x:c r="BW10" s="32"/>
      <x:c r="BX10" s="32"/>
      <x:c r="BY10" s="32"/>
      <x:c r="BZ10" s="32"/>
      <x:c r="CA10" s="32"/>
      <x:c r="CB10" s="32"/>
      <x:c r="CC10" s="32"/>
      <x:c r="CD10" s="32"/>
      <x:c r="CE10" s="32"/>
      <x:c r="CF10" s="32"/>
      <x:c r="CG10" s="32"/>
      <x:c r="CH10" s="32"/>
      <x:c r="CI10" s="32"/>
      <x:c r="CJ10" s="32"/>
      <x:c r="CK10" s="32"/>
      <x:c r="CL10" s="32"/>
      <x:c r="CM10" s="32"/>
      <x:c r="CN10" s="32"/>
      <x:c r="CO10" s="32"/>
      <x:c r="CP10" s="32"/>
      <x:c r="CQ10" s="32"/>
      <x:c r="CR10" s="32"/>
      <x:c r="CS10" s="32"/>
      <x:c r="CT10" s="32"/>
      <x:c r="CU10" s="32"/>
      <x:c r="CV10" s="32"/>
      <x:c r="CW10" s="32"/>
      <x:c r="CX10" s="32"/>
      <x:c r="CY10" s="32"/>
      <x:c r="CZ10" s="32"/>
      <x:c r="DA10" s="32"/>
      <x:c r="DB10" s="32"/>
      <x:c r="DC10" s="32"/>
      <x:c r="DD10" s="32"/>
      <x:c r="DE10" s="32"/>
      <x:c r="DF10" s="32"/>
      <x:c r="DG10" s="32"/>
      <x:c r="DH10" s="32"/>
      <x:c r="DI10" s="32"/>
      <x:c r="DJ10" s="32"/>
      <x:c r="DK10" s="32"/>
      <x:c r="DL10" s="32"/>
      <x:c r="DM10" s="32"/>
      <x:c r="DN10" s="32"/>
      <x:c r="DO10" s="32"/>
      <x:c r="DP10" s="32"/>
      <x:c r="DQ10" s="32"/>
      <x:c r="DR10" s="32"/>
      <x:c r="DS10" s="32"/>
      <x:c r="DT10" s="32"/>
      <x:c r="DU10" s="32"/>
      <x:c r="DV10" s="32"/>
      <x:c r="DW10" s="32"/>
      <x:c r="DX10" s="32"/>
      <x:c r="DY10" s="32"/>
      <x:c r="DZ10" s="32"/>
      <x:c r="EA10" s="32"/>
      <x:c r="EB10" s="32"/>
      <x:c r="EC10" s="32"/>
      <x:c r="ED10" s="32"/>
      <x:c r="EE10" s="32"/>
      <x:c r="EF10" s="32"/>
      <x:c r="EG10" s="32"/>
      <x:c r="EH10" s="32"/>
      <x:c r="EI10" s="32"/>
      <x:c r="EJ10" s="32"/>
      <x:c r="EK10" s="32"/>
      <x:c r="EL10" s="32"/>
      <x:c r="EM10" s="32"/>
      <x:c r="EN10" s="32"/>
      <x:c r="EO10" s="32"/>
      <x:c r="EP10" s="32"/>
      <x:c r="EQ10" s="32"/>
      <x:c r="ER10" s="32"/>
      <x:c r="ES10" s="32"/>
      <x:c r="ET10" s="32"/>
      <x:c r="EU10" s="32"/>
      <x:c r="EV10" s="32"/>
      <x:c r="EW10" s="32"/>
      <x:c r="EX10" s="32"/>
      <x:c r="EY10" s="32"/>
      <x:c r="EZ10" s="32"/>
      <x:c r="FA10" s="32"/>
      <x:c r="FB10" s="32"/>
      <x:c r="FC10" s="32"/>
      <x:c r="FD10" s="32"/>
      <x:c r="FE10" s="32"/>
      <x:c r="FF10" s="32"/>
      <x:c r="FG10" s="32"/>
      <x:c r="FH10" s="32"/>
      <x:c r="FI10" s="32"/>
      <x:c r="FJ10" s="32"/>
      <x:c r="FK10" s="32"/>
      <x:c r="FL10" s="32"/>
      <x:c r="FM10" s="32"/>
      <x:c r="FN10" s="32"/>
      <x:c r="FO10" s="32"/>
      <x:c r="FP10" s="32"/>
      <x:c r="FQ10" s="32"/>
      <x:c r="FR10" s="32"/>
      <x:c r="FS10" s="32"/>
      <x:c r="FT10" s="32"/>
      <x:c r="FU10" s="32"/>
      <x:c r="FV10" s="32"/>
      <x:c r="FW10" s="32"/>
      <x:c r="FX10" s="32"/>
      <x:c r="FY10" s="32"/>
      <x:c r="FZ10" s="32"/>
      <x:c r="GA10" s="32"/>
      <x:c r="GB10" s="32"/>
      <x:c r="GC10" s="32"/>
      <x:c r="GD10" s="32"/>
      <x:c r="GE10" s="32"/>
      <x:c r="GF10" s="32"/>
      <x:c r="GG10" s="32"/>
      <x:c r="GH10" s="32"/>
      <x:c r="GI10" s="32"/>
      <x:c r="GJ10" s="32"/>
      <x:c r="GK10" s="32"/>
      <x:c r="GL10" s="32"/>
      <x:c r="GM10" s="32"/>
      <x:c r="GN10" s="32"/>
      <x:c r="GO10" s="32"/>
      <x:c r="GP10" s="32"/>
      <x:c r="GQ10" s="32"/>
      <x:c r="GR10" s="32"/>
      <x:c r="GS10" s="32"/>
      <x:c r="GT10" s="32"/>
      <x:c r="GU10" s="32"/>
      <x:c r="GV10" s="32"/>
      <x:c r="GW10" s="32"/>
      <x:c r="GX10" s="32"/>
      <x:c r="GY10" s="32"/>
      <x:c r="GZ10" s="32"/>
      <x:c r="HA10" s="32"/>
      <x:c r="HB10" s="32"/>
      <x:c r="HC10" s="32"/>
      <x:c r="HD10" s="32"/>
      <x:c r="HE10" s="32"/>
      <x:c r="HF10" s="32"/>
      <x:c r="HG10" s="32"/>
      <x:c r="HH10" s="32"/>
      <x:c r="HI10" s="32"/>
      <x:c r="HJ10" s="32"/>
      <x:c r="HK10" s="32"/>
      <x:c r="HL10" s="32"/>
      <x:c r="HM10" s="32"/>
      <x:c r="HN10" s="32"/>
      <x:c r="HO10" s="32"/>
      <x:c r="HP10" s="32"/>
      <x:c r="HQ10" s="32"/>
      <x:c r="HR10" s="32"/>
      <x:c r="HS10" s="32"/>
      <x:c r="HT10" s="32"/>
      <x:c r="HU10" s="32"/>
      <x:c r="HV10" s="32"/>
      <x:c r="HW10" s="32"/>
      <x:c r="HX10" s="32"/>
      <x:c r="HY10" s="32"/>
      <x:c r="VW10" s="32"/>
      <x:c r="VX10" s="32"/>
      <x:c r="VY10" s="32"/>
      <x:c r="VZ10" s="32"/>
      <x:c r="WA10" s="32"/>
      <x:c r="WB10" s="32"/>
      <x:c r="WC10" s="32"/>
      <x:c r="WD10" s="32"/>
      <x:c r="WE10" s="32"/>
      <x:c r="WF10" s="32"/>
      <x:c r="WG10" s="32"/>
      <x:c r="WH10" s="32"/>
      <x:c r="WI10" s="32"/>
      <x:c r="WJ10" s="32"/>
      <x:c r="WK10" s="32"/>
      <x:c r="WL10" s="32"/>
      <x:c r="WM10" s="32"/>
      <x:c r="WN10" s="32"/>
      <x:c r="WO10" s="32"/>
      <x:c r="WP10" s="32"/>
      <x:c r="WQ10" s="32"/>
      <x:c r="WR10" s="32"/>
      <x:c r="WS10" s="32"/>
      <x:c r="WT10" s="32"/>
      <x:c r="WU10" s="32"/>
      <x:c r="WV10" s="32"/>
      <x:c r="WW10" s="32"/>
      <x:c r="WX10" s="32"/>
      <x:c r="WY10" s="32"/>
      <x:c r="WZ10" s="32"/>
      <x:c r="XA10" s="32"/>
      <x:c r="XB10" s="32"/>
      <x:c r="XC10" s="32"/>
      <x:c r="XD10" s="32"/>
    </x:row>
    <x:row r="11">
      <x:c r="A11" s="32" t="str">
        <x:v>1d262dd1-8264-4644-8b7c-55968584b09a</x:v>
      </x:c>
      <x:c r="B11" s="32" t="str">
        <x:v>B-002</x:v>
      </x:c>
      <x:c r="C11" s="42" t="n">
        <x:v>46259.616944444446</x:v>
      </x:c>
      <x:c r="D11" s="32" t="str">
        <x:v>489b7424f5051f7a276dafe8d5f318ccf1368d87</x:v>
      </x:c>
      <x:c r="E11" s="32" t="str">
        <x:v>GLONBW11</x:v>
      </x:c>
      <x:c r="F11" s="32" t="str">
        <x:v>local-filesystem</x:v>
      </x:c>
      <x:c r="G11" s="32" t="str">
        <x:v>3.14.2</x:v>
      </x:c>
      <x:c r="H11" s="32" t="str">
        <x:v>deterministic</x:v>
      </x:c>
      <x:c r="I11" s="32" t="n">
        <x:v>1000</x:v>
      </x:c>
      <x:c r="J11" s="32" t="n">
        <x:v>10</x:v>
      </x:c>
      <x:c r="K11" s="47" t="n">
        <x:v>10.034565216666666</x:v>
      </x:c>
      <x:c r="L11" s="32" t="n">
        <x:v>121</x:v>
      </x:c>
      <x:c r="M11" s="32" t="n">
        <x:v>5</x:v>
      </x:c>
      <x:c r="N11" s="32" t="n">
        <x:v>10</x:v>
      </x:c>
      <x:c r="O11" s="48" t="n">
        <x:v>1007.7235590015334</x:v>
      </x:c>
      <x:c r="P11" s="48" t="n">
        <x:v>1084.9532180000097</x:v>
      </x:c>
      <x:c r="Q11" s="48" t="n">
        <x:v>1423.1032609997783</x:v>
      </x:c>
      <x:c r="R11" s="48" t="n">
        <x:v>1436.6099670005497</x:v>
      </x:c>
      <x:c r="S11" s="32" t="n">
        <x:v>0</x:v>
      </x:c>
      <x:c r="T11" s="43" t="n">
        <x:v>0</x:v>
      </x:c>
      <x:c r="U11" s="48" t="n">
        <x:v>98.3048785806633</x:v>
      </x:c>
      <x:c r="V11" s="48" t="n">
        <x:v>100.5421121003539</x:v>
      </x:c>
      <x:c r="W11" s="48" t="n">
        <x:v>140.61294227789256</x:v>
      </x:c>
      <x:c r="X11" s="48" t="n">
        <x:v>144.91015625</x:v>
      </x:c>
      <x:c r="Y11" s="32"/>
      <x:c r="Z11" s="32"/>
      <x:c r="AA11" s="32"/>
      <x:c r="AB11" s="32"/>
      <x:c r="AC11" s="32" t="n">
        <x:v>0</x:v>
      </x:c>
      <x:c r="AD11" s="32" t="n">
        <x:v>0</x:v>
      </x:c>
      <x:c r="AE11" s="32" t="n">
        <x:v>0</x:v>
      </x:c>
      <x:c r="AF11" s="32"/>
      <x:c r="AG11" s="32"/>
      <x:c r="AH11" s="48" t="n">
        <x:v>434.3891660009831</x:v>
      </x:c>
      <x:c r="AI11" s="32" t="str">
        <x:v>PASS</x:v>
      </x:c>
      <x:c r="AJ11" s="32" t="str">
        <x:v>GREEN</x:v>
      </x:c>
      <x:c r="AK11" s="32" t="str">
        <x:v>latest-wide</x:v>
      </x:c>
      <x:c r="AL11" s="32" t="n">
        <x:v>3</x:v>
      </x:c>
      <x:c r="AM11" s="32" t="n">
        <x:v>1</x:v>
      </x:c>
      <x:c r="AN11" s="32" t="n">
        <x:v>3000</x:v>
      </x:c>
      <x:c r="AO11" s="32" t="n">
        <x:v>1</x:v>
      </x:c>
      <x:c r="AP11" s="32" t="n">
        <x:v>24132</x:v>
      </x:c>
      <x:c r="AQ11" s="48" t="n">
        <x:v>14.97714899960556</x:v>
      </x:c>
      <x:c r="AR11" s="48" t="n">
        <x:v>17.446204999941983</x:v>
      </x:c>
      <x:c r="AS11" s="48" t="n">
        <x:v>18.51794359863561</x:v>
      </x:c>
      <x:c r="AT11" s="32" t="n">
        <x:v>1</x:v>
      </x:c>
      <x:c r="AU11" s="32" t="str">
        <x:v>3000</x:v>
      </x:c>
      <x:c r="AV11" s="32"/>
      <x:c r="AW11" s="32"/>
      <x:c r="AX11" s="32"/>
      <x:c r="AY11" s="32" t="str">
        <x:v>single</x:v>
      </x:c>
      <x:c r="AZ11" s="32"/>
      <x:c r="BA11" s="32"/>
      <x:c r="BB11" s="32"/>
      <x:c r="BC11" s="32"/>
      <x:c r="BD11" s="32"/>
      <x:c r="BE11" s="32"/>
      <x:c r="BF11" s="32"/>
      <x:c r="BG11" s="32"/>
      <x:c r="BH11" s="32"/>
      <x:c r="BI11" s="32"/>
      <x:c r="BJ11" s="32"/>
      <x:c r="BK11" s="32"/>
      <x:c r="BL11" s="32"/>
      <x:c r="BM11" s="32"/>
      <x:c r="BN11" s="32"/>
      <x:c r="BO11" s="32"/>
      <x:c r="BP11" s="32"/>
      <x:c r="BQ11" s="32"/>
      <x:c r="BR11" s="32"/>
      <x:c r="BS11" s="32"/>
      <x:c r="BT11" s="32"/>
      <x:c r="BU11" s="32"/>
      <x:c r="BV11" s="32"/>
      <x:c r="BW11" s="32"/>
      <x:c r="BX11" s="32"/>
      <x:c r="BY11" s="32"/>
      <x:c r="BZ11" s="32"/>
      <x:c r="CA11" s="32"/>
      <x:c r="CB11" s="32"/>
      <x:c r="CC11" s="32"/>
      <x:c r="CD11" s="32"/>
      <x:c r="CE11" s="32"/>
      <x:c r="CF11" s="32"/>
      <x:c r="CG11" s="32"/>
      <x:c r="CH11" s="32"/>
      <x:c r="CI11" s="32"/>
      <x:c r="CJ11" s="32"/>
      <x:c r="CK11" s="32"/>
      <x:c r="CL11" s="32"/>
      <x:c r="CM11" s="32"/>
      <x:c r="CN11" s="32"/>
      <x:c r="CO11" s="32"/>
      <x:c r="CP11" s="32"/>
      <x:c r="CQ11" s="32"/>
      <x:c r="CR11" s="32"/>
      <x:c r="CS11" s="32"/>
      <x:c r="CT11" s="32"/>
      <x:c r="CU11" s="32"/>
      <x:c r="CV11" s="32"/>
      <x:c r="CW11" s="32"/>
      <x:c r="CX11" s="32"/>
      <x:c r="CY11" s="32"/>
      <x:c r="CZ11" s="32"/>
      <x:c r="DA11" s="32"/>
      <x:c r="DB11" s="32"/>
      <x:c r="DC11" s="32"/>
      <x:c r="DD11" s="32"/>
      <x:c r="DE11" s="32"/>
      <x:c r="DF11" s="32"/>
      <x:c r="DG11" s="32"/>
      <x:c r="DH11" s="32"/>
      <x:c r="DI11" s="32"/>
      <x:c r="DJ11" s="32"/>
      <x:c r="DK11" s="32"/>
      <x:c r="DL11" s="32"/>
      <x:c r="DM11" s="32"/>
      <x:c r="DN11" s="32"/>
      <x:c r="DO11" s="32"/>
      <x:c r="DP11" s="32"/>
      <x:c r="DQ11" s="32"/>
      <x:c r="DR11" s="32"/>
      <x:c r="DS11" s="32"/>
      <x:c r="DT11" s="32"/>
      <x:c r="DU11" s="32"/>
      <x:c r="DV11" s="32"/>
      <x:c r="DW11" s="32"/>
      <x:c r="DX11" s="32"/>
      <x:c r="DY11" s="32"/>
      <x:c r="DZ11" s="32"/>
      <x:c r="EA11" s="32"/>
      <x:c r="EB11" s="32"/>
      <x:c r="EC11" s="32"/>
      <x:c r="ED11" s="32"/>
      <x:c r="EE11" s="32"/>
      <x:c r="EF11" s="32"/>
      <x:c r="EG11" s="32"/>
      <x:c r="EH11" s="32"/>
      <x:c r="EI11" s="32"/>
      <x:c r="EJ11" s="32"/>
      <x:c r="EK11" s="32"/>
      <x:c r="EL11" s="32"/>
      <x:c r="EM11" s="32"/>
      <x:c r="EN11" s="32"/>
      <x:c r="EO11" s="32"/>
      <x:c r="EP11" s="32"/>
      <x:c r="EQ11" s="32"/>
      <x:c r="ER11" s="32"/>
      <x:c r="ES11" s="32"/>
      <x:c r="ET11" s="32"/>
      <x:c r="EU11" s="32"/>
      <x:c r="EV11" s="32"/>
      <x:c r="EW11" s="32"/>
      <x:c r="EX11" s="32"/>
      <x:c r="EY11" s="32"/>
      <x:c r="EZ11" s="32"/>
      <x:c r="FA11" s="32"/>
      <x:c r="FB11" s="32"/>
      <x:c r="FC11" s="32"/>
      <x:c r="FD11" s="32"/>
      <x:c r="FE11" s="32"/>
      <x:c r="FF11" s="32"/>
      <x:c r="FG11" s="32"/>
      <x:c r="FH11" s="32"/>
      <x:c r="FI11" s="32"/>
      <x:c r="FJ11" s="32"/>
      <x:c r="FK11" s="32"/>
      <x:c r="FL11" s="32"/>
      <x:c r="FM11" s="32"/>
      <x:c r="FN11" s="32"/>
      <x:c r="FO11" s="32"/>
      <x:c r="FP11" s="32"/>
      <x:c r="FQ11" s="32"/>
      <x:c r="FR11" s="32"/>
      <x:c r="FS11" s="32"/>
      <x:c r="FT11" s="32"/>
      <x:c r="FU11" s="32"/>
      <x:c r="FV11" s="32"/>
      <x:c r="FW11" s="32"/>
      <x:c r="FX11" s="32"/>
      <x:c r="FY11" s="32"/>
      <x:c r="FZ11" s="32"/>
      <x:c r="GA11" s="32"/>
      <x:c r="GB11" s="32"/>
      <x:c r="GC11" s="32"/>
      <x:c r="GD11" s="32"/>
      <x:c r="GE11" s="32"/>
      <x:c r="GF11" s="32"/>
      <x:c r="GG11" s="32"/>
      <x:c r="GH11" s="32"/>
      <x:c r="GI11" s="32"/>
      <x:c r="GJ11" s="32"/>
      <x:c r="GK11" s="32"/>
      <x:c r="GL11" s="32"/>
      <x:c r="GM11" s="32"/>
      <x:c r="GN11" s="32"/>
      <x:c r="GO11" s="32"/>
      <x:c r="GP11" s="32"/>
      <x:c r="GQ11" s="32"/>
      <x:c r="GR11" s="32"/>
      <x:c r="GS11" s="32"/>
      <x:c r="GT11" s="32"/>
      <x:c r="GU11" s="32"/>
      <x:c r="GV11" s="32"/>
      <x:c r="GW11" s="32"/>
      <x:c r="GX11" s="32"/>
      <x:c r="GY11" s="32"/>
      <x:c r="GZ11" s="32"/>
      <x:c r="HA11" s="32"/>
      <x:c r="HB11" s="32"/>
      <x:c r="HC11" s="32"/>
      <x:c r="HD11" s="32"/>
      <x:c r="HE11" s="32"/>
      <x:c r="HF11" s="32"/>
      <x:c r="HG11" s="32"/>
      <x:c r="HH11" s="32"/>
      <x:c r="HI11" s="32"/>
      <x:c r="HJ11" s="32"/>
      <x:c r="HK11" s="32"/>
      <x:c r="HL11" s="32"/>
      <x:c r="HM11" s="32"/>
      <x:c r="HN11" s="32"/>
      <x:c r="HO11" s="32"/>
      <x:c r="HP11" s="32"/>
      <x:c r="HQ11" s="32"/>
      <x:c r="HR11" s="32"/>
      <x:c r="HS11" s="32"/>
      <x:c r="HT11" s="32"/>
      <x:c r="HU11" s="32"/>
      <x:c r="HV11" s="32"/>
      <x:c r="HW11" s="32"/>
      <x:c r="HX11" s="32"/>
      <x:c r="HY11" s="32"/>
      <x:c r="VW11" s="32"/>
      <x:c r="VX11" s="32"/>
      <x:c r="VY11" s="32"/>
      <x:c r="VZ11" s="32"/>
      <x:c r="WA11" s="32"/>
      <x:c r="WB11" s="32"/>
      <x:c r="WC11" s="32"/>
      <x:c r="WD11" s="32"/>
      <x:c r="WE11" s="32"/>
      <x:c r="WF11" s="32"/>
      <x:c r="WG11" s="32"/>
      <x:c r="WH11" s="32"/>
      <x:c r="WI11" s="32"/>
      <x:c r="WJ11" s="32"/>
      <x:c r="WK11" s="32"/>
      <x:c r="WL11" s="32"/>
      <x:c r="WM11" s="32"/>
      <x:c r="WN11" s="32"/>
      <x:c r="WO11" s="32"/>
      <x:c r="WP11" s="32"/>
      <x:c r="WQ11" s="32"/>
      <x:c r="WR11" s="32"/>
      <x:c r="WS11" s="32"/>
      <x:c r="WT11" s="32"/>
      <x:c r="WU11" s="32"/>
      <x:c r="WV11" s="32"/>
      <x:c r="WW11" s="32"/>
      <x:c r="WX11" s="32"/>
      <x:c r="WY11" s="32"/>
      <x:c r="WZ11" s="32"/>
      <x:c r="XA11" s="32"/>
      <x:c r="XB11" s="32"/>
      <x:c r="XC11" s="32"/>
      <x:c r="XD11" s="32"/>
    </x:row>
    <x:row r="12">
      <x:c r="A12" s="32" t="str">
        <x:v>71c0030e-e5dc-4a33-887c-1399328db030</x:v>
      </x:c>
      <x:c r="B12" s="32" t="str">
        <x:v>B-003</x:v>
      </x:c>
      <x:c r="C12" s="42" t="n">
        <x:v>46259.63543981482</x:v>
      </x:c>
      <x:c r="D12" s="32" t="str">
        <x:v>489b7424f5051f7a276dafe8d5f318ccf1368d87</x:v>
      </x:c>
      <x:c r="E12" s="32" t="str">
        <x:v>GLONBW11</x:v>
      </x:c>
      <x:c r="F12" s="32" t="str">
        <x:v>local-filesystem</x:v>
      </x:c>
      <x:c r="G12" s="32" t="str">
        <x:v>3.14.2</x:v>
      </x:c>
      <x:c r="H12" s="32" t="str">
        <x:v>deterministic</x:v>
      </x:c>
      <x:c r="I12" s="32" t="n">
        <x:v>1000</x:v>
      </x:c>
      <x:c r="J12" s="32" t="n">
        <x:v>10</x:v>
      </x:c>
      <x:c r="K12" s="47" t="n">
        <x:v>10.03332685</x:v>
      </x:c>
      <x:c r="L12" s="32" t="n">
        <x:v>121</x:v>
      </x:c>
      <x:c r="M12" s="32" t="n">
        <x:v>5</x:v>
      </x:c>
      <x:c r="N12" s="32" t="n">
        <x:v>10</x:v>
      </x:c>
      <x:c r="O12" s="48" t="n">
        <x:v>953.8477829992189</x:v>
      </x:c>
      <x:c r="P12" s="48" t="n">
        <x:v>992.8304490003939</x:v>
      </x:c>
      <x:c r="Q12" s="48" t="n">
        <x:v>1352.1661147988198</x:v>
      </x:c>
      <x:c r="R12" s="48" t="n">
        <x:v>1387.5659960012854</x:v>
      </x:c>
      <x:c r="S12" s="32" t="n">
        <x:v>0</x:v>
      </x:c>
      <x:c r="T12" s="43" t="n">
        <x:v>0</x:v>
      </x:c>
      <x:c r="U12" s="48" t="n">
        <x:v>98.01747077248838</x:v>
      </x:c>
      <x:c r="V12" s="48" t="n">
        <x:v>100.68892133688561</x:v>
      </x:c>
      <x:c r="W12" s="48" t="n">
        <x:v>137.48485924586777</x:v>
      </x:c>
      <x:c r="X12" s="48" t="n">
        <x:v>142.14453125</x:v>
      </x:c>
      <x:c r="Y12" s="32"/>
      <x:c r="Z12" s="32"/>
      <x:c r="AA12" s="32"/>
      <x:c r="AB12" s="32"/>
      <x:c r="AC12" s="32" t="n">
        <x:v>0</x:v>
      </x:c>
      <x:c r="AD12" s="32" t="n">
        <x:v>0</x:v>
      </x:c>
      <x:c r="AE12" s="32" t="n">
        <x:v>0</x:v>
      </x:c>
      <x:c r="AF12" s="32"/>
      <x:c r="AG12" s="32"/>
      <x:c r="AH12" s="48" t="n">
        <x:v>395.64447500015376</x:v>
      </x:c>
      <x:c r="AI12" s="32" t="str">
        <x:v>PASS</x:v>
      </x:c>
      <x:c r="AJ12" s="32" t="str">
        <x:v>GREEN</x:v>
      </x:c>
      <x:c r="AK12" s="32" t="str">
        <x:v>latest-narrow</x:v>
      </x:c>
      <x:c r="AL12" s="32" t="n">
        <x:v>1</x:v>
      </x:c>
      <x:c r="AM12" s="32" t="n">
        <x:v>1</x:v>
      </x:c>
      <x:c r="AN12" s="32" t="n">
        <x:v>1000</x:v>
      </x:c>
      <x:c r="AO12" s="32" t="n">
        <x:v>1</x:v>
      </x:c>
      <x:c r="AP12" s="32" t="n">
        <x:v>8132</x:v>
      </x:c>
      <x:c r="AQ12" s="48" t="n">
        <x:v>6.833281000581337</x:v>
      </x:c>
      <x:c r="AR12" s="48" t="n">
        <x:v>8.08684000003268</x:v>
      </x:c>
      <x:c r="AS12" s="48" t="n">
        <x:v>9.10076280051726</x:v>
      </x:c>
      <x:c r="AT12" s="32" t="n">
        <x:v>4</x:v>
      </x:c>
      <x:c r="AU12" s="32" t="str">
        <x:v>250 / 250 / 250 / 250</x:v>
      </x:c>
      <x:c r="AV12" s="47" t="n">
        <x:v>0.13567600035457872</x:v>
      </x:c>
      <x:c r="AW12" s="47" t="n">
        <x:v>0.1754949989845045</x:v>
      </x:c>
      <x:c r="AX12" s="47" t="n">
        <x:v>0.23444040016329365</x:v>
      </x:c>
      <x:c r="AY12" s="32" t="str">
        <x:v>balanced</x:v>
      </x:c>
      <x:c r="AZ12" s="32"/>
      <x:c r="BA12" s="32"/>
      <x:c r="BB12" s="32"/>
      <x:c r="BC12" s="32"/>
      <x:c r="BD12" s="32"/>
      <x:c r="BE12" s="32"/>
      <x:c r="BF12" s="32"/>
      <x:c r="BG12" s="32"/>
      <x:c r="BH12" s="32"/>
      <x:c r="BI12" s="32"/>
      <x:c r="BJ12" s="32"/>
      <x:c r="BK12" s="32"/>
      <x:c r="BL12" s="32"/>
      <x:c r="BM12" s="32"/>
      <x:c r="BN12" s="32"/>
      <x:c r="BO12" s="32"/>
      <x:c r="BP12" s="32"/>
      <x:c r="BQ12" s="32"/>
      <x:c r="BR12" s="32"/>
      <x:c r="BS12" s="32"/>
      <x:c r="BT12" s="32"/>
      <x:c r="BU12" s="32"/>
      <x:c r="BV12" s="32"/>
      <x:c r="BW12" s="32"/>
      <x:c r="BX12" s="32"/>
      <x:c r="BY12" s="32"/>
      <x:c r="BZ12" s="32"/>
      <x:c r="CA12" s="32"/>
      <x:c r="CB12" s="32"/>
      <x:c r="CC12" s="32"/>
      <x:c r="CD12" s="32"/>
      <x:c r="CE12" s="32"/>
      <x:c r="CF12" s="32"/>
      <x:c r="CG12" s="32"/>
      <x:c r="CH12" s="32"/>
      <x:c r="CI12" s="32"/>
      <x:c r="CJ12" s="32"/>
      <x:c r="CK12" s="32"/>
      <x:c r="CL12" s="32"/>
      <x:c r="CM12" s="32"/>
      <x:c r="CN12" s="32"/>
      <x:c r="CO12" s="32"/>
      <x:c r="CP12" s="32"/>
      <x:c r="CQ12" s="32"/>
      <x:c r="CR12" s="32"/>
      <x:c r="CS12" s="32"/>
      <x:c r="CT12" s="32"/>
      <x:c r="CU12" s="32"/>
      <x:c r="CV12" s="32"/>
      <x:c r="CW12" s="32"/>
      <x:c r="CX12" s="32"/>
      <x:c r="CY12" s="32"/>
      <x:c r="CZ12" s="32"/>
      <x:c r="DA12" s="32"/>
      <x:c r="DB12" s="32"/>
      <x:c r="DC12" s="32"/>
      <x:c r="DD12" s="32"/>
      <x:c r="DE12" s="32"/>
      <x:c r="DF12" s="32"/>
      <x:c r="DG12" s="32"/>
      <x:c r="DH12" s="32"/>
      <x:c r="DI12" s="32"/>
      <x:c r="DJ12" s="32"/>
      <x:c r="DK12" s="32"/>
      <x:c r="DL12" s="32"/>
      <x:c r="DM12" s="32"/>
      <x:c r="DN12" s="32"/>
      <x:c r="DO12" s="32"/>
      <x:c r="DP12" s="32"/>
      <x:c r="DQ12" s="32"/>
      <x:c r="DR12" s="32"/>
      <x:c r="DS12" s="32"/>
      <x:c r="DT12" s="32"/>
      <x:c r="DU12" s="32"/>
      <x:c r="DV12" s="32"/>
      <x:c r="DW12" s="32"/>
      <x:c r="DX12" s="32"/>
      <x:c r="DY12" s="32"/>
      <x:c r="DZ12" s="32"/>
      <x:c r="EA12" s="32"/>
      <x:c r="EB12" s="32"/>
      <x:c r="EC12" s="32"/>
      <x:c r="ED12" s="32"/>
      <x:c r="EE12" s="32"/>
      <x:c r="EF12" s="32"/>
      <x:c r="EG12" s="32"/>
      <x:c r="EH12" s="32"/>
      <x:c r="EI12" s="32"/>
      <x:c r="EJ12" s="32"/>
      <x:c r="EK12" s="32"/>
      <x:c r="EL12" s="32"/>
      <x:c r="EM12" s="32"/>
      <x:c r="EN12" s="32"/>
      <x:c r="EO12" s="32"/>
      <x:c r="EP12" s="32"/>
      <x:c r="EQ12" s="32"/>
      <x:c r="ER12" s="32"/>
      <x:c r="ES12" s="32"/>
      <x:c r="ET12" s="32"/>
      <x:c r="EU12" s="32"/>
      <x:c r="EV12" s="32"/>
      <x:c r="EW12" s="32"/>
      <x:c r="EX12" s="32"/>
      <x:c r="EY12" s="32"/>
      <x:c r="EZ12" s="32"/>
      <x:c r="FA12" s="32"/>
      <x:c r="FB12" s="32"/>
      <x:c r="FC12" s="32"/>
      <x:c r="FD12" s="32"/>
      <x:c r="FE12" s="32"/>
      <x:c r="FF12" s="32"/>
      <x:c r="FG12" s="32"/>
      <x:c r="FH12" s="32"/>
      <x:c r="FI12" s="32"/>
      <x:c r="FJ12" s="32"/>
      <x:c r="FK12" s="32"/>
      <x:c r="FL12" s="32"/>
      <x:c r="FM12" s="32"/>
      <x:c r="FN12" s="32"/>
      <x:c r="FO12" s="32"/>
      <x:c r="FP12" s="32"/>
      <x:c r="FQ12" s="32"/>
      <x:c r="FR12" s="32"/>
      <x:c r="FS12" s="32"/>
      <x:c r="FT12" s="32"/>
      <x:c r="FU12" s="32"/>
      <x:c r="FV12" s="32"/>
      <x:c r="FW12" s="32"/>
      <x:c r="FX12" s="32"/>
      <x:c r="FY12" s="32"/>
      <x:c r="FZ12" s="32"/>
      <x:c r="GA12" s="32"/>
      <x:c r="GB12" s="32"/>
      <x:c r="GC12" s="32"/>
      <x:c r="GD12" s="32"/>
      <x:c r="GE12" s="32"/>
      <x:c r="GF12" s="32"/>
      <x:c r="GG12" s="32"/>
      <x:c r="GH12" s="32"/>
      <x:c r="GI12" s="32"/>
      <x:c r="GJ12" s="32"/>
      <x:c r="GK12" s="32"/>
      <x:c r="GL12" s="32"/>
      <x:c r="GM12" s="32"/>
      <x:c r="GN12" s="32"/>
      <x:c r="GO12" s="32"/>
      <x:c r="GP12" s="32"/>
      <x:c r="GQ12" s="32"/>
      <x:c r="GR12" s="32"/>
      <x:c r="GS12" s="32"/>
      <x:c r="GT12" s="32"/>
      <x:c r="GU12" s="32"/>
      <x:c r="GV12" s="32"/>
      <x:c r="GW12" s="32"/>
      <x:c r="GX12" s="32"/>
      <x:c r="GY12" s="32"/>
      <x:c r="GZ12" s="32"/>
      <x:c r="HA12" s="32"/>
      <x:c r="HB12" s="32"/>
      <x:c r="HC12" s="32"/>
      <x:c r="HD12" s="32"/>
      <x:c r="HE12" s="32"/>
      <x:c r="HF12" s="32"/>
      <x:c r="HG12" s="32"/>
      <x:c r="HH12" s="32"/>
      <x:c r="HI12" s="32"/>
      <x:c r="HJ12" s="32"/>
      <x:c r="HK12" s="32"/>
      <x:c r="HL12" s="32"/>
      <x:c r="HM12" s="32"/>
      <x:c r="HN12" s="32"/>
      <x:c r="HO12" s="32"/>
      <x:c r="HP12" s="32"/>
      <x:c r="HQ12" s="32"/>
      <x:c r="HR12" s="32"/>
      <x:c r="HS12" s="32"/>
      <x:c r="HT12" s="32"/>
      <x:c r="HU12" s="32"/>
      <x:c r="HV12" s="32"/>
      <x:c r="HW12" s="32"/>
      <x:c r="HX12" s="32"/>
      <x:c r="HY12" s="32"/>
      <x:c r="VW12" s="32"/>
      <x:c r="VX12" s="32"/>
      <x:c r="VY12" s="32"/>
      <x:c r="VZ12" s="32"/>
      <x:c r="WA12" s="32"/>
      <x:c r="WB12" s="32"/>
      <x:c r="WC12" s="32"/>
      <x:c r="WD12" s="32"/>
      <x:c r="WE12" s="32"/>
      <x:c r="WF12" s="32"/>
      <x:c r="WG12" s="32"/>
      <x:c r="WH12" s="32"/>
      <x:c r="WI12" s="32"/>
      <x:c r="WJ12" s="32"/>
      <x:c r="WK12" s="32"/>
      <x:c r="WL12" s="32"/>
      <x:c r="WM12" s="32"/>
      <x:c r="WN12" s="32"/>
      <x:c r="WO12" s="32"/>
      <x:c r="WP12" s="32"/>
      <x:c r="WQ12" s="32"/>
      <x:c r="WR12" s="32"/>
      <x:c r="WS12" s="32"/>
      <x:c r="WT12" s="32"/>
      <x:c r="WU12" s="32"/>
      <x:c r="WV12" s="32"/>
      <x:c r="WW12" s="32"/>
      <x:c r="WX12" s="32"/>
      <x:c r="WY12" s="32"/>
      <x:c r="WZ12" s="32"/>
      <x:c r="XA12" s="32"/>
      <x:c r="XB12" s="32"/>
      <x:c r="XC12" s="32"/>
      <x:c r="XD12" s="32"/>
    </x:row>
    <x:row r="13">
      <x:c r="A13" s="32" t="str">
        <x:v>d613de53-a439-414b-a17a-e4d4d5a0bfe2</x:v>
      </x:c>
      <x:c r="B13" s="32" t="str">
        <x:v>B-004</x:v>
      </x:c>
      <x:c r="C13" s="42" t="n">
        <x:v>46259.65217592593</x:v>
      </x:c>
      <x:c r="D13" s="32" t="str">
        <x:v>489b7424f5051f7a276dafe8d5f318ccf1368d87</x:v>
      </x:c>
      <x:c r="E13" s="32" t="str">
        <x:v>GLONBW11</x:v>
      </x:c>
      <x:c r="F13" s="32" t="str">
        <x:v>local-filesystem</x:v>
      </x:c>
      <x:c r="G13" s="32" t="str">
        <x:v>3.14.2</x:v>
      </x:c>
      <x:c r="H13" s="32" t="str">
        <x:v>deterministic</x:v>
      </x:c>
      <x:c r="I13" s="32" t="n">
        <x:v>1000</x:v>
      </x:c>
      <x:c r="J13" s="32" t="n">
        <x:v>10</x:v>
      </x:c>
      <x:c r="K13" s="47" t="n">
        <x:v>10.055978516666666</x:v>
      </x:c>
      <x:c r="L13" s="32" t="n">
        <x:v>121</x:v>
      </x:c>
      <x:c r="M13" s="32" t="n">
        <x:v>5</x:v>
      </x:c>
      <x:c r="N13" s="32" t="n">
        <x:v>10</x:v>
      </x:c>
      <x:c r="O13" s="48" t="n">
        <x:v>1646.5075479991356</x:v>
      </x:c>
      <x:c r="P13" s="48" t="n">
        <x:v>1805.0333699993644</x:v>
      </x:c>
      <x:c r="Q13" s="48" t="n">
        <x:v>2263.7694310000356</x:v>
      </x:c>
      <x:c r="R13" s="48" t="n">
        <x:v>2412.4516349984333</x:v>
      </x:c>
      <x:c r="S13" s="32" t="n">
        <x:v>0</x:v>
      </x:c>
      <x:c r="T13" s="43" t="n">
        <x:v>0</x:v>
      </x:c>
      <x:c r="U13" s="48" t="n">
        <x:v>98.62687870027804</x:v>
      </x:c>
      <x:c r="V13" s="48" t="n">
        <x:v>100.72952651065177</x:v>
      </x:c>
      <x:c r="W13" s="48" t="n">
        <x:v>138.08072378615702</x:v>
      </x:c>
      <x:c r="X13" s="48" t="n">
        <x:v>141.50390625</x:v>
      </x:c>
      <x:c r="Y13" s="32"/>
      <x:c r="Z13" s="32"/>
      <x:c r="AA13" s="32"/>
      <x:c r="AB13" s="32"/>
      <x:c r="AC13" s="32" t="n">
        <x:v>0</x:v>
      </x:c>
      <x:c r="AD13" s="32" t="n">
        <x:v>0</x:v>
      </x:c>
      <x:c r="AE13" s="32" t="n">
        <x:v>0</x:v>
      </x:c>
      <x:c r="AF13" s="32"/>
      <x:c r="AG13" s="32"/>
      <x:c r="AH13" s="48" t="n">
        <x:v>663.871234999533</x:v>
      </x:c>
      <x:c r="AI13" s="32" t="str">
        <x:v>PASS</x:v>
      </x:c>
      <x:c r="AJ13" s="32" t="str">
        <x:v>GREEN</x:v>
      </x:c>
      <x:c r="AK13" s="32" t="str">
        <x:v>latest-narrow</x:v>
      </x:c>
      <x:c r="AL13" s="32" t="n">
        <x:v>1</x:v>
      </x:c>
      <x:c r="AM13" s="32" t="n">
        <x:v>1</x:v>
      </x:c>
      <x:c r="AN13" s="32" t="n">
        <x:v>1000</x:v>
      </x:c>
      <x:c r="AO13" s="32" t="n">
        <x:v>1</x:v>
      </x:c>
      <x:c r="AP13" s="32" t="n">
        <x:v>8132</x:v>
      </x:c>
      <x:c r="AQ13" s="48" t="n">
        <x:v>17.10492599886493</x:v>
      </x:c>
      <x:c r="AR13" s="48" t="n">
        <x:v>25.373956999828806</x:v>
      </x:c>
      <x:c r="AS13" s="48" t="n">
        <x:v>28.664585199658166</x:v>
      </x:c>
      <x:c r="AT13" s="32" t="n">
        <x:v>36</x:v>
      </x:c>
      <x:c r="AU13" s="32" t="str">
        <x:v>28×28 + 8×27</x:v>
      </x:c>
      <x:c r="AV13" s="47" t="n">
        <x:v>0.4888759995083092</x:v>
      </x:c>
      <x:c r="AW13" s="47" t="n">
        <x:v>1.012687000184087</x:v>
      </x:c>
      <x:c r="AX13" s="47" t="n">
        <x:v>1.1429793998104287</x:v>
      </x:c>
      <x:c r="AY13" s="32" t="str">
        <x:v>balanced</x:v>
      </x:c>
      <x:c r="AZ13" s="32"/>
      <x:c r="BA13" s="32"/>
      <x:c r="BB13" s="32"/>
      <x:c r="BC13" s="32"/>
      <x:c r="BD13" s="32"/>
      <x:c r="BE13" s="32"/>
      <x:c r="BF13" s="32"/>
      <x:c r="BG13" s="32"/>
      <x:c r="BH13" s="32"/>
      <x:c r="BI13" s="32"/>
      <x:c r="BJ13" s="32"/>
      <x:c r="BK13" s="32"/>
      <x:c r="BL13" s="32"/>
      <x:c r="BM13" s="32"/>
      <x:c r="BN13" s="32"/>
      <x:c r="BO13" s="32"/>
      <x:c r="BP13" s="32"/>
      <x:c r="BQ13" s="32"/>
      <x:c r="BR13" s="32"/>
      <x:c r="BS13" s="32"/>
      <x:c r="BT13" s="32"/>
      <x:c r="BU13" s="32"/>
      <x:c r="BV13" s="32"/>
      <x:c r="BW13" s="32"/>
      <x:c r="BX13" s="32"/>
      <x:c r="BY13" s="32"/>
      <x:c r="BZ13" s="32"/>
      <x:c r="CA13" s="32"/>
      <x:c r="CB13" s="32"/>
      <x:c r="CC13" s="32"/>
      <x:c r="CD13" s="32"/>
      <x:c r="CE13" s="32"/>
      <x:c r="CF13" s="32"/>
      <x:c r="CG13" s="32"/>
      <x:c r="CH13" s="32"/>
      <x:c r="CI13" s="32"/>
      <x:c r="CJ13" s="32"/>
      <x:c r="CK13" s="32"/>
      <x:c r="CL13" s="32"/>
      <x:c r="CM13" s="32"/>
      <x:c r="CN13" s="32"/>
      <x:c r="CO13" s="32"/>
      <x:c r="CP13" s="32"/>
      <x:c r="CQ13" s="32"/>
      <x:c r="CR13" s="32"/>
      <x:c r="CS13" s="32"/>
      <x:c r="CT13" s="32"/>
      <x:c r="CU13" s="32"/>
      <x:c r="CV13" s="32"/>
      <x:c r="CW13" s="32"/>
      <x:c r="CX13" s="32"/>
      <x:c r="CY13" s="32"/>
      <x:c r="CZ13" s="32"/>
      <x:c r="DA13" s="32"/>
      <x:c r="DB13" s="32"/>
      <x:c r="DC13" s="32"/>
      <x:c r="DD13" s="32"/>
      <x:c r="DE13" s="32"/>
      <x:c r="DF13" s="32"/>
      <x:c r="DG13" s="32"/>
      <x:c r="DH13" s="32"/>
      <x:c r="DI13" s="32"/>
      <x:c r="DJ13" s="32"/>
      <x:c r="DK13" s="32"/>
      <x:c r="DL13" s="32"/>
      <x:c r="DM13" s="32"/>
      <x:c r="DN13" s="32"/>
      <x:c r="DO13" s="32"/>
      <x:c r="DP13" s="32"/>
      <x:c r="DQ13" s="32"/>
      <x:c r="DR13" s="32"/>
      <x:c r="DS13" s="32"/>
      <x:c r="DT13" s="32"/>
      <x:c r="DU13" s="32"/>
      <x:c r="DV13" s="32"/>
      <x:c r="DW13" s="32"/>
      <x:c r="DX13" s="32"/>
      <x:c r="DY13" s="32"/>
      <x:c r="DZ13" s="32"/>
      <x:c r="EA13" s="32"/>
      <x:c r="EB13" s="32"/>
      <x:c r="EC13" s="32"/>
      <x:c r="ED13" s="32"/>
      <x:c r="EE13" s="32"/>
      <x:c r="EF13" s="32"/>
      <x:c r="EG13" s="32"/>
      <x:c r="EH13" s="32"/>
      <x:c r="EI13" s="32"/>
      <x:c r="EJ13" s="32"/>
      <x:c r="EK13" s="32"/>
      <x:c r="EL13" s="32"/>
      <x:c r="EM13" s="32"/>
      <x:c r="EN13" s="32"/>
      <x:c r="EO13" s="32"/>
      <x:c r="EP13" s="32"/>
      <x:c r="EQ13" s="32"/>
      <x:c r="ER13" s="32"/>
      <x:c r="ES13" s="32"/>
      <x:c r="ET13" s="32"/>
      <x:c r="EU13" s="32"/>
      <x:c r="EV13" s="32"/>
      <x:c r="EW13" s="32"/>
      <x:c r="EX13" s="32"/>
      <x:c r="EY13" s="32"/>
      <x:c r="EZ13" s="32"/>
      <x:c r="FA13" s="32"/>
      <x:c r="FB13" s="32"/>
      <x:c r="FC13" s="32"/>
      <x:c r="FD13" s="32"/>
      <x:c r="FE13" s="32"/>
      <x:c r="FF13" s="32"/>
      <x:c r="FG13" s="32"/>
      <x:c r="FH13" s="32"/>
      <x:c r="FI13" s="32"/>
      <x:c r="FJ13" s="32"/>
      <x:c r="FK13" s="32"/>
      <x:c r="FL13" s="32"/>
      <x:c r="FM13" s="32"/>
      <x:c r="FN13" s="32"/>
      <x:c r="FO13" s="32"/>
      <x:c r="FP13" s="32"/>
      <x:c r="FQ13" s="32"/>
      <x:c r="FR13" s="32"/>
      <x:c r="FS13" s="32"/>
      <x:c r="FT13" s="32"/>
      <x:c r="FU13" s="32"/>
      <x:c r="FV13" s="32"/>
      <x:c r="FW13" s="32"/>
      <x:c r="FX13" s="32"/>
      <x:c r="FY13" s="32"/>
      <x:c r="FZ13" s="32"/>
      <x:c r="GA13" s="32"/>
      <x:c r="GB13" s="32"/>
      <x:c r="GC13" s="32"/>
      <x:c r="GD13" s="32"/>
      <x:c r="GE13" s="32"/>
      <x:c r="GF13" s="32"/>
      <x:c r="GG13" s="32"/>
      <x:c r="GH13" s="32"/>
      <x:c r="GI13" s="32"/>
      <x:c r="GJ13" s="32"/>
      <x:c r="GK13" s="32"/>
      <x:c r="GL13" s="32"/>
      <x:c r="GM13" s="32"/>
      <x:c r="GN13" s="32"/>
      <x:c r="GO13" s="32"/>
      <x:c r="GP13" s="32"/>
      <x:c r="GQ13" s="32"/>
      <x:c r="GR13" s="32"/>
      <x:c r="GS13" s="32"/>
      <x:c r="GT13" s="32"/>
      <x:c r="GU13" s="32"/>
      <x:c r="GV13" s="32"/>
      <x:c r="GW13" s="32"/>
      <x:c r="GX13" s="32"/>
      <x:c r="GY13" s="32"/>
      <x:c r="GZ13" s="32"/>
      <x:c r="HA13" s="32"/>
      <x:c r="HB13" s="32"/>
      <x:c r="HC13" s="32"/>
      <x:c r="HD13" s="32"/>
      <x:c r="HE13" s="32"/>
      <x:c r="HF13" s="32"/>
      <x:c r="HG13" s="32"/>
      <x:c r="HH13" s="32"/>
      <x:c r="HI13" s="32"/>
      <x:c r="HJ13" s="32"/>
      <x:c r="HK13" s="32"/>
      <x:c r="HL13" s="32"/>
      <x:c r="HM13" s="32"/>
      <x:c r="HN13" s="32"/>
      <x:c r="HO13" s="32"/>
      <x:c r="HP13" s="32"/>
      <x:c r="HQ13" s="32"/>
      <x:c r="HR13" s="32"/>
      <x:c r="HS13" s="32"/>
      <x:c r="HT13" s="32"/>
      <x:c r="HU13" s="32"/>
      <x:c r="HV13" s="32"/>
      <x:c r="HW13" s="32"/>
      <x:c r="HX13" s="32"/>
      <x:c r="HY13" s="32"/>
      <x:c r="VW13" s="32"/>
      <x:c r="VX13" s="32"/>
      <x:c r="VY13" s="32"/>
      <x:c r="VZ13" s="32"/>
      <x:c r="WA13" s="32"/>
      <x:c r="WB13" s="32"/>
      <x:c r="WC13" s="32"/>
      <x:c r="WD13" s="32"/>
      <x:c r="WE13" s="32"/>
      <x:c r="WF13" s="32"/>
      <x:c r="WG13" s="32"/>
      <x:c r="WH13" s="32"/>
      <x:c r="WI13" s="32"/>
      <x:c r="WJ13" s="32"/>
      <x:c r="WK13" s="32"/>
      <x:c r="WL13" s="32"/>
      <x:c r="WM13" s="32"/>
      <x:c r="WN13" s="32"/>
      <x:c r="WO13" s="32"/>
      <x:c r="WP13" s="32"/>
      <x:c r="WQ13" s="32"/>
      <x:c r="WR13" s="32"/>
      <x:c r="WS13" s="32"/>
      <x:c r="WT13" s="32"/>
      <x:c r="WU13" s="32"/>
      <x:c r="WV13" s="32"/>
      <x:c r="WW13" s="32"/>
      <x:c r="WX13" s="32"/>
      <x:c r="WY13" s="32"/>
      <x:c r="WZ13" s="32"/>
      <x:c r="XA13" s="32"/>
      <x:c r="XB13" s="32"/>
      <x:c r="XC13" s="32"/>
      <x:c r="XD13" s="32"/>
    </x:row>
    <x:row r="14">
      <x:c r="A14" s="32" t="str">
        <x:v>89bc783e-94b8-470b-9f5e-09f4d9d5fa15</x:v>
      </x:c>
      <x:c r="B14" s="32" t="str">
        <x:v>B-007</x:v>
      </x:c>
      <x:c r="C14" s="42" t="n">
        <x:v>46259.670127314814</x:v>
      </x:c>
      <x:c r="D14" s="32" t="str">
        <x:v>489b7424f5051f7a276dafe8d5f318ccf1368d87</x:v>
      </x:c>
      <x:c r="E14" s="32" t="str">
        <x:v>GLONBW11</x:v>
      </x:c>
      <x:c r="F14" s="32" t="str">
        <x:v>local-filesystem</x:v>
      </x:c>
      <x:c r="G14" s="32" t="str">
        <x:v>3.14.2</x:v>
      </x:c>
      <x:c r="H14" s="32" t="str">
        <x:v>deterministic</x:v>
      </x:c>
      <x:c r="I14" s="32" t="n">
        <x:v>1000</x:v>
      </x:c>
      <x:c r="J14" s="32" t="n">
        <x:v>10</x:v>
      </x:c>
      <x:c r="K14" s="47" t="n">
        <x:v>10.0547462</x:v>
      </x:c>
      <x:c r="L14" s="32" t="n">
        <x:v>121</x:v>
      </x:c>
      <x:c r="M14" s="32" t="n">
        <x:v>5</x:v>
      </x:c>
      <x:c r="N14" s="32" t="n">
        <x:v>10</x:v>
      </x:c>
      <x:c r="O14" s="48" t="n">
        <x:v>1708.2552800002304</x:v>
      </x:c>
      <x:c r="P14" s="48" t="n">
        <x:v>1899.9880939991272</x:v>
      </x:c>
      <x:c r="Q14" s="48" t="n">
        <x:v>2337.0125198005553</x:v>
      </x:c>
      <x:c r="R14" s="48" t="n">
        <x:v>2450.4529160003585</x:v>
      </x:c>
      <x:c r="S14" s="32" t="n">
        <x:v>0</x:v>
      </x:c>
      <x:c r="T14" s="43" t="n">
        <x:v>0</x:v>
      </x:c>
      <x:c r="U14" s="48" t="n">
        <x:v>98.98859307278084</x:v>
      </x:c>
      <x:c r="V14" s="48" t="n">
        <x:v>100.34470767472925</x:v>
      </x:c>
      <x:c r="W14" s="48" t="n">
        <x:v>137.21197055785123</x:v>
      </x:c>
      <x:c r="X14" s="48" t="n">
        <x:v>141.70703125</x:v>
      </x:c>
      <x:c r="Y14" s="32"/>
      <x:c r="Z14" s="32"/>
      <x:c r="AA14" s="32"/>
      <x:c r="AB14" s="32"/>
      <x:c r="AC14" s="32" t="n">
        <x:v>0</x:v>
      </x:c>
      <x:c r="AD14" s="32" t="n">
        <x:v>0</x:v>
      </x:c>
      <x:c r="AE14" s="32" t="n">
        <x:v>0</x:v>
      </x:c>
      <x:c r="AF14" s="32"/>
      <x:c r="AG14" s="32"/>
      <x:c r="AH14" s="48" t="n">
        <x:v>652.2388529992895</x:v>
      </x:c>
      <x:c r="AI14" s="32" t="str">
        <x:v>PASS</x:v>
      </x:c>
      <x:c r="AJ14" s="32" t="str">
        <x:v>GREEN</x:v>
      </x:c>
      <x:c r="AK14" s="32" t="str">
        <x:v>latest-narrow</x:v>
      </x:c>
      <x:c r="AL14" s="32" t="n">
        <x:v>1</x:v>
      </x:c>
      <x:c r="AM14" s="32" t="n">
        <x:v>1</x:v>
      </x:c>
      <x:c r="AN14" s="32" t="n">
        <x:v>1000</x:v>
      </x:c>
      <x:c r="AO14" s="32" t="n">
        <x:v>1</x:v>
      </x:c>
      <x:c r="AP14" s="32" t="n">
        <x:v>8132</x:v>
      </x:c>
      <x:c r="AQ14" s="48" t="n">
        <x:v>20.15942999969411</x:v>
      </x:c>
      <x:c r="AR14" s="48" t="n">
        <x:v>26.14674100004777</x:v>
      </x:c>
      <x:c r="AS14" s="48" t="n">
        <x:v>28.747458600628303</x:v>
      </x:c>
      <x:c r="AT14" s="32" t="n">
        <x:v>36</x:v>
      </x:c>
      <x:c r="AU14" s="32" t="str">
        <x:v>8×100 + 4×8 + 24×7</x:v>
      </x:c>
      <x:c r="AV14" s="47" t="n">
        <x:v>0.6032910005160375</x:v>
      </x:c>
      <x:c r="AW14" s="47" t="n">
        <x:v>1.103362999856472</x:v>
      </x:c>
      <x:c r="AX14" s="47" t="n">
        <x:v>1.4093383993895254</x:v>
      </x:c>
      <x:c r="AY14" s="32" t="str">
        <x:v>skewed</x:v>
      </x:c>
      <x:c r="AZ14" s="32"/>
      <x:c r="BA14" s="32"/>
      <x:c r="BB14" s="32"/>
      <x:c r="BC14" s="32"/>
      <x:c r="BD14" s="32"/>
      <x:c r="BE14" s="32"/>
      <x:c r="BF14" s="32"/>
      <x:c r="BG14" s="32"/>
      <x:c r="BH14" s="32"/>
      <x:c r="BI14" s="32"/>
      <x:c r="BJ14" s="32"/>
      <x:c r="BK14" s="32"/>
      <x:c r="BL14" s="32"/>
      <x:c r="BM14" s="32"/>
      <x:c r="BN14" s="32"/>
      <x:c r="BO14" s="32"/>
      <x:c r="BP14" s="32"/>
      <x:c r="BQ14" s="32"/>
      <x:c r="BR14" s="32"/>
      <x:c r="BS14" s="32"/>
      <x:c r="BT14" s="32"/>
      <x:c r="BU14" s="32"/>
      <x:c r="BV14" s="32"/>
      <x:c r="BW14" s="32"/>
      <x:c r="BX14" s="32"/>
      <x:c r="BY14" s="32"/>
      <x:c r="BZ14" s="32"/>
      <x:c r="CA14" s="32"/>
      <x:c r="CB14" s="32"/>
      <x:c r="CC14" s="32"/>
      <x:c r="CD14" s="32"/>
      <x:c r="CE14" s="32"/>
      <x:c r="CF14" s="32"/>
      <x:c r="CG14" s="32"/>
      <x:c r="CH14" s="32"/>
      <x:c r="CI14" s="32"/>
      <x:c r="CJ14" s="32"/>
      <x:c r="CK14" s="32"/>
      <x:c r="CL14" s="32"/>
      <x:c r="CM14" s="32"/>
      <x:c r="CN14" s="32"/>
      <x:c r="CO14" s="32"/>
      <x:c r="CP14" s="32"/>
      <x:c r="CQ14" s="32"/>
      <x:c r="CR14" s="32"/>
      <x:c r="CS14" s="32"/>
      <x:c r="CT14" s="32"/>
      <x:c r="CU14" s="32"/>
      <x:c r="CV14" s="32"/>
      <x:c r="CW14" s="32"/>
      <x:c r="CX14" s="32"/>
      <x:c r="CY14" s="32"/>
      <x:c r="CZ14" s="32"/>
      <x:c r="DA14" s="32"/>
      <x:c r="DB14" s="32"/>
      <x:c r="DC14" s="32"/>
      <x:c r="DD14" s="32"/>
      <x:c r="DE14" s="32"/>
      <x:c r="DF14" s="32"/>
      <x:c r="DG14" s="32"/>
      <x:c r="DH14" s="32"/>
      <x:c r="DI14" s="32"/>
      <x:c r="DJ14" s="32"/>
      <x:c r="DK14" s="32"/>
      <x:c r="DL14" s="32"/>
      <x:c r="DM14" s="32"/>
      <x:c r="DN14" s="32"/>
      <x:c r="DO14" s="32"/>
      <x:c r="DP14" s="32"/>
      <x:c r="DQ14" s="32"/>
      <x:c r="DR14" s="32"/>
      <x:c r="DS14" s="32"/>
      <x:c r="DT14" s="32"/>
      <x:c r="DU14" s="32"/>
      <x:c r="DV14" s="32"/>
      <x:c r="DW14" s="32"/>
      <x:c r="DX14" s="32"/>
      <x:c r="DY14" s="32"/>
      <x:c r="DZ14" s="32"/>
      <x:c r="EA14" s="32"/>
      <x:c r="EB14" s="32"/>
      <x:c r="EC14" s="32"/>
      <x:c r="ED14" s="32"/>
      <x:c r="EE14" s="32"/>
      <x:c r="EF14" s="32"/>
      <x:c r="EG14" s="32"/>
      <x:c r="EH14" s="32"/>
      <x:c r="EI14" s="32"/>
      <x:c r="EJ14" s="32"/>
      <x:c r="EK14" s="32"/>
      <x:c r="EL14" s="32"/>
      <x:c r="EM14" s="32"/>
      <x:c r="EN14" s="32"/>
      <x:c r="EO14" s="32"/>
      <x:c r="EP14" s="32"/>
      <x:c r="EQ14" s="32"/>
      <x:c r="ER14" s="32"/>
      <x:c r="ES14" s="32"/>
      <x:c r="ET14" s="32"/>
      <x:c r="EU14" s="32"/>
      <x:c r="EV14" s="32"/>
      <x:c r="EW14" s="32"/>
      <x:c r="EX14" s="32"/>
      <x:c r="EY14" s="32"/>
      <x:c r="EZ14" s="32"/>
      <x:c r="FA14" s="32"/>
      <x:c r="FB14" s="32"/>
      <x:c r="FC14" s="32"/>
      <x:c r="FD14" s="32"/>
      <x:c r="FE14" s="32"/>
      <x:c r="FF14" s="32"/>
      <x:c r="FG14" s="32"/>
      <x:c r="FH14" s="32"/>
      <x:c r="FI14" s="32"/>
      <x:c r="FJ14" s="32"/>
      <x:c r="FK14" s="32"/>
      <x:c r="FL14" s="32"/>
      <x:c r="FM14" s="32"/>
      <x:c r="FN14" s="32"/>
      <x:c r="FO14" s="32"/>
      <x:c r="FP14" s="32"/>
      <x:c r="FQ14" s="32"/>
      <x:c r="FR14" s="32"/>
      <x:c r="FS14" s="32"/>
      <x:c r="FT14" s="32"/>
      <x:c r="FU14" s="32"/>
      <x:c r="FV14" s="32"/>
      <x:c r="FW14" s="32"/>
      <x:c r="FX14" s="32"/>
      <x:c r="FY14" s="32"/>
      <x:c r="FZ14" s="32"/>
      <x:c r="GA14" s="32"/>
      <x:c r="GB14" s="32"/>
      <x:c r="GC14" s="32"/>
      <x:c r="GD14" s="32"/>
      <x:c r="GE14" s="32"/>
      <x:c r="GF14" s="32"/>
      <x:c r="GG14" s="32"/>
      <x:c r="GH14" s="32"/>
      <x:c r="GI14" s="32"/>
      <x:c r="GJ14" s="32"/>
      <x:c r="GK14" s="32"/>
      <x:c r="GL14" s="32"/>
      <x:c r="GM14" s="32"/>
      <x:c r="GN14" s="32"/>
      <x:c r="GO14" s="32"/>
      <x:c r="GP14" s="32"/>
      <x:c r="GQ14" s="32"/>
      <x:c r="GR14" s="32"/>
      <x:c r="GS14" s="32"/>
      <x:c r="GT14" s="32"/>
      <x:c r="GU14" s="32"/>
      <x:c r="GV14" s="32"/>
      <x:c r="GW14" s="32"/>
      <x:c r="GX14" s="32"/>
      <x:c r="GY14" s="32"/>
      <x:c r="GZ14" s="32"/>
      <x:c r="HA14" s="32"/>
      <x:c r="HB14" s="32"/>
      <x:c r="HC14" s="32"/>
      <x:c r="HD14" s="32"/>
      <x:c r="HE14" s="32"/>
      <x:c r="HF14" s="32"/>
      <x:c r="HG14" s="32"/>
      <x:c r="HH14" s="32"/>
      <x:c r="HI14" s="32"/>
      <x:c r="HJ14" s="32"/>
      <x:c r="HK14" s="32"/>
      <x:c r="HL14" s="32"/>
      <x:c r="HM14" s="32"/>
      <x:c r="HN14" s="32"/>
      <x:c r="HO14" s="32"/>
      <x:c r="HP14" s="32"/>
      <x:c r="HQ14" s="32"/>
      <x:c r="HR14" s="32"/>
      <x:c r="HS14" s="32"/>
      <x:c r="HT14" s="32"/>
      <x:c r="HU14" s="32"/>
      <x:c r="HV14" s="32"/>
      <x:c r="HW14" s="32"/>
      <x:c r="HX14" s="32"/>
      <x:c r="HY14" s="32"/>
      <x:c r="VW14" s="32"/>
      <x:c r="VX14" s="32"/>
      <x:c r="VY14" s="32"/>
      <x:c r="VZ14" s="32"/>
      <x:c r="WA14" s="32"/>
      <x:c r="WB14" s="32"/>
      <x:c r="WC14" s="32"/>
      <x:c r="WD14" s="32"/>
      <x:c r="WE14" s="32"/>
      <x:c r="WF14" s="32"/>
      <x:c r="WG14" s="32"/>
      <x:c r="WH14" s="32"/>
      <x:c r="WI14" s="32"/>
      <x:c r="WJ14" s="32"/>
      <x:c r="WK14" s="32"/>
      <x:c r="WL14" s="32"/>
      <x:c r="WM14" s="32"/>
      <x:c r="WN14" s="32"/>
      <x:c r="WO14" s="32"/>
      <x:c r="WP14" s="32"/>
      <x:c r="WQ14" s="32"/>
      <x:c r="WR14" s="32"/>
      <x:c r="WS14" s="32"/>
      <x:c r="WT14" s="32"/>
      <x:c r="WU14" s="32"/>
      <x:c r="WV14" s="32"/>
      <x:c r="WW14" s="32"/>
      <x:c r="WX14" s="32"/>
      <x:c r="WY14" s="32"/>
      <x:c r="WZ14" s="32"/>
      <x:c r="XA14" s="32"/>
      <x:c r="XB14" s="32"/>
      <x:c r="XC14" s="32"/>
      <x:c r="XD14" s="32"/>
    </x:row>
    <x:row r="15">
      <x:c r="A15" s="32" t="str">
        <x:v>6ee6ed1a-e592-4e76-a95b-777f242eb996</x:v>
      </x:c>
      <x:c r="B15" s="32" t="str">
        <x:v>B-008</x:v>
      </x:c>
      <x:c r="C15" s="42" t="n">
        <x:v>46259.684537037036</x:v>
      </x:c>
      <x:c r="D15" s="32" t="str">
        <x:v>489b7424f5051f7a276dafe8d5f318ccf1368d87</x:v>
      </x:c>
      <x:c r="E15" s="32" t="str">
        <x:v>GLONBW11</x:v>
      </x:c>
      <x:c r="F15" s="32" t="str">
        <x:v>local-filesystem</x:v>
      </x:c>
      <x:c r="G15" s="32" t="str">
        <x:v>3.14.2</x:v>
      </x:c>
      <x:c r="H15" s="32" t="str">
        <x:v>deterministic</x:v>
      </x:c>
      <x:c r="I15" s="32" t="n">
        <x:v>1000</x:v>
      </x:c>
      <x:c r="J15" s="32" t="n">
        <x:v>10</x:v>
      </x:c>
      <x:c r="K15" s="47" t="n">
        <x:v>10.032809799999999</x:v>
      </x:c>
      <x:c r="L15" s="32" t="n">
        <x:v>121</x:v>
      </x:c>
      <x:c r="M15" s="32" t="n">
        <x:v>5</x:v>
      </x:c>
      <x:c r="N15" s="32" t="n">
        <x:v>10</x:v>
      </x:c>
      <x:c r="O15" s="48" t="n">
        <x:v>936.5432049999072</x:v>
      </x:c>
      <x:c r="P15" s="48" t="n">
        <x:v>1003.201858002285</x:v>
      </x:c>
      <x:c r="Q15" s="48" t="n">
        <x:v>1333.5118401992074</x:v>
      </x:c>
      <x:c r="R15" s="48" t="n">
        <x:v>1381.550330999744</x:v>
      </x:c>
      <x:c r="S15" s="32" t="n">
        <x:v>0</x:v>
      </x:c>
      <x:c r="T15" s="43" t="n">
        <x:v>0</x:v>
      </x:c>
      <x:c r="U15" s="48" t="n">
        <x:v>98.03874135100051</x:v>
      </x:c>
      <x:c r="V15" s="48" t="n">
        <x:v>101.07678453205288</x:v>
      </x:c>
      <x:c r="W15" s="48" t="n">
        <x:v>136.63321603822314</x:v>
      </x:c>
      <x:c r="X15" s="48" t="n">
        <x:v>140.8671875</x:v>
      </x:c>
      <x:c r="Y15" s="32"/>
      <x:c r="Z15" s="32"/>
      <x:c r="AA15" s="32"/>
      <x:c r="AB15" s="32"/>
      <x:c r="AC15" s="32" t="n">
        <x:v>0</x:v>
      </x:c>
      <x:c r="AD15" s="32" t="n">
        <x:v>0</x:v>
      </x:c>
      <x:c r="AE15" s="32" t="n">
        <x:v>0</x:v>
      </x:c>
      <x:c r="AF15" s="32"/>
      <x:c r="AG15" s="32"/>
      <x:c r="AH15" s="48" t="n">
        <x:v>370.3961600003822</x:v>
      </x:c>
      <x:c r="AI15" s="32" t="str">
        <x:v>PASS-WITH-FINDINGS</x:v>
      </x:c>
      <x:c r="AJ15" s="32" t="str">
        <x:v>GREEN</x:v>
      </x:c>
      <x:c r="AK15" s="32" t="str">
        <x:v>latest-narrow</x:v>
      </x:c>
      <x:c r="AL15" s="32" t="n">
        <x:v>1</x:v>
      </x:c>
      <x:c r="AM15" s="32" t="n">
        <x:v>1</x:v>
      </x:c>
      <x:c r="AN15" s="32" t="n">
        <x:v>1000</x:v>
      </x:c>
      <x:c r="AO15" s="32" t="n">
        <x:v>1</x:v>
      </x:c>
      <x:c r="AP15" s="32" t="n">
        <x:v>8132</x:v>
      </x:c>
      <x:c r="AQ15" s="48" t="n">
        <x:v>8.644762998301303</x:v>
      </x:c>
      <x:c r="AR15" s="48" t="n">
        <x:v>10.821471998497145</x:v>
      </x:c>
      <x:c r="AS15" s="48" t="n">
        <x:v>11.815924198162975</x:v>
      </x:c>
      <x:c r="AT15" s="32" t="n">
        <x:v>36</x:v>
      </x:c>
      <x:c r="AU15" s="32" t="str">
        <x:v>0 / 28 / 28 / 28 / 27 / 28 / 28 / 28 / 27 / 0 / 28 / 28 / 27 / 28 / 28 / 28 / 27 / 28 / 0 / 28 / 27 / 28 / 28 / 28 / 27 / 28 / 28 / 0 / 26 / 27 / 27 / 27 / 26 / 27 / 27 / 27</x:v>
      </x:c>
      <x:c r="AV15" s="47" t="n">
        <x:v>0.7519549981225282</x:v>
      </x:c>
      <x:c r="AW15" s="47" t="n">
        <x:v>1.0019420005846769</x:v>
      </x:c>
      <x:c r="AX15" s="47" t="n">
        <x:v>1.4330117999634238</x:v>
      </x:c>
      <x:c r="AY15" s="32" t="str">
        <x:v>mixed</x:v>
      </x:c>
      <x:c r="AZ15" s="32" t="str">
        <x:v>FAIL</x:v>
      </x:c>
      <x:c r="BA15" s="32" t="n">
        <x:v>880</x:v>
      </x:c>
      <x:c r="BB15" s="32" t="n">
        <x:v>120</x:v>
      </x:c>
      <x:c r="BC15" s="115" t="b">
        <x:v>1</x:v>
      </x:c>
      <x:c r="BD15" s="32" t="str">
        <x:v>Raw FAIL was caused solely by the legacy harness rule snapshot_alarm_count == alarm_count. Core neutral-state semantics intentionally omit the 120 initially INACTIVE alarms; observed 880 == expected 880 and journal is aligned.</x:v>
      </x:c>
      <x:c r="BE15" s="32"/>
      <x:c r="BF15" s="32"/>
      <x:c r="BG15" s="32"/>
      <x:c r="BH15" s="32"/>
      <x:c r="BI15" s="32"/>
      <x:c r="BJ15" s="32"/>
      <x:c r="BK15" s="32"/>
      <x:c r="BL15" s="32"/>
      <x:c r="BM15" s="32"/>
      <x:c r="BN15" s="32"/>
      <x:c r="BO15" s="32"/>
      <x:c r="BP15" s="32"/>
      <x:c r="BQ15" s="32"/>
      <x:c r="BR15" s="32"/>
      <x:c r="BS15" s="32"/>
      <x:c r="BT15" s="32"/>
      <x:c r="BU15" s="32"/>
      <x:c r="BV15" s="32"/>
      <x:c r="BW15" s="32"/>
      <x:c r="BX15" s="32"/>
      <x:c r="BY15" s="32"/>
      <x:c r="BZ15" s="32"/>
      <x:c r="CA15" s="32"/>
      <x:c r="CB15" s="32"/>
      <x:c r="CC15" s="32"/>
      <x:c r="CD15" s="32"/>
      <x:c r="CE15" s="32"/>
      <x:c r="CF15" s="32"/>
      <x:c r="CG15" s="32"/>
      <x:c r="CH15" s="32"/>
      <x:c r="CI15" s="32"/>
      <x:c r="CJ15" s="32"/>
      <x:c r="CK15" s="32"/>
      <x:c r="CL15" s="32"/>
      <x:c r="CM15" s="32"/>
      <x:c r="CN15" s="32"/>
      <x:c r="CO15" s="32"/>
      <x:c r="CP15" s="32"/>
      <x:c r="CQ15" s="32"/>
      <x:c r="CR15" s="32"/>
      <x:c r="CS15" s="32"/>
      <x:c r="CT15" s="32"/>
      <x:c r="CU15" s="32"/>
      <x:c r="CV15" s="32"/>
      <x:c r="CW15" s="32"/>
      <x:c r="CX15" s="32"/>
      <x:c r="CY15" s="32"/>
      <x:c r="CZ15" s="32"/>
      <x:c r="DA15" s="32"/>
      <x:c r="DB15" s="32"/>
      <x:c r="DC15" s="32"/>
      <x:c r="DD15" s="32"/>
      <x:c r="DE15" s="32"/>
      <x:c r="DF15" s="32"/>
      <x:c r="DG15" s="32"/>
      <x:c r="DH15" s="32"/>
      <x:c r="DI15" s="32"/>
      <x:c r="DJ15" s="32"/>
      <x:c r="DK15" s="32"/>
      <x:c r="DL15" s="32"/>
      <x:c r="DM15" s="32"/>
      <x:c r="DN15" s="32"/>
      <x:c r="DO15" s="32"/>
      <x:c r="DP15" s="32"/>
      <x:c r="DQ15" s="32"/>
      <x:c r="DR15" s="32"/>
      <x:c r="DS15" s="32"/>
      <x:c r="DT15" s="32"/>
      <x:c r="DU15" s="32"/>
      <x:c r="DV15" s="32"/>
      <x:c r="DW15" s="32"/>
      <x:c r="DX15" s="32"/>
      <x:c r="DY15" s="32"/>
      <x:c r="DZ15" s="32"/>
      <x:c r="EA15" s="32"/>
      <x:c r="EB15" s="32"/>
      <x:c r="EC15" s="32"/>
      <x:c r="ED15" s="32"/>
      <x:c r="EE15" s="32"/>
      <x:c r="EF15" s="32"/>
      <x:c r="EG15" s="32"/>
      <x:c r="EH15" s="32"/>
      <x:c r="EI15" s="32"/>
      <x:c r="EJ15" s="32"/>
      <x:c r="EK15" s="32"/>
      <x:c r="EL15" s="32"/>
      <x:c r="EM15" s="32"/>
      <x:c r="EN15" s="32"/>
      <x:c r="EO15" s="32"/>
      <x:c r="EP15" s="32"/>
      <x:c r="EQ15" s="32"/>
      <x:c r="ER15" s="32"/>
      <x:c r="ES15" s="32"/>
      <x:c r="ET15" s="32"/>
      <x:c r="EU15" s="32"/>
      <x:c r="EV15" s="32"/>
      <x:c r="EW15" s="32"/>
      <x:c r="EX15" s="32"/>
      <x:c r="EY15" s="32"/>
      <x:c r="EZ15" s="32"/>
      <x:c r="FA15" s="32"/>
      <x:c r="FB15" s="32"/>
      <x:c r="FC15" s="32"/>
      <x:c r="FD15" s="32"/>
      <x:c r="FE15" s="32"/>
      <x:c r="FF15" s="32"/>
      <x:c r="FG15" s="32"/>
      <x:c r="FH15" s="32"/>
      <x:c r="FI15" s="32"/>
      <x:c r="FJ15" s="32"/>
      <x:c r="FK15" s="32"/>
      <x:c r="FL15" s="32"/>
      <x:c r="FM15" s="32"/>
      <x:c r="FN15" s="32"/>
      <x:c r="FO15" s="32"/>
      <x:c r="FP15" s="32"/>
      <x:c r="FQ15" s="32"/>
      <x:c r="FR15" s="32"/>
      <x:c r="FS15" s="32"/>
      <x:c r="FT15" s="32"/>
      <x:c r="FU15" s="32"/>
      <x:c r="FV15" s="32"/>
      <x:c r="FW15" s="32"/>
      <x:c r="FX15" s="32"/>
      <x:c r="FY15" s="32"/>
      <x:c r="FZ15" s="32"/>
      <x:c r="GA15" s="32"/>
      <x:c r="GB15" s="32"/>
      <x:c r="GC15" s="32"/>
      <x:c r="GD15" s="32"/>
      <x:c r="GE15" s="32"/>
      <x:c r="GF15" s="32"/>
      <x:c r="GG15" s="32"/>
      <x:c r="GH15" s="32"/>
      <x:c r="GI15" s="32"/>
      <x:c r="GJ15" s="32"/>
      <x:c r="GK15" s="32"/>
      <x:c r="GL15" s="32"/>
      <x:c r="GM15" s="32"/>
      <x:c r="GN15" s="32"/>
      <x:c r="GO15" s="32"/>
      <x:c r="GP15" s="32"/>
      <x:c r="GQ15" s="32"/>
      <x:c r="GR15" s="32"/>
      <x:c r="GS15" s="32"/>
      <x:c r="GT15" s="32"/>
      <x:c r="GU15" s="32"/>
      <x:c r="GV15" s="32"/>
      <x:c r="GW15" s="32"/>
      <x:c r="GX15" s="32"/>
      <x:c r="GY15" s="32"/>
      <x:c r="GZ15" s="32"/>
      <x:c r="HA15" s="32"/>
      <x:c r="HB15" s="32"/>
      <x:c r="HC15" s="32"/>
      <x:c r="HD15" s="32"/>
      <x:c r="HE15" s="32"/>
      <x:c r="HF15" s="32"/>
      <x:c r="HG15" s="32"/>
      <x:c r="HH15" s="32"/>
      <x:c r="HI15" s="32"/>
      <x:c r="HJ15" s="32"/>
      <x:c r="HK15" s="32"/>
      <x:c r="HL15" s="32"/>
      <x:c r="HM15" s="32"/>
      <x:c r="HN15" s="32"/>
      <x:c r="HO15" s="32"/>
      <x:c r="HP15" s="32"/>
      <x:c r="HQ15" s="32"/>
      <x:c r="HR15" s="32"/>
      <x:c r="HS15" s="32"/>
      <x:c r="HT15" s="32"/>
      <x:c r="HU15" s="32"/>
      <x:c r="HV15" s="32"/>
      <x:c r="HW15" s="32"/>
      <x:c r="HX15" s="32"/>
      <x:c r="HY15" s="32"/>
      <x:c r="VW15" s="32"/>
      <x:c r="VX15" s="32"/>
      <x:c r="VY15" s="32"/>
      <x:c r="VZ15" s="32"/>
      <x:c r="WA15" s="32"/>
      <x:c r="WB15" s="32"/>
      <x:c r="WC15" s="32"/>
      <x:c r="WD15" s="32"/>
      <x:c r="WE15" s="32"/>
      <x:c r="WF15" s="32"/>
      <x:c r="WG15" s="32"/>
      <x:c r="WH15" s="32"/>
      <x:c r="WI15" s="32"/>
      <x:c r="WJ15" s="32"/>
      <x:c r="WK15" s="32"/>
      <x:c r="WL15" s="32"/>
      <x:c r="WM15" s="32"/>
      <x:c r="WN15" s="32"/>
      <x:c r="WO15" s="32"/>
      <x:c r="WP15" s="32"/>
      <x:c r="WQ15" s="32"/>
      <x:c r="WR15" s="32"/>
      <x:c r="WS15" s="32"/>
      <x:c r="WT15" s="32"/>
      <x:c r="WU15" s="32"/>
      <x:c r="WV15" s="32"/>
      <x:c r="WW15" s="32"/>
      <x:c r="WX15" s="32"/>
      <x:c r="WY15" s="32"/>
      <x:c r="WZ15" s="32"/>
      <x:c r="XA15" s="32"/>
      <x:c r="XB15" s="32"/>
      <x:c r="XC15" s="32"/>
      <x:c r="XD15" s="32"/>
    </x:row>
    <x:row r="16">
      <x:c r="A16" s="32" t="str">
        <x:v>1cd959ef-3cc6-452d-806c-72f9d3a738ed</x:v>
      </x:c>
      <x:c r="B16" s="32" t="str">
        <x:v>B-008-GATE-SMOKE</x:v>
      </x:c>
      <x:c r="C16" s="42" t="n">
        <x:v>46259.70306712963</x:v>
      </x:c>
      <x:c r="D16" s="32" t="str">
        <x:v>489b7424f5051f7a276dafe8d5f318ccf1368d87</x:v>
      </x:c>
      <x:c r="E16" s="32" t="str">
        <x:v>GLONBW11</x:v>
      </x:c>
      <x:c r="F16" s="32" t="str">
        <x:v>local-filesystem</x:v>
      </x:c>
      <x:c r="G16" s="32" t="str">
        <x:v>3.14.2</x:v>
      </x:c>
      <x:c r="H16" s="32" t="str">
        <x:v>deterministic</x:v>
      </x:c>
      <x:c r="I16" s="32" t="n">
        <x:v>1000</x:v>
      </x:c>
      <x:c r="J16" s="32" t="n">
        <x:v>0.5</x:v>
      </x:c>
      <x:c r="K16" s="47" t="n">
        <x:v>0.5199003</x:v>
      </x:c>
      <x:c r="L16" s="32" t="n">
        <x:v>7</x:v>
      </x:c>
      <x:c r="M16" s="32" t="n">
        <x:v>5</x:v>
      </x:c>
      <x:c r="N16" s="32" t="n">
        <x:v>10</x:v>
      </x:c>
      <x:c r="O16" s="48" t="n">
        <x:v>965.237562002585</x:v>
      </x:c>
      <x:c r="P16" s="48" t="n">
        <x:v>1243.3582018009474</x:v>
      </x:c>
      <x:c r="Q16" s="48" t="n">
        <x:v>1246.9606243602902</x:v>
      </x:c>
      <x:c r="R16" s="48" t="n">
        <x:v>1247.861230000126</x:v>
      </x:c>
      <x:c r="S16" s="32" t="n">
        <x:v>0</x:v>
      </x:c>
      <x:c r="T16" s="43" t="n">
        <x:v>0</x:v>
      </x:c>
      <x:c r="U16" s="48" t="n">
        <x:v>96.16005209628517</x:v>
      </x:c>
      <x:c r="V16" s="48" t="n">
        <x:v>97.87369587201069</x:v>
      </x:c>
      <x:c r="W16" s="48" t="n">
        <x:v>136.267578125</x:v>
      </x:c>
      <x:c r="X16" s="48" t="n">
        <x:v>139.8203125</x:v>
      </x:c>
      <x:c r="Y16" s="32"/>
      <x:c r="Z16" s="32"/>
      <x:c r="AA16" s="32"/>
      <x:c r="AB16" s="32"/>
      <x:c r="AC16" s="32" t="n">
        <x:v>0</x:v>
      </x:c>
      <x:c r="AD16" s="32" t="n">
        <x:v>0</x:v>
      </x:c>
      <x:c r="AE16" s="32" t="n">
        <x:v>0</x:v>
      </x:c>
      <x:c r="AF16" s="32"/>
      <x:c r="AG16" s="32"/>
      <x:c r="AH16" s="48" t="n">
        <x:v>173.16088200095692</x:v>
      </x:c>
      <x:c r="AI16" s="32" t="str">
        <x:v>PASS</x:v>
      </x:c>
      <x:c r="AJ16" s="32" t="str">
        <x:v>GREEN</x:v>
      </x:c>
      <x:c r="AK16" s="32" t="str">
        <x:v>latest-narrow</x:v>
      </x:c>
      <x:c r="AL16" s="32" t="n">
        <x:v>1</x:v>
      </x:c>
      <x:c r="AM16" s="32" t="n">
        <x:v>1</x:v>
      </x:c>
      <x:c r="AN16" s="32" t="n">
        <x:v>1000</x:v>
      </x:c>
      <x:c r="AO16" s="32" t="n">
        <x:v>1</x:v>
      </x:c>
      <x:c r="AP16" s="32" t="n">
        <x:v>8132</x:v>
      </x:c>
      <x:c r="AQ16" s="48" t="n">
        <x:v>8.742680998693686</x:v>
      </x:c>
      <x:c r="AR16" s="48" t="n">
        <x:v>11.538740298419725</x:v>
      </x:c>
      <x:c r="AS16" s="48" t="n">
        <x:v>11.630292858171742</x:v>
      </x:c>
      <x:c r="AT16" s="32" t="n">
        <x:v>36</x:v>
      </x:c>
      <x:c r="AU16" s="32" t="str">
        <x:v>0 / 28 / 28 / 28 / 27 / 28 / 28 / 28 / 27 / 0 / 28 / 28 / 27 / 28 / 28 / 28 / 27 / 28 / 0 / 28 / 27 / 28 / 28 / 28 / 27 / 28 / 28 / 0 / 26 / 27 / 27 / 27 / 26 / 27 / 27 / 27</x:v>
      </x:c>
      <x:c r="AV16" s="47" t="n">
        <x:v>0.7805310015100986</x:v>
      </x:c>
      <x:c r="AW16" s="47" t="n">
        <x:v>0.9657956008595647</x:v>
      </x:c>
      <x:c r="AX16" s="47" t="n">
        <x:v>0.9733263208909193</x:v>
      </x:c>
      <x:c r="AY16" s="32" t="str">
        <x:v>mixed</x:v>
      </x:c>
      <x:c r="AZ16" s="32" t="str">
        <x:v>PASS</x:v>
      </x:c>
      <x:c r="BA16" s="32" t="n">
        <x:v>880</x:v>
      </x:c>
      <x:c r="BB16" s="32" t="n">
        <x:v>120</x:v>
      </x:c>
      <x:c r="BC16" s="115" t="b">
        <x:v>1</x:v>
      </x:c>
      <x:c r="BD16" s="32" t="str">
        <x:v>R3.5B.3.1 validation smoke: corrected neutral-snapshot integrity gate passed. Observed snapshot 880 equals expected 880; 120 configured alarms are neutral INACTIVE; journal durable==materialized.</x:v>
      </x:c>
      <x:c r="BE16" s="32"/>
      <x:c r="BF16" s="32"/>
      <x:c r="BG16" s="32"/>
      <x:c r="BH16" s="32"/>
      <x:c r="BI16" s="32"/>
      <x:c r="BJ16" s="32"/>
      <x:c r="BK16" s="32"/>
      <x:c r="BL16" s="32"/>
      <x:c r="BM16" s="32"/>
      <x:c r="BN16" s="32"/>
      <x:c r="BO16" s="32"/>
      <x:c r="BP16" s="32"/>
      <x:c r="BQ16" s="32"/>
      <x:c r="BR16" s="32"/>
      <x:c r="BS16" s="32"/>
      <x:c r="BT16" s="32"/>
      <x:c r="BU16" s="32"/>
      <x:c r="BV16" s="32"/>
      <x:c r="BW16" s="32"/>
      <x:c r="BX16" s="32"/>
      <x:c r="BY16" s="32"/>
      <x:c r="BZ16" s="32"/>
      <x:c r="CA16" s="32"/>
      <x:c r="CB16" s="32"/>
      <x:c r="CC16" s="32"/>
      <x:c r="CD16" s="32"/>
      <x:c r="CE16" s="32"/>
      <x:c r="CF16" s="32"/>
      <x:c r="CG16" s="32"/>
      <x:c r="CH16" s="32"/>
      <x:c r="CI16" s="32"/>
      <x:c r="CJ16" s="32"/>
      <x:c r="CK16" s="32"/>
      <x:c r="CL16" s="32"/>
      <x:c r="CM16" s="32"/>
      <x:c r="CN16" s="32"/>
      <x:c r="CO16" s="32"/>
      <x:c r="CP16" s="32"/>
      <x:c r="CQ16" s="32"/>
      <x:c r="CR16" s="32"/>
      <x:c r="CS16" s="32"/>
      <x:c r="CT16" s="32"/>
      <x:c r="CU16" s="32"/>
      <x:c r="CV16" s="32"/>
      <x:c r="CW16" s="32"/>
      <x:c r="CX16" s="32"/>
      <x:c r="CY16" s="32"/>
      <x:c r="CZ16" s="32"/>
      <x:c r="DA16" s="32"/>
      <x:c r="DB16" s="32"/>
      <x:c r="DC16" s="32"/>
      <x:c r="DD16" s="32"/>
      <x:c r="DE16" s="32"/>
      <x:c r="DF16" s="32"/>
      <x:c r="DG16" s="32"/>
      <x:c r="DH16" s="32"/>
      <x:c r="DI16" s="32"/>
      <x:c r="DJ16" s="32"/>
      <x:c r="DK16" s="32"/>
      <x:c r="DL16" s="32"/>
      <x:c r="DM16" s="32"/>
      <x:c r="DN16" s="32"/>
      <x:c r="DO16" s="32"/>
      <x:c r="DP16" s="32"/>
      <x:c r="DQ16" s="32"/>
      <x:c r="DR16" s="32"/>
      <x:c r="DS16" s="32"/>
      <x:c r="DT16" s="32"/>
      <x:c r="DU16" s="32"/>
      <x:c r="DV16" s="32"/>
      <x:c r="DW16" s="32"/>
      <x:c r="DX16" s="32"/>
      <x:c r="DY16" s="32"/>
      <x:c r="DZ16" s="32"/>
      <x:c r="EA16" s="32"/>
      <x:c r="EB16" s="32"/>
      <x:c r="EC16" s="32"/>
      <x:c r="ED16" s="32"/>
      <x:c r="EE16" s="32"/>
      <x:c r="EF16" s="32"/>
      <x:c r="EG16" s="32"/>
      <x:c r="EH16" s="32"/>
      <x:c r="EI16" s="32"/>
      <x:c r="EJ16" s="32"/>
      <x:c r="EK16" s="32"/>
      <x:c r="EL16" s="32"/>
      <x:c r="EM16" s="32"/>
      <x:c r="EN16" s="32"/>
      <x:c r="EO16" s="32"/>
      <x:c r="EP16" s="32"/>
      <x:c r="EQ16" s="32"/>
      <x:c r="ER16" s="32"/>
      <x:c r="ES16" s="32"/>
      <x:c r="ET16" s="32"/>
      <x:c r="EU16" s="32"/>
      <x:c r="EV16" s="32"/>
      <x:c r="EW16" s="32"/>
      <x:c r="EX16" s="32"/>
      <x:c r="EY16" s="32"/>
      <x:c r="EZ16" s="32"/>
      <x:c r="FA16" s="32"/>
      <x:c r="FB16" s="32"/>
      <x:c r="FC16" s="32"/>
      <x:c r="FD16" s="32"/>
      <x:c r="FE16" s="32"/>
      <x:c r="FF16" s="32"/>
      <x:c r="FG16" s="32"/>
      <x:c r="FH16" s="32"/>
      <x:c r="FI16" s="32"/>
      <x:c r="FJ16" s="32"/>
      <x:c r="FK16" s="32"/>
      <x:c r="FL16" s="32"/>
      <x:c r="FM16" s="32"/>
      <x:c r="FN16" s="32"/>
      <x:c r="FO16" s="32"/>
      <x:c r="FP16" s="32"/>
      <x:c r="FQ16" s="32"/>
      <x:c r="FR16" s="32"/>
      <x:c r="FS16" s="32"/>
      <x:c r="FT16" s="32"/>
      <x:c r="FU16" s="32"/>
      <x:c r="FV16" s="32"/>
      <x:c r="FW16" s="32"/>
      <x:c r="FX16" s="32"/>
      <x:c r="FY16" s="32"/>
      <x:c r="FZ16" s="32"/>
      <x:c r="GA16" s="32"/>
      <x:c r="GB16" s="32"/>
      <x:c r="GC16" s="32"/>
      <x:c r="GD16" s="32"/>
      <x:c r="GE16" s="32"/>
      <x:c r="GF16" s="32"/>
      <x:c r="GG16" s="32"/>
      <x:c r="GH16" s="32"/>
      <x:c r="GI16" s="32"/>
      <x:c r="GJ16" s="32"/>
      <x:c r="GK16" s="32"/>
      <x:c r="GL16" s="32"/>
      <x:c r="GM16" s="32"/>
      <x:c r="GN16" s="32"/>
      <x:c r="GO16" s="32"/>
      <x:c r="GP16" s="32"/>
      <x:c r="GQ16" s="32"/>
      <x:c r="GR16" s="32"/>
      <x:c r="GS16" s="32"/>
      <x:c r="GT16" s="32"/>
      <x:c r="GU16" s="32"/>
      <x:c r="GV16" s="32"/>
      <x:c r="GW16" s="32"/>
      <x:c r="GX16" s="32"/>
      <x:c r="GY16" s="32"/>
      <x:c r="GZ16" s="32"/>
      <x:c r="HA16" s="32"/>
      <x:c r="HB16" s="32"/>
      <x:c r="HC16" s="32"/>
      <x:c r="HD16" s="32"/>
      <x:c r="HE16" s="32"/>
      <x:c r="HF16" s="32"/>
      <x:c r="HG16" s="32"/>
      <x:c r="HH16" s="32"/>
      <x:c r="HI16" s="32"/>
      <x:c r="HJ16" s="32"/>
      <x:c r="HK16" s="32"/>
      <x:c r="HL16" s="32"/>
      <x:c r="HM16" s="32"/>
      <x:c r="HN16" s="32"/>
      <x:c r="HO16" s="32"/>
      <x:c r="HP16" s="32"/>
      <x:c r="HQ16" s="32"/>
      <x:c r="HR16" s="32"/>
      <x:c r="HS16" s="32"/>
      <x:c r="HT16" s="32"/>
      <x:c r="HU16" s="32"/>
      <x:c r="HV16" s="32"/>
      <x:c r="HW16" s="32"/>
      <x:c r="HX16" s="32"/>
      <x:c r="HY16" s="32"/>
      <x:c r="VW16" s="32"/>
      <x:c r="VX16" s="32"/>
      <x:c r="VY16" s="32"/>
      <x:c r="VZ16" s="32"/>
      <x:c r="WA16" s="32"/>
      <x:c r="WB16" s="32"/>
      <x:c r="WC16" s="32"/>
      <x:c r="WD16" s="32"/>
      <x:c r="WE16" s="32"/>
      <x:c r="WF16" s="32"/>
      <x:c r="WG16" s="32"/>
      <x:c r="WH16" s="32"/>
      <x:c r="WI16" s="32"/>
      <x:c r="WJ16" s="32"/>
      <x:c r="WK16" s="32"/>
      <x:c r="WL16" s="32"/>
      <x:c r="WM16" s="32"/>
      <x:c r="WN16" s="32"/>
      <x:c r="WO16" s="32"/>
      <x:c r="WP16" s="32"/>
      <x:c r="WQ16" s="32"/>
      <x:c r="WR16" s="32"/>
      <x:c r="WS16" s="32"/>
      <x:c r="WT16" s="32"/>
      <x:c r="WU16" s="32"/>
      <x:c r="WV16" s="32"/>
      <x:c r="WW16" s="32"/>
      <x:c r="WX16" s="32"/>
      <x:c r="WY16" s="32"/>
      <x:c r="WZ16" s="32"/>
      <x:c r="XA16" s="32"/>
      <x:c r="XB16" s="32"/>
      <x:c r="XC16" s="32"/>
      <x:c r="XD16" s="32"/>
    </x:row>
    <x:row r="17">
      <x:c r="A17" s="32" t="str">
        <x:v>804265bb-f165-4deb-96ef-e062d0ee8117</x:v>
      </x:c>
      <x:c r="B17" s="32" t="str">
        <x:v>B-009</x:v>
      </x:c>
      <x:c r="C17" s="42" t="n">
        <x:v>46259.77888888889</x:v>
      </x:c>
      <x:c r="D17" s="32" t="str">
        <x:v>489b7424f5051f7a276dafe8d5f318ccf1368d87</x:v>
      </x:c>
      <x:c r="E17" s="32" t="str">
        <x:v>GLONBW11</x:v>
      </x:c>
      <x:c r="F17" s="32" t="str">
        <x:v>local-filesystem</x:v>
      </x:c>
      <x:c r="G17" s="32" t="str">
        <x:v>3.14.2</x:v>
      </x:c>
      <x:c r="H17" s="32" t="str">
        <x:v>deterministic</x:v>
      </x:c>
      <x:c r="I17" s="32" t="n">
        <x:v>1000</x:v>
      </x:c>
      <x:c r="J17" s="32" t="n">
        <x:v>10</x:v>
      </x:c>
      <x:c r="K17" s="32" t="n">
        <x:v>10.06078955</x:v>
      </x:c>
      <x:c r="L17" s="32" t="n">
        <x:v>121</x:v>
      </x:c>
      <x:c r="M17" s="32" t="n">
        <x:v>5</x:v>
      </x:c>
      <x:c r="N17" s="32" t="n">
        <x:v>10</x:v>
      </x:c>
      <x:c r="O17" s="32" t="n">
        <x:v>2625.4629639988707</x:v>
      </x:c>
      <x:c r="P17" s="32" t="n">
        <x:v>2997.0099490019493</x:v>
      </x:c>
      <x:c r="Q17" s="32" t="n">
        <x:v>3284.828467398619</x:v>
      </x:c>
      <x:c r="R17" s="32" t="n">
        <x:v>3600.3161820008245</x:v>
      </x:c>
      <x:c r="S17" s="32" t="n">
        <x:v>0</x:v>
      </x:c>
      <x:c r="T17" s="43" t="n">
        <x:v>0</x:v>
      </x:c>
      <x:c r="U17" s="32" t="n">
        <x:v>99.43374501428755</x:v>
      </x:c>
      <x:c r="V17" s="32" t="n">
        <x:v>100.42710705927536</x:v>
      </x:c>
      <x:c r="W17" s="32" t="n">
        <x:v>153.65913933367767</x:v>
      </x:c>
      <x:c r="X17" s="32" t="n">
        <x:v>156.65625</x:v>
      </x:c>
      <x:c r="Y17" s="32"/>
      <x:c r="Z17" s="32"/>
      <x:c r="AA17" s="32"/>
      <x:c r="AB17" s="32"/>
      <x:c r="AC17" s="32" t="n">
        <x:v>0</x:v>
      </x:c>
      <x:c r="AD17" s="32" t="n">
        <x:v>0</x:v>
      </x:c>
      <x:c r="AE17" s="32" t="n">
        <x:v>0</x:v>
      </x:c>
      <x:c r="AF17" s="32"/>
      <x:c r="AG17" s="32"/>
      <x:c r="AH17" s="32" t="n">
        <x:v>407.94410099988454</x:v>
      </x:c>
      <x:c r="AI17" s="32" t="str">
        <x:v>PASS</x:v>
      </x:c>
      <x:c r="AJ17" s="32" t="str">
        <x:v>GREEN</x:v>
      </x:c>
      <x:c r="AK17" s="32" t="str">
        <x:v>latest-historical</x:v>
      </x:c>
      <x:c r="AL17" s="32" t="n">
        <x:v>1</x:v>
      </x:c>
      <x:c r="AM17" s="32" t="n">
        <x:v>2</x:v>
      </x:c>
      <x:c r="AN17" s="32" t="n">
        <x:v>4000</x:v>
      </x:c>
      <x:c r="AO17" s="32" t="n">
        <x:v>361</x:v>
      </x:c>
      <x:c r="AP17" s="32" t="n">
        <x:v>8651144</x:v>
      </x:c>
      <x:c r="AQ17" s="32" t="n">
        <x:v>6.742584999301471</x:v>
      </x:c>
      <x:c r="AR17" s="32" t="n">
        <x:v>8.271439000964165</x:v>
      </x:c>
      <x:c r="AS17" s="32" t="n">
        <x:v>10.227766801835969</x:v>
      </x:c>
      <x:c r="AT17" s="32" t="n">
        <x:v>36</x:v>
      </x:c>
      <x:c r="AU17" s="32" t="str">
        <x:v>Latest: 28×28 + 8×27 / Historical: 12×84 + 24×83</x:v>
      </x:c>
      <x:c r="AV17" s="32" t="n">
        <x:v>0.6785780024074484</x:v>
      </x:c>
      <x:c r="AW17" s="32" t="n">
        <x:v>0.8204669975384604</x:v>
      </x:c>
      <x:c r="AX17" s="32" t="n">
        <x:v>1.044928599731065</x:v>
      </x:c>
      <x:c r="AY17" s="32" t="str">
        <x:v>balanced</x:v>
      </x:c>
      <x:c r="AZ17" s="32" t="str">
        <x:v>PASS</x:v>
      </x:c>
      <x:c r="BA17" s="32" t="n">
        <x:v>1000</x:v>
      </x:c>
      <x:c r="BB17" s="32" t="n">
        <x:v>0</x:v>
      </x:c>
      <x:c r="BC17" s="115" t="b">
        <x:v>1</x:v>
      </x:c>
      <x:c r="BD17" s="32" t="str">
        <x:v>Raw PASS; journal aligned; snapshot observed/expected 1000/1000.</x:v>
      </x:c>
      <x:c r="BE17" s="32" t="n">
        <x:v>3</x:v>
      </x:c>
      <x:c r="BF17" s="32" t="n">
        <x:v>60</x:v>
      </x:c>
      <x:c r="BG17" s="32" t="n">
        <x:v>10</x:v>
      </x:c>
      <x:c r="BH17" s="32" t="n">
        <x:v>360</x:v>
      </x:c>
      <x:c r="BI17" s="32" t="n">
        <x:v>1080000</x:v>
      </x:c>
      <x:c r="BJ17" s="32" t="n">
        <x:v>1081000</x:v>
      </x:c>
      <x:c r="BK17" s="32" t="n">
        <x:v>1000</x:v>
      </x:c>
      <x:c r="BL17" s="32" t="n">
        <x:v>3000</x:v>
      </x:c>
      <x:c r="BM17" s="32" t="n">
        <x:v>360</x:v>
      </x:c>
      <x:c r="BN17" s="32"/>
      <x:c r="BO17" s="32"/>
      <x:c r="BP17" s="32"/>
      <x:c r="BQ17" s="32"/>
      <x:c r="BR17" s="32"/>
      <x:c r="BS17" s="32"/>
      <x:c r="BT17" s="32"/>
      <x:c r="BU17" s="32"/>
      <x:c r="BV17" s="32"/>
      <x:c r="BW17" s="32"/>
      <x:c r="BX17" s="32"/>
      <x:c r="BY17" s="32"/>
      <x:c r="BZ17" s="32"/>
      <x:c r="CA17" s="32"/>
      <x:c r="CB17" s="32"/>
      <x:c r="CC17" s="32"/>
      <x:c r="CD17" s="32"/>
      <x:c r="CE17" s="32"/>
      <x:c r="CF17" s="32"/>
      <x:c r="CG17" s="32"/>
      <x:c r="CH17" s="32"/>
      <x:c r="CI17" s="32"/>
      <x:c r="CJ17" s="32"/>
      <x:c r="CK17" s="32"/>
      <x:c r="CL17" s="32"/>
      <x:c r="CM17" s="32"/>
      <x:c r="CN17" s="32"/>
      <x:c r="CO17" s="32"/>
      <x:c r="CP17" s="32"/>
      <x:c r="CQ17" s="32"/>
      <x:c r="CR17" s="32"/>
      <x:c r="CS17" s="32"/>
      <x:c r="CT17" s="32"/>
      <x:c r="CU17" s="32"/>
      <x:c r="CV17" s="32"/>
      <x:c r="CW17" s="32"/>
      <x:c r="CX17" s="32"/>
      <x:c r="CY17" s="32"/>
      <x:c r="CZ17" s="32"/>
      <x:c r="DA17" s="32"/>
      <x:c r="DB17" s="32"/>
      <x:c r="DC17" s="32"/>
      <x:c r="DD17" s="32"/>
      <x:c r="DE17" s="32"/>
      <x:c r="DF17" s="32"/>
      <x:c r="DG17" s="32"/>
      <x:c r="DH17" s="32"/>
      <x:c r="DI17" s="32"/>
      <x:c r="DJ17" s="32"/>
      <x:c r="DK17" s="32"/>
      <x:c r="DL17" s="32"/>
      <x:c r="DM17" s="32"/>
      <x:c r="DN17" s="32"/>
      <x:c r="DO17" s="32"/>
      <x:c r="DP17" s="32"/>
      <x:c r="DQ17" s="32"/>
      <x:c r="DR17" s="32"/>
      <x:c r="DS17" s="32"/>
      <x:c r="DT17" s="32"/>
      <x:c r="DU17" s="32"/>
      <x:c r="DV17" s="32"/>
      <x:c r="DW17" s="32"/>
      <x:c r="DX17" s="32"/>
      <x:c r="DY17" s="32"/>
      <x:c r="DZ17" s="32"/>
      <x:c r="EA17" s="32"/>
      <x:c r="EB17" s="32"/>
      <x:c r="EC17" s="32"/>
      <x:c r="ED17" s="32"/>
      <x:c r="EE17" s="32"/>
      <x:c r="EF17" s="32"/>
      <x:c r="EG17" s="32"/>
      <x:c r="EH17" s="32"/>
      <x:c r="EI17" s="32"/>
      <x:c r="EJ17" s="32"/>
      <x:c r="EK17" s="32"/>
      <x:c r="EL17" s="32"/>
      <x:c r="EM17" s="32"/>
      <x:c r="EN17" s="32"/>
      <x:c r="EO17" s="32"/>
      <x:c r="EP17" s="32"/>
      <x:c r="EQ17" s="32"/>
      <x:c r="ER17" s="32"/>
      <x:c r="ES17" s="32"/>
      <x:c r="ET17" s="32"/>
      <x:c r="EU17" s="32"/>
      <x:c r="EV17" s="32"/>
      <x:c r="EW17" s="32"/>
      <x:c r="EX17" s="32"/>
      <x:c r="EY17" s="32"/>
      <x:c r="EZ17" s="32"/>
      <x:c r="FA17" s="32"/>
      <x:c r="FB17" s="32"/>
      <x:c r="FC17" s="32"/>
      <x:c r="FD17" s="32"/>
      <x:c r="FE17" s="32"/>
      <x:c r="FF17" s="32"/>
      <x:c r="FG17" s="32"/>
      <x:c r="FH17" s="32"/>
      <x:c r="FI17" s="32"/>
      <x:c r="FJ17" s="32"/>
      <x:c r="FK17" s="32"/>
      <x:c r="FL17" s="32"/>
      <x:c r="FM17" s="32"/>
      <x:c r="FN17" s="32"/>
      <x:c r="FO17" s="32"/>
      <x:c r="FP17" s="32"/>
      <x:c r="FQ17" s="32"/>
      <x:c r="FR17" s="32"/>
      <x:c r="FS17" s="32"/>
      <x:c r="FT17" s="32"/>
      <x:c r="FU17" s="32"/>
      <x:c r="FV17" s="32"/>
      <x:c r="FW17" s="32"/>
      <x:c r="FX17" s="32"/>
      <x:c r="FY17" s="32"/>
      <x:c r="FZ17" s="32"/>
      <x:c r="GA17" s="32"/>
      <x:c r="GB17" s="32"/>
      <x:c r="GC17" s="32"/>
      <x:c r="GD17" s="32"/>
      <x:c r="GE17" s="32"/>
      <x:c r="GF17" s="32"/>
      <x:c r="GG17" s="32"/>
      <x:c r="GH17" s="32"/>
      <x:c r="GI17" s="32"/>
      <x:c r="GJ17" s="32"/>
      <x:c r="GK17" s="32"/>
      <x:c r="GL17" s="32"/>
      <x:c r="GM17" s="32"/>
      <x:c r="GN17" s="32"/>
      <x:c r="GO17" s="32"/>
      <x:c r="GP17" s="32"/>
      <x:c r="GQ17" s="32"/>
      <x:c r="GR17" s="32"/>
      <x:c r="GS17" s="32"/>
      <x:c r="GT17" s="32"/>
      <x:c r="GU17" s="32"/>
      <x:c r="GV17" s="32"/>
      <x:c r="GW17" s="32"/>
      <x:c r="GX17" s="32"/>
      <x:c r="GY17" s="32"/>
      <x:c r="GZ17" s="32"/>
      <x:c r="HA17" s="32"/>
      <x:c r="HB17" s="32"/>
      <x:c r="HC17" s="32"/>
      <x:c r="HD17" s="32"/>
      <x:c r="HE17" s="32"/>
      <x:c r="HF17" s="32"/>
      <x:c r="HG17" s="32"/>
      <x:c r="HH17" s="32"/>
      <x:c r="HI17" s="32"/>
      <x:c r="HJ17" s="32"/>
      <x:c r="HK17" s="32"/>
      <x:c r="HL17" s="32"/>
      <x:c r="HM17" s="32"/>
      <x:c r="HN17" s="32"/>
      <x:c r="HO17" s="32"/>
      <x:c r="HP17" s="32"/>
      <x:c r="HQ17" s="32"/>
      <x:c r="HR17" s="32"/>
      <x:c r="HS17" s="32"/>
      <x:c r="HT17" s="32"/>
      <x:c r="HU17" s="32"/>
      <x:c r="HV17" s="32"/>
      <x:c r="HW17" s="32"/>
      <x:c r="HX17" s="32"/>
      <x:c r="HY17" s="32"/>
      <x:c r="VW17" s="32"/>
      <x:c r="VX17" s="32"/>
      <x:c r="VY17" s="32"/>
      <x:c r="VZ17" s="32"/>
      <x:c r="WA17" s="32"/>
      <x:c r="WB17" s="32"/>
      <x:c r="WC17" s="32"/>
      <x:c r="WD17" s="32"/>
      <x:c r="WE17" s="32"/>
      <x:c r="WF17" s="32"/>
      <x:c r="WG17" s="32"/>
      <x:c r="WH17" s="32"/>
      <x:c r="WI17" s="32"/>
      <x:c r="WJ17" s="32"/>
      <x:c r="WK17" s="32"/>
      <x:c r="WL17" s="32"/>
      <x:c r="WM17" s="32"/>
      <x:c r="WN17" s="32"/>
      <x:c r="WO17" s="32"/>
      <x:c r="WP17" s="32"/>
      <x:c r="WQ17" s="32"/>
      <x:c r="WR17" s="32"/>
      <x:c r="WS17" s="32"/>
      <x:c r="WT17" s="32"/>
      <x:c r="WU17" s="32"/>
      <x:c r="WV17" s="32"/>
      <x:c r="WW17" s="32"/>
      <x:c r="WX17" s="32"/>
      <x:c r="WY17" s="32"/>
      <x:c r="WZ17" s="32"/>
      <x:c r="XA17" s="32"/>
      <x:c r="XB17" s="32"/>
      <x:c r="XC17" s="32"/>
      <x:c r="XD17" s="32"/>
    </x:row>
    <x:row r="18">
      <x:c r="A18" s="32" t="str">
        <x:v>013ab1e8-bc67-48af-92c2-44098a440a66</x:v>
      </x:c>
      <x:c r="B18" s="32" t="str">
        <x:v>B-010</x:v>
      </x:c>
      <x:c r="C18" s="42" t="n">
        <x:v>46259.79849537037</x:v>
      </x:c>
      <x:c r="D18" s="32" t="str">
        <x:v>489b7424f5051f7a276dafe8d5f318ccf1368d87</x:v>
      </x:c>
      <x:c r="E18" s="32" t="str">
        <x:v>GLONBW11</x:v>
      </x:c>
      <x:c r="F18" s="32" t="str">
        <x:v>local-filesystem</x:v>
      </x:c>
      <x:c r="G18" s="32" t="str">
        <x:v>3.14.2</x:v>
      </x:c>
      <x:c r="H18" s="32" t="str">
        <x:v>deterministic</x:v>
      </x:c>
      <x:c r="I18" s="32" t="n">
        <x:v>1000</x:v>
      </x:c>
      <x:c r="J18" s="32" t="n">
        <x:v>10</x:v>
      </x:c>
      <x:c r="K18" s="32" t="n">
        <x:v>10.0677096</x:v>
      </x:c>
      <x:c r="L18" s="32" t="n">
        <x:v>121</x:v>
      </x:c>
      <x:c r="M18" s="32" t="n">
        <x:v>5</x:v>
      </x:c>
      <x:c r="N18" s="32" t="n">
        <x:v>10</x:v>
      </x:c>
      <x:c r="O18" s="32" t="n">
        <x:v>3141.7221509982483</x:v>
      </x:c>
      <x:c r="P18" s="32" t="n">
        <x:v>3796.3347690019873</x:v>
      </x:c>
      <x:c r="Q18" s="32" t="n">
        <x:v>3999.5934671991563</x:v>
      </x:c>
      <x:c r="R18" s="32" t="n">
        <x:v>4465.373349001311</x:v>
      </x:c>
      <x:c r="S18" s="32" t="n">
        <x:v>0</x:v>
      </x:c>
      <x:c r="T18" s="43" t="n">
        <x:v>0</x:v>
      </x:c>
      <x:c r="U18" s="32" t="n">
        <x:v>99.46154522414015</x:v>
      </x:c>
      <x:c r="V18" s="32" t="n">
        <x:v>99.99689898859454</x:v>
      </x:c>
      <x:c r="W18" s="32" t="n">
        <x:v>178.271048553719</x:v>
      </x:c>
      <x:c r="X18" s="32" t="n">
        <x:v>179.765625</x:v>
      </x:c>
      <x:c r="Y18" s="32"/>
      <x:c r="Z18" s="32"/>
      <x:c r="AA18" s="32"/>
      <x:c r="AB18" s="32"/>
      <x:c r="AC18" s="32" t="n">
        <x:v>0</x:v>
      </x:c>
      <x:c r="AD18" s="32" t="n">
        <x:v>0</x:v>
      </x:c>
      <x:c r="AE18" s="32" t="n">
        <x:v>0</x:v>
      </x:c>
      <x:c r="AF18" s="32"/>
      <x:c r="AG18" s="32"/>
      <x:c r="AH18" s="32" t="n">
        <x:v>407.98311999969883</x:v>
      </x:c>
      <x:c r="AI18" s="32" t="str">
        <x:v>PASS</x:v>
      </x:c>
      <x:c r="AJ18" s="32" t="str">
        <x:v>GREEN</x:v>
      </x:c>
      <x:c r="AK18" s="32" t="str">
        <x:v>latest-historical</x:v>
      </x:c>
      <x:c r="AL18" s="32" t="n">
        <x:v>1</x:v>
      </x:c>
      <x:c r="AM18" s="32" t="n">
        <x:v>2</x:v>
      </x:c>
      <x:c r="AN18" s="32" t="n">
        <x:v>4000</x:v>
      </x:c>
      <x:c r="AO18" s="32" t="n">
        <x:v>1081</x:v>
      </x:c>
      <x:c r="AP18" s="32" t="n">
        <x:v>25936904</x:v>
      </x:c>
      <x:c r="AQ18" s="32" t="n">
        <x:v>9.144100000412436</x:v>
      </x:c>
      <x:c r="AR18" s="32" t="n">
        <x:v>10.801136999361916</x:v>
      </x:c>
      <x:c r="AS18" s="32" t="n">
        <x:v>14.170088397804642</x:v>
      </x:c>
      <x:c r="AT18" s="32" t="n">
        <x:v>36</x:v>
      </x:c>
      <x:c r="AU18" s="32" t="str">
        <x:v>Latest: 28×28 + 8×27 / Historical: 12×84 + 24×83</x:v>
      </x:c>
      <x:c r="AV18" s="32" t="n">
        <x:v>0.7525460023316555</x:v>
      </x:c>
      <x:c r="AW18" s="32" t="n">
        <x:v>0.9243810018233489</x:v>
      </x:c>
      <x:c r="AX18" s="32" t="n">
        <x:v>1.0689966038626153</x:v>
      </x:c>
      <x:c r="AY18" s="32" t="str">
        <x:v>balanced</x:v>
      </x:c>
      <x:c r="AZ18" s="32" t="str">
        <x:v>PASS</x:v>
      </x:c>
      <x:c r="BA18" s="32" t="n">
        <x:v>1000</x:v>
      </x:c>
      <x:c r="BB18" s="32" t="n">
        <x:v>0</x:v>
      </x:c>
      <x:c r="BC18" s="115" t="b">
        <x:v>1</x:v>
      </x:c>
      <x:c r="BD18" s="32" t="str">
        <x:v>Raw PASS; journal durable==materialized; snapshot observed/expected 1000/1000; 3 durable commits; 0 resource pressure events.</x:v>
      </x:c>
      <x:c r="BE18" s="32" t="n">
        <x:v>3</x:v>
      </x:c>
      <x:c r="BF18" s="32" t="n">
        <x:v>180</x:v>
      </x:c>
      <x:c r="BG18" s="32" t="n">
        <x:v>10</x:v>
      </x:c>
      <x:c r="BH18" s="32" t="n">
        <x:v>1080</x:v>
      </x:c>
      <x:c r="BI18" s="32" t="n">
        <x:v>3240000</x:v>
      </x:c>
      <x:c r="BJ18" s="32" t="n">
        <x:v>3241000</x:v>
      </x:c>
      <x:c r="BK18" s="32" t="n">
        <x:v>1000</x:v>
      </x:c>
      <x:c r="BL18" s="32" t="n">
        <x:v>3000</x:v>
      </x:c>
      <x:c r="BM18" s="32" t="n">
        <x:v>1080</x:v>
      </x:c>
      <x:c r="BN18" s="32"/>
      <x:c r="BO18" s="32"/>
      <x:c r="BP18" s="32"/>
      <x:c r="BQ18" s="32"/>
      <x:c r="BR18" s="32"/>
      <x:c r="BS18" s="32"/>
      <x:c r="BT18" s="32"/>
      <x:c r="BU18" s="32"/>
      <x:c r="BV18" s="32"/>
      <x:c r="BW18" s="32"/>
      <x:c r="BX18" s="32"/>
      <x:c r="BY18" s="32"/>
      <x:c r="BZ18" s="32"/>
      <x:c r="CA18" s="32"/>
      <x:c r="CB18" s="32"/>
      <x:c r="CC18" s="32"/>
      <x:c r="CD18" s="32"/>
      <x:c r="CE18" s="32"/>
      <x:c r="CF18" s="32"/>
      <x:c r="CG18" s="32"/>
      <x:c r="CH18" s="32"/>
      <x:c r="CI18" s="32"/>
      <x:c r="CJ18" s="32"/>
      <x:c r="CK18" s="32"/>
      <x:c r="CL18" s="32"/>
      <x:c r="CM18" s="32"/>
      <x:c r="CN18" s="32"/>
      <x:c r="CO18" s="32"/>
      <x:c r="CP18" s="32"/>
      <x:c r="CQ18" s="32"/>
      <x:c r="CR18" s="32"/>
      <x:c r="CS18" s="32"/>
      <x:c r="CT18" s="32"/>
      <x:c r="CU18" s="32"/>
      <x:c r="CV18" s="32"/>
      <x:c r="CW18" s="32"/>
      <x:c r="CX18" s="32"/>
      <x:c r="CY18" s="32"/>
      <x:c r="CZ18" s="32"/>
      <x:c r="DA18" s="32"/>
      <x:c r="DB18" s="32"/>
      <x:c r="DC18" s="32"/>
      <x:c r="DD18" s="32"/>
      <x:c r="DE18" s="32"/>
      <x:c r="DF18" s="32"/>
      <x:c r="DG18" s="32"/>
      <x:c r="DH18" s="32"/>
      <x:c r="DI18" s="32"/>
      <x:c r="DJ18" s="32"/>
      <x:c r="DK18" s="32"/>
      <x:c r="DL18" s="32"/>
      <x:c r="DM18" s="32"/>
      <x:c r="DN18" s="32"/>
      <x:c r="DO18" s="32"/>
      <x:c r="DP18" s="32"/>
      <x:c r="DQ18" s="32"/>
      <x:c r="DR18" s="32"/>
      <x:c r="DS18" s="32"/>
      <x:c r="DT18" s="32"/>
      <x:c r="DU18" s="32"/>
      <x:c r="DV18" s="32"/>
      <x:c r="DW18" s="32"/>
      <x:c r="DX18" s="32"/>
      <x:c r="DY18" s="32"/>
      <x:c r="DZ18" s="32"/>
      <x:c r="EA18" s="32"/>
      <x:c r="EB18" s="32"/>
      <x:c r="EC18" s="32"/>
      <x:c r="ED18" s="32"/>
      <x:c r="EE18" s="32"/>
      <x:c r="EF18" s="32"/>
      <x:c r="EG18" s="32"/>
      <x:c r="EH18" s="32"/>
      <x:c r="EI18" s="32"/>
      <x:c r="EJ18" s="32"/>
      <x:c r="EK18" s="32"/>
      <x:c r="EL18" s="32"/>
      <x:c r="EM18" s="32"/>
      <x:c r="EN18" s="32"/>
      <x:c r="EO18" s="32"/>
      <x:c r="EP18" s="32"/>
      <x:c r="EQ18" s="32"/>
      <x:c r="ER18" s="32"/>
      <x:c r="ES18" s="32"/>
      <x:c r="ET18" s="32"/>
      <x:c r="EU18" s="32"/>
      <x:c r="EV18" s="32"/>
      <x:c r="EW18" s="32"/>
      <x:c r="EX18" s="32"/>
      <x:c r="EY18" s="32"/>
      <x:c r="EZ18" s="32"/>
      <x:c r="FA18" s="32"/>
      <x:c r="FB18" s="32"/>
      <x:c r="FC18" s="32"/>
      <x:c r="FD18" s="32"/>
      <x:c r="FE18" s="32"/>
      <x:c r="FF18" s="32"/>
      <x:c r="FG18" s="32"/>
      <x:c r="FH18" s="32"/>
      <x:c r="FI18" s="32"/>
      <x:c r="FJ18" s="32"/>
      <x:c r="FK18" s="32"/>
      <x:c r="FL18" s="32"/>
      <x:c r="FM18" s="32"/>
      <x:c r="FN18" s="32"/>
      <x:c r="FO18" s="32"/>
      <x:c r="FP18" s="32"/>
      <x:c r="FQ18" s="32"/>
      <x:c r="FR18" s="32"/>
      <x:c r="FS18" s="32"/>
      <x:c r="FT18" s="32"/>
      <x:c r="FU18" s="32"/>
      <x:c r="FV18" s="32"/>
      <x:c r="FW18" s="32"/>
      <x:c r="FX18" s="32"/>
      <x:c r="FY18" s="32"/>
      <x:c r="FZ18" s="32"/>
      <x:c r="GA18" s="32"/>
      <x:c r="GB18" s="32"/>
      <x:c r="GC18" s="32"/>
      <x:c r="GD18" s="32"/>
      <x:c r="GE18" s="32"/>
      <x:c r="GF18" s="32"/>
      <x:c r="GG18" s="32"/>
      <x:c r="GH18" s="32"/>
      <x:c r="GI18" s="32"/>
      <x:c r="GJ18" s="32"/>
      <x:c r="GK18" s="32"/>
      <x:c r="GL18" s="32"/>
      <x:c r="GM18" s="32"/>
      <x:c r="GN18" s="32"/>
      <x:c r="GO18" s="32"/>
      <x:c r="GP18" s="32"/>
      <x:c r="GQ18" s="32"/>
      <x:c r="GR18" s="32"/>
      <x:c r="GS18" s="32"/>
      <x:c r="GT18" s="32"/>
      <x:c r="GU18" s="32"/>
      <x:c r="GV18" s="32"/>
      <x:c r="GW18" s="32"/>
      <x:c r="GX18" s="32"/>
      <x:c r="GY18" s="32"/>
      <x:c r="GZ18" s="32"/>
      <x:c r="HA18" s="32"/>
      <x:c r="HB18" s="32"/>
      <x:c r="HC18" s="32"/>
      <x:c r="HD18" s="32"/>
      <x:c r="HE18" s="32"/>
      <x:c r="HF18" s="32"/>
      <x:c r="HG18" s="32"/>
      <x:c r="HH18" s="32"/>
      <x:c r="HI18" s="32"/>
      <x:c r="HJ18" s="32"/>
      <x:c r="HK18" s="32"/>
      <x:c r="HL18" s="32"/>
      <x:c r="HM18" s="32"/>
      <x:c r="HN18" s="32"/>
      <x:c r="HO18" s="32"/>
      <x:c r="HP18" s="32"/>
      <x:c r="HQ18" s="32"/>
      <x:c r="HR18" s="32"/>
      <x:c r="HS18" s="32"/>
      <x:c r="HT18" s="32"/>
      <x:c r="HU18" s="32"/>
      <x:c r="HV18" s="32"/>
      <x:c r="HW18" s="32"/>
      <x:c r="HX18" s="32"/>
      <x:c r="HY18" s="32"/>
      <x:c r="VW18" s="32"/>
      <x:c r="VX18" s="32"/>
      <x:c r="VY18" s="32"/>
      <x:c r="VZ18" s="32"/>
      <x:c r="WA18" s="32"/>
      <x:c r="WB18" s="32"/>
      <x:c r="WC18" s="32"/>
      <x:c r="WD18" s="32"/>
      <x:c r="WE18" s="32"/>
      <x:c r="WF18" s="32"/>
      <x:c r="WG18" s="32"/>
      <x:c r="WH18" s="32"/>
      <x:c r="WI18" s="32"/>
      <x:c r="WJ18" s="32"/>
      <x:c r="WK18" s="32"/>
      <x:c r="WL18" s="32"/>
      <x:c r="WM18" s="32"/>
      <x:c r="WN18" s="32"/>
      <x:c r="WO18" s="32"/>
      <x:c r="WP18" s="32"/>
      <x:c r="WQ18" s="32"/>
      <x:c r="WR18" s="32"/>
      <x:c r="WS18" s="32"/>
      <x:c r="WT18" s="32"/>
      <x:c r="WU18" s="32"/>
      <x:c r="WV18" s="32"/>
      <x:c r="WW18" s="32"/>
      <x:c r="WX18" s="32"/>
      <x:c r="WY18" s="32"/>
      <x:c r="WZ18" s="32"/>
      <x:c r="XA18" s="32"/>
      <x:c r="XB18" s="32"/>
      <x:c r="XC18" s="32"/>
      <x:c r="XD18" s="32"/>
    </x:row>
    <x:row r="19">
      <x:c r="A19" s="32" t="str">
        <x:v>46865e37-d816-4710-8215-9c567a0edd2e</x:v>
      </x:c>
      <x:c r="B19" s="32" t="str">
        <x:v>B-011</x:v>
      </x:c>
      <x:c r="C19" s="42" t="n">
        <x:v>46259.8090625</x:v>
      </x:c>
      <x:c r="D19" s="32" t="str">
        <x:v>489b7424f5051f7a276dafe8d5f318ccf1368d87</x:v>
      </x:c>
      <x:c r="E19" s="32" t="str">
        <x:v>GLONBW11</x:v>
      </x:c>
      <x:c r="F19" s="32" t="str">
        <x:v>local-filesystem</x:v>
      </x:c>
      <x:c r="G19" s="32" t="str">
        <x:v>3.14.2</x:v>
      </x:c>
      <x:c r="H19" s="32" t="str">
        <x:v>deterministic</x:v>
      </x:c>
      <x:c r="I19" s="32" t="n">
        <x:v>1000</x:v>
      </x:c>
      <x:c r="J19" s="32" t="n">
        <x:v>10</x:v>
      </x:c>
      <x:c r="K19" s="32" t="n">
        <x:v>10.086324</x:v>
      </x:c>
      <x:c r="L19" s="32" t="n">
        <x:v>121</x:v>
      </x:c>
      <x:c r="M19" s="32" t="n">
        <x:v>5</x:v>
      </x:c>
      <x:c r="N19" s="32" t="n">
        <x:v>10</x:v>
      </x:c>
      <x:c r="O19" s="32" t="n">
        <x:v>3185.627838000073</x:v>
      </x:c>
      <x:c r="P19" s="32" t="n">
        <x:v>3814.4916070014006</x:v>
      </x:c>
      <x:c r="Q19" s="32" t="n">
        <x:v>4033.2132215989986</x:v>
      </x:c>
      <x:c r="R19" s="32" t="n">
        <x:v>5636.61798999965</x:v>
      </x:c>
      <x:c r="S19" s="32" t="n">
        <x:v>1</x:v>
      </x:c>
      <x:c r="T19" s="43" t="n">
        <x:v>0.008264462809917356</x:v>
      </x:c>
      <x:c r="U19" s="32" t="n">
        <x:v>99.553215014123</x:v>
      </x:c>
      <x:c r="V19" s="32" t="n">
        <x:v>100.17706770898329</x:v>
      </x:c>
      <x:c r="W19" s="32" t="n">
        <x:v>193.35600142045453</x:v>
      </x:c>
      <x:c r="X19" s="32" t="n">
        <x:v>197.48828125</x:v>
      </x:c>
      <x:c r="Y19" s="32"/>
      <x:c r="Z19" s="32"/>
      <x:c r="AA19" s="32"/>
      <x:c r="AB19" s="32"/>
      <x:c r="AC19" s="32" t="n">
        <x:v>0</x:v>
      </x:c>
      <x:c r="AD19" s="32" t="n">
        <x:v>0</x:v>
      </x:c>
      <x:c r="AE19" s="32" t="n">
        <x:v>0</x:v>
      </x:c>
      <x:c r="AF19" s="32"/>
      <x:c r="AG19" s="32"/>
      <x:c r="AH19" s="32" t="n">
        <x:v>490.2902380017622</x:v>
      </x:c>
      <x:c r="AI19" s="32" t="str">
        <x:v>PASS-WITH-FINDINGS</x:v>
      </x:c>
      <x:c r="AJ19" s="32" t="str">
        <x:v>GREEN</x:v>
      </x:c>
      <x:c r="AK19" s="32" t="str">
        <x:v>latest-historical</x:v>
      </x:c>
      <x:c r="AL19" s="32" t="n">
        <x:v>1</x:v>
      </x:c>
      <x:c r="AM19" s="32" t="n">
        <x:v>2</x:v>
      </x:c>
      <x:c r="AN19" s="32" t="n">
        <x:v>7000</x:v>
      </x:c>
      <x:c r="AO19" s="32" t="n">
        <x:v>1081</x:v>
      </x:c>
      <x:c r="AP19" s="32" t="n">
        <x:v>51856904</x:v>
      </x:c>
      <x:c r="AQ19" s="32" t="n">
        <x:v>11.321050998958526</x:v>
      </x:c>
      <x:c r="AR19" s="32" t="n">
        <x:v>12.670534000790212</x:v>
      </x:c>
      <x:c r="AS19" s="32" t="n">
        <x:v>21.717288802028623</x:v>
      </x:c>
      <x:c r="AT19" s="32" t="n">
        <x:v>36</x:v>
      </x:c>
      <x:c r="AU19" s="32" t="str">
        <x:v>Latest: 28×28 + 8×27 / Historical: 24×167 + 12×166</x:v>
      </x:c>
      <x:c r="AV19" s="32" t="n">
        <x:v>0.712333003320964</x:v>
      </x:c>
      <x:c r="AW19" s="32" t="n">
        <x:v>0.8636550010123756</x:v>
      </x:c>
      <x:c r="AX19" s="32" t="n">
        <x:v>1.2384057983581431</x:v>
      </x:c>
      <x:c r="AY19" s="32" t="str">
        <x:v>balanced</x:v>
      </x:c>
      <x:c r="AZ19" s="32" t="str">
        <x:v>PASS</x:v>
      </x:c>
      <x:c r="BA19" s="32" t="n">
        <x:v>1000</x:v>
      </x:c>
      <x:c r="BB19" s="32" t="n">
        <x:v>0</x:v>
      </x:c>
      <x:c r="BC19" s="115" t="b">
        <x:v>1</x:v>
      </x:c>
      <x:c r="BD19" s="32" t="str">
        <x:v>Raw PASS and integrity clean. One timing overrun at iteration 72 (5636.62 ms) triggered the pre-agreed adaptive regression rule; journal durable==materialized; snapshot 1000/1000.</x:v>
      </x:c>
      <x:c r="BE19" s="32" t="n">
        <x:v>6</x:v>
      </x:c>
      <x:c r="BF19" s="32" t="n">
        <x:v>180</x:v>
      </x:c>
      <x:c r="BG19" s="32" t="n">
        <x:v>10</x:v>
      </x:c>
      <x:c r="BH19" s="32" t="n">
        <x:v>1080</x:v>
      </x:c>
      <x:c r="BI19" s="32" t="n">
        <x:v>6480000</x:v>
      </x:c>
      <x:c r="BJ19" s="32" t="n">
        <x:v>6481000</x:v>
      </x:c>
      <x:c r="BK19" s="32" t="n">
        <x:v>1000</x:v>
      </x:c>
      <x:c r="BL19" s="32" t="n">
        <x:v>6000</x:v>
      </x:c>
      <x:c r="BM19" s="32" t="n">
        <x:v>1080</x:v>
      </x:c>
      <x:c r="BN19" s="32"/>
      <x:c r="BO19" s="32"/>
      <x:c r="BP19" s="32"/>
      <x:c r="BQ19" s="32"/>
      <x:c r="BR19" s="32"/>
      <x:c r="BS19" s="32"/>
      <x:c r="BT19" s="32"/>
      <x:c r="BU19" s="32"/>
      <x:c r="BV19" s="32"/>
      <x:c r="BW19" s="32"/>
      <x:c r="BX19" s="32"/>
      <x:c r="BY19" s="32"/>
      <x:c r="BZ19" s="32"/>
      <x:c r="CA19" s="32"/>
      <x:c r="CB19" s="32"/>
      <x:c r="CC19" s="32"/>
      <x:c r="CD19" s="32"/>
      <x:c r="CE19" s="32"/>
      <x:c r="CF19" s="32"/>
      <x:c r="CG19" s="32"/>
      <x:c r="CH19" s="32"/>
      <x:c r="CI19" s="32"/>
      <x:c r="CJ19" s="32"/>
      <x:c r="CK19" s="32"/>
      <x:c r="CL19" s="32"/>
      <x:c r="CM19" s="32"/>
      <x:c r="CN19" s="32"/>
      <x:c r="CO19" s="32"/>
      <x:c r="CP19" s="32"/>
      <x:c r="CQ19" s="32"/>
      <x:c r="CR19" s="32"/>
      <x:c r="CS19" s="32"/>
      <x:c r="CT19" s="32"/>
      <x:c r="CU19" s="32"/>
      <x:c r="CV19" s="32"/>
      <x:c r="CW19" s="32"/>
      <x:c r="CX19" s="32"/>
      <x:c r="CY19" s="32"/>
      <x:c r="CZ19" s="32"/>
      <x:c r="DA19" s="32"/>
      <x:c r="DB19" s="32"/>
      <x:c r="DC19" s="32"/>
      <x:c r="DD19" s="32"/>
      <x:c r="DE19" s="32"/>
      <x:c r="DF19" s="32"/>
      <x:c r="DG19" s="32"/>
      <x:c r="DH19" s="32"/>
      <x:c r="DI19" s="32"/>
      <x:c r="DJ19" s="32"/>
      <x:c r="DK19" s="32"/>
      <x:c r="DL19" s="32"/>
      <x:c r="DM19" s="32"/>
      <x:c r="DN19" s="32"/>
      <x:c r="DO19" s="32"/>
      <x:c r="DP19" s="32"/>
      <x:c r="DQ19" s="32"/>
      <x:c r="DR19" s="32"/>
      <x:c r="DS19" s="32"/>
      <x:c r="DT19" s="32"/>
      <x:c r="DU19" s="32"/>
      <x:c r="DV19" s="32"/>
      <x:c r="DW19" s="32"/>
      <x:c r="DX19" s="32"/>
      <x:c r="DY19" s="32"/>
      <x:c r="DZ19" s="32"/>
      <x:c r="EA19" s="32"/>
      <x:c r="EB19" s="32"/>
      <x:c r="EC19" s="32"/>
      <x:c r="ED19" s="32"/>
      <x:c r="EE19" s="32"/>
      <x:c r="EF19" s="32"/>
      <x:c r="EG19" s="32"/>
      <x:c r="EH19" s="32"/>
      <x:c r="EI19" s="32"/>
      <x:c r="EJ19" s="32"/>
      <x:c r="EK19" s="32"/>
      <x:c r="EL19" s="32"/>
      <x:c r="EM19" s="32"/>
      <x:c r="EN19" s="32"/>
      <x:c r="EO19" s="32"/>
      <x:c r="EP19" s="32"/>
      <x:c r="EQ19" s="32"/>
      <x:c r="ER19" s="32"/>
      <x:c r="ES19" s="32"/>
      <x:c r="ET19" s="32"/>
      <x:c r="EU19" s="32"/>
      <x:c r="EV19" s="32"/>
      <x:c r="EW19" s="32"/>
      <x:c r="EX19" s="32"/>
      <x:c r="EY19" s="32"/>
      <x:c r="EZ19" s="32"/>
      <x:c r="FA19" s="32"/>
      <x:c r="FB19" s="32"/>
      <x:c r="FC19" s="32"/>
      <x:c r="FD19" s="32"/>
      <x:c r="FE19" s="32"/>
      <x:c r="FF19" s="32"/>
      <x:c r="FG19" s="32"/>
      <x:c r="FH19" s="32"/>
      <x:c r="FI19" s="32"/>
      <x:c r="FJ19" s="32"/>
      <x:c r="FK19" s="32"/>
      <x:c r="FL19" s="32"/>
      <x:c r="FM19" s="32"/>
      <x:c r="FN19" s="32"/>
      <x:c r="FO19" s="32"/>
      <x:c r="FP19" s="32"/>
      <x:c r="FQ19" s="32"/>
      <x:c r="FR19" s="32"/>
      <x:c r="FS19" s="32"/>
      <x:c r="FT19" s="32"/>
      <x:c r="FU19" s="32"/>
      <x:c r="FV19" s="32"/>
      <x:c r="FW19" s="32"/>
      <x:c r="FX19" s="32"/>
      <x:c r="FY19" s="32"/>
      <x:c r="FZ19" s="32"/>
      <x:c r="GA19" s="32"/>
      <x:c r="GB19" s="32"/>
      <x:c r="GC19" s="32"/>
      <x:c r="GD19" s="32"/>
      <x:c r="GE19" s="32"/>
      <x:c r="GF19" s="32"/>
      <x:c r="GG19" s="32"/>
      <x:c r="GH19" s="32"/>
      <x:c r="GI19" s="32"/>
      <x:c r="GJ19" s="32"/>
      <x:c r="GK19" s="32"/>
      <x:c r="GL19" s="32"/>
      <x:c r="GM19" s="32"/>
      <x:c r="GN19" s="32"/>
      <x:c r="GO19" s="32"/>
      <x:c r="GP19" s="32"/>
      <x:c r="GQ19" s="32"/>
      <x:c r="GR19" s="32"/>
      <x:c r="GS19" s="32"/>
      <x:c r="GT19" s="32"/>
      <x:c r="GU19" s="32"/>
      <x:c r="GV19" s="32"/>
      <x:c r="GW19" s="32"/>
      <x:c r="GX19" s="32"/>
      <x:c r="GY19" s="32"/>
      <x:c r="GZ19" s="32"/>
      <x:c r="HA19" s="32"/>
      <x:c r="HB19" s="32"/>
      <x:c r="HC19" s="32"/>
      <x:c r="HD19" s="32"/>
      <x:c r="HE19" s="32"/>
      <x:c r="HF19" s="32"/>
      <x:c r="HG19" s="32"/>
      <x:c r="HH19" s="32"/>
      <x:c r="HI19" s="32"/>
      <x:c r="HJ19" s="32"/>
      <x:c r="HK19" s="32"/>
      <x:c r="HL19" s="32"/>
      <x:c r="HM19" s="32"/>
      <x:c r="HN19" s="32"/>
      <x:c r="HO19" s="32"/>
      <x:c r="HP19" s="32"/>
      <x:c r="HQ19" s="32"/>
      <x:c r="HR19" s="32"/>
      <x:c r="HS19" s="32"/>
      <x:c r="HT19" s="32"/>
      <x:c r="HU19" s="32"/>
      <x:c r="HV19" s="32"/>
      <x:c r="HW19" s="32"/>
      <x:c r="HX19" s="32"/>
      <x:c r="HY19" s="32"/>
      <x:c r="VW19" s="32"/>
      <x:c r="VX19" s="32"/>
      <x:c r="VY19" s="32"/>
      <x:c r="VZ19" s="32"/>
      <x:c r="WA19" s="32"/>
      <x:c r="WB19" s="32"/>
      <x:c r="WC19" s="32"/>
      <x:c r="WD19" s="32"/>
      <x:c r="WE19" s="32"/>
      <x:c r="WF19" s="32"/>
      <x:c r="WG19" s="32"/>
      <x:c r="WH19" s="32"/>
      <x:c r="WI19" s="32"/>
      <x:c r="WJ19" s="32"/>
      <x:c r="WK19" s="32"/>
      <x:c r="WL19" s="32"/>
      <x:c r="WM19" s="32"/>
      <x:c r="WN19" s="32"/>
      <x:c r="WO19" s="32"/>
      <x:c r="WP19" s="32"/>
      <x:c r="WQ19" s="32"/>
      <x:c r="WR19" s="32"/>
      <x:c r="WS19" s="32"/>
      <x:c r="WT19" s="32"/>
      <x:c r="WU19" s="32"/>
      <x:c r="WV19" s="32"/>
      <x:c r="WW19" s="32"/>
      <x:c r="WX19" s="32"/>
      <x:c r="WY19" s="32"/>
      <x:c r="WZ19" s="32"/>
      <x:c r="XA19" s="32"/>
      <x:c r="XB19" s="32"/>
      <x:c r="XC19" s="32"/>
      <x:c r="XD19" s="32"/>
    </x:row>
    <x:row r="20">
      <x:c r="A20" s="32" t="str">
        <x:v>ff67b804-d996-487a-93c7-766070fee7ec</x:v>
      </x:c>
      <x:c r="B20" s="32" t="str">
        <x:v>B-011-R1</x:v>
      </x:c>
      <x:c r="C20" s="42" t="n">
        <x:v>46259.82061342592</x:v>
      </x:c>
      <x:c r="D20" s="32" t="str">
        <x:v>489b7424f5051f7a276dafe8d5f318ccf1368d87</x:v>
      </x:c>
      <x:c r="E20" s="32" t="str">
        <x:v>GLONBW11</x:v>
      </x:c>
      <x:c r="F20" s="32" t="str">
        <x:v>local-filesystem</x:v>
      </x:c>
      <x:c r="G20" s="32" t="str">
        <x:v>3.14.2</x:v>
      </x:c>
      <x:c r="H20" s="32" t="str">
        <x:v>deterministic</x:v>
      </x:c>
      <x:c r="I20" s="32" t="n">
        <x:v>1000</x:v>
      </x:c>
      <x:c r="J20" s="32" t="n">
        <x:v>10</x:v>
      </x:c>
      <x:c r="K20" s="32" t="n">
        <x:v>10.070203566666667</x:v>
      </x:c>
      <x:c r="L20" s="32" t="n">
        <x:v>121</x:v>
      </x:c>
      <x:c r="M20" s="32" t="n">
        <x:v>5</x:v>
      </x:c>
      <x:c r="N20" s="32" t="n">
        <x:v>10</x:v>
      </x:c>
      <x:c r="O20" s="32" t="n">
        <x:v>3076.5154030013946</x:v>
      </x:c>
      <x:c r="P20" s="32" t="n">
        <x:v>3467.220237998845</x:v>
      </x:c>
      <x:c r="Q20" s="32" t="n">
        <x:v>4269.629101601457</x:v>
      </x:c>
      <x:c r="R20" s="32" t="n">
        <x:v>4921.435602998827</x:v>
      </x:c>
      <x:c r="S20" s="32" t="n">
        <x:v>0</x:v>
      </x:c>
      <x:c r="T20" s="43" t="n">
        <x:v>0</x:v>
      </x:c>
      <x:c r="U20" s="32" t="n">
        <x:v>99.49334050628323</x:v>
      </x:c>
      <x:c r="V20" s="32" t="n">
        <x:v>100.25011076244299</x:v>
      </x:c>
      <x:c r="W20" s="32" t="n">
        <x:v>176.69791128615702</x:v>
      </x:c>
      <x:c r="X20" s="32" t="n">
        <x:v>180.16015625</x:v>
      </x:c>
      <x:c r="Y20" s="32"/>
      <x:c r="Z20" s="32"/>
      <x:c r="AA20" s="32"/>
      <x:c r="AB20" s="32"/>
      <x:c r="AC20" s="32" t="n">
        <x:v>0</x:v>
      </x:c>
      <x:c r="AD20" s="32" t="n">
        <x:v>0</x:v>
      </x:c>
      <x:c r="AE20" s="32" t="n">
        <x:v>0</x:v>
      </x:c>
      <x:c r="AF20" s="32"/>
      <x:c r="AG20" s="32"/>
      <x:c r="AH20" s="32" t="n">
        <x:v>429.75233199831564</x:v>
      </x:c>
      <x:c r="AI20" s="32" t="str">
        <x:v>PASS</x:v>
      </x:c>
      <x:c r="AJ20" s="32" t="str">
        <x:v>GREEN</x:v>
      </x:c>
      <x:c r="AK20" s="32" t="str">
        <x:v>latest-historical</x:v>
      </x:c>
      <x:c r="AL20" s="32" t="n">
        <x:v>1</x:v>
      </x:c>
      <x:c r="AM20" s="32" t="n">
        <x:v>2</x:v>
      </x:c>
      <x:c r="AN20" s="32" t="n">
        <x:v>5000</x:v>
      </x:c>
      <x:c r="AO20" s="32" t="n">
        <x:v>1081</x:v>
      </x:c>
      <x:c r="AP20" s="32" t="n">
        <x:v>34576904</x:v>
      </x:c>
      <x:c r="AQ20" s="32" t="n">
        <x:v>9.794887999305502</x:v>
      </x:c>
      <x:c r="AR20" s="32" t="n">
        <x:v>11.741795999114402</x:v>
      </x:c>
      <x:c r="AS20" s="32" t="n">
        <x:v>18.752869799936878</x:v>
      </x:c>
      <x:c r="AT20" s="32" t="n">
        <x:v>36</x:v>
      </x:c>
      <x:c r="AU20" s="32" t="str">
        <x:v>Latest: 28×28 + 8×27 / Historical: 4×112 + 32×111</x:v>
      </x:c>
      <x:c r="AV20" s="32" t="n">
        <x:v>0.7220070001494605</x:v>
      </x:c>
      <x:c r="AW20" s="32" t="n">
        <x:v>0.8572499973524828</x:v>
      </x:c>
      <x:c r="AX20" s="32" t="n">
        <x:v>1.2167050001153255</x:v>
      </x:c>
      <x:c r="AY20" s="32" t="str">
        <x:v>balanced</x:v>
      </x:c>
      <x:c r="AZ20" s="32" t="str">
        <x:v>PASS</x:v>
      </x:c>
      <x:c r="BA20" s="32" t="n">
        <x:v>1000</x:v>
      </x:c>
      <x:c r="BB20" s="32" t="n">
        <x:v>0</x:v>
      </x:c>
      <x:c r="BC20" s="115" t="b">
        <x:v>1</x:v>
      </x:c>
      <x:c r="BD20" s="32" t="str">
        <x:v>Raw PASS; 0 overruns; journal durable==materialized; snapshot observed/expected 1000/1000; 3 durable commits; no resource pressure events. The 4-series regression is clean.</x:v>
      </x:c>
      <x:c r="BE20" s="32" t="n">
        <x:v>4</x:v>
      </x:c>
      <x:c r="BF20" s="32" t="n">
        <x:v>180</x:v>
      </x:c>
      <x:c r="BG20" s="32" t="n">
        <x:v>10</x:v>
      </x:c>
      <x:c r="BH20" s="32" t="n">
        <x:v>1080</x:v>
      </x:c>
      <x:c r="BI20" s="32" t="n">
        <x:v>4320000</x:v>
      </x:c>
      <x:c r="BJ20" s="32" t="n">
        <x:v>4321000</x:v>
      </x:c>
      <x:c r="BK20" s="32" t="n">
        <x:v>1000</x:v>
      </x:c>
      <x:c r="BL20" s="32" t="n">
        <x:v>4000</x:v>
      </x:c>
      <x:c r="BM20" s="32" t="n">
        <x:v>1080</x:v>
      </x:c>
      <x:c r="BN20" s="32"/>
      <x:c r="BO20" s="32"/>
      <x:c r="BP20" s="32"/>
      <x:c r="BQ20" s="32"/>
      <x:c r="BR20" s="32"/>
      <x:c r="BS20" s="32"/>
      <x:c r="BT20" s="32"/>
      <x:c r="BU20" s="32"/>
      <x:c r="BV20" s="32"/>
      <x:c r="BW20" s="32"/>
      <x:c r="BX20" s="32"/>
      <x:c r="BY20" s="32"/>
      <x:c r="BZ20" s="32"/>
      <x:c r="CA20" s="32"/>
      <x:c r="CB20" s="32"/>
      <x:c r="CC20" s="32"/>
      <x:c r="CD20" s="32"/>
      <x:c r="CE20" s="32"/>
      <x:c r="CF20" s="32"/>
      <x:c r="CG20" s="32"/>
      <x:c r="CH20" s="32"/>
      <x:c r="CI20" s="32"/>
      <x:c r="CJ20" s="32"/>
      <x:c r="CK20" s="32"/>
      <x:c r="CL20" s="32"/>
      <x:c r="CM20" s="32"/>
      <x:c r="CN20" s="32"/>
      <x:c r="CO20" s="32"/>
      <x:c r="CP20" s="32"/>
      <x:c r="CQ20" s="32"/>
      <x:c r="CR20" s="32"/>
      <x:c r="CS20" s="32"/>
      <x:c r="CT20" s="32"/>
      <x:c r="CU20" s="32"/>
      <x:c r="CV20" s="32"/>
      <x:c r="CW20" s="32"/>
      <x:c r="CX20" s="32"/>
      <x:c r="CY20" s="32"/>
      <x:c r="CZ20" s="32"/>
      <x:c r="DA20" s="32"/>
      <x:c r="DB20" s="32"/>
      <x:c r="DC20" s="32"/>
      <x:c r="DD20" s="32"/>
      <x:c r="DE20" s="32"/>
      <x:c r="DF20" s="32"/>
      <x:c r="DG20" s="32"/>
      <x:c r="DH20" s="32"/>
      <x:c r="DI20" s="32"/>
      <x:c r="DJ20" s="32"/>
      <x:c r="DK20" s="32"/>
      <x:c r="DL20" s="32"/>
      <x:c r="DM20" s="32"/>
      <x:c r="DN20" s="32"/>
      <x:c r="DO20" s="32"/>
      <x:c r="DP20" s="32"/>
      <x:c r="DQ20" s="32"/>
      <x:c r="DR20" s="32"/>
      <x:c r="DS20" s="32"/>
      <x:c r="DT20" s="32"/>
      <x:c r="DU20" s="32"/>
      <x:c r="DV20" s="32"/>
      <x:c r="DW20" s="32"/>
      <x:c r="DX20" s="32"/>
      <x:c r="DY20" s="32"/>
      <x:c r="DZ20" s="32"/>
      <x:c r="EA20" s="32"/>
      <x:c r="EB20" s="32"/>
      <x:c r="EC20" s="32"/>
      <x:c r="ED20" s="32"/>
      <x:c r="EE20" s="32"/>
      <x:c r="EF20" s="32"/>
      <x:c r="EG20" s="32"/>
      <x:c r="EH20" s="32"/>
      <x:c r="EI20" s="32"/>
      <x:c r="EJ20" s="32"/>
      <x:c r="EK20" s="32"/>
      <x:c r="EL20" s="32"/>
      <x:c r="EM20" s="32"/>
      <x:c r="EN20" s="32"/>
      <x:c r="EO20" s="32"/>
      <x:c r="EP20" s="32"/>
      <x:c r="EQ20" s="32"/>
      <x:c r="ER20" s="32"/>
      <x:c r="ES20" s="32"/>
      <x:c r="ET20" s="32"/>
      <x:c r="EU20" s="32"/>
      <x:c r="EV20" s="32"/>
      <x:c r="EW20" s="32"/>
      <x:c r="EX20" s="32"/>
      <x:c r="EY20" s="32"/>
      <x:c r="EZ20" s="32"/>
      <x:c r="FA20" s="32"/>
      <x:c r="FB20" s="32"/>
      <x:c r="FC20" s="32"/>
      <x:c r="FD20" s="32"/>
      <x:c r="FE20" s="32"/>
      <x:c r="FF20" s="32"/>
      <x:c r="FG20" s="32"/>
      <x:c r="FH20" s="32"/>
      <x:c r="FI20" s="32"/>
      <x:c r="FJ20" s="32"/>
      <x:c r="FK20" s="32"/>
      <x:c r="FL20" s="32"/>
      <x:c r="FM20" s="32"/>
      <x:c r="FN20" s="32"/>
      <x:c r="FO20" s="32"/>
      <x:c r="FP20" s="32"/>
      <x:c r="FQ20" s="32"/>
      <x:c r="FR20" s="32"/>
      <x:c r="FS20" s="32"/>
      <x:c r="FT20" s="32"/>
      <x:c r="FU20" s="32"/>
      <x:c r="FV20" s="32"/>
      <x:c r="FW20" s="32"/>
      <x:c r="FX20" s="32"/>
      <x:c r="FY20" s="32"/>
      <x:c r="FZ20" s="32"/>
      <x:c r="GA20" s="32"/>
      <x:c r="GB20" s="32"/>
      <x:c r="GC20" s="32"/>
      <x:c r="GD20" s="32"/>
      <x:c r="GE20" s="32"/>
      <x:c r="GF20" s="32"/>
      <x:c r="GG20" s="32"/>
      <x:c r="GH20" s="32"/>
      <x:c r="GI20" s="32"/>
      <x:c r="GJ20" s="32"/>
      <x:c r="GK20" s="32"/>
      <x:c r="GL20" s="32"/>
      <x:c r="GM20" s="32"/>
      <x:c r="GN20" s="32"/>
      <x:c r="GO20" s="32"/>
      <x:c r="GP20" s="32"/>
      <x:c r="GQ20" s="32"/>
      <x:c r="GR20" s="32"/>
      <x:c r="GS20" s="32"/>
      <x:c r="GT20" s="32"/>
      <x:c r="GU20" s="32"/>
      <x:c r="GV20" s="32"/>
      <x:c r="GW20" s="32"/>
      <x:c r="GX20" s="32"/>
      <x:c r="GY20" s="32"/>
      <x:c r="GZ20" s="32"/>
      <x:c r="HA20" s="32"/>
      <x:c r="HB20" s="32"/>
      <x:c r="HC20" s="32"/>
      <x:c r="HD20" s="32"/>
      <x:c r="HE20" s="32"/>
      <x:c r="HF20" s="32"/>
      <x:c r="HG20" s="32"/>
      <x:c r="HH20" s="32"/>
      <x:c r="HI20" s="32"/>
      <x:c r="HJ20" s="32"/>
      <x:c r="HK20" s="32"/>
      <x:c r="HL20" s="32"/>
      <x:c r="HM20" s="32"/>
      <x:c r="HN20" s="32"/>
      <x:c r="HO20" s="32"/>
      <x:c r="HP20" s="32"/>
      <x:c r="HQ20" s="32"/>
      <x:c r="HR20" s="32"/>
      <x:c r="HS20" s="32"/>
      <x:c r="HT20" s="32"/>
      <x:c r="HU20" s="32"/>
      <x:c r="HV20" s="32"/>
      <x:c r="HW20" s="32"/>
      <x:c r="HX20" s="32"/>
      <x:c r="HY20" s="32"/>
      <x:c r="VW20" s="32"/>
      <x:c r="VX20" s="32"/>
      <x:c r="VY20" s="32"/>
      <x:c r="VZ20" s="32"/>
      <x:c r="WA20" s="32"/>
      <x:c r="WB20" s="32"/>
      <x:c r="WC20" s="32"/>
      <x:c r="WD20" s="32"/>
      <x:c r="WE20" s="32"/>
      <x:c r="WF20" s="32"/>
      <x:c r="WG20" s="32"/>
      <x:c r="WH20" s="32"/>
      <x:c r="WI20" s="32"/>
      <x:c r="WJ20" s="32"/>
      <x:c r="WK20" s="32"/>
      <x:c r="WL20" s="32"/>
      <x:c r="WM20" s="32"/>
      <x:c r="WN20" s="32"/>
      <x:c r="WO20" s="32"/>
      <x:c r="WP20" s="32"/>
      <x:c r="WQ20" s="32"/>
      <x:c r="WR20" s="32"/>
      <x:c r="WS20" s="32"/>
      <x:c r="WT20" s="32"/>
      <x:c r="WU20" s="32"/>
      <x:c r="WV20" s="32"/>
      <x:c r="WW20" s="32"/>
      <x:c r="WX20" s="32"/>
      <x:c r="WY20" s="32"/>
      <x:c r="WZ20" s="32"/>
      <x:c r="XA20" s="32"/>
      <x:c r="XB20" s="32"/>
      <x:c r="XC20" s="32"/>
      <x:c r="XD20" s="32"/>
    </x:row>
    <x:row r="21">
      <x:c r="A21" s="32" t="str">
        <x:v>d0375b0c-7cd0-4082-8b7e-aef300c8c392</x:v>
      </x:c>
      <x:c r="B21" s="32" t="str">
        <x:v>B-011-R2</x:v>
      </x:c>
      <x:c r="C21" s="42" t="n">
        <x:v>46259.83627314815</x:v>
      </x:c>
      <x:c r="D21" s="32" t="str">
        <x:v>489b7424f5051f7a276dafe8d5f318ccf1368d87</x:v>
      </x:c>
      <x:c r="E21" s="32" t="str">
        <x:v>GLONBW11</x:v>
      </x:c>
      <x:c r="F21" s="32" t="str">
        <x:v>local-filesystem</x:v>
      </x:c>
      <x:c r="G21" s="32" t="str">
        <x:v>3.14.2</x:v>
      </x:c>
      <x:c r="H21" s="32" t="str">
        <x:v>deterministic</x:v>
      </x:c>
      <x:c r="I21" s="32" t="n">
        <x:v>1000</x:v>
      </x:c>
      <x:c r="J21" s="32" t="n">
        <x:v>10</x:v>
      </x:c>
      <x:c r="K21" s="32" t="n">
        <x:v>10.068313216666667</x:v>
      </x:c>
      <x:c r="L21" s="32" t="n">
        <x:v>121</x:v>
      </x:c>
      <x:c r="M21" s="32" t="n">
        <x:v>5</x:v>
      </x:c>
      <x:c r="N21" s="32" t="n">
        <x:v>10</x:v>
      </x:c>
      <x:c r="O21" s="32" t="n">
        <x:v>3260.7563929996104</x:v>
      </x:c>
      <x:c r="P21" s="32" t="n">
        <x:v>4139.162118000968</x:v>
      </x:c>
      <x:c r="Q21" s="32" t="n">
        <x:v>4865.3839519982275</x:v>
      </x:c>
      <x:c r="R21" s="32" t="n">
        <x:v>4969.753776000289</x:v>
      </x:c>
      <x:c r="S21" s="32" t="n">
        <x:v>0</x:v>
      </x:c>
      <x:c r="T21" s="43" t="n">
        <x:v>0</x:v>
      </x:c>
      <x:c r="U21" s="32" t="n">
        <x:v>99.5544649383149</x:v>
      </x:c>
      <x:c r="V21" s="32" t="n">
        <x:v>100.58889897650414</x:v>
      </x:c>
      <x:c r="W21" s="32" t="n">
        <x:v>195.38158574380165</x:v>
      </x:c>
      <x:c r="X21" s="32" t="n">
        <x:v>198.3359375</x:v>
      </x:c>
      <x:c r="Y21" s="32"/>
      <x:c r="Z21" s="32"/>
      <x:c r="AA21" s="32"/>
      <x:c r="AB21" s="32"/>
      <x:c r="AC21" s="32" t="n">
        <x:v>0</x:v>
      </x:c>
      <x:c r="AD21" s="32" t="n">
        <x:v>0</x:v>
      </x:c>
      <x:c r="AE21" s="32" t="n">
        <x:v>0</x:v>
      </x:c>
      <x:c r="AF21" s="32"/>
      <x:c r="AG21" s="32"/>
      <x:c r="AH21" s="32" t="n">
        <x:v>411.661025002104</x:v>
      </x:c>
      <x:c r="AI21" s="32" t="str">
        <x:v>PASS</x:v>
      </x:c>
      <x:c r="AJ21" s="32" t="str">
        <x:v>GREEN</x:v>
      </x:c>
      <x:c r="AK21" s="32" t="str">
        <x:v>latest-historical</x:v>
      </x:c>
      <x:c r="AL21" s="32" t="n">
        <x:v>1</x:v>
      </x:c>
      <x:c r="AM21" s="32" t="n">
        <x:v>2</x:v>
      </x:c>
      <x:c r="AN21" s="32" t="n">
        <x:v>7000</x:v>
      </x:c>
      <x:c r="AO21" s="32" t="n">
        <x:v>1081</x:v>
      </x:c>
      <x:c r="AP21" s="32" t="n">
        <x:v>51856904</x:v>
      </x:c>
      <x:c r="AQ21" s="32" t="n">
        <x:v>11.17911700202967</x:v>
      </x:c>
      <x:c r="AR21" s="32" t="n">
        <x:v>13.82596400071634</x:v>
      </x:c>
      <x:c r="AS21" s="32" t="n">
        <x:v>21.842322399606918</x:v>
      </x:c>
      <x:c r="AT21" s="32" t="n">
        <x:v>36</x:v>
      </x:c>
      <x:c r="AU21" s="32" t="str">
        <x:v>Latest: 28×28 + 8×27 / Historical: 24×167 + 12×166</x:v>
      </x:c>
      <x:c r="AV21" s="32" t="n">
        <x:v>0.7139890039979946</x:v>
      </x:c>
      <x:c r="AW21" s="32" t="n">
        <x:v>0.9098509981413372</x:v>
      </x:c>
      <x:c r="AX21" s="32" t="n">
        <x:v>1.2882192007964475</x:v>
      </x:c>
      <x:c r="AY21" s="32" t="str">
        <x:v>balanced</x:v>
      </x:c>
      <x:c r="AZ21" s="32" t="str">
        <x:v>PASS</x:v>
      </x:c>
      <x:c r="BA21" s="32" t="n">
        <x:v>1000</x:v>
      </x:c>
      <x:c r="BB21" s="32" t="n">
        <x:v>0</x:v>
      </x:c>
      <x:c r="BC21" s="115" t="b">
        <x:v>1</x:v>
      </x:c>
      <x:c r="BD21" s="32" t="str">
        <x:v>Exact B-011 reproduction PASS; 0 overruns; no iteration &gt;=5 s; start-to-start max 5002.21 ms; journal durable==materialized; snapshot 1000/1000; 3 durable commits; resource_pressure_events=0. Original isolated B-011 overrun was not reproduced.</x:v>
      </x:c>
      <x:c r="BE21" s="32" t="n">
        <x:v>6</x:v>
      </x:c>
      <x:c r="BF21" s="32" t="n">
        <x:v>180</x:v>
      </x:c>
      <x:c r="BG21" s="32" t="n">
        <x:v>10</x:v>
      </x:c>
      <x:c r="BH21" s="32" t="n">
        <x:v>1080</x:v>
      </x:c>
      <x:c r="BI21" s="32" t="n">
        <x:v>6480000</x:v>
      </x:c>
      <x:c r="BJ21" s="32" t="n">
        <x:v>6481000</x:v>
      </x:c>
      <x:c r="BK21" s="32" t="n">
        <x:v>1000</x:v>
      </x:c>
      <x:c r="BL21" s="32" t="n">
        <x:v>6000</x:v>
      </x:c>
      <x:c r="BM21" s="32" t="n">
        <x:v>1080</x:v>
      </x:c>
      <x:c r="BN21" s="32"/>
      <x:c r="BO21" s="32"/>
      <x:c r="BP21" s="32"/>
      <x:c r="BQ21" s="32"/>
      <x:c r="BR21" s="32"/>
      <x:c r="BS21" s="32"/>
      <x:c r="BT21" s="32"/>
      <x:c r="BU21" s="32"/>
      <x:c r="BV21" s="32"/>
      <x:c r="BW21" s="32"/>
      <x:c r="BX21" s="32"/>
      <x:c r="BY21" s="32"/>
      <x:c r="BZ21" s="32"/>
      <x:c r="CA21" s="32"/>
      <x:c r="CB21" s="32"/>
      <x:c r="CC21" s="32"/>
      <x:c r="CD21" s="32"/>
      <x:c r="CE21" s="32"/>
      <x:c r="CF21" s="32"/>
      <x:c r="CG21" s="32"/>
      <x:c r="CH21" s="32"/>
      <x:c r="CI21" s="32"/>
      <x:c r="CJ21" s="32"/>
      <x:c r="CK21" s="32"/>
      <x:c r="CL21" s="32"/>
      <x:c r="CM21" s="32"/>
      <x:c r="CN21" s="32"/>
      <x:c r="CO21" s="32"/>
      <x:c r="CP21" s="32"/>
      <x:c r="CQ21" s="32"/>
      <x:c r="CR21" s="32"/>
      <x:c r="CS21" s="32"/>
      <x:c r="CT21" s="32"/>
      <x:c r="CU21" s="32"/>
      <x:c r="CV21" s="32"/>
      <x:c r="CW21" s="32"/>
      <x:c r="CX21" s="32"/>
      <x:c r="CY21" s="32"/>
      <x:c r="CZ21" s="32"/>
      <x:c r="DA21" s="32"/>
      <x:c r="DB21" s="32"/>
      <x:c r="DC21" s="32"/>
      <x:c r="DD21" s="32"/>
      <x:c r="DE21" s="32"/>
      <x:c r="DF21" s="32"/>
      <x:c r="DG21" s="32"/>
      <x:c r="DH21" s="32"/>
      <x:c r="DI21" s="32"/>
      <x:c r="DJ21" s="32"/>
      <x:c r="DK21" s="32"/>
      <x:c r="DL21" s="32"/>
      <x:c r="DM21" s="32"/>
      <x:c r="DN21" s="32"/>
      <x:c r="DO21" s="32"/>
      <x:c r="DP21" s="32"/>
      <x:c r="DQ21" s="32"/>
      <x:c r="DR21" s="32"/>
      <x:c r="DS21" s="32"/>
      <x:c r="DT21" s="32"/>
      <x:c r="DU21" s="32"/>
      <x:c r="DV21" s="32"/>
      <x:c r="DW21" s="32"/>
      <x:c r="DX21" s="32"/>
      <x:c r="DY21" s="32"/>
      <x:c r="DZ21" s="32"/>
      <x:c r="EA21" s="32"/>
      <x:c r="EB21" s="32"/>
      <x:c r="EC21" s="32"/>
      <x:c r="ED21" s="32"/>
      <x:c r="EE21" s="32"/>
      <x:c r="EF21" s="32"/>
      <x:c r="EG21" s="32"/>
      <x:c r="EH21" s="32"/>
      <x:c r="EI21" s="32"/>
      <x:c r="EJ21" s="32"/>
      <x:c r="EK21" s="32"/>
      <x:c r="EL21" s="32"/>
      <x:c r="EM21" s="32"/>
      <x:c r="EN21" s="32"/>
      <x:c r="EO21" s="32"/>
      <x:c r="EP21" s="32"/>
      <x:c r="EQ21" s="32"/>
      <x:c r="ER21" s="32"/>
      <x:c r="ES21" s="32"/>
      <x:c r="ET21" s="32"/>
      <x:c r="EU21" s="32"/>
      <x:c r="EV21" s="32"/>
      <x:c r="EW21" s="32"/>
      <x:c r="EX21" s="32"/>
      <x:c r="EY21" s="32"/>
      <x:c r="EZ21" s="32"/>
      <x:c r="FA21" s="32"/>
      <x:c r="FB21" s="32"/>
      <x:c r="FC21" s="32"/>
      <x:c r="FD21" s="32"/>
      <x:c r="FE21" s="32"/>
      <x:c r="FF21" s="32"/>
      <x:c r="FG21" s="32"/>
      <x:c r="FH21" s="32"/>
      <x:c r="FI21" s="32"/>
      <x:c r="FJ21" s="32"/>
      <x:c r="FK21" s="32"/>
      <x:c r="FL21" s="32"/>
      <x:c r="FM21" s="32"/>
      <x:c r="FN21" s="32"/>
      <x:c r="FO21" s="32"/>
      <x:c r="FP21" s="32"/>
      <x:c r="FQ21" s="32"/>
      <x:c r="FR21" s="32"/>
      <x:c r="FS21" s="32"/>
      <x:c r="FT21" s="32"/>
      <x:c r="FU21" s="32"/>
      <x:c r="FV21" s="32"/>
      <x:c r="FW21" s="32"/>
      <x:c r="FX21" s="32"/>
      <x:c r="FY21" s="32"/>
      <x:c r="FZ21" s="32"/>
      <x:c r="GA21" s="32"/>
      <x:c r="GB21" s="32"/>
      <x:c r="GC21" s="32"/>
      <x:c r="GD21" s="32"/>
      <x:c r="GE21" s="32"/>
      <x:c r="GF21" s="32"/>
      <x:c r="GG21" s="32"/>
      <x:c r="GH21" s="32"/>
      <x:c r="GI21" s="32"/>
      <x:c r="GJ21" s="32"/>
      <x:c r="GK21" s="32"/>
      <x:c r="GL21" s="32"/>
      <x:c r="GM21" s="32"/>
      <x:c r="GN21" s="32"/>
      <x:c r="GO21" s="32"/>
      <x:c r="GP21" s="32"/>
      <x:c r="GQ21" s="32"/>
      <x:c r="GR21" s="32"/>
      <x:c r="GS21" s="32"/>
      <x:c r="GT21" s="32"/>
      <x:c r="GU21" s="32"/>
      <x:c r="GV21" s="32"/>
      <x:c r="GW21" s="32"/>
      <x:c r="GX21" s="32"/>
      <x:c r="GY21" s="32"/>
      <x:c r="GZ21" s="32"/>
      <x:c r="HA21" s="32"/>
      <x:c r="HB21" s="32"/>
      <x:c r="HC21" s="32"/>
      <x:c r="HD21" s="32"/>
      <x:c r="HE21" s="32"/>
      <x:c r="HF21" s="32"/>
      <x:c r="HG21" s="32"/>
      <x:c r="HH21" s="32"/>
      <x:c r="HI21" s="32"/>
      <x:c r="HJ21" s="32"/>
      <x:c r="HK21" s="32"/>
      <x:c r="HL21" s="32"/>
      <x:c r="HM21" s="32"/>
      <x:c r="HN21" s="32"/>
      <x:c r="HO21" s="32"/>
      <x:c r="HP21" s="32"/>
      <x:c r="HQ21" s="32"/>
      <x:c r="HR21" s="32"/>
      <x:c r="HS21" s="32"/>
      <x:c r="HT21" s="32"/>
      <x:c r="HU21" s="32"/>
      <x:c r="HV21" s="32"/>
      <x:c r="HW21" s="32"/>
      <x:c r="HX21" s="32"/>
      <x:c r="HY21" s="32"/>
      <x:c r="VW21" s="32"/>
      <x:c r="VX21" s="32"/>
      <x:c r="VY21" s="32"/>
      <x:c r="VZ21" s="32"/>
      <x:c r="WA21" s="32"/>
      <x:c r="WB21" s="32"/>
      <x:c r="WC21" s="32"/>
      <x:c r="WD21" s="32"/>
      <x:c r="WE21" s="32"/>
      <x:c r="WF21" s="32"/>
      <x:c r="WG21" s="32"/>
      <x:c r="WH21" s="32"/>
      <x:c r="WI21" s="32"/>
      <x:c r="WJ21" s="32"/>
      <x:c r="WK21" s="32"/>
      <x:c r="WL21" s="32"/>
      <x:c r="WM21" s="32"/>
      <x:c r="WN21" s="32"/>
      <x:c r="WO21" s="32"/>
      <x:c r="WP21" s="32"/>
      <x:c r="WQ21" s="32"/>
      <x:c r="WR21" s="32"/>
      <x:c r="WS21" s="32"/>
      <x:c r="WT21" s="32"/>
      <x:c r="WU21" s="32"/>
      <x:c r="WV21" s="32"/>
      <x:c r="WW21" s="32"/>
      <x:c r="WX21" s="32"/>
      <x:c r="WY21" s="32"/>
      <x:c r="WZ21" s="32"/>
      <x:c r="XA21" s="32"/>
      <x:c r="XB21" s="32"/>
      <x:c r="XC21" s="32"/>
      <x:c r="XD21" s="32"/>
    </x:row>
    <x:row r="22">
      <x:c r="A22" s="32" t="str">
        <x:v>950633d5-157a-4d94-9b5b-a1cf48c4914b</x:v>
      </x:c>
      <x:c r="B22" s="32" t="str">
        <x:v>C-001</x:v>
      </x:c>
      <x:c r="C22" s="42" t="n">
        <x:v>46259.88398148148</x:v>
      </x:c>
      <x:c r="D22" s="32" t="str">
        <x:v>489b7424f5051f7a276dafe8d5f318ccf1368d87</x:v>
      </x:c>
      <x:c r="E22" s="32" t="str">
        <x:v>GLONBW11</x:v>
      </x:c>
      <x:c r="F22" s="32" t="str">
        <x:v>local-filesystem</x:v>
      </x:c>
      <x:c r="G22" s="32" t="str">
        <x:v>3.14.2</x:v>
      </x:c>
      <x:c r="H22" s="32" t="str">
        <x:v>deterministic</x:v>
      </x:c>
      <x:c r="I22" s="32" t="n">
        <x:v>1000</x:v>
      </x:c>
      <x:c r="J22" s="32" t="n">
        <x:v>10</x:v>
      </x:c>
      <x:c r="K22" s="32" t="n">
        <x:v>10.038534316666667</x:v>
      </x:c>
      <x:c r="L22" s="32" t="n">
        <x:v>121</x:v>
      </x:c>
      <x:c r="M22" s="32" t="n">
        <x:v>5</x:v>
      </x:c>
      <x:c r="N22" s="32" t="n">
        <x:v>10</x:v>
      </x:c>
      <x:c r="O22" s="32" t="n">
        <x:v>1009.884859995509</x:v>
      </x:c>
      <x:c r="P22" s="32" t="n">
        <x:v>1237.5873399942066</x:v>
      </x:c>
      <x:c r="Q22" s="32" t="n">
        <x:v>1565.7915012037847</x:v>
      </x:c>
      <x:c r="R22" s="32" t="n">
        <x:v>1597.7153240019106</x:v>
      </x:c>
      <x:c r="S22" s="32" t="n">
        <x:v>0</x:v>
      </x:c>
      <x:c r="T22" s="43" t="n">
        <x:v>0</x:v>
      </x:c>
      <x:c r="U22" s="32" t="n">
        <x:v>94.01959568306425</x:v>
      </x:c>
      <x:c r="V22" s="32" t="n">
        <x:v>99.85726633585483</x:v>
      </x:c>
      <x:c r="W22" s="32" t="n">
        <x:v>132.8514979338843</x:v>
      </x:c>
      <x:c r="X22" s="32" t="n">
        <x:v>133.12109375</x:v>
      </x:c>
      <x:c r="Y22" s="32"/>
      <x:c r="Z22" s="32"/>
      <x:c r="AA22" s="32"/>
      <x:c r="AB22" s="32"/>
      <x:c r="AC22" s="32" t="n">
        <x:v>0</x:v>
      </x:c>
      <x:c r="AD22" s="32" t="n">
        <x:v>0</x:v>
      </x:c>
      <x:c r="AE22" s="32" t="n">
        <x:v>0</x:v>
      </x:c>
      <x:c r="AF22" s="32"/>
      <x:c r="AG22" s="32"/>
      <x:c r="AH22" s="32" t="n">
        <x:v>1104.9793269994552</x:v>
      </x:c>
      <x:c r="AI22" s="32" t="str">
        <x:v>PASS</x:v>
      </x:c>
      <x:c r="AJ22" s="32" t="str">
        <x:v>GREEN</x:v>
      </x:c>
      <x:c r="AK22" s="32" t="str">
        <x:v>latest-narrow</x:v>
      </x:c>
      <x:c r="AL22" s="32" t="n">
        <x:v>1</x:v>
      </x:c>
      <x:c r="AM22" s="32" t="n">
        <x:v>1</x:v>
      </x:c>
      <x:c r="AN22" s="32" t="n">
        <x:v>1000</x:v>
      </x:c>
      <x:c r="AO22" s="32" t="n">
        <x:v>1</x:v>
      </x:c>
      <x:c r="AP22" s="32" t="n">
        <x:v>8132</x:v>
      </x:c>
      <x:c r="AQ22" s="32" t="n">
        <x:v>8.640901993203443</x:v>
      </x:c>
      <x:c r="AR22" s="32" t="n">
        <x:v>10.664496003300883</x:v>
      </x:c>
      <x:c r="AS22" s="32" t="n">
        <x:v>11.491267599922137</x:v>
      </x:c>
      <x:c r="AT22" s="32" t="n">
        <x:v>36</x:v>
      </x:c>
      <x:c r="AU22" s="32" t="str">
        <x:v>28×28 + 8×27</x:v>
      </x:c>
      <x:c r="AV22" s="32" t="n">
        <x:v>0.3478149956208654</x:v>
      </x:c>
      <x:c r="AW22" s="32" t="n">
        <x:v>0.4540899972198531</x:v>
      </x:c>
      <x:c r="AX22" s="32" t="n">
        <x:v>0.77690840116702</x:v>
      </x:c>
      <x:c r="AY22" s="32" t="str">
        <x:v>balanced</x:v>
      </x:c>
      <x:c r="AZ22" s="32" t="str">
        <x:v>PASS</x:v>
      </x:c>
      <x:c r="BA22" s="32" t="n">
        <x:v>500</x:v>
      </x:c>
      <x:c r="BB22" s="32" t="n">
        <x:v>500</x:v>
      </x:c>
      <x:c r="BC22" s="115" t="b">
        <x:v>1</x:v>
      </x:c>
      <x:c r="BD22" s="32" t="str">
        <x:v>Raw PASS; functional_integrity_ok=true; 700/700 lifecycle commits; 0 duplicate lifecycle commits; occurrence/episode counters exact; journal durable==materialized; final snapshots 100 groups × 5 ACTIVE; WAL bytes=10,253,900.</x:v>
      </x:c>
      <x:c r="BE22" s="32" t="n">
        <x:v>0</x:v>
      </x:c>
      <x:c r="BF22" s="32" t="n">
        <x:v>0</x:v>
      </x:c>
      <x:c r="BG22" s="32" t="n">
        <x:v>0</x:v>
      </x:c>
      <x:c r="BH22" s="32" t="n">
        <x:v>0</x:v>
      </x:c>
      <x:c r="BI22" s="32" t="n">
        <x:v>0</x:v>
      </x:c>
      <x:c r="BJ22" s="32" t="n">
        <x:v>1000</x:v>
      </x:c>
      <x:c r="BK22" s="32" t="n">
        <x:v>1000</x:v>
      </x:c>
      <x:c r="BL22" s="32" t="n">
        <x:v>0</x:v>
      </x:c>
      <x:c r="BM22" s="32" t="n">
        <x:v>0</x:v>
      </x:c>
      <x:c r="BN22" s="32" t="n">
        <x:v>100</x:v>
      </x:c>
      <x:c r="BO22" s="32" t="n">
        <x:v>10</x:v>
      </x:c>
      <x:c r="BP22" s="32" t="n">
        <x:v>10</x:v>
      </x:c>
      <x:c r="BQ22" s="32" t="n">
        <x:v>50</x:v>
      </x:c>
      <x:c r="BR22" s="32" t="n">
        <x:v>60</x:v>
      </x:c>
      <x:c r="BS22" s="32" t="n">
        <x:v>6000</x:v>
      </x:c>
      <x:c r="BT22" s="32" t="n">
        <x:v>700</x:v>
      </x:c>
      <x:c r="BU22" s="32" t="n">
        <x:v>700</x:v>
      </x:c>
      <x:c r="BV22" s="32" t="n">
        <x:v>0</x:v>
      </x:c>
      <x:c r="BW22" s="32" t="n">
        <x:v>3500</x:v>
      </x:c>
      <x:c r="BX22" s="32" t="n">
        <x:v>3500</x:v>
      </x:c>
      <x:c r="BY22" s="32" t="n">
        <x:v>3000</x:v>
      </x:c>
      <x:c r="BZ22" s="32" t="n">
        <x:v>3000</x:v>
      </x:c>
      <x:c r="CA22" s="32" t="n">
        <x:v>100</x:v>
      </x:c>
      <x:c r="CB22" s="32" t="n">
        <x:v>100</x:v>
      </x:c>
      <x:c r="CC22" s="32" t="n">
        <x:v>0</x:v>
      </x:c>
      <x:c r="CD22" s="32" t="n">
        <x:v>0</x:v>
      </x:c>
      <x:c r="CE22" s="32" t="n">
        <x:v>3500</x:v>
      </x:c>
      <x:c r="CF22" s="32" t="n">
        <x:v>10000</x:v>
      </x:c>
      <x:c r="CG22" s="32" t="n">
        <x:v>6500</x:v>
      </x:c>
      <x:c r="CH22" s="32" t="n">
        <x:v>0</x:v>
      </x:c>
      <x:c r="CI22" s="115" t="b">
        <x:v>1</x:v>
      </x:c>
      <x:c r="CJ22" s="32" t="n">
        <x:v>0</x:v>
      </x:c>
      <x:c r="CK22" s="32" t="n">
        <x:v>3500</x:v>
      </x:c>
      <x:c r="CL22" s="32" t="n">
        <x:v>0</x:v>
      </x:c>
      <x:c r="CM22" s="32" t="n">
        <x:v>0</x:v>
      </x:c>
      <x:c r="CN22" s="32" t="n">
        <x:v>0</x:v>
      </x:c>
      <x:c r="CO22" s="32" t="n">
        <x:v>0</x:v>
      </x:c>
      <x:c r="CP22" s="32" t="n">
        <x:v>0</x:v>
      </x:c>
      <x:c r="CQ22" s="32" t="n">
        <x:v>0</x:v>
      </x:c>
      <x:c r="CR22" s="32" t="n">
        <x:v>0</x:v>
      </x:c>
      <x:c r="CS22" s="32" t="n">
        <x:v>0</x:v>
      </x:c>
      <x:c r="CT22" s="32" t="n">
        <x:v>0</x:v>
      </x:c>
      <x:c r="CU22" s="32" t="n">
        <x:v>0</x:v>
      </x:c>
      <x:c r="CV22" s="32" t="n">
        <x:v>0</x:v>
      </x:c>
      <x:c r="CW22" s="32" t="n">
        <x:v>0</x:v>
      </x:c>
      <x:c r="CX22" s="32" t="n">
        <x:v>0</x:v>
      </x:c>
      <x:c r="CY22" s="32" t="n">
        <x:v>0</x:v>
      </x:c>
      <x:c r="CZ22" s="32" t="n">
        <x:v>0</x:v>
      </x:c>
      <x:c r="DA22" s="32" t="n">
        <x:v>0</x:v>
      </x:c>
      <x:c r="DB22" s="32" t="n">
        <x:v>0</x:v>
      </x:c>
      <x:c r="DC22" s="32" t="n">
        <x:v>0</x:v>
      </x:c>
      <x:c r="DD22" s="32" t="n">
        <x:v>0</x:v>
      </x:c>
      <x:c r="DE22" s="32" t="n">
        <x:v>0</x:v>
      </x:c>
      <x:c r="DF22" s="32" t="n">
        <x:v>0</x:v>
      </x:c>
      <x:c r="DG22" s="32" t="n">
        <x:v>0</x:v>
      </x:c>
      <x:c r="DH22" s="32"/>
      <x:c r="DI22" s="32"/>
      <x:c r="DJ22" s="32"/>
      <x:c r="DK22" s="32"/>
      <x:c r="DL22" s="32"/>
      <x:c r="DM22" s="32"/>
      <x:c r="DN22" s="32"/>
      <x:c r="DO22" s="32"/>
      <x:c r="DP22" s="32"/>
      <x:c r="DQ22" s="32"/>
      <x:c r="DR22" s="32"/>
      <x:c r="DS22" s="32"/>
      <x:c r="DT22" s="32"/>
      <x:c r="DU22" s="32"/>
      <x:c r="DV22" s="32"/>
      <x:c r="DW22" s="32"/>
      <x:c r="DX22" s="32"/>
      <x:c r="DY22" s="32"/>
      <x:c r="DZ22" s="32"/>
      <x:c r="EA22" s="32"/>
      <x:c r="EB22" s="32"/>
      <x:c r="EC22" s="32"/>
      <x:c r="ED22" s="32"/>
      <x:c r="EE22" s="32"/>
      <x:c r="EF22" s="32"/>
      <x:c r="EG22" s="32"/>
      <x:c r="EH22" s="32"/>
      <x:c r="EI22" s="32"/>
      <x:c r="EJ22" s="32"/>
      <x:c r="EK22" s="32"/>
      <x:c r="EL22" s="32"/>
      <x:c r="EM22" s="32"/>
      <x:c r="EN22" s="32"/>
      <x:c r="EO22" s="32"/>
      <x:c r="EP22" s="32"/>
      <x:c r="EQ22" s="32"/>
      <x:c r="ER22" s="32"/>
      <x:c r="ES22" s="32"/>
      <x:c r="ET22" s="32"/>
      <x:c r="EU22" s="32"/>
      <x:c r="EV22" s="32"/>
      <x:c r="EW22" s="32"/>
      <x:c r="EX22" s="32"/>
      <x:c r="EY22" s="32"/>
      <x:c r="EZ22" s="32"/>
      <x:c r="FA22" s="32"/>
      <x:c r="FB22" s="32"/>
      <x:c r="FC22" s="32"/>
      <x:c r="FD22" s="32"/>
      <x:c r="FE22" s="32"/>
      <x:c r="FF22" s="32"/>
      <x:c r="FG22" s="32"/>
      <x:c r="FH22" s="32"/>
      <x:c r="FI22" s="32"/>
      <x:c r="FJ22" s="32"/>
      <x:c r="FK22" s="32"/>
      <x:c r="FL22" s="32"/>
      <x:c r="FM22" s="32"/>
      <x:c r="FN22" s="32"/>
      <x:c r="FO22" s="32"/>
      <x:c r="FP22" s="32"/>
      <x:c r="FQ22" s="32"/>
      <x:c r="FR22" s="32"/>
      <x:c r="FS22" s="32"/>
      <x:c r="FT22" s="32"/>
      <x:c r="FU22" s="32"/>
      <x:c r="FV22" s="32"/>
      <x:c r="FW22" s="32"/>
      <x:c r="FX22" s="32"/>
      <x:c r="FY22" s="32"/>
      <x:c r="FZ22" s="32"/>
      <x:c r="GA22" s="32"/>
      <x:c r="GB22" s="32"/>
      <x:c r="GC22" s="32"/>
      <x:c r="GD22" s="32"/>
      <x:c r="GE22" s="32"/>
      <x:c r="GF22" s="32"/>
      <x:c r="GG22" s="32"/>
      <x:c r="GH22" s="32"/>
      <x:c r="GI22" s="32"/>
      <x:c r="GJ22" s="32"/>
      <x:c r="GK22" s="32"/>
      <x:c r="GL22" s="32"/>
      <x:c r="GM22" s="32"/>
      <x:c r="GN22" s="32"/>
      <x:c r="GO22" s="32"/>
      <x:c r="GP22" s="32"/>
      <x:c r="GQ22" s="32"/>
      <x:c r="GR22" s="32"/>
      <x:c r="GS22" s="32"/>
      <x:c r="GT22" s="32"/>
      <x:c r="GU22" s="32"/>
      <x:c r="GV22" s="32"/>
      <x:c r="GW22" s="32"/>
      <x:c r="GX22" s="32"/>
      <x:c r="GY22" s="32"/>
      <x:c r="GZ22" s="32"/>
      <x:c r="HA22" s="32"/>
      <x:c r="HB22" s="32"/>
      <x:c r="HC22" s="32"/>
      <x:c r="HD22" s="32"/>
      <x:c r="HE22" s="32"/>
      <x:c r="HF22" s="32"/>
      <x:c r="HG22" s="32"/>
      <x:c r="HH22" s="32"/>
      <x:c r="HI22" s="32"/>
      <x:c r="HJ22" s="32"/>
      <x:c r="HK22" s="32"/>
      <x:c r="HL22" s="32"/>
      <x:c r="HM22" s="32"/>
      <x:c r="HN22" s="32"/>
      <x:c r="HO22" s="32"/>
      <x:c r="HP22" s="32"/>
      <x:c r="HQ22" s="32"/>
      <x:c r="HR22" s="32"/>
      <x:c r="HS22" s="32"/>
      <x:c r="HT22" s="32"/>
      <x:c r="HU22" s="32"/>
      <x:c r="HV22" s="32"/>
      <x:c r="HW22" s="32"/>
      <x:c r="HX22" s="32"/>
      <x:c r="HY22" s="32"/>
      <x:c r="VW22" s="32"/>
      <x:c r="VX22" s="32"/>
      <x:c r="VY22" s="32"/>
      <x:c r="VZ22" s="32"/>
      <x:c r="WA22" s="32"/>
      <x:c r="WB22" s="32"/>
      <x:c r="WC22" s="32"/>
      <x:c r="WD22" s="32"/>
      <x:c r="WE22" s="32"/>
      <x:c r="WF22" s="32"/>
      <x:c r="WG22" s="32"/>
      <x:c r="WH22" s="32"/>
      <x:c r="WI22" s="32"/>
      <x:c r="WJ22" s="32"/>
      <x:c r="WK22" s="32"/>
      <x:c r="WL22" s="32"/>
      <x:c r="WM22" s="32"/>
      <x:c r="WN22" s="32"/>
      <x:c r="WO22" s="32"/>
      <x:c r="WP22" s="32"/>
      <x:c r="WQ22" s="32"/>
      <x:c r="WR22" s="32"/>
      <x:c r="WS22" s="32"/>
      <x:c r="WT22" s="32"/>
      <x:c r="WU22" s="32"/>
      <x:c r="WV22" s="32"/>
      <x:c r="WW22" s="32"/>
      <x:c r="WX22" s="32"/>
      <x:c r="WY22" s="32"/>
      <x:c r="WZ22" s="32"/>
      <x:c r="XA22" s="32"/>
      <x:c r="XB22" s="32"/>
      <x:c r="XC22" s="32"/>
      <x:c r="XD22" s="32"/>
    </x:row>
    <x:row r="23">
      <x:c r="A23" s="32" t="str">
        <x:v>23009c7e-3c7f-4c41-a045-cbfa1a648318</x:v>
      </x:c>
      <x:c r="B23" s="32" t="str">
        <x:v>C-002</x:v>
      </x:c>
      <x:c r="C23" s="42" t="n">
        <x:v>46259.909583333334</x:v>
      </x:c>
      <x:c r="D23" s="32" t="str">
        <x:v>489b7424f5051f7a276dafe8d5f318ccf1368d87</x:v>
      </x:c>
      <x:c r="E23" s="32" t="str">
        <x:v>GLONBW11</x:v>
      </x:c>
      <x:c r="F23" s="32" t="str">
        <x:v>local-filesystem</x:v>
      </x:c>
      <x:c r="G23" s="32" t="str">
        <x:v>3.14.2</x:v>
      </x:c>
      <x:c r="H23" s="32" t="str">
        <x:v>deterministic</x:v>
      </x:c>
      <x:c r="I23" s="32" t="n">
        <x:v>1000</x:v>
      </x:c>
      <x:c r="J23" s="32" t="n">
        <x:v>10</x:v>
      </x:c>
      <x:c r="K23" s="32" t="n">
        <x:v>10.039298883333334</x:v>
      </x:c>
      <x:c r="L23" s="32" t="n">
        <x:v>121</x:v>
      </x:c>
      <x:c r="M23" s="32" t="n">
        <x:v>5</x:v>
      </x:c>
      <x:c r="N23" s="32" t="n">
        <x:v>10</x:v>
      </x:c>
      <x:c r="O23" s="32" t="n">
        <x:v>1052.1387150001829</x:v>
      </x:c>
      <x:c r="P23" s="32" t="n">
        <x:v>1170.533610995335</x:v>
      </x:c>
      <x:c r="Q23" s="32" t="n">
        <x:v>1677.6212167998883</x:v>
      </x:c>
      <x:c r="R23" s="32" t="n">
        <x:v>1771.4492270024493</x:v>
      </x:c>
      <x:c r="S23" s="32" t="n">
        <x:v>0</x:v>
      </x:c>
      <x:c r="T23" s="43" t="n">
        <x:v>0</x:v>
      </x:c>
      <x:c r="U23" s="32" t="n">
        <x:v>94.27454141135841</x:v>
      </x:c>
      <x:c r="V23" s="32" t="n">
        <x:v>100.52733424762981</x:v>
      </x:c>
      <x:c r="W23" s="32" t="n">
        <x:v>136.10690534607437</x:v>
      </x:c>
      <x:c r="X23" s="32" t="n">
        <x:v>136.19921875</x:v>
      </x:c>
      <x:c r="Y23" s="32"/>
      <x:c r="Z23" s="32"/>
      <x:c r="AA23" s="32"/>
      <x:c r="AB23" s="32"/>
      <x:c r="AC23" s="32" t="n">
        <x:v>0</x:v>
      </x:c>
      <x:c r="AD23" s="32" t="n">
        <x:v>0</x:v>
      </x:c>
      <x:c r="AE23" s="32" t="n">
        <x:v>0</x:v>
      </x:c>
      <x:c r="AF23" s="32"/>
      <x:c r="AG23" s="32"/>
      <x:c r="AH23" s="32" t="n">
        <x:v>1156.1545850054245</x:v>
      </x:c>
      <x:c r="AI23" s="32" t="str">
        <x:v>PASS</x:v>
      </x:c>
      <x:c r="AJ23" s="32" t="str">
        <x:v>GREEN</x:v>
      </x:c>
      <x:c r="AK23" s="32" t="str">
        <x:v>latest-narrow</x:v>
      </x:c>
      <x:c r="AL23" s="32" t="n">
        <x:v>1</x:v>
      </x:c>
      <x:c r="AM23" s="32" t="n">
        <x:v>1</x:v>
      </x:c>
      <x:c r="AN23" s="32" t="n">
        <x:v>1000</x:v>
      </x:c>
      <x:c r="AO23" s="32" t="n">
        <x:v>1</x:v>
      </x:c>
      <x:c r="AP23" s="32" t="n">
        <x:v>8132</x:v>
      </x:c>
      <x:c r="AQ23" s="32" t="n">
        <x:v>8.473030000459403</x:v>
      </x:c>
      <x:c r="AR23" s="32" t="n">
        <x:v>11.766153998905793</x:v>
      </x:c>
      <x:c r="AS23" s="32" t="n">
        <x:v>16.96318120229989</x:v>
      </x:c>
      <x:c r="AT23" s="32" t="n">
        <x:v>36</x:v>
      </x:c>
      <x:c r="AU23" s="32" t="str">
        <x:v>28×28 + 8×27</x:v>
      </x:c>
      <x:c r="AV23" s="32" t="n">
        <x:v>0.3415020037209615</x:v>
      </x:c>
      <x:c r="AW23" s="32" t="n">
        <x:v>0.5052109991083853</x:v>
      </x:c>
      <x:c r="AX23" s="32" t="n">
        <x:v>0.7383650023257359</x:v>
      </x:c>
      <x:c r="AY23" s="32" t="str">
        <x:v>balanced</x:v>
      </x:c>
      <x:c r="AZ23" s="32" t="str">
        <x:v>PASS</x:v>
      </x:c>
      <x:c r="BA23" s="32" t="n">
        <x:v>1000</x:v>
      </x:c>
      <x:c r="BB23" s="32" t="n">
        <x:v>0</x:v>
      </x:c>
      <x:c r="BC23" s="115" t="b">
        <x:v>1</x:v>
      </x:c>
      <x:c r="BD23" s="32" t="str">
        <x:v>Raw PASS; functional_integrity_ok=true; 700/700 lifecycle commits; 3000/3000 TechnicalHold STARTED; 3000/3000 RECOVERED; 0 EXPIRED; 0 Occurrence/Episode closes; 0 occurrence identity mismatches; journal durable==materialized; final snapshots 1000 ACTIVE with no pending holds.</x:v>
      </x:c>
      <x:c r="BE23" s="32" t="n">
        <x:v>0</x:v>
      </x:c>
      <x:c r="BF23" s="32" t="n">
        <x:v>0</x:v>
      </x:c>
      <x:c r="BG23" s="32" t="n">
        <x:v>0</x:v>
      </x:c>
      <x:c r="BH23" s="32" t="n">
        <x:v>0</x:v>
      </x:c>
      <x:c r="BI23" s="32" t="n">
        <x:v>0</x:v>
      </x:c>
      <x:c r="BJ23" s="32" t="n">
        <x:v>1000</x:v>
      </x:c>
      <x:c r="BK23" s="32" t="n">
        <x:v>1000</x:v>
      </x:c>
      <x:c r="BL23" s="32" t="n">
        <x:v>0</x:v>
      </x:c>
      <x:c r="BM23" s="32" t="n">
        <x:v>0</x:v>
      </x:c>
      <x:c r="BN23" s="32" t="n">
        <x:v>100</x:v>
      </x:c>
      <x:c r="BO23" s="32" t="n">
        <x:v>10</x:v>
      </x:c>
      <x:c r="BP23" s="32" t="n">
        <x:v>0</x:v>
      </x:c>
      <x:c r="BQ23" s="32" t="n">
        <x:v>100</x:v>
      </x:c>
      <x:c r="BR23" s="32" t="n">
        <x:v>60</x:v>
      </x:c>
      <x:c r="BS23" s="32" t="n">
        <x:v>6000</x:v>
      </x:c>
      <x:c r="BT23" s="32" t="n">
        <x:v>700</x:v>
      </x:c>
      <x:c r="BU23" s="32" t="n">
        <x:v>700</x:v>
      </x:c>
      <x:c r="BV23" s="32" t="n">
        <x:v>0</x:v>
      </x:c>
      <x:c r="BW23" s="32" t="n">
        <x:v>1000</x:v>
      </x:c>
      <x:c r="BX23" s="32" t="n">
        <x:v>1000</x:v>
      </x:c>
      <x:c r="BY23" s="32" t="n">
        <x:v>0</x:v>
      </x:c>
      <x:c r="BZ23" s="32" t="n">
        <x:v>0</x:v>
      </x:c>
      <x:c r="CA23" s="32" t="n">
        <x:v>100</x:v>
      </x:c>
      <x:c r="CB23" s="32" t="n">
        <x:v>100</x:v>
      </x:c>
      <x:c r="CC23" s="32" t="n">
        <x:v>0</x:v>
      </x:c>
      <x:c r="CD23" s="32" t="n">
        <x:v>0</x:v>
      </x:c>
      <x:c r="CE23" s="32" t="n">
        <x:v>1000</x:v>
      </x:c>
      <x:c r="CF23" s="32" t="n">
        <x:v>8000</x:v>
      </x:c>
      <x:c r="CG23" s="32" t="n">
        <x:v>7000</x:v>
      </x:c>
      <x:c r="CH23" s="32" t="n">
        <x:v>0</x:v>
      </x:c>
      <x:c r="CI23" s="115" t="b">
        <x:v>1</x:v>
      </x:c>
      <x:c r="CJ23" s="32" t="n">
        <x:v>10</x:v>
      </x:c>
      <x:c r="CK23" s="32" t="n">
        <x:v>1000</x:v>
      </x:c>
      <x:c r="CL23" s="32" t="n">
        <x:v>3000</x:v>
      </x:c>
      <x:c r="CM23" s="32" t="n">
        <x:v>3000</x:v>
      </x:c>
      <x:c r="CN23" s="32" t="n">
        <x:v>3000</x:v>
      </x:c>
      <x:c r="CO23" s="32" t="n">
        <x:v>3000</x:v>
      </x:c>
      <x:c r="CP23" s="32" t="n">
        <x:v>0</x:v>
      </x:c>
      <x:c r="CQ23" s="32" t="n">
        <x:v>0</x:v>
      </x:c>
      <x:c r="CR23" s="32" t="n">
        <x:v>0</x:v>
      </x:c>
      <x:c r="CS23" s="32" t="n">
        <x:v>0</x:v>
      </x:c>
      <x:c r="CT23" s="32" t="n">
        <x:v>0</x:v>
      </x:c>
      <x:c r="CU23" s="32" t="n">
        <x:v>0</x:v>
      </x:c>
      <x:c r="CV23" s="32" t="n">
        <x:v>0</x:v>
      </x:c>
      <x:c r="CW23" s="32" t="n">
        <x:v>0</x:v>
      </x:c>
      <x:c r="CX23" s="32" t="n">
        <x:v>0</x:v>
      </x:c>
      <x:c r="CY23" s="32" t="n">
        <x:v>0</x:v>
      </x:c>
      <x:c r="CZ23" s="32" t="n">
        <x:v>0</x:v>
      </x:c>
      <x:c r="DA23" s="32" t="n">
        <x:v>0</x:v>
      </x:c>
      <x:c r="DB23" s="32" t="n">
        <x:v>0</x:v>
      </x:c>
      <x:c r="DC23" s="32" t="n">
        <x:v>0</x:v>
      </x:c>
      <x:c r="DD23" s="32" t="n">
        <x:v>0</x:v>
      </x:c>
      <x:c r="DE23" s="32" t="n">
        <x:v>0</x:v>
      </x:c>
      <x:c r="DF23" s="32" t="n">
        <x:v>0</x:v>
      </x:c>
      <x:c r="DG23" s="32" t="n">
        <x:v>0</x:v>
      </x:c>
      <x:c r="DH23" s="32"/>
      <x:c r="DI23" s="32"/>
      <x:c r="DJ23" s="32"/>
      <x:c r="DK23" s="32"/>
      <x:c r="DL23" s="32"/>
      <x:c r="DM23" s="32"/>
      <x:c r="DN23" s="32"/>
      <x:c r="DO23" s="32"/>
      <x:c r="DP23" s="32"/>
      <x:c r="DQ23" s="32"/>
      <x:c r="DR23" s="32"/>
      <x:c r="DS23" s="32"/>
      <x:c r="DT23" s="32"/>
      <x:c r="DU23" s="32"/>
      <x:c r="DV23" s="32"/>
      <x:c r="DW23" s="32"/>
      <x:c r="DX23" s="32"/>
      <x:c r="DY23" s="32"/>
      <x:c r="DZ23" s="32"/>
      <x:c r="EA23" s="32"/>
      <x:c r="EB23" s="32"/>
      <x:c r="EC23" s="32"/>
      <x:c r="ED23" s="32"/>
      <x:c r="EE23" s="32"/>
      <x:c r="EF23" s="32"/>
      <x:c r="EG23" s="32"/>
      <x:c r="EH23" s="32"/>
      <x:c r="EI23" s="32"/>
      <x:c r="EJ23" s="32"/>
      <x:c r="EK23" s="32"/>
      <x:c r="EL23" s="32"/>
      <x:c r="EM23" s="32"/>
      <x:c r="EN23" s="32"/>
      <x:c r="EO23" s="32"/>
      <x:c r="EP23" s="32"/>
      <x:c r="EQ23" s="32"/>
      <x:c r="ER23" s="32"/>
      <x:c r="ES23" s="32"/>
      <x:c r="ET23" s="32"/>
      <x:c r="EU23" s="32"/>
      <x:c r="EV23" s="32"/>
      <x:c r="EW23" s="32"/>
      <x:c r="EX23" s="32"/>
      <x:c r="EY23" s="32"/>
      <x:c r="EZ23" s="32"/>
      <x:c r="FA23" s="32"/>
      <x:c r="FB23" s="32"/>
      <x:c r="FC23" s="32"/>
      <x:c r="FD23" s="32"/>
      <x:c r="FE23" s="32"/>
      <x:c r="FF23" s="32"/>
      <x:c r="FG23" s="32"/>
      <x:c r="FH23" s="32"/>
      <x:c r="FI23" s="32"/>
      <x:c r="FJ23" s="32"/>
      <x:c r="FK23" s="32"/>
      <x:c r="FL23" s="32"/>
      <x:c r="FM23" s="32"/>
      <x:c r="FN23" s="32"/>
      <x:c r="FO23" s="32"/>
      <x:c r="FP23" s="32"/>
      <x:c r="FQ23" s="32"/>
      <x:c r="FR23" s="32"/>
      <x:c r="FS23" s="32"/>
      <x:c r="FT23" s="32"/>
      <x:c r="FU23" s="32"/>
      <x:c r="FV23" s="32"/>
      <x:c r="FW23" s="32"/>
      <x:c r="FX23" s="32"/>
      <x:c r="FY23" s="32"/>
      <x:c r="FZ23" s="32"/>
      <x:c r="GA23" s="32"/>
      <x:c r="GB23" s="32"/>
      <x:c r="GC23" s="32"/>
      <x:c r="GD23" s="32"/>
      <x:c r="GE23" s="32"/>
      <x:c r="GF23" s="32"/>
      <x:c r="GG23" s="32"/>
      <x:c r="GH23" s="32"/>
      <x:c r="GI23" s="32"/>
      <x:c r="GJ23" s="32"/>
      <x:c r="GK23" s="32"/>
      <x:c r="GL23" s="32"/>
      <x:c r="GM23" s="32"/>
      <x:c r="GN23" s="32"/>
      <x:c r="GO23" s="32"/>
      <x:c r="GP23" s="32"/>
      <x:c r="GQ23" s="32"/>
      <x:c r="GR23" s="32"/>
      <x:c r="GS23" s="32"/>
      <x:c r="GT23" s="32"/>
      <x:c r="GU23" s="32"/>
      <x:c r="GV23" s="32"/>
      <x:c r="GW23" s="32"/>
      <x:c r="GX23" s="32"/>
      <x:c r="GY23" s="32"/>
      <x:c r="GZ23" s="32"/>
      <x:c r="HA23" s="32"/>
      <x:c r="HB23" s="32"/>
      <x:c r="HC23" s="32"/>
      <x:c r="HD23" s="32"/>
      <x:c r="HE23" s="32"/>
      <x:c r="HF23" s="32"/>
      <x:c r="HG23" s="32"/>
      <x:c r="HH23" s="32"/>
      <x:c r="HI23" s="32"/>
      <x:c r="HJ23" s="32"/>
      <x:c r="HK23" s="32"/>
      <x:c r="HL23" s="32"/>
      <x:c r="HM23" s="32"/>
      <x:c r="HN23" s="32"/>
      <x:c r="HO23" s="32"/>
      <x:c r="HP23" s="32"/>
      <x:c r="HQ23" s="32"/>
      <x:c r="HR23" s="32"/>
      <x:c r="HS23" s="32"/>
      <x:c r="HT23" s="32"/>
      <x:c r="HU23" s="32"/>
      <x:c r="HV23" s="32"/>
      <x:c r="HW23" s="32"/>
      <x:c r="HX23" s="32"/>
      <x:c r="HY23" s="32"/>
      <x:c r="VW23" s="32"/>
      <x:c r="VX23" s="32"/>
      <x:c r="VY23" s="32"/>
      <x:c r="VZ23" s="32"/>
      <x:c r="WA23" s="32"/>
      <x:c r="WB23" s="32"/>
      <x:c r="WC23" s="32"/>
      <x:c r="WD23" s="32"/>
      <x:c r="WE23" s="32"/>
      <x:c r="WF23" s="32"/>
      <x:c r="WG23" s="32"/>
      <x:c r="WH23" s="32"/>
      <x:c r="WI23" s="32"/>
      <x:c r="WJ23" s="32"/>
      <x:c r="WK23" s="32"/>
      <x:c r="WL23" s="32"/>
      <x:c r="WM23" s="32"/>
      <x:c r="WN23" s="32"/>
      <x:c r="WO23" s="32"/>
      <x:c r="WP23" s="32"/>
      <x:c r="WQ23" s="32"/>
      <x:c r="WR23" s="32"/>
      <x:c r="WS23" s="32"/>
      <x:c r="WT23" s="32"/>
      <x:c r="WU23" s="32"/>
      <x:c r="WV23" s="32"/>
      <x:c r="WW23" s="32"/>
      <x:c r="WX23" s="32"/>
      <x:c r="WY23" s="32"/>
      <x:c r="WZ23" s="32"/>
      <x:c r="XA23" s="32"/>
      <x:c r="XB23" s="32"/>
      <x:c r="XC23" s="32"/>
      <x:c r="XD23" s="32"/>
    </x:row>
    <x:row r="24">
      <x:c r="A24" s="32" t="str">
        <x:v>9db89add-7ec1-4a7c-b21d-995145c3d0c4</x:v>
      </x:c>
      <x:c r="B24" s="32" t="str">
        <x:v>C-003</x:v>
      </x:c>
      <x:c r="C24" s="42" t="n">
        <x:v>46259.940405092595</x:v>
      </x:c>
      <x:c r="D24" s="32" t="str">
        <x:v>489b7424f5051f7a276dafe8d5f318ccf1368d87</x:v>
      </x:c>
      <x:c r="E24" s="32" t="str">
        <x:v>GLONBW11</x:v>
      </x:c>
      <x:c r="F24" s="32" t="str">
        <x:v>local-filesystem</x:v>
      </x:c>
      <x:c r="G24" s="32" t="str">
        <x:v>3.14.2</x:v>
      </x:c>
      <x:c r="H24" s="32" t="str">
        <x:v>deterministic</x:v>
      </x:c>
      <x:c r="I24" s="32" t="n">
        <x:v>1000</x:v>
      </x:c>
      <x:c r="J24" s="32" t="n">
        <x:v>10</x:v>
      </x:c>
      <x:c r="K24" s="32" t="n">
        <x:v>10.03279835</x:v>
      </x:c>
      <x:c r="L24" s="32" t="n">
        <x:v>121</x:v>
      </x:c>
      <x:c r="M24" s="32" t="n">
        <x:v>5</x:v>
      </x:c>
      <x:c r="N24" s="32" t="n">
        <x:v>10</x:v>
      </x:c>
      <x:c r="O24" s="32" t="n">
        <x:v>988.5205129976384</x:v>
      </x:c>
      <x:c r="P24" s="32" t="n">
        <x:v>1162.8398059983738</x:v>
      </x:c>
      <x:c r="Q24" s="32" t="n">
        <x:v>1274.6078095995472</x:v>
      </x:c>
      <x:c r="R24" s="32" t="n">
        <x:v>1820.4837090015644</x:v>
      </x:c>
      <x:c r="S24" s="32" t="n">
        <x:v>0</x:v>
      </x:c>
      <x:c r="T24" s="43" t="n">
        <x:v>0</x:v>
      </x:c>
      <x:c r="U24" s="32" t="n">
        <x:v>96.26457080423799</x:v>
      </x:c>
      <x:c r="V24" s="32" t="n">
        <x:v>100.52947881567358</x:v>
      </x:c>
      <x:c r="W24" s="32" t="n">
        <x:v>136.25911996384298</x:v>
      </x:c>
      <x:c r="X24" s="32" t="n">
        <x:v>136.33984375</x:v>
      </x:c>
      <x:c r="Y24" s="32"/>
      <x:c r="Z24" s="32"/>
      <x:c r="AA24" s="32"/>
      <x:c r="AB24" s="32"/>
      <x:c r="AC24" s="32" t="n">
        <x:v>0</x:v>
      </x:c>
      <x:c r="AD24" s="32" t="n">
        <x:v>0</x:v>
      </x:c>
      <x:c r="AE24" s="32" t="n">
        <x:v>0</x:v>
      </x:c>
      <x:c r="AF24" s="32"/>
      <x:c r="AG24" s="32"/>
      <x:c r="AH24" s="32" t="n">
        <x:v>771.7711160003091</x:v>
      </x:c>
      <x:c r="AI24" s="32" t="str">
        <x:v>PASS</x:v>
      </x:c>
      <x:c r="AJ24" s="32" t="str">
        <x:v>GREEN</x:v>
      </x:c>
      <x:c r="AK24" s="32" t="str">
        <x:v>latest-narrow</x:v>
      </x:c>
      <x:c r="AL24" s="32" t="n">
        <x:v>1</x:v>
      </x:c>
      <x:c r="AM24" s="32" t="n">
        <x:v>1</x:v>
      </x:c>
      <x:c r="AN24" s="32" t="n">
        <x:v>1000</x:v>
      </x:c>
      <x:c r="AO24" s="32" t="n">
        <x:v>1</x:v>
      </x:c>
      <x:c r="AP24" s="32" t="n">
        <x:v>8132</x:v>
      </x:c>
      <x:c r="AQ24" s="32" t="n">
        <x:v>8.802221003861632</x:v>
      </x:c>
      <x:c r="AR24" s="32" t="n">
        <x:v>11.073863002820872</x:v>
      </x:c>
      <x:c r="AS24" s="32" t="n">
        <x:v>12.0759032011847</x:v>
      </x:c>
      <x:c r="AT24" s="32" t="n">
        <x:v>36</x:v>
      </x:c>
      <x:c r="AU24" s="32" t="str">
        <x:v>28×28 + 8×27</x:v>
      </x:c>
      <x:c r="AV24" s="32" t="n">
        <x:v>0.34132099972339347</x:v>
      </x:c>
      <x:c r="AW24" s="32" t="n">
        <x:v>0.4428829997777939</x:v>
      </x:c>
      <x:c r="AX24" s="32" t="n">
        <x:v>0.5808937959955073</x:v>
      </x:c>
      <x:c r="AY24" s="32" t="str">
        <x:v>balanced</x:v>
      </x:c>
      <x:c r="AZ24" s="32" t="str">
        <x:v>PASS</x:v>
      </x:c>
      <x:c r="BA24" s="32" t="n">
        <x:v>1000</x:v>
      </x:c>
      <x:c r="BB24" s="32" t="n">
        <x:v>0</x:v>
      </x:c>
      <x:c r="BC24" s="115" t="b">
        <x:v>1</x:v>
      </x:c>
      <x:c r="BD24" s="32" t="str">
        <x:v>Raw PASS; exact expiry/reappearance semantics independently confirmed from WAL and final snapshots. 400 unique commits; 0 duplicate lifecycle commits; 1000 technical_hold_expired; 1000 occurrence closures with technical_hold_expired; 100 episode closures with technical_uncertainty; 1000 new post-expiry Occurrences with 0 identity reuse; journal durable==materialized.</x:v>
      </x:c>
      <x:c r="BE24" s="32" t="n">
        <x:v>0</x:v>
      </x:c>
      <x:c r="BF24" s="32" t="n">
        <x:v>0</x:v>
      </x:c>
      <x:c r="BG24" s="32" t="n">
        <x:v>0</x:v>
      </x:c>
      <x:c r="BH24" s="32" t="n">
        <x:v>0</x:v>
      </x:c>
      <x:c r="BI24" s="32" t="n">
        <x:v>0</x:v>
      </x:c>
      <x:c r="BJ24" s="32" t="n">
        <x:v>1000</x:v>
      </x:c>
      <x:c r="BK24" s="32" t="n">
        <x:v>1000</x:v>
      </x:c>
      <x:c r="BL24" s="32" t="n">
        <x:v>0</x:v>
      </x:c>
      <x:c r="BM24" s="32" t="n">
        <x:v>0</x:v>
      </x:c>
      <x:c r="BN24" s="32" t="n">
        <x:v>100</x:v>
      </x:c>
      <x:c r="BO24" s="32" t="n">
        <x:v>10</x:v>
      </x:c>
      <x:c r="BP24" s="32" t="n">
        <x:v>0</x:v>
      </x:c>
      <x:c r="BQ24" s="32" t="n">
        <x:v>100</x:v>
      </x:c>
      <x:c r="BR24" s="32" t="n">
        <x:v>60</x:v>
      </x:c>
      <x:c r="BS24" s="32" t="n">
        <x:v>2000</x:v>
      </x:c>
      <x:c r="BT24" s="32" t="n">
        <x:v>400</x:v>
      </x:c>
      <x:c r="BU24" s="32" t="n">
        <x:v>400</x:v>
      </x:c>
      <x:c r="BV24" s="32" t="n">
        <x:v>0</x:v>
      </x:c>
      <x:c r="BW24" s="32" t="n">
        <x:v>2000</x:v>
      </x:c>
      <x:c r="BX24" s="32" t="n">
        <x:v>2000</x:v>
      </x:c>
      <x:c r="BY24" s="32" t="n">
        <x:v>1000</x:v>
      </x:c>
      <x:c r="BZ24" s="32" t="n">
        <x:v>1000</x:v>
      </x:c>
      <x:c r="CA24" s="32" t="n">
        <x:v>200</x:v>
      </x:c>
      <x:c r="CB24" s="32" t="n">
        <x:v>200</x:v>
      </x:c>
      <x:c r="CC24" s="32" t="n">
        <x:v>100</x:v>
      </x:c>
      <x:c r="CD24" s="32" t="n">
        <x:v>100</x:v>
      </x:c>
      <x:c r="CE24" s="32" t="n">
        <x:v>2000</x:v>
      </x:c>
      <x:c r="CF24" s="32" t="n">
        <x:v>7000</x:v>
      </x:c>
      <x:c r="CG24" s="32" t="n">
        <x:v>4000</x:v>
      </x:c>
      <x:c r="CH24" s="32" t="n">
        <x:v>0</x:v>
      </x:c>
      <x:c r="CI24" s="115" t="b">
        <x:v>1</x:v>
      </x:c>
      <x:c r="CJ24" s="32" t="n">
        <x:v>0</x:v>
      </x:c>
      <x:c r="CK24" s="32" t="n">
        <x:v>2000</x:v>
      </x:c>
      <x:c r="CL24" s="32" t="n">
        <x:v>1000</x:v>
      </x:c>
      <x:c r="CM24" s="32" t="n">
        <x:v>1000</x:v>
      </x:c>
      <x:c r="CN24" s="32" t="n">
        <x:v>0</x:v>
      </x:c>
      <x:c r="CO24" s="32" t="n">
        <x:v>0</x:v>
      </x:c>
      <x:c r="CP24" s="32" t="n">
        <x:v>1000</x:v>
      </x:c>
      <x:c r="CQ24" s="32" t="n">
        <x:v>0</x:v>
      </x:c>
      <x:c r="CR24" s="32" t="n">
        <x:v>10</x:v>
      </x:c>
      <x:c r="CS24" s="32" t="n">
        <x:v>30</x:v>
      </x:c>
      <x:c r="CT24" s="32" t="n">
        <x:v>320</x:v>
      </x:c>
      <x:c r="CU24" s="32" t="n">
        <x:v>1000</x:v>
      </x:c>
      <x:c r="CV24" s="32" t="n">
        <x:v>1000</x:v>
      </x:c>
      <x:c r="CW24" s="32" t="n">
        <x:v>1000</x:v>
      </x:c>
      <x:c r="CX24" s="32" t="n">
        <x:v>0</x:v>
      </x:c>
      <x:c r="CY24" s="32" t="n">
        <x:v>0</x:v>
      </x:c>
      <x:c r="CZ24" s="32" t="n">
        <x:v>0</x:v>
      </x:c>
      <x:c r="DA24" s="32" t="n">
        <x:v>0</x:v>
      </x:c>
      <x:c r="DB24" s="32" t="n">
        <x:v>0</x:v>
      </x:c>
      <x:c r="DC24" s="32" t="n">
        <x:v>0</x:v>
      </x:c>
      <x:c r="DD24" s="32" t="n">
        <x:v>0</x:v>
      </x:c>
      <x:c r="DE24" s="32" t="n">
        <x:v>0</x:v>
      </x:c>
      <x:c r="DF24" s="32" t="n">
        <x:v>0</x:v>
      </x:c>
      <x:c r="DG24" s="32" t="n">
        <x:v>0</x:v>
      </x:c>
      <x:c r="DH24" s="32"/>
      <x:c r="DI24" s="32"/>
      <x:c r="DJ24" s="32"/>
      <x:c r="DK24" s="32"/>
      <x:c r="DL24" s="32"/>
      <x:c r="DM24" s="32"/>
      <x:c r="DN24" s="32"/>
      <x:c r="DO24" s="32"/>
      <x:c r="DP24" s="32"/>
      <x:c r="DQ24" s="32"/>
      <x:c r="DR24" s="32"/>
      <x:c r="DS24" s="32"/>
      <x:c r="DT24" s="32"/>
      <x:c r="DU24" s="32"/>
      <x:c r="DV24" s="32"/>
      <x:c r="DW24" s="32"/>
      <x:c r="DX24" s="32"/>
      <x:c r="DY24" s="32"/>
      <x:c r="DZ24" s="32"/>
      <x:c r="EA24" s="32"/>
      <x:c r="EB24" s="32"/>
      <x:c r="EC24" s="32"/>
      <x:c r="ED24" s="32"/>
      <x:c r="EE24" s="32"/>
      <x:c r="EF24" s="32"/>
      <x:c r="EG24" s="32"/>
      <x:c r="EH24" s="32"/>
      <x:c r="EI24" s="32"/>
      <x:c r="EJ24" s="32"/>
      <x:c r="EK24" s="32"/>
      <x:c r="EL24" s="32"/>
      <x:c r="EM24" s="32"/>
      <x:c r="EN24" s="32"/>
      <x:c r="EO24" s="32"/>
      <x:c r="EP24" s="32"/>
      <x:c r="EQ24" s="32"/>
      <x:c r="ER24" s="32"/>
      <x:c r="ES24" s="32"/>
      <x:c r="ET24" s="32"/>
      <x:c r="EU24" s="32"/>
      <x:c r="EV24" s="32"/>
      <x:c r="EW24" s="32"/>
      <x:c r="EX24" s="32"/>
      <x:c r="EY24" s="32"/>
      <x:c r="EZ24" s="32"/>
      <x:c r="FA24" s="32"/>
      <x:c r="FB24" s="32"/>
      <x:c r="FC24" s="32"/>
      <x:c r="FD24" s="32"/>
      <x:c r="FE24" s="32"/>
      <x:c r="FF24" s="32"/>
      <x:c r="FG24" s="32"/>
      <x:c r="FH24" s="32"/>
      <x:c r="FI24" s="32"/>
      <x:c r="FJ24" s="32"/>
      <x:c r="FK24" s="32"/>
      <x:c r="FL24" s="32"/>
      <x:c r="FM24" s="32"/>
      <x:c r="FN24" s="32"/>
      <x:c r="FO24" s="32"/>
      <x:c r="FP24" s="32"/>
      <x:c r="FQ24" s="32"/>
      <x:c r="FR24" s="32"/>
      <x:c r="FS24" s="32"/>
      <x:c r="FT24" s="32"/>
      <x:c r="FU24" s="32"/>
      <x:c r="FV24" s="32"/>
      <x:c r="FW24" s="32"/>
      <x:c r="FX24" s="32"/>
      <x:c r="FY24" s="32"/>
      <x:c r="FZ24" s="32"/>
      <x:c r="GA24" s="32"/>
      <x:c r="GB24" s="32"/>
      <x:c r="GC24" s="32"/>
      <x:c r="GD24" s="32"/>
      <x:c r="GE24" s="32"/>
      <x:c r="GF24" s="32"/>
      <x:c r="GG24" s="32"/>
      <x:c r="GH24" s="32"/>
      <x:c r="GI24" s="32"/>
      <x:c r="GJ24" s="32"/>
      <x:c r="GK24" s="32"/>
      <x:c r="GL24" s="32"/>
      <x:c r="GM24" s="32"/>
      <x:c r="GN24" s="32"/>
      <x:c r="GO24" s="32"/>
      <x:c r="GP24" s="32"/>
      <x:c r="GQ24" s="32"/>
      <x:c r="GR24" s="32"/>
      <x:c r="GS24" s="32"/>
      <x:c r="GT24" s="32"/>
      <x:c r="GU24" s="32"/>
      <x:c r="GV24" s="32"/>
      <x:c r="GW24" s="32"/>
      <x:c r="GX24" s="32"/>
      <x:c r="GY24" s="32"/>
      <x:c r="GZ24" s="32"/>
      <x:c r="HA24" s="32"/>
      <x:c r="HB24" s="32"/>
      <x:c r="HC24" s="32"/>
      <x:c r="HD24" s="32"/>
      <x:c r="HE24" s="32"/>
      <x:c r="HF24" s="32"/>
      <x:c r="HG24" s="32"/>
      <x:c r="HH24" s="32"/>
      <x:c r="HI24" s="32"/>
      <x:c r="HJ24" s="32"/>
      <x:c r="HK24" s="32"/>
      <x:c r="HL24" s="32"/>
      <x:c r="HM24" s="32"/>
      <x:c r="HN24" s="32"/>
      <x:c r="HO24" s="32"/>
      <x:c r="HP24" s="32"/>
      <x:c r="HQ24" s="32"/>
      <x:c r="HR24" s="32"/>
      <x:c r="HS24" s="32"/>
      <x:c r="HT24" s="32"/>
      <x:c r="HU24" s="32"/>
      <x:c r="HV24" s="32"/>
      <x:c r="HW24" s="32"/>
      <x:c r="HX24" s="32"/>
      <x:c r="HY24" s="32"/>
      <x:c r="VW24" s="32"/>
      <x:c r="VX24" s="32"/>
      <x:c r="VY24" s="32"/>
      <x:c r="VZ24" s="32"/>
      <x:c r="WA24" s="32"/>
      <x:c r="WB24" s="32"/>
      <x:c r="WC24" s="32"/>
      <x:c r="WD24" s="32"/>
      <x:c r="WE24" s="32"/>
      <x:c r="WF24" s="32"/>
      <x:c r="WG24" s="32"/>
      <x:c r="WH24" s="32"/>
      <x:c r="WI24" s="32"/>
      <x:c r="WJ24" s="32"/>
      <x:c r="WK24" s="32"/>
      <x:c r="WL24" s="32"/>
      <x:c r="WM24" s="32"/>
      <x:c r="WN24" s="32"/>
      <x:c r="WO24" s="32"/>
      <x:c r="WP24" s="32"/>
      <x:c r="WQ24" s="32"/>
      <x:c r="WR24" s="32"/>
      <x:c r="WS24" s="32"/>
      <x:c r="WT24" s="32"/>
      <x:c r="WU24" s="32"/>
      <x:c r="WV24" s="32"/>
      <x:c r="WW24" s="32"/>
      <x:c r="WX24" s="32"/>
      <x:c r="WY24" s="32"/>
      <x:c r="WZ24" s="32"/>
      <x:c r="XA24" s="32"/>
      <x:c r="XB24" s="32"/>
      <x:c r="XC24" s="32"/>
      <x:c r="XD24" s="32"/>
    </x:row>
    <x:row r="25">
      <x:c r="A25" s="32" t="str">
        <x:v>f86db606-7094-4da9-b488-8fd58d9dac80</x:v>
      </x:c>
      <x:c r="B25" s="32" t="str">
        <x:v>C-004</x:v>
      </x:c>
      <x:c r="C25" s="42" t="n">
        <x:v>46259.961875</x:v>
      </x:c>
      <x:c r="D25" s="32" t="str">
        <x:v>489b7424f5051f7a276dafe8d5f318ccf1368d87</x:v>
      </x:c>
      <x:c r="E25" s="32" t="str">
        <x:v>GLONBW11</x:v>
      </x:c>
      <x:c r="F25" s="32" t="str">
        <x:v>local-filesystem</x:v>
      </x:c>
      <x:c r="G25" s="32" t="str">
        <x:v>3.14.2</x:v>
      </x:c>
      <x:c r="H25" s="32" t="str">
        <x:v>deterministic</x:v>
      </x:c>
      <x:c r="I25" s="32" t="n">
        <x:v>1000</x:v>
      </x:c>
      <x:c r="J25" s="32" t="n">
        <x:v>10</x:v>
      </x:c>
      <x:c r="K25" s="32" t="n">
        <x:v>10.015706716666667</x:v>
      </x:c>
      <x:c r="L25" s="32" t="n">
        <x:v>116</x:v>
      </x:c>
      <x:c r="M25" s="32" t="n">
        <x:v>5</x:v>
      </x:c>
      <x:c r="N25" s="32" t="n">
        <x:v>10</x:v>
      </x:c>
      <x:c r="O25" s="32" t="n">
        <x:v>988.8912450005591</x:v>
      </x:c>
      <x:c r="P25" s="32" t="n">
        <x:v>6627.984523251143</x:v>
      </x:c>
      <x:c r="Q25" s="32" t="n">
        <x:v>7178.8501033985085</x:v>
      </x:c>
      <x:c r="R25" s="32" t="n">
        <x:v>7662.903220996668</x:v>
      </x:c>
      <x:c r="S25" s="32" t="n">
        <x:v>18</x:v>
      </x:c>
      <x:c r="T25" s="43" t="n">
        <x:v>0.15517241379310345</x:v>
      </x:c>
      <x:c r="U25" s="32" t="n">
        <x:v>97.83019288170814</x:v>
      </x:c>
      <x:c r="V25" s="32" t="n">
        <x:v>100.58137153822024</x:v>
      </x:c>
      <x:c r="W25" s="32" t="n">
        <x:v>134.11941002155172</x:v>
      </x:c>
      <x:c r="X25" s="32" t="n">
        <x:v>135.41796875</x:v>
      </x:c>
      <x:c r="Y25" s="32"/>
      <x:c r="Z25" s="32"/>
      <x:c r="AA25" s="32"/>
      <x:c r="AB25" s="32"/>
      <x:c r="AC25" s="32" t="n">
        <x:v>0</x:v>
      </x:c>
      <x:c r="AD25" s="32" t="n">
        <x:v>0</x:v>
      </x:c>
      <x:c r="AE25" s="32" t="n">
        <x:v>0</x:v>
      </x:c>
      <x:c r="AF25" s="32"/>
      <x:c r="AG25" s="32"/>
      <x:c r="AH25" s="32" t="n">
        <x:v>353.09240900096484</x:v>
      </x:c>
      <x:c r="AI25" s="32" t="str">
        <x:v>PASS-WITH-FINDINGS</x:v>
      </x:c>
      <x:c r="AJ25" s="32" t="str">
        <x:v>ACCEPTABLE/REVIEW</x:v>
      </x:c>
      <x:c r="AK25" s="32" t="str">
        <x:v>latest-narrow</x:v>
      </x:c>
      <x:c r="AL25" s="32" t="n">
        <x:v>1</x:v>
      </x:c>
      <x:c r="AM25" s="32" t="n">
        <x:v>1</x:v>
      </x:c>
      <x:c r="AN25" s="32" t="n">
        <x:v>1000</x:v>
      </x:c>
      <x:c r="AO25" s="32" t="n">
        <x:v>1</x:v>
      </x:c>
      <x:c r="AP25" s="32" t="n">
        <x:v>8132</x:v>
      </x:c>
      <x:c r="AQ25" s="32" t="n">
        <x:v>8.001094502105843</x:v>
      </x:c>
      <x:c r="AR25" s="32" t="n">
        <x:v>10.116117000507074</x:v>
      </x:c>
      <x:c r="AS25" s="32" t="n">
        <x:v>14.069742901119735</x:v>
      </x:c>
      <x:c r="AT25" s="32" t="n">
        <x:v>36</x:v>
      </x:c>
      <x:c r="AU25" s="32" t="str">
        <x:v>28×28 + 8×27</x:v>
      </x:c>
      <x:c r="AV25" s="32" t="n">
        <x:v>0.3315015055704862</x:v>
      </x:c>
      <x:c r="AW25" s="32" t="n">
        <x:v>0.4297499981475994</x:v>
      </x:c>
      <x:c r="AX25" s="32" t="n">
        <x:v>0.785717998587641</x:v>
      </x:c>
      <x:c r="AY25" s="32" t="str">
        <x:v>balanced</x:v>
      </x:c>
      <x:c r="AZ25" s="32" t="str">
        <x:v>PASS</x:v>
      </x:c>
      <x:c r="BA25" s="32" t="n">
        <x:v>1000</x:v>
      </x:c>
      <x:c r="BB25" s="32" t="n">
        <x:v>0</x:v>
      </x:c>
      <x:c r="BC25" s="115" t="b">
        <x:v>1</x:v>
      </x:c>
      <x:c r="BD25" s="32" t="str">
        <x:v>Functional PASS; independent WAL/snapshot audit exact. Performance ACCEPTABLE/REVIEW: 18 overruns and p95 6.63 s are concentrated in mixed ERROR-without-continuity + ACTIVE composition. At 100% ACTIVE, steady cycles return to ~1 s. Requires fixed 50/50 reproduction before proceeding.</x:v>
      </x:c>
      <x:c r="BE25" s="32" t="n">
        <x:v>0</x:v>
      </x:c>
      <x:c r="BF25" s="32" t="n">
        <x:v>0</x:v>
      </x:c>
      <x:c r="BG25" s="32" t="n">
        <x:v>0</x:v>
      </x:c>
      <x:c r="BH25" s="32" t="n">
        <x:v>0</x:v>
      </x:c>
      <x:c r="BI25" s="32" t="n">
        <x:v>0</x:v>
      </x:c>
      <x:c r="BJ25" s="32" t="n">
        <x:v>1000</x:v>
      </x:c>
      <x:c r="BK25" s="32" t="n">
        <x:v>1000</x:v>
      </x:c>
      <x:c r="BL25" s="32" t="n">
        <x:v>0</x:v>
      </x:c>
      <x:c r="BM25" s="32" t="n">
        <x:v>0</x:v>
      </x:c>
      <x:c r="BN25" s="32" t="n">
        <x:v>100</x:v>
      </x:c>
      <x:c r="BO25" s="32" t="n">
        <x:v>10</x:v>
      </x:c>
      <x:c r="BP25" s="32" t="n">
        <x:v>0</x:v>
      </x:c>
      <x:c r="BQ25" s="32" t="n">
        <x:v>0</x:v>
      </x:c>
      <x:c r="BR25" s="32" t="n">
        <x:v>60</x:v>
      </x:c>
      <x:c r="BS25" s="32" t="n">
        <x:v>1000</x:v>
      </x:c>
      <x:c r="BT25" s="32" t="n">
        <x:v>100</x:v>
      </x:c>
      <x:c r="BU25" s="32" t="n">
        <x:v>100</x:v>
      </x:c>
      <x:c r="BV25" s="32" t="n">
        <x:v>0</x:v>
      </x:c>
      <x:c r="BW25" s="32" t="n">
        <x:v>1000</x:v>
      </x:c>
      <x:c r="BX25" s="32" t="n">
        <x:v>1000</x:v>
      </x:c>
      <x:c r="BY25" s="32" t="n">
        <x:v>0</x:v>
      </x:c>
      <x:c r="BZ25" s="32" t="n">
        <x:v>0</x:v>
      </x:c>
      <x:c r="CA25" s="32" t="n">
        <x:v>100</x:v>
      </x:c>
      <x:c r="CB25" s="32" t="n">
        <x:v>100</x:v>
      </x:c>
      <x:c r="CC25" s="32" t="n">
        <x:v>0</x:v>
      </x:c>
      <x:c r="CD25" s="32" t="n">
        <x:v>0</x:v>
      </x:c>
      <x:c r="CE25" s="32" t="n">
        <x:v>1000</x:v>
      </x:c>
      <x:c r="CF25" s="32" t="n">
        <x:v>2000</x:v>
      </x:c>
      <x:c r="CG25" s="32" t="n">
        <x:v>2000</x:v>
      </x:c>
      <x:c r="CH25" s="32" t="n">
        <x:v>100</x:v>
      </x:c>
      <x:c r="CI25" s="115" t="b">
        <x:v>1</x:v>
      </x:c>
      <x:c r="CJ25" s="32" t="n">
        <x:v>0</x:v>
      </x:c>
      <x:c r="CK25" s="32" t="n">
        <x:v>1000</x:v>
      </x:c>
      <x:c r="CL25" s="32" t="n">
        <x:v>0</x:v>
      </x:c>
      <x:c r="CM25" s="32" t="n">
        <x:v>0</x:v>
      </x:c>
      <x:c r="CN25" s="32" t="n">
        <x:v>0</x:v>
      </x:c>
      <x:c r="CO25" s="32" t="n">
        <x:v>0</x:v>
      </x:c>
      <x:c r="CP25" s="32" t="n">
        <x:v>0</x:v>
      </x:c>
      <x:c r="CQ25" s="32" t="n">
        <x:v>0</x:v>
      </x:c>
      <x:c r="CR25" s="32" t="n">
        <x:v>0</x:v>
      </x:c>
      <x:c r="CS25" s="32" t="n">
        <x:v>0</x:v>
      </x:c>
      <x:c r="CT25" s="32" t="n">
        <x:v>0</x:v>
      </x:c>
      <x:c r="CU25" s="32" t="n">
        <x:v>0</x:v>
      </x:c>
      <x:c r="CV25" s="32" t="n">
        <x:v>0</x:v>
      </x:c>
      <x:c r="CW25" s="32" t="n">
        <x:v>0</x:v>
      </x:c>
      <x:c r="CX25" s="32" t="n">
        <x:v>0</x:v>
      </x:c>
      <x:c r="CY25" s="32" t="n">
        <x:v>0</x:v>
      </x:c>
      <x:c r="CZ25" s="32" t="n">
        <x:v>0</x:v>
      </x:c>
      <x:c r="DA25" s="32" t="n">
        <x:v>10</x:v>
      </x:c>
      <x:c r="DB25" s="32" t="n">
        <x:v>20</x:v>
      </x:c>
      <x:c r="DC25" s="32" t="n">
        <x:v>20</x:v>
      </x:c>
      <x:c r="DD25" s="32" t="n">
        <x:v>1000</x:v>
      </x:c>
      <x:c r="DE25" s="32" t="n">
        <x:v>1000</x:v>
      </x:c>
      <x:c r="DF25" s="32" t="n">
        <x:v>0</x:v>
      </x:c>
      <x:c r="DG25" s="32" t="n">
        <x:v>0</x:v>
      </x:c>
      <x:c r="DH25" s="32"/>
      <x:c r="DI25" s="32"/>
      <x:c r="DJ25" s="32"/>
      <x:c r="DK25" s="32"/>
      <x:c r="DL25" s="32"/>
      <x:c r="DM25" s="32"/>
      <x:c r="DN25" s="32"/>
      <x:c r="DO25" s="32"/>
      <x:c r="DP25" s="32"/>
      <x:c r="DQ25" s="32"/>
      <x:c r="DR25" s="32"/>
      <x:c r="DS25" s="32"/>
      <x:c r="DT25" s="32"/>
      <x:c r="DU25" s="32"/>
      <x:c r="DV25" s="32"/>
      <x:c r="DW25" s="32"/>
      <x:c r="DX25" s="32"/>
      <x:c r="DY25" s="32"/>
      <x:c r="DZ25" s="32"/>
      <x:c r="EA25" s="32"/>
      <x:c r="EB25" s="32"/>
      <x:c r="EC25" s="32"/>
      <x:c r="ED25" s="32"/>
      <x:c r="EE25" s="32"/>
      <x:c r="EF25" s="32"/>
      <x:c r="EG25" s="32"/>
      <x:c r="EH25" s="32"/>
      <x:c r="EI25" s="32"/>
      <x:c r="EJ25" s="32"/>
      <x:c r="EK25" s="32"/>
      <x:c r="EL25" s="32"/>
      <x:c r="EM25" s="32"/>
      <x:c r="EN25" s="32"/>
      <x:c r="EO25" s="32"/>
      <x:c r="EP25" s="32"/>
      <x:c r="EQ25" s="32"/>
      <x:c r="ER25" s="32"/>
      <x:c r="ES25" s="32"/>
      <x:c r="ET25" s="32"/>
      <x:c r="EU25" s="32"/>
      <x:c r="EV25" s="32"/>
      <x:c r="EW25" s="32"/>
      <x:c r="EX25" s="32"/>
      <x:c r="EY25" s="32"/>
      <x:c r="EZ25" s="32"/>
      <x:c r="FA25" s="32"/>
      <x:c r="FB25" s="32"/>
      <x:c r="FC25" s="32"/>
      <x:c r="FD25" s="32"/>
      <x:c r="FE25" s="32"/>
      <x:c r="FF25" s="32"/>
      <x:c r="FG25" s="32"/>
      <x:c r="FH25" s="32"/>
      <x:c r="FI25" s="32"/>
      <x:c r="FJ25" s="32"/>
      <x:c r="FK25" s="32"/>
      <x:c r="FL25" s="32"/>
      <x:c r="FM25" s="32"/>
      <x:c r="FN25" s="32"/>
      <x:c r="FO25" s="32"/>
      <x:c r="FP25" s="32"/>
      <x:c r="FQ25" s="32"/>
      <x:c r="FR25" s="32"/>
      <x:c r="FS25" s="32"/>
      <x:c r="FT25" s="32"/>
      <x:c r="FU25" s="32"/>
      <x:c r="FV25" s="32"/>
      <x:c r="FW25" s="32"/>
      <x:c r="FX25" s="32"/>
      <x:c r="FY25" s="32"/>
      <x:c r="FZ25" s="32"/>
      <x:c r="GA25" s="32"/>
      <x:c r="GB25" s="32"/>
      <x:c r="GC25" s="32"/>
      <x:c r="GD25" s="32"/>
      <x:c r="GE25" s="32"/>
      <x:c r="GF25" s="32"/>
      <x:c r="GG25" s="32"/>
      <x:c r="GH25" s="32"/>
      <x:c r="GI25" s="32"/>
      <x:c r="GJ25" s="32"/>
      <x:c r="GK25" s="32"/>
      <x:c r="GL25" s="32"/>
      <x:c r="GM25" s="32"/>
      <x:c r="GN25" s="32"/>
      <x:c r="GO25" s="32"/>
      <x:c r="GP25" s="32"/>
      <x:c r="GQ25" s="32"/>
      <x:c r="GR25" s="32"/>
      <x:c r="GS25" s="32"/>
      <x:c r="GT25" s="32"/>
      <x:c r="GU25" s="32"/>
      <x:c r="GV25" s="32"/>
      <x:c r="GW25" s="32"/>
      <x:c r="GX25" s="32"/>
      <x:c r="GY25" s="32"/>
      <x:c r="GZ25" s="32"/>
      <x:c r="HA25" s="32"/>
      <x:c r="HB25" s="32"/>
      <x:c r="HC25" s="32"/>
      <x:c r="HD25" s="32"/>
      <x:c r="HE25" s="32"/>
      <x:c r="HF25" s="32"/>
      <x:c r="HG25" s="32"/>
      <x:c r="HH25" s="32"/>
      <x:c r="HI25" s="32"/>
      <x:c r="HJ25" s="32"/>
      <x:c r="HK25" s="32"/>
      <x:c r="HL25" s="32"/>
      <x:c r="HM25" s="32"/>
      <x:c r="HN25" s="32"/>
      <x:c r="HO25" s="32"/>
      <x:c r="HP25" s="32"/>
      <x:c r="HQ25" s="32"/>
      <x:c r="HR25" s="32"/>
      <x:c r="HS25" s="32"/>
      <x:c r="HT25" s="32"/>
      <x:c r="HU25" s="32"/>
      <x:c r="HV25" s="32"/>
      <x:c r="HW25" s="32"/>
      <x:c r="HX25" s="32"/>
      <x:c r="HY25" s="32"/>
      <x:c r="VW25" s="32"/>
      <x:c r="VX25" s="32"/>
      <x:c r="VY25" s="32"/>
      <x:c r="VZ25" s="32"/>
      <x:c r="WA25" s="32"/>
      <x:c r="WB25" s="32"/>
      <x:c r="WC25" s="32"/>
      <x:c r="WD25" s="32"/>
      <x:c r="WE25" s="32"/>
      <x:c r="WF25" s="32"/>
      <x:c r="WG25" s="32"/>
      <x:c r="WH25" s="32"/>
      <x:c r="WI25" s="32"/>
      <x:c r="WJ25" s="32"/>
      <x:c r="WK25" s="32"/>
      <x:c r="WL25" s="32"/>
      <x:c r="WM25" s="32"/>
      <x:c r="WN25" s="32"/>
      <x:c r="WO25" s="32"/>
      <x:c r="WP25" s="32"/>
      <x:c r="WQ25" s="32"/>
      <x:c r="WR25" s="32"/>
      <x:c r="WS25" s="32"/>
      <x:c r="WT25" s="32"/>
      <x:c r="WU25" s="32"/>
      <x:c r="WV25" s="32"/>
      <x:c r="WW25" s="32"/>
      <x:c r="WX25" s="32"/>
      <x:c r="WY25" s="32"/>
      <x:c r="WZ25" s="32"/>
      <x:c r="XA25" s="32"/>
      <x:c r="XB25" s="32"/>
      <x:c r="XC25" s="32"/>
      <x:c r="XD25" s="32"/>
    </x:row>
    <x:row r="26">
      <x:c r="A26" s="32" t="str">
        <x:v>fdc14ae0-9854-41c3-9ab8-a0b05ad3915c</x:v>
      </x:c>
      <x:c r="B26" s="32" t="str">
        <x:v>C-004-R1</x:v>
      </x:c>
      <x:c r="C26" s="42" t="n">
        <x:v>46259.99119212963</x:v>
      </x:c>
      <x:c r="D26" s="32" t="str">
        <x:v>489b7424f5051f7a276dafe8d5f318ccf1368d87</x:v>
      </x:c>
      <x:c r="E26" s="32" t="str">
        <x:v>GLONBW11</x:v>
      </x:c>
      <x:c r="F26" s="32" t="str">
        <x:v>local-filesystem</x:v>
      </x:c>
      <x:c r="G26" s="32" t="str">
        <x:v>3.14.2</x:v>
      </x:c>
      <x:c r="H26" s="32" t="str">
        <x:v>deterministic</x:v>
      </x:c>
      <x:c r="I26" s="32" t="n">
        <x:v>1000</x:v>
      </x:c>
      <x:c r="J26" s="32" t="n">
        <x:v>5</x:v>
      </x:c>
      <x:c r="K26" s="32" t="n">
        <x:v>5.0283423166666665</x:v>
      </x:c>
      <x:c r="L26" s="32" t="n">
        <x:v>47</x:v>
      </x:c>
      <x:c r="M26" s="32" t="n">
        <x:v>5</x:v>
      </x:c>
      <x:c r="N26" s="32" t="n">
        <x:v>10</x:v>
      </x:c>
      <x:c r="O26" s="32" t="n">
        <x:v>6423.878863999562</x:v>
      </x:c>
      <x:c r="P26" s="32" t="n">
        <x:v>6569.580884602328</x:v>
      </x:c>
      <x:c r="Q26" s="32" t="n">
        <x:v>6787.358309877018</x:v>
      </x:c>
      <x:c r="R26" s="32" t="n">
        <x:v>6902.757530995586</x:v>
      </x:c>
      <x:c r="S26" s="32" t="n">
        <x:v>46</x:v>
      </x:c>
      <x:c r="T26" s="43" t="n">
        <x:v>0.9787234042553191</x:v>
      </x:c>
      <x:c r="U26" s="32" t="n">
        <x:v>99.5845050462266</x:v>
      </x:c>
      <x:c r="V26" s="32" t="n">
        <x:v>100.19195553592888</x:v>
      </x:c>
      <x:c r="W26" s="32" t="n">
        <x:v>132.5581366356383</x:v>
      </x:c>
      <x:c r="X26" s="32" t="n">
        <x:v>132.71875</x:v>
      </x:c>
      <x:c r="Y26" s="32"/>
      <x:c r="Z26" s="32"/>
      <x:c r="AA26" s="32"/>
      <x:c r="AB26" s="32"/>
      <x:c r="AC26" s="32" t="n">
        <x:v>0</x:v>
      </x:c>
      <x:c r="AD26" s="32" t="n">
        <x:v>0</x:v>
      </x:c>
      <x:c r="AE26" s="32" t="n">
        <x:v>0</x:v>
      </x:c>
      <x:c r="AF26" s="32"/>
      <x:c r="AG26" s="32"/>
      <x:c r="AH26" s="32" t="n">
        <x:v>109.38201899989508</x:v>
      </x:c>
      <x:c r="AI26" s="32" t="str">
        <x:v>PASS-WITH-FINDINGS</x:v>
      </x:c>
      <x:c r="AJ26" s="32" t="str">
        <x:v>ACCEPTABLE/REVIEW</x:v>
      </x:c>
      <x:c r="AK26" s="32" t="str">
        <x:v>latest-narrow</x:v>
      </x:c>
      <x:c r="AL26" s="32" t="n">
        <x:v>1</x:v>
      </x:c>
      <x:c r="AM26" s="32" t="n">
        <x:v>1</x:v>
      </x:c>
      <x:c r="AN26" s="32" t="n">
        <x:v>1000</x:v>
      </x:c>
      <x:c r="AO26" s="32" t="n">
        <x:v>1</x:v>
      </x:c>
      <x:c r="AP26" s="32" t="n">
        <x:v>8132</x:v>
      </x:c>
      <x:c r="AQ26" s="32" t="n">
        <x:v>7.405337993986905</x:v>
      </x:c>
      <x:c r="AR26" s="32" t="n">
        <x:v>8.464744199591223</x:v>
      </x:c>
      <x:c r="AS26" s="32" t="n">
        <x:v>9.952708881755823</x:v>
      </x:c>
      <x:c r="AT26" s="32" t="n">
        <x:v>36</x:v>
      </x:c>
      <x:c r="AU26" s="32" t="str">
        <x:v>28×28 + 8×27</x:v>
      </x:c>
      <x:c r="AV26" s="32" t="n">
        <x:v>0.32956700306385756</x:v>
      </x:c>
      <x:c r="AW26" s="32" t="n">
        <x:v>0.435680500959279</x:v>
      </x:c>
      <x:c r="AX26" s="32" t="n">
        <x:v>1.1882679010159327</x:v>
      </x:c>
      <x:c r="AY26" s="32" t="str">
        <x:v>balanced</x:v>
      </x:c>
      <x:c r="AZ26" s="32" t="str">
        <x:v>PASS</x:v>
      </x:c>
      <x:c r="BA26" s="32" t="n">
        <x:v>500</x:v>
      </x:c>
      <x:c r="BB26" s="32" t="n">
        <x:v>500</x:v>
      </x:c>
      <x:c r="BC26" s="115" t="b">
        <x:v>1</x:v>
      </x:c>
      <x:c r="BD26" s="32" t="str">
        <x:v>Functional PASS; fixed 50/50 hotspot reproduced independently. 46/47 overruns and steady p50≈6.43 s despite zero writes after bootstrap. Root-cause candidate: repeated full durable-journal scans for missing-snapshot groups; C-004 latency correlation with active_groups×neutral_groups ≈0.9974.</x:v>
      </x:c>
      <x:c r="BE26" s="32" t="n">
        <x:v>0</x:v>
      </x:c>
      <x:c r="BF26" s="32" t="n">
        <x:v>0</x:v>
      </x:c>
      <x:c r="BG26" s="32" t="n">
        <x:v>0</x:v>
      </x:c>
      <x:c r="BH26" s="32" t="n">
        <x:v>0</x:v>
      </x:c>
      <x:c r="BI26" s="32" t="n">
        <x:v>0</x:v>
      </x:c>
      <x:c r="BJ26" s="32" t="n">
        <x:v>1000</x:v>
      </x:c>
      <x:c r="BK26" s="32" t="n">
        <x:v>1000</x:v>
      </x:c>
      <x:c r="BL26" s="32" t="n">
        <x:v>0</x:v>
      </x:c>
      <x:c r="BM26" s="32" t="n">
        <x:v>0</x:v>
      </x:c>
      <x:c r="BN26" s="32" t="n">
        <x:v>100</x:v>
      </x:c>
      <x:c r="BO26" s="32" t="n">
        <x:v>10</x:v>
      </x:c>
      <x:c r="BP26" s="32" t="n">
        <x:v>0</x:v>
      </x:c>
      <x:c r="BQ26" s="32" t="n">
        <x:v>50</x:v>
      </x:c>
      <x:c r="BR26" s="32" t="n">
        <x:v>30</x:v>
      </x:c>
      <x:c r="BS26" s="32" t="n">
        <x:v>0</x:v>
      </x:c>
      <x:c r="BT26" s="32" t="n">
        <x:v>50</x:v>
      </x:c>
      <x:c r="BU26" s="32" t="n">
        <x:v>50</x:v>
      </x:c>
      <x:c r="BV26" s="32" t="n">
        <x:v>0</x:v>
      </x:c>
      <x:c r="BW26" s="32" t="n">
        <x:v>500</x:v>
      </x:c>
      <x:c r="BX26" s="32" t="n">
        <x:v>500</x:v>
      </x:c>
      <x:c r="BY26" s="32" t="n">
        <x:v>0</x:v>
      </x:c>
      <x:c r="BZ26" s="32" t="n">
        <x:v>0</x:v>
      </x:c>
      <x:c r="CA26" s="32" t="n">
        <x:v>50</x:v>
      </x:c>
      <x:c r="CB26" s="32" t="n">
        <x:v>50</x:v>
      </x:c>
      <x:c r="CC26" s="32" t="n">
        <x:v>0</x:v>
      </x:c>
      <x:c r="CD26" s="32" t="n">
        <x:v>0</x:v>
      </x:c>
      <x:c r="CE26" s="32" t="n">
        <x:v>500</x:v>
      </x:c>
      <x:c r="CF26" s="32" t="n">
        <x:v>1000</x:v>
      </x:c>
      <x:c r="CG26" s="32" t="n">
        <x:v>500</x:v>
      </x:c>
      <x:c r="CH26" s="32" t="n">
        <x:v>0</x:v>
      </x:c>
      <x:c r="CI26" s="115" t="b">
        <x:v>1</x:v>
      </x:c>
      <x:c r="CJ26" s="32" t="n">
        <x:v>0</x:v>
      </x:c>
      <x:c r="CK26" s="32" t="n">
        <x:v>500</x:v>
      </x:c>
      <x:c r="CL26" s="32" t="n">
        <x:v>0</x:v>
      </x:c>
      <x:c r="CM26" s="32" t="n">
        <x:v>0</x:v>
      </x:c>
      <x:c r="CN26" s="32" t="n">
        <x:v>0</x:v>
      </x:c>
      <x:c r="CO26" s="32" t="n">
        <x:v>0</x:v>
      </x:c>
      <x:c r="CP26" s="32" t="n">
        <x:v>0</x:v>
      </x:c>
      <x:c r="CQ26" s="32" t="n">
        <x:v>0</x:v>
      </x:c>
      <x:c r="CR26" s="32" t="n">
        <x:v>0</x:v>
      </x:c>
      <x:c r="CS26" s="32" t="n">
        <x:v>0</x:v>
      </x:c>
      <x:c r="CT26" s="32" t="n">
        <x:v>0</x:v>
      </x:c>
      <x:c r="CU26" s="32" t="n">
        <x:v>0</x:v>
      </x:c>
      <x:c r="CV26" s="32" t="n">
        <x:v>0</x:v>
      </x:c>
      <x:c r="CW26" s="32" t="n">
        <x:v>0</x:v>
      </x:c>
      <x:c r="CX26" s="32" t="n">
        <x:v>0</x:v>
      </x:c>
      <x:c r="CY26" s="32" t="n">
        <x:v>0</x:v>
      </x:c>
      <x:c r="CZ26" s="32" t="n">
        <x:v>0</x:v>
      </x:c>
      <x:c r="DA26" s="32" t="n">
        <x:v>0</x:v>
      </x:c>
      <x:c r="DB26" s="32" t="n">
        <x:v>0</x:v>
      </x:c>
      <x:c r="DC26" s="32" t="n">
        <x:v>0</x:v>
      </x:c>
      <x:c r="DD26" s="32" t="n">
        <x:v>0</x:v>
      </x:c>
      <x:c r="DE26" s="32" t="n">
        <x:v>0</x:v>
      </x:c>
      <x:c r="DF26" s="32" t="n">
        <x:v>0</x:v>
      </x:c>
      <x:c r="DG26" s="32" t="n">
        <x:v>50</x:v>
      </x:c>
      <x:c r="DH26" s="32"/>
      <x:c r="DI26" s="32"/>
      <x:c r="DJ26" s="32"/>
      <x:c r="DK26" s="32"/>
      <x:c r="DL26" s="32"/>
      <x:c r="DM26" s="32"/>
      <x:c r="DN26" s="32"/>
      <x:c r="DO26" s="32"/>
      <x:c r="DP26" s="32"/>
      <x:c r="DQ26" s="32"/>
      <x:c r="DR26" s="32"/>
      <x:c r="DS26" s="32"/>
      <x:c r="DT26" s="32"/>
      <x:c r="DU26" s="32"/>
      <x:c r="DV26" s="32"/>
      <x:c r="DW26" s="32"/>
      <x:c r="DX26" s="32"/>
      <x:c r="DY26" s="32"/>
      <x:c r="DZ26" s="32"/>
      <x:c r="EA26" s="32"/>
      <x:c r="EB26" s="32"/>
      <x:c r="EC26" s="32"/>
      <x:c r="ED26" s="32"/>
      <x:c r="EE26" s="32"/>
      <x:c r="EF26" s="32"/>
      <x:c r="EG26" s="32"/>
      <x:c r="EH26" s="32"/>
      <x:c r="EI26" s="32"/>
      <x:c r="EJ26" s="32"/>
      <x:c r="EK26" s="32"/>
      <x:c r="EL26" s="32"/>
      <x:c r="EM26" s="32"/>
      <x:c r="EN26" s="32"/>
      <x:c r="EO26" s="32"/>
      <x:c r="EP26" s="32"/>
      <x:c r="EQ26" s="32"/>
      <x:c r="ER26" s="32"/>
      <x:c r="ES26" s="32"/>
      <x:c r="ET26" s="32"/>
      <x:c r="EU26" s="32"/>
      <x:c r="EV26" s="32"/>
      <x:c r="EW26" s="32"/>
      <x:c r="EX26" s="32"/>
      <x:c r="EY26" s="32"/>
      <x:c r="EZ26" s="32"/>
      <x:c r="FA26" s="32"/>
      <x:c r="FB26" s="32"/>
      <x:c r="FC26" s="32"/>
      <x:c r="FD26" s="32"/>
      <x:c r="FE26" s="32"/>
      <x:c r="FF26" s="32"/>
      <x:c r="FG26" s="32"/>
      <x:c r="FH26" s="32"/>
      <x:c r="FI26" s="32"/>
      <x:c r="FJ26" s="32"/>
      <x:c r="FK26" s="32"/>
      <x:c r="FL26" s="32"/>
      <x:c r="FM26" s="32"/>
      <x:c r="FN26" s="32"/>
      <x:c r="FO26" s="32"/>
      <x:c r="FP26" s="32"/>
      <x:c r="FQ26" s="32"/>
      <x:c r="FR26" s="32"/>
      <x:c r="FS26" s="32"/>
      <x:c r="FT26" s="32"/>
      <x:c r="FU26" s="32"/>
      <x:c r="FV26" s="32"/>
      <x:c r="FW26" s="32"/>
      <x:c r="FX26" s="32"/>
      <x:c r="FY26" s="32"/>
      <x:c r="FZ26" s="32"/>
      <x:c r="GA26" s="32"/>
      <x:c r="GB26" s="32"/>
      <x:c r="GC26" s="32"/>
      <x:c r="GD26" s="32"/>
      <x:c r="GE26" s="32"/>
      <x:c r="GF26" s="32"/>
      <x:c r="GG26" s="32"/>
      <x:c r="GH26" s="32"/>
      <x:c r="GI26" s="32"/>
      <x:c r="GJ26" s="32"/>
      <x:c r="GK26" s="32"/>
      <x:c r="GL26" s="32"/>
      <x:c r="GM26" s="32"/>
      <x:c r="GN26" s="32"/>
      <x:c r="GO26" s="32"/>
      <x:c r="GP26" s="32"/>
      <x:c r="GQ26" s="32"/>
      <x:c r="GR26" s="32"/>
      <x:c r="GS26" s="32"/>
      <x:c r="GT26" s="32"/>
      <x:c r="GU26" s="32"/>
      <x:c r="GV26" s="32"/>
      <x:c r="GW26" s="32"/>
      <x:c r="GX26" s="32"/>
      <x:c r="GY26" s="32"/>
      <x:c r="GZ26" s="32"/>
      <x:c r="HA26" s="32"/>
      <x:c r="HB26" s="32"/>
      <x:c r="HC26" s="32"/>
      <x:c r="HD26" s="32"/>
      <x:c r="HE26" s="32"/>
      <x:c r="HF26" s="32"/>
      <x:c r="HG26" s="32"/>
      <x:c r="HH26" s="32"/>
      <x:c r="HI26" s="32"/>
      <x:c r="HJ26" s="32"/>
      <x:c r="HK26" s="32"/>
      <x:c r="HL26" s="32"/>
      <x:c r="HM26" s="32"/>
      <x:c r="HN26" s="32"/>
      <x:c r="HO26" s="32"/>
      <x:c r="HP26" s="32"/>
      <x:c r="HQ26" s="32"/>
      <x:c r="HR26" s="32"/>
      <x:c r="HS26" s="32"/>
      <x:c r="HT26" s="32"/>
      <x:c r="HU26" s="32"/>
      <x:c r="HV26" s="32"/>
      <x:c r="HW26" s="32"/>
      <x:c r="HX26" s="32"/>
      <x:c r="HY26" s="32"/>
      <x:c r="VW26" s="32"/>
      <x:c r="VX26" s="32"/>
      <x:c r="VY26" s="32"/>
      <x:c r="VZ26" s="32"/>
      <x:c r="WA26" s="32"/>
      <x:c r="WB26" s="32"/>
      <x:c r="WC26" s="32"/>
      <x:c r="WD26" s="32"/>
      <x:c r="WE26" s="32"/>
      <x:c r="WF26" s="32"/>
      <x:c r="WG26" s="32"/>
      <x:c r="WH26" s="32"/>
      <x:c r="WI26" s="32"/>
      <x:c r="WJ26" s="32"/>
      <x:c r="WK26" s="32"/>
      <x:c r="WL26" s="32"/>
      <x:c r="WM26" s="32"/>
      <x:c r="WN26" s="32"/>
      <x:c r="WO26" s="32"/>
      <x:c r="WP26" s="32"/>
      <x:c r="WQ26" s="32"/>
      <x:c r="WR26" s="32"/>
      <x:c r="WS26" s="32"/>
      <x:c r="WT26" s="32"/>
      <x:c r="WU26" s="32"/>
      <x:c r="WV26" s="32"/>
      <x:c r="WW26" s="32"/>
      <x:c r="WX26" s="32"/>
      <x:c r="WY26" s="32"/>
      <x:c r="WZ26" s="32"/>
      <x:c r="XA26" s="32"/>
      <x:c r="XB26" s="32"/>
      <x:c r="XC26" s="32"/>
      <x:c r="XD26" s="32"/>
    </x:row>
    <x:row r="27">
      <x:c r="A27" s="32" t="str">
        <x:v>5669a356-5857-440d-941e-17cc8f6f5251</x:v>
      </x:c>
      <x:c r="B27" s="32" t="str">
        <x:v>C-004-R2</x:v>
      </x:c>
      <x:c r="C27" s="42" t="n">
        <x:v>46260.810752314814</x:v>
      </x:c>
      <x:c r="D27" s="32" t="str">
        <x:v>489b7424f5051f7a276dafe8d5f318ccf1368d87</x:v>
      </x:c>
      <x:c r="E27" s="32" t="str">
        <x:v>GLONBW11</x:v>
      </x:c>
      <x:c r="F27" s="32" t="str">
        <x:v>local-filesystem</x:v>
      </x:c>
      <x:c r="G27" s="32" t="str">
        <x:v>3.14.2</x:v>
      </x:c>
      <x:c r="H27" s="32" t="str">
        <x:v>deterministic</x:v>
      </x:c>
      <x:c r="I27" s="32" t="n">
        <x:v>1000</x:v>
      </x:c>
      <x:c r="J27" s="32" t="n">
        <x:v>3</x:v>
      </x:c>
      <x:c r="K27" s="32" t="n">
        <x:v>3.0191474499999997</x:v>
      </x:c>
      <x:c r="L27" s="32" t="n">
        <x:v>37</x:v>
      </x:c>
      <x:c r="M27" s="32" t="n">
        <x:v>5</x:v>
      </x:c>
      <x:c r="N27" s="32" t="n">
        <x:v>10</x:v>
      </x:c>
      <x:c r="O27" s="32" t="n">
        <x:v>954.3446420000237</x:v>
      </x:c>
      <x:c r="P27" s="32" t="n">
        <x:v>992.8814136000256</x:v>
      </x:c>
      <x:c r="Q27" s="32" t="n">
        <x:v>1210.0901812800478</x:v>
      </x:c>
      <x:c r="R27" s="32" t="n">
        <x:v>1331.1897090000002</x:v>
      </x:c>
      <x:c r="S27" s="32" t="n">
        <x:v>0</x:v>
      </x:c>
      <x:c r="T27" s="43" t="n">
        <x:v>0</x:v>
      </x:c>
      <x:c r="U27" s="32" t="n">
        <x:v>97.0001149295107</x:v>
      </x:c>
      <x:c r="V27" s="32" t="n">
        <x:v>98.9630751078527</x:v>
      </x:c>
      <x:c r="W27" s="32" t="n">
        <x:v>132.4359691722973</x:v>
      </x:c>
      <x:c r="X27" s="32" t="n">
        <x:v>132.7265625</x:v>
      </x:c>
      <x:c r="Y27" s="32"/>
      <x:c r="Z27" s="32"/>
      <x:c r="AA27" s="32"/>
      <x:c r="AB27" s="32"/>
      <x:c r="AC27" s="32" t="n">
        <x:v>0</x:v>
      </x:c>
      <x:c r="AD27" s="32" t="n">
        <x:v>0</x:v>
      </x:c>
      <x:c r="AE27" s="32" t="n">
        <x:v>0</x:v>
      </x:c>
      <x:c r="AF27" s="32"/>
      <x:c r="AG27" s="32"/>
      <x:c r="AH27" s="32" t="n">
        <x:v>104.1123959998913</x:v>
      </x:c>
      <x:c r="AI27" s="32" t="str">
        <x:v>PASS</x:v>
      </x:c>
      <x:c r="AJ27" s="32" t="str">
        <x:v>GREEN</x:v>
      </x:c>
      <x:c r="AK27" s="32" t="str">
        <x:v>latest-narrow</x:v>
      </x:c>
      <x:c r="AL27" s="32" t="n">
        <x:v>1</x:v>
      </x:c>
      <x:c r="AM27" s="32" t="n">
        <x:v>1</x:v>
      </x:c>
      <x:c r="AN27" s="32" t="n">
        <x:v>1000</x:v>
      </x:c>
      <x:c r="AO27" s="32" t="n">
        <x:v>1</x:v>
      </x:c>
      <x:c r="AP27" s="32" t="n">
        <x:v>8132</x:v>
      </x:c>
      <x:c r="AQ27" s="32" t="n">
        <x:v>9.561186999917481</x:v>
      </x:c>
      <x:c r="AR27" s="32" t="n">
        <x:v>11.284082399924959</x:v>
      </x:c>
      <x:c r="AS27" s="32" t="n">
        <x:v>12.245356799885485</x:v>
      </x:c>
      <x:c r="AT27" s="32" t="n">
        <x:v>36</x:v>
      </x:c>
      <x:c r="AU27" s="32" t="str">
        <x:v>28×28 + 8×27</x:v>
      </x:c>
      <x:c r="AV27" s="32" t="n">
        <x:v>0.3249769999911223</x:v>
      </x:c>
      <x:c r="AW27" s="32" t="n">
        <x:v>0.4067979999035743</x:v>
      </x:c>
      <x:c r="AX27" s="32" t="n">
        <x:v>0.558329679997769</x:v>
      </x:c>
      <x:c r="AY27" s="32" t="str">
        <x:v>balanced</x:v>
      </x:c>
      <x:c r="AZ27" s="32" t="str">
        <x:v>PASS</x:v>
      </x:c>
      <x:c r="BA27" s="32" t="n">
        <x:v>500</x:v>
      </x:c>
      <x:c r="BB27" s="32" t="n">
        <x:v>500</x:v>
      </x:c>
      <x:c r="BC27" s="115" t="b">
        <x:v>1</x:v>
      </x:c>
      <x:c r="BD27" s="32" t="str">
        <x:v>PASS/GREEN. Indexed end-to-end run preserves R1 functional state while eliminating the hotspot. p95 0.993 s, 0 overruns; 1900 lookups with only 36 full durable-journal scans. Root cause confirmed: repeated journal rereads per missing-snapshot group.</x:v>
      </x:c>
      <x:c r="BE27" s="32" t="n">
        <x:v>0</x:v>
      </x:c>
      <x:c r="BF27" s="32" t="n">
        <x:v>0</x:v>
      </x:c>
      <x:c r="BG27" s="32" t="n">
        <x:v>0</x:v>
      </x:c>
      <x:c r="BH27" s="32" t="n">
        <x:v>0</x:v>
      </x:c>
      <x:c r="BI27" s="32" t="n">
        <x:v>0</x:v>
      </x:c>
      <x:c r="BJ27" s="32" t="n">
        <x:v>1000</x:v>
      </x:c>
      <x:c r="BK27" s="32" t="n">
        <x:v>1000</x:v>
      </x:c>
      <x:c r="BL27" s="32" t="n">
        <x:v>0</x:v>
      </x:c>
      <x:c r="BM27" s="32" t="n">
        <x:v>0</x:v>
      </x:c>
      <x:c r="BN27" s="32" t="n">
        <x:v>100</x:v>
      </x:c>
      <x:c r="BO27" s="32" t="n">
        <x:v>10</x:v>
      </x:c>
      <x:c r="BP27" s="32" t="n">
        <x:v>0</x:v>
      </x:c>
      <x:c r="BQ27" s="32" t="n">
        <x:v>50</x:v>
      </x:c>
      <x:c r="BR27" s="32" t="n">
        <x:v>18</x:v>
      </x:c>
      <x:c r="BS27" s="32" t="n">
        <x:v>0</x:v>
      </x:c>
      <x:c r="BT27" s="32" t="n">
        <x:v>50</x:v>
      </x:c>
      <x:c r="BU27" s="32" t="n">
        <x:v>50</x:v>
      </x:c>
      <x:c r="BV27" s="32" t="n">
        <x:v>0</x:v>
      </x:c>
      <x:c r="BW27" s="32" t="n">
        <x:v>500</x:v>
      </x:c>
      <x:c r="BX27" s="32" t="n">
        <x:v>500</x:v>
      </x:c>
      <x:c r="BY27" s="32" t="n">
        <x:v>0</x:v>
      </x:c>
      <x:c r="BZ27" s="32" t="n">
        <x:v>0</x:v>
      </x:c>
      <x:c r="CA27" s="32" t="n">
        <x:v>50</x:v>
      </x:c>
      <x:c r="CB27" s="32" t="n">
        <x:v>50</x:v>
      </x:c>
      <x:c r="CC27" s="32" t="n">
        <x:v>0</x:v>
      </x:c>
      <x:c r="CD27" s="32" t="n">
        <x:v>0</x:v>
      </x:c>
      <x:c r="CE27" s="32" t="n">
        <x:v>500</x:v>
      </x:c>
      <x:c r="CF27" s="32" t="n">
        <x:v>1000</x:v>
      </x:c>
      <x:c r="CG27" s="32" t="n">
        <x:v>500</x:v>
      </x:c>
      <x:c r="CH27" s="32" t="n">
        <x:v>0</x:v>
      </x:c>
      <x:c r="CI27" s="115" t="b">
        <x:v>1</x:v>
      </x:c>
      <x:c r="CJ27" s="32" t="n">
        <x:v>0</x:v>
      </x:c>
      <x:c r="CK27" s="32" t="n">
        <x:v>500</x:v>
      </x:c>
      <x:c r="CL27" s="32" t="n">
        <x:v>0</x:v>
      </x:c>
      <x:c r="CM27" s="32" t="n">
        <x:v>0</x:v>
      </x:c>
      <x:c r="CN27" s="32" t="n">
        <x:v>0</x:v>
      </x:c>
      <x:c r="CO27" s="32" t="n">
        <x:v>0</x:v>
      </x:c>
      <x:c r="CP27" s="32" t="n">
        <x:v>0</x:v>
      </x:c>
      <x:c r="CQ27" s="32" t="n">
        <x:v>0</x:v>
      </x:c>
      <x:c r="CR27" s="32" t="n">
        <x:v>0</x:v>
      </x:c>
      <x:c r="CS27" s="32" t="n">
        <x:v>0</x:v>
      </x:c>
      <x:c r="CT27" s="32" t="n">
        <x:v>0</x:v>
      </x:c>
      <x:c r="CU27" s="32" t="n">
        <x:v>0</x:v>
      </x:c>
      <x:c r="CV27" s="32" t="n">
        <x:v>0</x:v>
      </x:c>
      <x:c r="CW27" s="32" t="n">
        <x:v>0</x:v>
      </x:c>
      <x:c r="CX27" s="32" t="n">
        <x:v>0</x:v>
      </x:c>
      <x:c r="CY27" s="32" t="n">
        <x:v>0</x:v>
      </x:c>
      <x:c r="CZ27" s="32" t="n">
        <x:v>0</x:v>
      </x:c>
      <x:c r="DA27" s="32" t="n">
        <x:v>0</x:v>
      </x:c>
      <x:c r="DB27" s="32" t="n">
        <x:v>0</x:v>
      </x:c>
      <x:c r="DC27" s="32" t="n">
        <x:v>0</x:v>
      </x:c>
      <x:c r="DD27" s="32" t="n">
        <x:v>0</x:v>
      </x:c>
      <x:c r="DE27" s="32" t="n">
        <x:v>0</x:v>
      </x:c>
      <x:c r="DF27" s="32" t="n">
        <x:v>0</x:v>
      </x:c>
      <x:c r="DG27" s="32" t="n">
        <x:v>50</x:v>
      </x:c>
      <x:c r="DH27" s="32" t="str">
        <x:v>indexed</x:v>
      </x:c>
      <x:c r="DI27" s="32" t="n">
        <x:v>37</x:v>
      </x:c>
      <x:c r="DJ27" s="32" t="n">
        <x:v>1900</x:v>
      </x:c>
      <x:c r="DK27" s="32" t="n">
        <x:v>3934.3675330021597</x:v>
      </x:c>
      <x:c r="DL27" s="32" t="n">
        <x:v>36</x:v>
      </x:c>
      <x:c r="DM27" s="32" t="n">
        <x:v>3815.646829000343</x:v>
      </x:c>
      <x:c r="DN27" s="32" t="n">
        <x:v>1800</x:v>
      </x:c>
      <x:c r="DO27" s="32" t="n">
        <x:v>36</x:v>
      </x:c>
      <x:c r="DP27" s="32" t="n">
        <x:v>0.32189000012294855</x:v>
      </x:c>
      <x:c r="DQ27" s="32"/>
      <x:c r="DR27" s="32"/>
      <x:c r="DS27" s="32"/>
      <x:c r="DT27" s="32"/>
      <x:c r="DU27" s="32"/>
      <x:c r="DV27" s="32"/>
      <x:c r="DW27" s="32"/>
      <x:c r="DX27" s="32"/>
      <x:c r="DY27" s="32"/>
      <x:c r="DZ27" s="32"/>
      <x:c r="EA27" s="32"/>
      <x:c r="EB27" s="32"/>
      <x:c r="EC27" s="32"/>
      <x:c r="ED27" s="32"/>
      <x:c r="EE27" s="32"/>
      <x:c r="EF27" s="32"/>
      <x:c r="EG27" s="32"/>
      <x:c r="EH27" s="32"/>
      <x:c r="EI27" s="32"/>
      <x:c r="EJ27" s="32"/>
      <x:c r="EK27" s="32"/>
      <x:c r="EL27" s="32"/>
      <x:c r="EM27" s="32"/>
      <x:c r="EN27" s="32"/>
      <x:c r="EO27" s="32"/>
      <x:c r="EP27" s="32"/>
      <x:c r="EQ27" s="32"/>
      <x:c r="ER27" s="32"/>
      <x:c r="ES27" s="32"/>
      <x:c r="ET27" s="32"/>
      <x:c r="EU27" s="32"/>
      <x:c r="EV27" s="32"/>
      <x:c r="EW27" s="32"/>
      <x:c r="EX27" s="32"/>
      <x:c r="EY27" s="32"/>
      <x:c r="EZ27" s="32"/>
      <x:c r="FA27" s="32"/>
      <x:c r="FB27" s="32"/>
      <x:c r="FC27" s="32"/>
      <x:c r="FD27" s="32"/>
      <x:c r="FE27" s="32"/>
      <x:c r="FF27" s="32"/>
      <x:c r="FG27" s="32"/>
      <x:c r="FH27" s="32"/>
      <x:c r="FI27" s="32"/>
      <x:c r="FJ27" s="32"/>
      <x:c r="FK27" s="32"/>
      <x:c r="FL27" s="32"/>
      <x:c r="FM27" s="32"/>
      <x:c r="FN27" s="32"/>
      <x:c r="FO27" s="32"/>
      <x:c r="FP27" s="32"/>
      <x:c r="FQ27" s="32"/>
      <x:c r="FR27" s="32"/>
      <x:c r="FS27" s="32"/>
      <x:c r="FT27" s="32"/>
      <x:c r="FU27" s="32"/>
      <x:c r="FV27" s="32"/>
      <x:c r="FW27" s="32"/>
      <x:c r="FX27" s="32"/>
      <x:c r="FY27" s="32"/>
      <x:c r="FZ27" s="32"/>
      <x:c r="GA27" s="32"/>
      <x:c r="GB27" s="32"/>
      <x:c r="GC27" s="32"/>
      <x:c r="GD27" s="32"/>
      <x:c r="GE27" s="32"/>
      <x:c r="GF27" s="32"/>
      <x:c r="GG27" s="32"/>
      <x:c r="GH27" s="32"/>
      <x:c r="GI27" s="32"/>
      <x:c r="GJ27" s="32"/>
      <x:c r="GK27" s="32"/>
      <x:c r="GL27" s="32"/>
      <x:c r="GM27" s="32"/>
      <x:c r="GN27" s="32"/>
      <x:c r="GO27" s="32"/>
      <x:c r="GP27" s="32"/>
      <x:c r="GQ27" s="32"/>
      <x:c r="GR27" s="32"/>
      <x:c r="GS27" s="32"/>
      <x:c r="GT27" s="32"/>
      <x:c r="GU27" s="32"/>
      <x:c r="GV27" s="32"/>
      <x:c r="GW27" s="32"/>
      <x:c r="GX27" s="32"/>
      <x:c r="GY27" s="32"/>
      <x:c r="GZ27" s="32"/>
      <x:c r="HA27" s="32"/>
      <x:c r="HB27" s="32"/>
      <x:c r="HC27" s="32"/>
      <x:c r="HD27" s="32"/>
      <x:c r="HE27" s="32"/>
      <x:c r="HF27" s="32"/>
      <x:c r="HG27" s="32"/>
      <x:c r="HH27" s="32"/>
      <x:c r="HI27" s="32"/>
      <x:c r="HJ27" s="32"/>
      <x:c r="HK27" s="32"/>
      <x:c r="HL27" s="32"/>
      <x:c r="HM27" s="32"/>
      <x:c r="HN27" s="32"/>
      <x:c r="HO27" s="32"/>
      <x:c r="HP27" s="32"/>
      <x:c r="HQ27" s="32"/>
      <x:c r="HR27" s="32"/>
      <x:c r="HS27" s="32"/>
      <x:c r="HT27" s="32"/>
      <x:c r="HU27" s="32"/>
      <x:c r="HV27" s="32"/>
      <x:c r="HW27" s="32"/>
      <x:c r="HX27" s="32"/>
      <x:c r="HY27" s="32"/>
      <x:c r="VW27" s="32"/>
      <x:c r="VX27" s="32"/>
      <x:c r="VY27" s="32"/>
      <x:c r="VZ27" s="32"/>
      <x:c r="WA27" s="32"/>
      <x:c r="WB27" s="32"/>
      <x:c r="WC27" s="32"/>
      <x:c r="WD27" s="32"/>
      <x:c r="WE27" s="32"/>
      <x:c r="WF27" s="32"/>
      <x:c r="WG27" s="32"/>
      <x:c r="WH27" s="32"/>
      <x:c r="WI27" s="32"/>
      <x:c r="WJ27" s="32"/>
      <x:c r="WK27" s="32"/>
      <x:c r="WL27" s="32"/>
      <x:c r="WM27" s="32"/>
      <x:c r="WN27" s="32"/>
      <x:c r="WO27" s="32"/>
      <x:c r="WP27" s="32"/>
      <x:c r="WQ27" s="32"/>
      <x:c r="WR27" s="32"/>
      <x:c r="WS27" s="32"/>
      <x:c r="WT27" s="32"/>
      <x:c r="WU27" s="32"/>
      <x:c r="WV27" s="32"/>
      <x:c r="WW27" s="32"/>
      <x:c r="WX27" s="32"/>
      <x:c r="WY27" s="32"/>
      <x:c r="WZ27" s="32"/>
      <x:c r="XA27" s="32"/>
      <x:c r="XB27" s="32"/>
      <x:c r="XC27" s="32"/>
      <x:c r="XD27" s="32"/>
    </x:row>
    <x:row r="28">
      <x:c r="A28" s="32" t="str">
        <x:v>aaa915fa-41f3-4bac-8778-35c764634764</x:v>
      </x:c>
      <x:c r="B28" s="32" t="str">
        <x:v>C-004-R3</x:v>
      </x:c>
      <x:c r="C28" s="42" t="n">
        <x:v>46260.85099537037</x:v>
      </x:c>
      <x:c r="D28" s="32" t="str">
        <x:v>489b7424f5051f7a276dafe8d5f318ccf1368d87</x:v>
      </x:c>
      <x:c r="E28" s="32" t="str">
        <x:v>GLONBW11</x:v>
      </x:c>
      <x:c r="F28" s="32" t="str">
        <x:v>local-filesystem</x:v>
      </x:c>
      <x:c r="G28" s="32" t="str">
        <x:v>3.14.2</x:v>
      </x:c>
      <x:c r="H28" s="32" t="str">
        <x:v>deterministic</x:v>
      </x:c>
      <x:c r="I28" s="32" t="n">
        <x:v>1000</x:v>
      </x:c>
      <x:c r="J28" s="32" t="n">
        <x:v>5</x:v>
      </x:c>
      <x:c r="K28" s="32" t="n">
        <x:v>5.02777835</x:v>
      </x:c>
      <x:c r="L28" s="32" t="n">
        <x:v>61</x:v>
      </x:c>
      <x:c r="M28" s="32" t="n">
        <x:v>5</x:v>
      </x:c>
      <x:c r="N28" s="32" t="n">
        <x:v>10</x:v>
      </x:c>
      <x:c r="O28" s="32" t="n">
        <x:v>956.8564029996196</x:v>
      </x:c>
      <x:c r="P28" s="32" t="n">
        <x:v>987.9732889994557</x:v>
      </x:c>
      <x:c r="Q28" s="32" t="n">
        <x:v>1335.7436707996383</x:v>
      </x:c>
      <x:c r="R28" s="32" t="n">
        <x:v>1392.9694789994755</x:v>
      </x:c>
      <x:c r="S28" s="32" t="n">
        <x:v>0</x:v>
      </x:c>
      <x:c r="T28" s="43" t="n">
        <x:v>0</x:v>
      </x:c>
      <x:c r="U28" s="32" t="n">
        <x:v>97.85326978719431</x:v>
      </x:c>
      <x:c r="V28" s="32" t="n">
        <x:v>100.51743954885852</x:v>
      </x:c>
      <x:c r="W28" s="32" t="n">
        <x:v>132.76837858606558</x:v>
      </x:c>
      <x:c r="X28" s="32" t="n">
        <x:v>132.89453125</x:v>
      </x:c>
      <x:c r="Y28" s="32"/>
      <x:c r="Z28" s="32"/>
      <x:c r="AA28" s="32"/>
      <x:c r="AB28" s="32"/>
      <x:c r="AC28" s="32" t="n">
        <x:v>0</x:v>
      </x:c>
      <x:c r="AD28" s="32" t="n">
        <x:v>0</x:v>
      </x:c>
      <x:c r="AE28" s="32" t="n">
        <x:v>0</x:v>
      </x:c>
      <x:c r="AF28" s="32"/>
      <x:c r="AG28" s="32"/>
      <x:c r="AH28" s="32" t="n">
        <x:v>166.16460900058883</x:v>
      </x:c>
      <x:c r="AI28" s="32" t="str">
        <x:v>PASS</x:v>
      </x:c>
      <x:c r="AJ28" s="32" t="str">
        <x:v>GREEN</x:v>
      </x:c>
      <x:c r="AK28" s="32" t="str">
        <x:v>latest-narrow</x:v>
      </x:c>
      <x:c r="AL28" s="32" t="n">
        <x:v>1</x:v>
      </x:c>
      <x:c r="AM28" s="32" t="n">
        <x:v>1</x:v>
      </x:c>
      <x:c r="AN28" s="32" t="n">
        <x:v>1000</x:v>
      </x:c>
      <x:c r="AO28" s="32" t="n">
        <x:v>1</x:v>
      </x:c>
      <x:c r="AP28" s="32" t="n">
        <x:v>8132</x:v>
      </x:c>
      <x:c r="AQ28" s="32" t="n">
        <x:v>9.445153000342543</x:v>
      </x:c>
      <x:c r="AR28" s="32" t="n">
        <x:v>11.46678300028725</x:v>
      </x:c>
      <x:c r="AS28" s="32" t="n">
        <x:v>11.854974999914702</x:v>
      </x:c>
      <x:c r="AT28" s="32" t="n">
        <x:v>36</x:v>
      </x:c>
      <x:c r="AU28" s="32" t="str">
        <x:v>28×28 + 8×27</x:v>
      </x:c>
      <x:c r="AV28" s="32" t="n">
        <x:v>0.3229359999750159</x:v>
      </x:c>
      <x:c r="AW28" s="32" t="n">
        <x:v>0.38186100027814973</x:v>
      </x:c>
      <x:c r="AX28" s="32" t="n">
        <x:v>0.5087100002128861</x:v>
      </x:c>
      <x:c r="AY28" s="32" t="str">
        <x:v>balanced</x:v>
      </x:c>
      <x:c r="AZ28" s="32" t="str">
        <x:v>PASS</x:v>
      </x:c>
      <x:c r="BA28" s="32" t="n">
        <x:v>500</x:v>
      </x:c>
      <x:c r="BB28" s="32" t="n">
        <x:v>500</x:v>
      </x:c>
      <x:c r="BC28" s="115" t="b">
        <x:v>1</x:v>
      </x:c>
      <x:c r="BD28" s="32" t="str">
        <x:v>PASS/GREEN on product runtime 0.14.2 with harness lookup mode=baseline. p95 0.988 s and 0 overruns; exact 50/50 functional state. WAL independently confirms 50 lifecycle bootstrap + 50 evidence-only commits at t≈300 s.</x:v>
      </x:c>
      <x:c r="BE28" s="32" t="n">
        <x:v>0</x:v>
      </x:c>
      <x:c r="BF28" s="32" t="n">
        <x:v>0</x:v>
      </x:c>
      <x:c r="BG28" s="32" t="n">
        <x:v>0</x:v>
      </x:c>
      <x:c r="BH28" s="32" t="n">
        <x:v>0</x:v>
      </x:c>
      <x:c r="BI28" s="32" t="n">
        <x:v>0</x:v>
      </x:c>
      <x:c r="BJ28" s="32" t="n">
        <x:v>1000</x:v>
      </x:c>
      <x:c r="BK28" s="32" t="n">
        <x:v>1000</x:v>
      </x:c>
      <x:c r="BL28" s="32" t="n">
        <x:v>0</x:v>
      </x:c>
      <x:c r="BM28" s="32" t="n">
        <x:v>0</x:v>
      </x:c>
      <x:c r="BN28" s="32" t="n">
        <x:v>100</x:v>
      </x:c>
      <x:c r="BO28" s="32" t="n">
        <x:v>10</x:v>
      </x:c>
      <x:c r="BP28" s="32" t="n">
        <x:v>0</x:v>
      </x:c>
      <x:c r="BQ28" s="32" t="n">
        <x:v>50</x:v>
      </x:c>
      <x:c r="BR28" s="32" t="n">
        <x:v>30</x:v>
      </x:c>
      <x:c r="BS28" s="32" t="n">
        <x:v>0</x:v>
      </x:c>
      <x:c r="BT28" s="32" t="n">
        <x:v>50</x:v>
      </x:c>
      <x:c r="BU28" s="32" t="n">
        <x:v>50</x:v>
      </x:c>
      <x:c r="BV28" s="32" t="n">
        <x:v>0</x:v>
      </x:c>
      <x:c r="BW28" s="32" t="n">
        <x:v>500</x:v>
      </x:c>
      <x:c r="BX28" s="32" t="n">
        <x:v>500</x:v>
      </x:c>
      <x:c r="BY28" s="32" t="n">
        <x:v>0</x:v>
      </x:c>
      <x:c r="BZ28" s="32" t="n">
        <x:v>0</x:v>
      </x:c>
      <x:c r="CA28" s="32" t="n">
        <x:v>50</x:v>
      </x:c>
      <x:c r="CB28" s="32" t="n">
        <x:v>50</x:v>
      </x:c>
      <x:c r="CC28" s="32" t="n">
        <x:v>0</x:v>
      </x:c>
      <x:c r="CD28" s="32" t="n">
        <x:v>0</x:v>
      </x:c>
      <x:c r="CE28" s="32" t="n">
        <x:v>500</x:v>
      </x:c>
      <x:c r="CF28" s="32" t="n">
        <x:v>1000</x:v>
      </x:c>
      <x:c r="CG28" s="32" t="n">
        <x:v>1000</x:v>
      </x:c>
      <x:c r="CH28" s="32" t="n">
        <x:v>50</x:v>
      </x:c>
      <x:c r="CI28" s="115" t="b">
        <x:v>1</x:v>
      </x:c>
      <x:c r="CJ28" s="32" t="n">
        <x:v>0</x:v>
      </x:c>
      <x:c r="CK28" s="32" t="n">
        <x:v>500</x:v>
      </x:c>
      <x:c r="CL28" s="32" t="n">
        <x:v>0</x:v>
      </x:c>
      <x:c r="CM28" s="32" t="n">
        <x:v>0</x:v>
      </x:c>
      <x:c r="CN28" s="32" t="n">
        <x:v>0</x:v>
      </x:c>
      <x:c r="CO28" s="32" t="n">
        <x:v>0</x:v>
      </x:c>
      <x:c r="CP28" s="32" t="n">
        <x:v>0</x:v>
      </x:c>
      <x:c r="CQ28" s="32" t="n">
        <x:v>0</x:v>
      </x:c>
      <x:c r="CR28" s="32" t="n">
        <x:v>0</x:v>
      </x:c>
      <x:c r="CS28" s="32" t="n">
        <x:v>0</x:v>
      </x:c>
      <x:c r="CT28" s="32" t="n">
        <x:v>0</x:v>
      </x:c>
      <x:c r="CU28" s="32" t="n">
        <x:v>0</x:v>
      </x:c>
      <x:c r="CV28" s="32" t="n">
        <x:v>0</x:v>
      </x:c>
      <x:c r="CW28" s="32" t="n">
        <x:v>0</x:v>
      </x:c>
      <x:c r="CX28" s="32" t="n">
        <x:v>0</x:v>
      </x:c>
      <x:c r="CY28" s="32" t="n">
        <x:v>0</x:v>
      </x:c>
      <x:c r="CZ28" s="32" t="n">
        <x:v>0</x:v>
      </x:c>
      <x:c r="DA28" s="32" t="n">
        <x:v>0</x:v>
      </x:c>
      <x:c r="DB28" s="32" t="n">
        <x:v>0</x:v>
      </x:c>
      <x:c r="DC28" s="32" t="n">
        <x:v>0</x:v>
      </x:c>
      <x:c r="DD28" s="32" t="n">
        <x:v>0</x:v>
      </x:c>
      <x:c r="DE28" s="32" t="n">
        <x:v>0</x:v>
      </x:c>
      <x:c r="DF28" s="32" t="n">
        <x:v>0</x:v>
      </x:c>
      <x:c r="DG28" s="32" t="n">
        <x:v>50</x:v>
      </x:c>
      <x:c r="DH28" s="32" t="str">
        <x:v>baseline</x:v>
      </x:c>
      <x:c r="DI28" s="32" t="n">
        <x:v>61</x:v>
      </x:c>
      <x:c r="DJ28" s="32" t="n">
        <x:v>0</x:v>
      </x:c>
      <x:c r="DK28" s="32" t="n">
        <x:v>0</x:v>
      </x:c>
      <x:c r="DL28" s="32" t="n">
        <x:v>0</x:v>
      </x:c>
      <x:c r="DM28" s="32" t="n">
        <x:v>0</x:v>
      </x:c>
      <x:c r="DN28" s="32" t="n">
        <x:v>0</x:v>
      </x:c>
      <x:c r="DO28" s="32" t="n">
        <x:v>0</x:v>
      </x:c>
      <x:c r="DP28" s="32" t="n">
        <x:v>0</x:v>
      </x:c>
      <x:c r="DQ28" s="32"/>
      <x:c r="DR28" s="32"/>
      <x:c r="DS28" s="32"/>
      <x:c r="DT28" s="32"/>
      <x:c r="DU28" s="32"/>
      <x:c r="DV28" s="32"/>
      <x:c r="DW28" s="32"/>
      <x:c r="DX28" s="32"/>
      <x:c r="DY28" s="32"/>
      <x:c r="DZ28" s="32"/>
      <x:c r="EA28" s="32"/>
      <x:c r="EB28" s="32"/>
      <x:c r="EC28" s="32"/>
      <x:c r="ED28" s="32"/>
      <x:c r="EE28" s="32"/>
      <x:c r="EF28" s="32"/>
      <x:c r="EG28" s="32"/>
      <x:c r="EH28" s="32"/>
      <x:c r="EI28" s="32"/>
      <x:c r="EJ28" s="32"/>
      <x:c r="EK28" s="32"/>
      <x:c r="EL28" s="32"/>
      <x:c r="EM28" s="32"/>
      <x:c r="EN28" s="32"/>
      <x:c r="EO28" s="32"/>
      <x:c r="EP28" s="32"/>
      <x:c r="EQ28" s="32"/>
      <x:c r="ER28" s="32"/>
      <x:c r="ES28" s="32"/>
      <x:c r="ET28" s="32"/>
      <x:c r="EU28" s="32"/>
      <x:c r="EV28" s="32"/>
      <x:c r="EW28" s="32"/>
      <x:c r="EX28" s="32"/>
      <x:c r="EY28" s="32"/>
      <x:c r="EZ28" s="32"/>
      <x:c r="FA28" s="32"/>
      <x:c r="FB28" s="32"/>
      <x:c r="FC28" s="32"/>
      <x:c r="FD28" s="32"/>
      <x:c r="FE28" s="32"/>
      <x:c r="FF28" s="32"/>
      <x:c r="FG28" s="32"/>
      <x:c r="FH28" s="32"/>
      <x:c r="FI28" s="32"/>
      <x:c r="FJ28" s="32"/>
      <x:c r="FK28" s="32"/>
      <x:c r="FL28" s="32"/>
      <x:c r="FM28" s="32"/>
      <x:c r="FN28" s="32"/>
      <x:c r="FO28" s="32"/>
      <x:c r="FP28" s="32"/>
      <x:c r="FQ28" s="32"/>
      <x:c r="FR28" s="32"/>
      <x:c r="FS28" s="32"/>
      <x:c r="FT28" s="32"/>
      <x:c r="FU28" s="32"/>
      <x:c r="FV28" s="32"/>
      <x:c r="FW28" s="32"/>
      <x:c r="FX28" s="32"/>
      <x:c r="FY28" s="32"/>
      <x:c r="FZ28" s="32"/>
      <x:c r="GA28" s="32"/>
      <x:c r="GB28" s="32"/>
      <x:c r="GC28" s="32"/>
      <x:c r="GD28" s="32"/>
      <x:c r="GE28" s="32"/>
      <x:c r="GF28" s="32"/>
      <x:c r="GG28" s="32"/>
      <x:c r="GH28" s="32"/>
      <x:c r="GI28" s="32"/>
      <x:c r="GJ28" s="32"/>
      <x:c r="GK28" s="32"/>
      <x:c r="GL28" s="32"/>
      <x:c r="GM28" s="32"/>
      <x:c r="GN28" s="32"/>
      <x:c r="GO28" s="32"/>
      <x:c r="GP28" s="32"/>
      <x:c r="GQ28" s="32"/>
      <x:c r="GR28" s="32"/>
      <x:c r="GS28" s="32"/>
      <x:c r="GT28" s="32"/>
      <x:c r="GU28" s="32"/>
      <x:c r="GV28" s="32"/>
      <x:c r="GW28" s="32"/>
      <x:c r="GX28" s="32"/>
      <x:c r="GY28" s="32"/>
      <x:c r="GZ28" s="32"/>
      <x:c r="HA28" s="32"/>
      <x:c r="HB28" s="32"/>
      <x:c r="HC28" s="32"/>
      <x:c r="HD28" s="32"/>
      <x:c r="HE28" s="32"/>
      <x:c r="HF28" s="32"/>
      <x:c r="HG28" s="32"/>
      <x:c r="HH28" s="32"/>
      <x:c r="HI28" s="32"/>
      <x:c r="HJ28" s="32"/>
      <x:c r="HK28" s="32"/>
      <x:c r="HL28" s="32"/>
      <x:c r="HM28" s="32"/>
      <x:c r="HN28" s="32"/>
      <x:c r="HO28" s="32"/>
      <x:c r="HP28" s="32"/>
      <x:c r="HQ28" s="32"/>
      <x:c r="HR28" s="32"/>
      <x:c r="HS28" s="32"/>
      <x:c r="HT28" s="32"/>
      <x:c r="HU28" s="32"/>
      <x:c r="HV28" s="32"/>
      <x:c r="HW28" s="32"/>
      <x:c r="HX28" s="32"/>
      <x:c r="HY28" s="32"/>
      <x:c r="VW28" s="32"/>
      <x:c r="VX28" s="32"/>
      <x:c r="VY28" s="32"/>
      <x:c r="VZ28" s="32"/>
      <x:c r="WA28" s="32"/>
      <x:c r="WB28" s="32"/>
      <x:c r="WC28" s="32"/>
      <x:c r="WD28" s="32"/>
      <x:c r="WE28" s="32"/>
      <x:c r="WF28" s="32"/>
      <x:c r="WG28" s="32"/>
      <x:c r="WH28" s="32"/>
      <x:c r="WI28" s="32"/>
      <x:c r="WJ28" s="32"/>
      <x:c r="WK28" s="32"/>
      <x:c r="WL28" s="32"/>
      <x:c r="WM28" s="32"/>
      <x:c r="WN28" s="32"/>
      <x:c r="WO28" s="32"/>
      <x:c r="WP28" s="32"/>
      <x:c r="WQ28" s="32"/>
      <x:c r="WR28" s="32"/>
      <x:c r="WS28" s="32"/>
      <x:c r="WT28" s="32"/>
      <x:c r="WU28" s="32"/>
      <x:c r="WV28" s="32"/>
      <x:c r="WW28" s="32"/>
      <x:c r="WX28" s="32"/>
      <x:c r="WY28" s="32"/>
      <x:c r="WZ28" s="32"/>
      <x:c r="XA28" s="32"/>
      <x:c r="XB28" s="32"/>
      <x:c r="XC28" s="32"/>
      <x:c r="XD28" s="32"/>
    </x:row>
    <x:row r="29">
      <x:c r="A29" s="32" t="str">
        <x:v>c3547859-d2f4-4280-8359-e9913eb80e75</x:v>
      </x:c>
      <x:c r="B29" s="32" t="str">
        <x:v>C-005</x:v>
      </x:c>
      <x:c r="C29" s="42" t="n">
        <x:v>46260.87045138889</x:v>
      </x:c>
      <x:c r="D29" s="32" t="str">
        <x:v>489b7424f5051f7a276dafe8d5f318ccf1368d87</x:v>
      </x:c>
      <x:c r="E29" s="32" t="str">
        <x:v>GLONBW11</x:v>
      </x:c>
      <x:c r="F29" s="32" t="str">
        <x:v>local-filesystem</x:v>
      </x:c>
      <x:c r="G29" s="32" t="str">
        <x:v>3.14.2</x:v>
      </x:c>
      <x:c r="H29" s="32" t="str">
        <x:v>deterministic</x:v>
      </x:c>
      <x:c r="I29" s="32" t="n">
        <x:v>1000</x:v>
      </x:c>
      <x:c r="J29" s="32" t="n">
        <x:v>5</x:v>
      </x:c>
      <x:c r="K29" s="32" t="n">
        <x:v>5.042782</x:v>
      </x:c>
      <x:c r="L29" s="32" t="n">
        <x:v>61</x:v>
      </x:c>
      <x:c r="M29" s="32" t="n">
        <x:v>5</x:v>
      </x:c>
      <x:c r="N29" s="32" t="n">
        <x:v>10</x:v>
      </x:c>
      <x:c r="O29" s="32" t="n">
        <x:v>956.0526260002007</x:v>
      </x:c>
      <x:c r="P29" s="32" t="n">
        <x:v>978.1102820006708</x:v>
      </x:c>
      <x:c r="Q29" s="32" t="n">
        <x:v>1985.744534600053</x:v>
      </x:c>
      <x:c r="R29" s="32" t="n">
        <x:v>2057.6445739998235</x:v>
      </x:c>
      <x:c r="S29" s="32" t="n">
        <x:v>0</x:v>
      </x:c>
      <x:c r="T29" s="43" t="n">
        <x:v>0</x:v>
      </x:c>
      <x:c r="U29" s="32" t="n">
        <x:v>97.4690542691785</x:v>
      </x:c>
      <x:c r="V29" s="32" t="n">
        <x:v>100.24174125855447</x:v>
      </x:c>
      <x:c r="W29" s="32" t="n">
        <x:v>143.24910348360655</x:v>
      </x:c>
      <x:c r="X29" s="32" t="n">
        <x:v>144.15234375</x:v>
      </x:c>
      <x:c r="Y29" s="32"/>
      <x:c r="Z29" s="32"/>
      <x:c r="AA29" s="32"/>
      <x:c r="AB29" s="32"/>
      <x:c r="AC29" s="32" t="n">
        <x:v>0</x:v>
      </x:c>
      <x:c r="AD29" s="32" t="n">
        <x:v>0</x:v>
      </x:c>
      <x:c r="AE29" s="32" t="n">
        <x:v>0</x:v>
      </x:c>
      <x:c r="AF29" s="32"/>
      <x:c r="AG29" s="32"/>
      <x:c r="AH29" s="32" t="n">
        <x:v>520.5612589998054</x:v>
      </x:c>
      <x:c r="AI29" s="32" t="str">
        <x:v>PASS</x:v>
      </x:c>
      <x:c r="AJ29" s="32" t="str">
        <x:v>GREEN</x:v>
      </x:c>
      <x:c r="AK29" s="32" t="str">
        <x:v>latest-narrow</x:v>
      </x:c>
      <x:c r="AL29" s="32" t="n">
        <x:v>1</x:v>
      </x:c>
      <x:c r="AM29" s="32" t="n">
        <x:v>1</x:v>
      </x:c>
      <x:c r="AN29" s="32" t="n">
        <x:v>1000</x:v>
      </x:c>
      <x:c r="AO29" s="32" t="n">
        <x:v>1</x:v>
      </x:c>
      <x:c r="AP29" s="32" t="n">
        <x:v>8132</x:v>
      </x:c>
      <x:c r="AQ29" s="32" t="n">
        <x:v>4.231708999213879</x:v>
      </x:c>
      <x:c r="AR29" s="32" t="n">
        <x:v>5.303578999701131</x:v>
      </x:c>
      <x:c r="AS29" s="32" t="n">
        <x:v>7.52145480000763</x:v>
      </x:c>
      <x:c r="AT29" s="32" t="n">
        <x:v>36</x:v>
      </x:c>
      <x:c r="AU29" s="32" t="str">
        <x:v>28×28 + 8×27</x:v>
      </x:c>
      <x:c r="AV29" s="32" t="n">
        <x:v>0.38880299962329445</x:v>
      </x:c>
      <x:c r="AW29" s="32" t="n">
        <x:v>0.5046900005254429</x:v>
      </x:c>
      <x:c r="AX29" s="32" t="n">
        <x:v>0.8458459999019391</x:v>
      </x:c>
      <x:c r="AY29" s="32" t="str">
        <x:v>balanced</x:v>
      </x:c>
      <x:c r="AZ29" s="32" t="str">
        <x:v>PASS</x:v>
      </x:c>
      <x:c r="BA29" s="32" t="n">
        <x:v>1000</x:v>
      </x:c>
      <x:c r="BB29" s="32" t="n">
        <x:v>0</x:v>
      </x:c>
      <x:c r="BC29" s="115" t="b">
        <x:v>1</x:v>
      </x:c>
      <x:c r="BD29" s="32" t="str">
        <x:v>PASS/GREEN. Real C1 origin+3 fan-out produced 4000 ASSIGNED and zero delayed/pending changes. Steady p95≈0.975 s with 0 overruns; increased WAL/RSS is bounded and attributable to larger routing state.</x:v>
      </x:c>
      <x:c r="BE29" s="32" t="n">
        <x:v>0</x:v>
      </x:c>
      <x:c r="BF29" s="32" t="n">
        <x:v>0</x:v>
      </x:c>
      <x:c r="BG29" s="32" t="n">
        <x:v>0</x:v>
      </x:c>
      <x:c r="BH29" s="32" t="n">
        <x:v>0</x:v>
      </x:c>
      <x:c r="BI29" s="32" t="n">
        <x:v>0</x:v>
      </x:c>
      <x:c r="BJ29" s="32" t="n">
        <x:v>1000</x:v>
      </x:c>
      <x:c r="BK29" s="32" t="n">
        <x:v>1000</x:v>
      </x:c>
      <x:c r="BL29" s="32" t="n">
        <x:v>0</x:v>
      </x:c>
      <x:c r="BM29" s="32" t="n">
        <x:v>0</x:v>
      </x:c>
      <x:c r="BN29" s="32" t="n">
        <x:v>100</x:v>
      </x:c>
      <x:c r="BO29" s="32" t="n">
        <x:v>10</x:v>
      </x:c>
      <x:c r="BP29" s="32" t="n">
        <x:v>0</x:v>
      </x:c>
      <x:c r="BQ29" s="32" t="n">
        <x:v>100</x:v>
      </x:c>
      <x:c r="BR29" s="32" t="n">
        <x:v>0</x:v>
      </x:c>
      <x:c r="BS29" s="32" t="n">
        <x:v>0</x:v>
      </x:c>
      <x:c r="BT29" s="32" t="n">
        <x:v>100</x:v>
      </x:c>
      <x:c r="BU29" s="32" t="n">
        <x:v>100</x:v>
      </x:c>
      <x:c r="BV29" s="32" t="n">
        <x:v>0</x:v>
      </x:c>
      <x:c r="BW29" s="32" t="n">
        <x:v>1000</x:v>
      </x:c>
      <x:c r="BX29" s="32" t="n">
        <x:v>1000</x:v>
      </x:c>
      <x:c r="BY29" s="32" t="n">
        <x:v>0</x:v>
      </x:c>
      <x:c r="BZ29" s="32" t="n">
        <x:v>0</x:v>
      </x:c>
      <x:c r="CA29" s="32" t="n">
        <x:v>100</x:v>
      </x:c>
      <x:c r="CB29" s="32" t="n">
        <x:v>100</x:v>
      </x:c>
      <x:c r="CC29" s="32" t="n">
        <x:v>0</x:v>
      </x:c>
      <x:c r="CD29" s="32" t="n">
        <x:v>0</x:v>
      </x:c>
      <x:c r="CE29" s="32" t="n">
        <x:v>4000</x:v>
      </x:c>
      <x:c r="CF29" s="32" t="n">
        <x:v>5000</x:v>
      </x:c>
      <x:c r="CG29" s="32" t="n">
        <x:v>2000</x:v>
      </x:c>
      <x:c r="CH29" s="32" t="n">
        <x:v>100</x:v>
      </x:c>
      <x:c r="CI29" s="115" t="b">
        <x:v>1</x:v>
      </x:c>
      <x:c r="CJ29" s="32" t="n">
        <x:v>0</x:v>
      </x:c>
      <x:c r="CK29" s="32" t="n">
        <x:v>4000</x:v>
      </x:c>
      <x:c r="CL29" s="32" t="n">
        <x:v>0</x:v>
      </x:c>
      <x:c r="CM29" s="32" t="n">
        <x:v>0</x:v>
      </x:c>
      <x:c r="CN29" s="32" t="n">
        <x:v>0</x:v>
      </x:c>
      <x:c r="CO29" s="32" t="n">
        <x:v>0</x:v>
      </x:c>
      <x:c r="CP29" s="32" t="n">
        <x:v>0</x:v>
      </x:c>
      <x:c r="CQ29" s="32" t="n">
        <x:v>0</x:v>
      </x:c>
      <x:c r="CR29" s="32" t="n">
        <x:v>0</x:v>
      </x:c>
      <x:c r="CS29" s="32" t="n">
        <x:v>0</x:v>
      </x:c>
      <x:c r="CT29" s="32" t="n">
        <x:v>0</x:v>
      </x:c>
      <x:c r="CU29" s="32" t="n">
        <x:v>0</x:v>
      </x:c>
      <x:c r="CV29" s="32" t="n">
        <x:v>0</x:v>
      </x:c>
      <x:c r="CW29" s="32" t="n">
        <x:v>0</x:v>
      </x:c>
      <x:c r="CX29" s="32" t="n">
        <x:v>0</x:v>
      </x:c>
      <x:c r="CY29" s="32" t="n">
        <x:v>0</x:v>
      </x:c>
      <x:c r="CZ29" s="32" t="n">
        <x:v>0</x:v>
      </x:c>
      <x:c r="DA29" s="32" t="n">
        <x:v>0</x:v>
      </x:c>
      <x:c r="DB29" s="32" t="n">
        <x:v>0</x:v>
      </x:c>
      <x:c r="DC29" s="32" t="n">
        <x:v>0</x:v>
      </x:c>
      <x:c r="DD29" s="32" t="n">
        <x:v>0</x:v>
      </x:c>
      <x:c r="DE29" s="32" t="n">
        <x:v>0</x:v>
      </x:c>
      <x:c r="DF29" s="32" t="n">
        <x:v>0</x:v>
      </x:c>
      <x:c r="DG29" s="32" t="n">
        <x:v>0</x:v>
      </x:c>
      <x:c r="DH29" s="32" t="str">
        <x:v>baseline</x:v>
      </x:c>
      <x:c r="DI29" s="32" t="n">
        <x:v>61</x:v>
      </x:c>
      <x:c r="DJ29" s="32" t="n">
        <x:v>0</x:v>
      </x:c>
      <x:c r="DK29" s="32" t="n">
        <x:v>0</x:v>
      </x:c>
      <x:c r="DL29" s="32" t="n">
        <x:v>0</x:v>
      </x:c>
      <x:c r="DM29" s="32" t="n">
        <x:v>0</x:v>
      </x:c>
      <x:c r="DN29" s="32" t="n">
        <x:v>0</x:v>
      </x:c>
      <x:c r="DO29" s="32" t="n">
        <x:v>0</x:v>
      </x:c>
      <x:c r="DP29" s="32" t="n">
        <x:v>0</x:v>
      </x:c>
      <x:c r="DQ29" s="32" t="str">
        <x:v>C1</x:v>
      </x:c>
      <x:c r="DR29" s="32" t="n">
        <x:v>3</x:v>
      </x:c>
      <x:c r="DS29" s="32" t="n">
        <x:v>4000</x:v>
      </x:c>
      <x:c r="DT29" s="32" t="n">
        <x:v>4000</x:v>
      </x:c>
      <x:c r="DU29" s="32" t="n">
        <x:v>0</x:v>
      </x:c>
      <x:c r="DV29" s="32" t="n">
        <x:v>0</x:v>
      </x:c>
      <x:c r="DW29" s="32" t="n">
        <x:v>0</x:v>
      </x:c>
      <x:c r="DX29" s="32" t="n">
        <x:v>4000</x:v>
      </x:c>
      <x:c r="DY29" s="32" t="n">
        <x:v>4000</x:v>
      </x:c>
      <x:c r="DZ29" s="32" t="n">
        <x:v>0</x:v>
      </x:c>
      <x:c r="EA29" s="32" t="n">
        <x:v>0</x:v>
      </x:c>
      <x:c r="EB29" s="32"/>
      <x:c r="EC29" s="32"/>
      <x:c r="ED29" s="32"/>
      <x:c r="EE29" s="32"/>
      <x:c r="EF29" s="32"/>
      <x:c r="EG29" s="32"/>
      <x:c r="EH29" s="32"/>
      <x:c r="EI29" s="32"/>
      <x:c r="EJ29" s="32"/>
      <x:c r="EK29" s="32"/>
      <x:c r="EL29" s="32"/>
      <x:c r="EM29" s="32"/>
      <x:c r="EN29" s="32"/>
      <x:c r="EO29" s="32"/>
      <x:c r="EP29" s="32"/>
      <x:c r="EQ29" s="32"/>
      <x:c r="ER29" s="32"/>
      <x:c r="ES29" s="32"/>
      <x:c r="ET29" s="32"/>
      <x:c r="EU29" s="32"/>
      <x:c r="EV29" s="32"/>
      <x:c r="EW29" s="32"/>
      <x:c r="EX29" s="32"/>
      <x:c r="EY29" s="32"/>
      <x:c r="EZ29" s="32"/>
      <x:c r="FA29" s="32"/>
      <x:c r="FB29" s="32"/>
      <x:c r="FC29" s="32"/>
      <x:c r="FD29" s="32"/>
      <x:c r="FE29" s="32"/>
      <x:c r="FF29" s="32"/>
      <x:c r="FG29" s="32"/>
      <x:c r="FH29" s="32"/>
      <x:c r="FI29" s="32"/>
      <x:c r="FJ29" s="32"/>
      <x:c r="FK29" s="32"/>
      <x:c r="FL29" s="32"/>
      <x:c r="FM29" s="32"/>
      <x:c r="FN29" s="32"/>
      <x:c r="FO29" s="32"/>
      <x:c r="FP29" s="32"/>
      <x:c r="FQ29" s="32"/>
      <x:c r="FR29" s="32"/>
      <x:c r="FS29" s="32"/>
      <x:c r="FT29" s="32"/>
      <x:c r="FU29" s="32"/>
      <x:c r="FV29" s="32"/>
      <x:c r="FW29" s="32"/>
      <x:c r="FX29" s="32"/>
      <x:c r="FY29" s="32"/>
      <x:c r="FZ29" s="32"/>
      <x:c r="GA29" s="32"/>
      <x:c r="GB29" s="32"/>
      <x:c r="GC29" s="32"/>
      <x:c r="GD29" s="32"/>
      <x:c r="GE29" s="32"/>
      <x:c r="GF29" s="32"/>
      <x:c r="GG29" s="32"/>
      <x:c r="GH29" s="32"/>
      <x:c r="GI29" s="32"/>
      <x:c r="GJ29" s="32"/>
      <x:c r="GK29" s="32"/>
      <x:c r="GL29" s="32"/>
      <x:c r="GM29" s="32"/>
      <x:c r="GN29" s="32"/>
      <x:c r="GO29" s="32"/>
      <x:c r="GP29" s="32"/>
      <x:c r="GQ29" s="32"/>
      <x:c r="GR29" s="32"/>
      <x:c r="GS29" s="32"/>
      <x:c r="GT29" s="32"/>
      <x:c r="GU29" s="32"/>
      <x:c r="GV29" s="32"/>
      <x:c r="GW29" s="32"/>
      <x:c r="GX29" s="32"/>
      <x:c r="GY29" s="32"/>
      <x:c r="GZ29" s="32"/>
      <x:c r="HA29" s="32"/>
      <x:c r="HB29" s="32"/>
      <x:c r="HC29" s="32"/>
      <x:c r="HD29" s="32"/>
      <x:c r="HE29" s="32"/>
      <x:c r="HF29" s="32"/>
      <x:c r="HG29" s="32"/>
      <x:c r="HH29" s="32"/>
      <x:c r="HI29" s="32"/>
      <x:c r="HJ29" s="32"/>
      <x:c r="HK29" s="32"/>
      <x:c r="HL29" s="32"/>
      <x:c r="HM29" s="32"/>
      <x:c r="HN29" s="32"/>
      <x:c r="HO29" s="32"/>
      <x:c r="HP29" s="32"/>
      <x:c r="HQ29" s="32"/>
      <x:c r="HR29" s="32"/>
      <x:c r="HS29" s="32"/>
      <x:c r="HT29" s="32"/>
      <x:c r="HU29" s="32"/>
      <x:c r="HV29" s="32"/>
      <x:c r="HW29" s="32"/>
      <x:c r="HX29" s="32"/>
      <x:c r="HY29" s="32"/>
      <x:c r="VW29" s="32"/>
      <x:c r="VX29" s="32"/>
      <x:c r="VY29" s="32"/>
      <x:c r="VZ29" s="32"/>
      <x:c r="WA29" s="32"/>
      <x:c r="WB29" s="32"/>
      <x:c r="WC29" s="32"/>
      <x:c r="WD29" s="32"/>
      <x:c r="WE29" s="32"/>
      <x:c r="WF29" s="32"/>
      <x:c r="WG29" s="32"/>
      <x:c r="WH29" s="32"/>
      <x:c r="WI29" s="32"/>
      <x:c r="WJ29" s="32"/>
      <x:c r="WK29" s="32"/>
      <x:c r="WL29" s="32"/>
      <x:c r="WM29" s="32"/>
      <x:c r="WN29" s="32"/>
      <x:c r="WO29" s="32"/>
      <x:c r="WP29" s="32"/>
      <x:c r="WQ29" s="32"/>
      <x:c r="WR29" s="32"/>
      <x:c r="WS29" s="32"/>
      <x:c r="WT29" s="32"/>
      <x:c r="WU29" s="32"/>
      <x:c r="WV29" s="32"/>
      <x:c r="WW29" s="32"/>
      <x:c r="WX29" s="32"/>
      <x:c r="WY29" s="32"/>
      <x:c r="WZ29" s="32"/>
      <x:c r="XA29" s="32"/>
      <x:c r="XB29" s="32"/>
      <x:c r="XC29" s="32"/>
      <x:c r="XD29" s="32"/>
    </x:row>
    <x:row r="30">
      <x:c r="A30" s="32" t="str">
        <x:v>bccad405-b4a3-4d37-aced-d232a39dec33</x:v>
      </x:c>
      <x:c r="B30" s="32" t="str">
        <x:v>C-006</x:v>
      </x:c>
      <x:c r="C30" s="42" t="n">
        <x:v>46260.94861111111</x:v>
      </x:c>
      <x:c r="D30" s="32" t="str">
        <x:v>489b7424f5051f7a276dafe8d5f318ccf1368d87</x:v>
      </x:c>
      <x:c r="E30" s="32" t="str">
        <x:v>GLONBW11</x:v>
      </x:c>
      <x:c r="F30" s="32" t="str">
        <x:v>local-filesystem</x:v>
      </x:c>
      <x:c r="G30" s="32" t="str">
        <x:v>3.14.2</x:v>
      </x:c>
      <x:c r="H30" s="32" t="str">
        <x:v>deterministic</x:v>
      </x:c>
      <x:c r="I30" s="32" t="n">
        <x:v>1000</x:v>
      </x:c>
      <x:c r="J30" s="32" t="n">
        <x:v>5</x:v>
      </x:c>
      <x:c r="K30" s="32" t="n">
        <x:v>5.050342766666666</x:v>
      </x:c>
      <x:c r="L30" s="32" t="n">
        <x:v>61</x:v>
      </x:c>
      <x:c r="M30" s="32" t="n">
        <x:v>5</x:v>
      </x:c>
      <x:c r="N30" s="32" t="n">
        <x:v>10</x:v>
      </x:c>
      <x:c r="O30" s="32" t="n">
        <x:v>965.2971899995464</x:v>
      </x:c>
      <x:c r="P30" s="32" t="n">
        <x:v>1950.3512510000292</x:v>
      </x:c>
      <x:c r="Q30" s="32" t="n">
        <x:v>2012.1568012000353</x:v>
      </x:c>
      <x:c r="R30" s="32" t="n">
        <x:v>2060.5235590010125</x:v>
      </x:c>
      <x:c r="S30" s="32" t="n">
        <x:v>0</x:v>
      </x:c>
      <x:c r="T30" s="43" t="n">
        <x:v>0</x:v>
      </x:c>
      <x:c r="U30" s="32" t="n">
        <x:v>96.49131440446122</x:v>
      </x:c>
      <x:c r="V30" s="32" t="n">
        <x:v>100.99688331930071</x:v>
      </x:c>
      <x:c r="W30" s="32" t="n">
        <x:v>145.38412525614754</x:v>
      </x:c>
      <x:c r="X30" s="32" t="n">
        <x:v>145.765625</x:v>
      </x:c>
      <x:c r="Y30" s="32"/>
      <x:c r="Z30" s="32"/>
      <x:c r="AA30" s="32"/>
      <x:c r="AB30" s="32"/>
      <x:c r="AC30" s="32" t="n">
        <x:v>0</x:v>
      </x:c>
      <x:c r="AD30" s="32" t="n">
        <x:v>0</x:v>
      </x:c>
      <x:c r="AE30" s="32" t="n">
        <x:v>0</x:v>
      </x:c>
      <x:c r="AF30" s="32"/>
      <x:c r="AG30" s="32"/>
      <x:c r="AH30" s="32" t="n">
        <x:v>981.0064880002756</x:v>
      </x:c>
      <x:c r="AI30" s="32" t="str">
        <x:v>PASS</x:v>
      </x:c>
      <x:c r="AJ30" s="32" t="str">
        <x:v>GREEN</x:v>
      </x:c>
      <x:c r="AK30" s="32" t="str">
        <x:v>latest-narrow</x:v>
      </x:c>
      <x:c r="AL30" s="32" t="n">
        <x:v>1</x:v>
      </x:c>
      <x:c r="AM30" s="32" t="n">
        <x:v>1</x:v>
      </x:c>
      <x:c r="AN30" s="32" t="n">
        <x:v>1000</x:v>
      </x:c>
      <x:c r="AO30" s="32" t="n">
        <x:v>1</x:v>
      </x:c>
      <x:c r="AP30" s="32" t="n">
        <x:v>8132</x:v>
      </x:c>
      <x:c r="AQ30" s="32" t="n">
        <x:v>4.657436000343296</x:v>
      </x:c>
      <x:c r="AR30" s="32" t="n">
        <x:v>6.052681999790366</x:v>
      </x:c>
      <x:c r="AS30" s="32" t="n">
        <x:v>6.977388999439427</x:v>
      </x:c>
      <x:c r="AT30" s="32" t="n">
        <x:v>36</x:v>
      </x:c>
      <x:c r="AU30" s="32" t="str">
        <x:v>28×28 + 8×27</x:v>
      </x:c>
      <x:c r="AV30" s="32" t="n">
        <x:v>0.38054200012993533</x:v>
      </x:c>
      <x:c r="AW30" s="32" t="n">
        <x:v>0.5164660014997935</x:v>
      </x:c>
      <x:c r="AX30" s="32" t="n">
        <x:v>0.6071023999538737</x:v>
      </x:c>
      <x:c r="AY30" s="32" t="str">
        <x:v>balanced</x:v>
      </x:c>
      <x:c r="AZ30" s="32" t="str">
        <x:v>PASS</x:v>
      </x:c>
      <x:c r="BA30" s="32" t="n">
        <x:v>1000</x:v>
      </x:c>
      <x:c r="BB30" s="32" t="n">
        <x:v>0</x:v>
      </x:c>
      <x:c r="BC30" s="115" t="b">
        <x:v>1</x:v>
      </x:c>
      <x:c r="BD30" s="32" t="str">
        <x:v>PASS/GREEN. C2 delayed routing progresses exactly at +60/+120/+180 s with materialized assigned/pending waves 1000/3000→2000/2000→3000/1000→4000/0. p95 1.950 s, 0 overruns; steady p95≈0.985 s.</x:v>
      </x:c>
      <x:c r="BE30" s="32" t="n">
        <x:v>0</x:v>
      </x:c>
      <x:c r="BF30" s="32" t="n">
        <x:v>0</x:v>
      </x:c>
      <x:c r="BG30" s="32" t="n">
        <x:v>0</x:v>
      </x:c>
      <x:c r="BH30" s="32" t="n">
        <x:v>0</x:v>
      </x:c>
      <x:c r="BI30" s="32" t="n">
        <x:v>0</x:v>
      </x:c>
      <x:c r="BJ30" s="32" t="n">
        <x:v>1000</x:v>
      </x:c>
      <x:c r="BK30" s="32" t="n">
        <x:v>1000</x:v>
      </x:c>
      <x:c r="BL30" s="32" t="n">
        <x:v>0</x:v>
      </x:c>
      <x:c r="BM30" s="32" t="n">
        <x:v>0</x:v>
      </x:c>
      <x:c r="BN30" s="32" t="n">
        <x:v>100</x:v>
      </x:c>
      <x:c r="BO30" s="32" t="n">
        <x:v>10</x:v>
      </x:c>
      <x:c r="BP30" s="32" t="n">
        <x:v>0</x:v>
      </x:c>
      <x:c r="BQ30" s="32" t="n">
        <x:v>100</x:v>
      </x:c>
      <x:c r="BR30" s="32" t="n">
        <x:v>0</x:v>
      </x:c>
      <x:c r="BS30" s="32" t="n">
        <x:v>0</x:v>
      </x:c>
      <x:c r="BT30" s="32" t="n">
        <x:v>400</x:v>
      </x:c>
      <x:c r="BU30" s="32" t="n">
        <x:v>400</x:v>
      </x:c>
      <x:c r="BV30" s="32" t="n">
        <x:v>0</x:v>
      </x:c>
      <x:c r="BW30" s="32" t="n">
        <x:v>1000</x:v>
      </x:c>
      <x:c r="BX30" s="32" t="n">
        <x:v>1000</x:v>
      </x:c>
      <x:c r="BY30" s="32" t="n">
        <x:v>0</x:v>
      </x:c>
      <x:c r="BZ30" s="32" t="n">
        <x:v>0</x:v>
      </x:c>
      <x:c r="CA30" s="32" t="n">
        <x:v>100</x:v>
      </x:c>
      <x:c r="CB30" s="32" t="n">
        <x:v>100</x:v>
      </x:c>
      <x:c r="CC30" s="32" t="n">
        <x:v>0</x:v>
      </x:c>
      <x:c r="CD30" s="32" t="n">
        <x:v>0</x:v>
      </x:c>
      <x:c r="CE30" s="32" t="n">
        <x:v>7000</x:v>
      </x:c>
      <x:c r="CF30" s="32" t="n">
        <x:v>8000</x:v>
      </x:c>
      <x:c r="CG30" s="32" t="n">
        <x:v>2000</x:v>
      </x:c>
      <x:c r="CH30" s="32" t="n">
        <x:v>100</x:v>
      </x:c>
      <x:c r="CI30" s="115" t="b">
        <x:v>1</x:v>
      </x:c>
      <x:c r="CJ30" s="32" t="n">
        <x:v>0</x:v>
      </x:c>
      <x:c r="CK30" s="32" t="n">
        <x:v>7000</x:v>
      </x:c>
      <x:c r="CL30" s="32" t="n">
        <x:v>0</x:v>
      </x:c>
      <x:c r="CM30" s="32" t="n">
        <x:v>0</x:v>
      </x:c>
      <x:c r="CN30" s="32" t="n">
        <x:v>0</x:v>
      </x:c>
      <x:c r="CO30" s="32" t="n">
        <x:v>0</x:v>
      </x:c>
      <x:c r="CP30" s="32" t="n">
        <x:v>0</x:v>
      </x:c>
      <x:c r="CQ30" s="32" t="n">
        <x:v>0</x:v>
      </x:c>
      <x:c r="CR30" s="32" t="n">
        <x:v>0</x:v>
      </x:c>
      <x:c r="CS30" s="32" t="n">
        <x:v>0</x:v>
      </x:c>
      <x:c r="CT30" s="32" t="n">
        <x:v>0</x:v>
      </x:c>
      <x:c r="CU30" s="32" t="n">
        <x:v>0</x:v>
      </x:c>
      <x:c r="CV30" s="32" t="n">
        <x:v>0</x:v>
      </x:c>
      <x:c r="CW30" s="32" t="n">
        <x:v>0</x:v>
      </x:c>
      <x:c r="CX30" s="32" t="n">
        <x:v>0</x:v>
      </x:c>
      <x:c r="CY30" s="32" t="n">
        <x:v>0</x:v>
      </x:c>
      <x:c r="CZ30" s="32" t="n">
        <x:v>0</x:v>
      </x:c>
      <x:c r="DA30" s="32" t="n">
        <x:v>0</x:v>
      </x:c>
      <x:c r="DB30" s="32" t="n">
        <x:v>0</x:v>
      </x:c>
      <x:c r="DC30" s="32" t="n">
        <x:v>0</x:v>
      </x:c>
      <x:c r="DD30" s="32" t="n">
        <x:v>0</x:v>
      </x:c>
      <x:c r="DE30" s="32" t="n">
        <x:v>0</x:v>
      </x:c>
      <x:c r="DF30" s="32" t="n">
        <x:v>0</x:v>
      </x:c>
      <x:c r="DG30" s="32" t="n">
        <x:v>0</x:v>
      </x:c>
      <x:c r="DH30" s="32" t="str">
        <x:v>baseline</x:v>
      </x:c>
      <x:c r="DI30" s="32" t="n">
        <x:v>61</x:v>
      </x:c>
      <x:c r="DJ30" s="32" t="n">
        <x:v>0</x:v>
      </x:c>
      <x:c r="DK30" s="32" t="n">
        <x:v>0</x:v>
      </x:c>
      <x:c r="DL30" s="32" t="n">
        <x:v>0</x:v>
      </x:c>
      <x:c r="DM30" s="32" t="n">
        <x:v>0</x:v>
      </x:c>
      <x:c r="DN30" s="32" t="n">
        <x:v>0</x:v>
      </x:c>
      <x:c r="DO30" s="32" t="n">
        <x:v>0</x:v>
      </x:c>
      <x:c r="DP30" s="32" t="n">
        <x:v>0</x:v>
      </x:c>
      <x:c r="DQ30" s="32" t="str">
        <x:v>C2</x:v>
      </x:c>
      <x:c r="DR30" s="32" t="n">
        <x:v>0</x:v>
      </x:c>
      <x:c r="DS30" s="32" t="n">
        <x:v>4000</x:v>
      </x:c>
      <x:c r="DT30" s="32" t="n">
        <x:v>4000</x:v>
      </x:c>
      <x:c r="DU30" s="32" t="n">
        <x:v>3000</x:v>
      </x:c>
      <x:c r="DV30" s="32" t="n">
        <x:v>0</x:v>
      </x:c>
      <x:c r="DW30" s="32" t="n">
        <x:v>0</x:v>
      </x:c>
      <x:c r="DX30" s="32" t="n">
        <x:v>4000</x:v>
      </x:c>
      <x:c r="DY30" s="32" t="n">
        <x:v>4000</x:v>
      </x:c>
      <x:c r="DZ30" s="32" t="n">
        <x:v>0</x:v>
      </x:c>
      <x:c r="EA30" s="32" t="n">
        <x:v>0</x:v>
      </x:c>
      <x:c r="EB30" s="32" t="str">
        <x:v>60,120,180</x:v>
      </x:c>
      <x:c r="EC30" s="32" t="n">
        <x:v>3000</x:v>
      </x:c>
      <x:c r="ED30" s="32" t="str">
        <x:v>1000,1000,1000</x:v>
      </x:c>
      <x:c r="EE30" s="32" t="str">
        <x:v>1000,1000,1000</x:v>
      </x:c>
      <x:c r="EF30" s="32" t="str">
        <x:v>1000,2000,3000,4000</x:v>
      </x:c>
      <x:c r="EG30" s="32" t="str">
        <x:v>1000,2000,3000,4000</x:v>
      </x:c>
      <x:c r="EH30" s="32" t="str">
        <x:v>3000,2000,1000,0</x:v>
      </x:c>
      <x:c r="EI30" s="32" t="str">
        <x:v>3000,2000,1000,0</x:v>
      </x:c>
      <x:c r="EJ30" s="32"/>
      <x:c r="EK30" s="32"/>
      <x:c r="EL30" s="32"/>
      <x:c r="EM30" s="32"/>
      <x:c r="EN30" s="32"/>
      <x:c r="EO30" s="32"/>
      <x:c r="EP30" s="32"/>
      <x:c r="EQ30" s="32"/>
      <x:c r="ER30" s="32"/>
      <x:c r="ES30" s="32"/>
      <x:c r="ET30" s="32"/>
      <x:c r="EU30" s="32"/>
      <x:c r="EV30" s="32"/>
      <x:c r="EW30" s="32"/>
      <x:c r="EX30" s="32"/>
      <x:c r="EY30" s="32"/>
      <x:c r="EZ30" s="32"/>
      <x:c r="FA30" s="32"/>
      <x:c r="FB30" s="32"/>
      <x:c r="FC30" s="32"/>
      <x:c r="FD30" s="32"/>
      <x:c r="FE30" s="32"/>
      <x:c r="FF30" s="32"/>
      <x:c r="FG30" s="32"/>
      <x:c r="FH30" s="32"/>
      <x:c r="FI30" s="32"/>
      <x:c r="FJ30" s="32"/>
      <x:c r="FK30" s="32"/>
      <x:c r="FL30" s="32"/>
      <x:c r="FM30" s="32"/>
      <x:c r="FN30" s="32"/>
      <x:c r="FO30" s="32"/>
      <x:c r="FP30" s="32"/>
      <x:c r="FQ30" s="32"/>
      <x:c r="FR30" s="32"/>
      <x:c r="FS30" s="32"/>
      <x:c r="FT30" s="32"/>
      <x:c r="FU30" s="32"/>
      <x:c r="FV30" s="32"/>
      <x:c r="FW30" s="32"/>
      <x:c r="FX30" s="32"/>
      <x:c r="FY30" s="32"/>
      <x:c r="FZ30" s="32"/>
      <x:c r="GA30" s="32"/>
      <x:c r="GB30" s="32"/>
      <x:c r="GC30" s="32"/>
      <x:c r="GD30" s="32"/>
      <x:c r="GE30" s="32"/>
      <x:c r="GF30" s="32"/>
      <x:c r="GG30" s="32"/>
      <x:c r="GH30" s="32"/>
      <x:c r="GI30" s="32"/>
      <x:c r="GJ30" s="32"/>
      <x:c r="GK30" s="32"/>
      <x:c r="GL30" s="32"/>
      <x:c r="GM30" s="32"/>
      <x:c r="GN30" s="32"/>
      <x:c r="GO30" s="32"/>
      <x:c r="GP30" s="32"/>
      <x:c r="GQ30" s="32"/>
      <x:c r="GR30" s="32"/>
      <x:c r="GS30" s="32"/>
      <x:c r="GT30" s="32"/>
      <x:c r="GU30" s="32"/>
      <x:c r="GV30" s="32"/>
      <x:c r="GW30" s="32"/>
      <x:c r="GX30" s="32"/>
      <x:c r="GY30" s="32"/>
      <x:c r="GZ30" s="32"/>
      <x:c r="HA30" s="32"/>
      <x:c r="HB30" s="32"/>
      <x:c r="HC30" s="32"/>
      <x:c r="HD30" s="32"/>
      <x:c r="HE30" s="32"/>
      <x:c r="HF30" s="32"/>
      <x:c r="HG30" s="32"/>
      <x:c r="HH30" s="32"/>
      <x:c r="HI30" s="32"/>
      <x:c r="HJ30" s="32"/>
      <x:c r="HK30" s="32"/>
      <x:c r="HL30" s="32"/>
      <x:c r="HM30" s="32"/>
      <x:c r="HN30" s="32"/>
      <x:c r="HO30" s="32"/>
      <x:c r="HP30" s="32"/>
      <x:c r="HQ30" s="32"/>
      <x:c r="HR30" s="32"/>
      <x:c r="HS30" s="32"/>
      <x:c r="HT30" s="32"/>
      <x:c r="HU30" s="32"/>
      <x:c r="HV30" s="32"/>
      <x:c r="HW30" s="32"/>
      <x:c r="HX30" s="32"/>
      <x:c r="HY30" s="32"/>
      <x:c r="VW30" s="32"/>
      <x:c r="VX30" s="32"/>
      <x:c r="VY30" s="32"/>
      <x:c r="VZ30" s="32"/>
      <x:c r="WA30" s="32"/>
      <x:c r="WB30" s="32"/>
      <x:c r="WC30" s="32"/>
      <x:c r="WD30" s="32"/>
      <x:c r="WE30" s="32"/>
      <x:c r="WF30" s="32"/>
      <x:c r="WG30" s="32"/>
      <x:c r="WH30" s="32"/>
      <x:c r="WI30" s="32"/>
      <x:c r="WJ30" s="32"/>
      <x:c r="WK30" s="32"/>
      <x:c r="WL30" s="32"/>
      <x:c r="WM30" s="32"/>
      <x:c r="WN30" s="32"/>
      <x:c r="WO30" s="32"/>
      <x:c r="WP30" s="32"/>
      <x:c r="WQ30" s="32"/>
      <x:c r="WR30" s="32"/>
      <x:c r="WS30" s="32"/>
      <x:c r="WT30" s="32"/>
      <x:c r="WU30" s="32"/>
      <x:c r="WV30" s="32"/>
      <x:c r="WW30" s="32"/>
      <x:c r="WX30" s="32"/>
      <x:c r="WY30" s="32"/>
      <x:c r="WZ30" s="32"/>
      <x:c r="XA30" s="32"/>
      <x:c r="XB30" s="32"/>
      <x:c r="XC30" s="32"/>
      <x:c r="XD30" s="32"/>
    </x:row>
    <x:row r="31">
      <x:c r="A31" s="32" t="str">
        <x:v>52e52d15-ab29-4d02-ae0b-db8ef8b4346b</x:v>
      </x:c>
      <x:c r="B31" s="32" t="str">
        <x:v>C-007</x:v>
      </x:c>
      <x:c r="C31" s="42" t="n">
        <x:v>46260.992430555554</x:v>
      </x:c>
      <x:c r="D31" s="32" t="str">
        <x:v>489b7424f5051f7a276dafe8d5f318ccf1368d87</x:v>
      </x:c>
      <x:c r="E31" s="32" t="str">
        <x:v>GLONBW11</x:v>
      </x:c>
      <x:c r="F31" s="32" t="str">
        <x:v>local-filesystem</x:v>
      </x:c>
      <x:c r="G31" s="32" t="str">
        <x:v>3.14.2</x:v>
      </x:c>
      <x:c r="H31" s="32" t="str">
        <x:v>deterministic</x:v>
      </x:c>
      <x:c r="I31" s="32" t="n">
        <x:v>1000</x:v>
      </x:c>
      <x:c r="J31" s="32" t="n">
        <x:v>4.5</x:v>
      </x:c>
      <x:c r="K31" s="32" t="n">
        <x:v>4.587879783333333</x:v>
      </x:c>
      <x:c r="L31" s="32" t="n">
        <x:v>57</x:v>
      </x:c>
      <x:c r="M31" s="32" t="n">
        <x:v>5</x:v>
      </x:c>
      <x:c r="N31" s="32" t="n">
        <x:v>10</x:v>
      </x:c>
      <x:c r="O31" s="32" t="n">
        <x:v>968.8143940002192</x:v>
      </x:c>
      <x:c r="P31" s="32" t="n">
        <x:v>1924.1295500003616</x:v>
      </x:c>
      <x:c r="Q31" s="32" t="n">
        <x:v>2010.80445508167</x:v>
      </x:c>
      <x:c r="R31" s="32" t="n">
        <x:v>2080.3993830013496</x:v>
      </x:c>
      <x:c r="S31" s="32" t="n">
        <x:v>0</x:v>
      </x:c>
      <x:c r="T31" s="43" t="n">
        <x:v>0</x:v>
      </x:c>
      <x:c r="U31" s="32" t="n">
        <x:v>96.47256037676104</x:v>
      </x:c>
      <x:c r="V31" s="32" t="n">
        <x:v>100.76670728134103</x:v>
      </x:c>
      <x:c r="W31" s="32" t="n">
        <x:v>147.9555235745614</x:v>
      </x:c>
      <x:c r="X31" s="32" t="n">
        <x:v>150.37109375</x:v>
      </x:c>
      <x:c r="Y31" s="32"/>
      <x:c r="Z31" s="32"/>
      <x:c r="AA31" s="32"/>
      <x:c r="AB31" s="32"/>
      <x:c r="AC31" s="32" t="n">
        <x:v>0</x:v>
      </x:c>
      <x:c r="AD31" s="32" t="n">
        <x:v>0</x:v>
      </x:c>
      <x:c r="AE31" s="32" t="n">
        <x:v>0</x:v>
      </x:c>
      <x:c r="AF31" s="32"/>
      <x:c r="AG31" s="32"/>
      <x:c r="AH31" s="32" t="n">
        <x:v>1454.2984849977074</x:v>
      </x:c>
      <x:c r="AI31" s="32" t="str">
        <x:v>PASS</x:v>
      </x:c>
      <x:c r="AJ31" s="32" t="str">
        <x:v>GREEN</x:v>
      </x:c>
      <x:c r="AK31" s="32" t="str">
        <x:v>latest-narrow</x:v>
      </x:c>
      <x:c r="AL31" s="32" t="n">
        <x:v>1</x:v>
      </x:c>
      <x:c r="AM31" s="32" t="n">
        <x:v>1</x:v>
      </x:c>
      <x:c r="AN31" s="32" t="n">
        <x:v>1000</x:v>
      </x:c>
      <x:c r="AO31" s="32" t="n">
        <x:v>1</x:v>
      </x:c>
      <x:c r="AP31" s="32" t="n">
        <x:v>8132</x:v>
      </x:c>
      <x:c r="AQ31" s="32" t="n">
        <x:v>4.238917499606032</x:v>
      </x:c>
      <x:c r="AR31" s="32" t="n">
        <x:v>5.383107750276395</x:v>
      </x:c>
      <x:c r="AS31" s="32" t="n">
        <x:v>5.69045845004439</x:v>
      </x:c>
      <x:c r="AT31" s="32" t="n">
        <x:v>36</x:v>
      </x:c>
      <x:c r="AU31" s="32" t="str">
        <x:v>28×28 + 8×27</x:v>
      </x:c>
      <x:c r="AV31" s="32" t="n">
        <x:v>0.3866970000672154</x:v>
      </x:c>
      <x:c r="AW31" s="32" t="n">
        <x:v>0.48490425069758203</x:v>
      </x:c>
      <x:c r="AX31" s="32" t="n">
        <x:v>0.6381584998962362</x:v>
      </x:c>
      <x:c r="AY31" s="32" t="str">
        <x:v>balanced</x:v>
      </x:c>
      <x:c r="AZ31" s="32" t="str">
        <x:v>PASS</x:v>
      </x:c>
      <x:c r="BA31" s="32" t="n">
        <x:v>1000</x:v>
      </x:c>
      <x:c r="BB31" s="32" t="n">
        <x:v>0</x:v>
      </x:c>
      <x:c r="BC31" s="115" t="b">
        <x:v>1</x:v>
      </x:c>
      <x:c r="BD31" s="32" t="str">
        <x:v>PASS/GREEN. AC-1→AC-2 compatible C2 adoption produced exactly 3000 RESCHEDULED with preserved Occurrence identity and exact revised +90/+150/+210 due_at. Final 4000 assignments / 0 pending; p95 1.924 s and 0 overruns.</x:v>
      </x:c>
      <x:c r="BE31" s="32" t="n">
        <x:v>0</x:v>
      </x:c>
      <x:c r="BF31" s="32" t="n">
        <x:v>0</x:v>
      </x:c>
      <x:c r="BG31" s="32" t="n">
        <x:v>0</x:v>
      </x:c>
      <x:c r="BH31" s="32" t="n">
        <x:v>0</x:v>
      </x:c>
      <x:c r="BI31" s="32" t="n">
        <x:v>0</x:v>
      </x:c>
      <x:c r="BJ31" s="32" t="n">
        <x:v>1000</x:v>
      </x:c>
      <x:c r="BK31" s="32" t="n">
        <x:v>1000</x:v>
      </x:c>
      <x:c r="BL31" s="32" t="n">
        <x:v>0</x:v>
      </x:c>
      <x:c r="BM31" s="32" t="n">
        <x:v>0</x:v>
      </x:c>
      <x:c r="BN31" s="32" t="n">
        <x:v>100</x:v>
      </x:c>
      <x:c r="BO31" s="32" t="n">
        <x:v>10</x:v>
      </x:c>
      <x:c r="BP31" s="32" t="n">
        <x:v>0</x:v>
      </x:c>
      <x:c r="BQ31" s="32" t="n">
        <x:v>100</x:v>
      </x:c>
      <x:c r="BR31" s="32" t="n">
        <x:v>0</x:v>
      </x:c>
      <x:c r="BS31" s="32" t="n">
        <x:v>0</x:v>
      </x:c>
      <x:c r="BT31" s="32" t="n">
        <x:v>500</x:v>
      </x:c>
      <x:c r="BU31" s="32" t="n">
        <x:v>500</x:v>
      </x:c>
      <x:c r="BV31" s="32" t="n">
        <x:v>0</x:v>
      </x:c>
      <x:c r="BW31" s="32" t="n">
        <x:v>1000</x:v>
      </x:c>
      <x:c r="BX31" s="32" t="n">
        <x:v>1000</x:v>
      </x:c>
      <x:c r="BY31" s="32" t="n">
        <x:v>0</x:v>
      </x:c>
      <x:c r="BZ31" s="32" t="n">
        <x:v>0</x:v>
      </x:c>
      <x:c r="CA31" s="32" t="n">
        <x:v>100</x:v>
      </x:c>
      <x:c r="CB31" s="32" t="n">
        <x:v>100</x:v>
      </x:c>
      <x:c r="CC31" s="32" t="n">
        <x:v>0</x:v>
      </x:c>
      <x:c r="CD31" s="32" t="n">
        <x:v>0</x:v>
      </x:c>
      <x:c r="CE31" s="32" t="n">
        <x:v>10000</x:v>
      </x:c>
      <x:c r="CF31" s="32" t="n">
        <x:v>11000</x:v>
      </x:c>
      <x:c r="CG31" s="32" t="n">
        <x:v>1000</x:v>
      </x:c>
      <x:c r="CH31" s="32" t="n">
        <x:v>0</x:v>
      </x:c>
      <x:c r="CI31" s="115" t="b">
        <x:v>1</x:v>
      </x:c>
      <x:c r="CJ31" s="32" t="n">
        <x:v>0</x:v>
      </x:c>
      <x:c r="CK31" s="32" t="n">
        <x:v>10000</x:v>
      </x:c>
      <x:c r="CL31" s="32" t="n">
        <x:v>0</x:v>
      </x:c>
      <x:c r="CM31" s="32" t="n">
        <x:v>0</x:v>
      </x:c>
      <x:c r="CN31" s="32" t="n">
        <x:v>0</x:v>
      </x:c>
      <x:c r="CO31" s="32" t="n">
        <x:v>0</x:v>
      </x:c>
      <x:c r="CP31" s="32" t="n">
        <x:v>0</x:v>
      </x:c>
      <x:c r="CQ31" s="32" t="n">
        <x:v>0</x:v>
      </x:c>
      <x:c r="CR31" s="32" t="n">
        <x:v>0</x:v>
      </x:c>
      <x:c r="CS31" s="32" t="n">
        <x:v>0</x:v>
      </x:c>
      <x:c r="CT31" s="32" t="n">
        <x:v>0</x:v>
      </x:c>
      <x:c r="CU31" s="32" t="n">
        <x:v>0</x:v>
      </x:c>
      <x:c r="CV31" s="32" t="n">
        <x:v>0</x:v>
      </x:c>
      <x:c r="CW31" s="32" t="n">
        <x:v>0</x:v>
      </x:c>
      <x:c r="CX31" s="32" t="n">
        <x:v>0</x:v>
      </x:c>
      <x:c r="CY31" s="32" t="n">
        <x:v>0</x:v>
      </x:c>
      <x:c r="CZ31" s="32" t="n">
        <x:v>0</x:v>
      </x:c>
      <x:c r="DA31" s="32" t="n">
        <x:v>0</x:v>
      </x:c>
      <x:c r="DB31" s="32" t="n">
        <x:v>0</x:v>
      </x:c>
      <x:c r="DC31" s="32" t="n">
        <x:v>0</x:v>
      </x:c>
      <x:c r="DD31" s="32" t="n">
        <x:v>0</x:v>
      </x:c>
      <x:c r="DE31" s="32" t="n">
        <x:v>0</x:v>
      </x:c>
      <x:c r="DF31" s="32" t="n">
        <x:v>0</x:v>
      </x:c>
      <x:c r="DG31" s="32" t="n">
        <x:v>0</x:v>
      </x:c>
      <x:c r="DH31" s="32" t="str">
        <x:v>baseline</x:v>
      </x:c>
      <x:c r="DI31" s="32" t="n">
        <x:v>57</x:v>
      </x:c>
      <x:c r="DJ31" s="32" t="n">
        <x:v>0</x:v>
      </x:c>
      <x:c r="DK31" s="32" t="n">
        <x:v>0</x:v>
      </x:c>
      <x:c r="DL31" s="32" t="n">
        <x:v>0</x:v>
      </x:c>
      <x:c r="DM31" s="32" t="n">
        <x:v>0</x:v>
      </x:c>
      <x:c r="DN31" s="32" t="n">
        <x:v>0</x:v>
      </x:c>
      <x:c r="DO31" s="32" t="n">
        <x:v>0</x:v>
      </x:c>
      <x:c r="DP31" s="32" t="n">
        <x:v>0</x:v>
      </x:c>
      <x:c r="DQ31" s="32" t="str">
        <x:v>C2</x:v>
      </x:c>
      <x:c r="DR31" s="32" t="n">
        <x:v>0</x:v>
      </x:c>
      <x:c r="DS31" s="32" t="n">
        <x:v>4000</x:v>
      </x:c>
      <x:c r="DT31" s="32" t="n">
        <x:v>4000</x:v>
      </x:c>
      <x:c r="DU31" s="32" t="n">
        <x:v>3000</x:v>
      </x:c>
      <x:c r="DV31" s="32" t="n">
        <x:v>3000</x:v>
      </x:c>
      <x:c r="DW31" s="32" t="n">
        <x:v>0</x:v>
      </x:c>
      <x:c r="DX31" s="32" t="n">
        <x:v>4000</x:v>
      </x:c>
      <x:c r="DY31" s="32" t="n">
        <x:v>4000</x:v>
      </x:c>
      <x:c r="DZ31" s="32" t="n">
        <x:v>0</x:v>
      </x:c>
      <x:c r="EA31" s="32" t="n">
        <x:v>0</x:v>
      </x:c>
      <x:c r="EB31" s="32" t="str">
        <x:v>60,120,180</x:v>
      </x:c>
      <x:c r="EC31" s="32" t="n">
        <x:v>3000</x:v>
      </x:c>
      <x:c r="ED31" s="32" t="str">
        <x:v>1000,1000,1000</x:v>
      </x:c>
      <x:c r="EE31" s="32" t="str">
        <x:v>1000,1000,1000</x:v>
      </x:c>
      <x:c r="EF31" s="32" t="str">
        <x:v>1000,1000,2000,3000,4000</x:v>
      </x:c>
      <x:c r="EG31" s="32" t="str">
        <x:v>1000,1000,2000,3000,4000</x:v>
      </x:c>
      <x:c r="EH31" s="32" t="str">
        <x:v>3000,3000,2000,1000,0</x:v>
      </x:c>
      <x:c r="EI31" s="32" t="str">
        <x:v>3000,3000,2000,1000,0</x:v>
      </x:c>
      <x:c r="EJ31" s="32" t="str">
        <x:v>90,150,210</x:v>
      </x:c>
      <x:c r="EK31" s="32" t="n">
        <x:v>30</x:v>
      </x:c>
      <x:c r="EL31" s="32" t="n">
        <x:v>3000</x:v>
      </x:c>
      <x:c r="EM31" s="32" t="str">
        <x:v>1000,1000,1000</x:v>
      </x:c>
      <x:c r="EN31" s="32" t="str">
        <x:v>1000,1000,1000</x:v>
      </x:c>
      <x:c r="EO31" s="32" t="str">
        <x:v>1000,1000,1000</x:v>
      </x:c>
      <x:c r="EP31" s="32" t="str">
        <x:v>1000,1000,1000</x:v>
      </x:c>
      <x:c r="EQ31" s="32" t="n">
        <x:v>100</x:v>
      </x:c>
      <x:c r="ER31" s="32" t="n">
        <x:v>100</x:v>
      </x:c>
      <x:c r="ES31" s="115" t="b">
        <x:v>1</x:v>
      </x:c>
      <x:c r="ET31" s="32" t="str">
        <x:v>fcb116ba-6438-46a9-8ba6-a1bfdd11e1ac</x:v>
      </x:c>
      <x:c r="EU31" s="32" t="str">
        <x:v>52e52d15-ab29-4d02-ae0b-db8ef8b4346b</x:v>
      </x:c>
      <x:c r="EV31" s="32"/>
      <x:c r="EW31" s="32"/>
      <x:c r="EX31" s="32"/>
      <x:c r="EY31" s="32"/>
      <x:c r="EZ31" s="32"/>
      <x:c r="FA31" s="32"/>
      <x:c r="FB31" s="32"/>
      <x:c r="FC31" s="32"/>
      <x:c r="FD31" s="32"/>
      <x:c r="FE31" s="32"/>
      <x:c r="FF31" s="32"/>
      <x:c r="FG31" s="32"/>
      <x:c r="FH31" s="32"/>
      <x:c r="FI31" s="32"/>
      <x:c r="FJ31" s="32"/>
      <x:c r="FK31" s="32"/>
      <x:c r="FL31" s="32"/>
      <x:c r="FM31" s="32"/>
      <x:c r="FN31" s="32"/>
      <x:c r="FO31" s="32"/>
      <x:c r="FP31" s="32"/>
      <x:c r="FQ31" s="32"/>
      <x:c r="FR31" s="32"/>
      <x:c r="FS31" s="32"/>
      <x:c r="FT31" s="32"/>
      <x:c r="FU31" s="32"/>
      <x:c r="FV31" s="32"/>
      <x:c r="FW31" s="32"/>
      <x:c r="FX31" s="32"/>
      <x:c r="FY31" s="32"/>
      <x:c r="FZ31" s="32"/>
      <x:c r="GA31" s="32"/>
      <x:c r="GB31" s="32"/>
      <x:c r="GC31" s="32"/>
      <x:c r="GD31" s="32"/>
      <x:c r="GE31" s="32"/>
      <x:c r="GF31" s="32"/>
      <x:c r="GG31" s="32"/>
      <x:c r="GH31" s="32"/>
      <x:c r="GI31" s="32"/>
      <x:c r="GJ31" s="32"/>
      <x:c r="GK31" s="32"/>
      <x:c r="GL31" s="32"/>
      <x:c r="GM31" s="32"/>
      <x:c r="GN31" s="32"/>
      <x:c r="GO31" s="32"/>
      <x:c r="GP31" s="32"/>
      <x:c r="GQ31" s="32"/>
      <x:c r="GR31" s="32"/>
      <x:c r="GS31" s="32"/>
      <x:c r="GT31" s="32"/>
      <x:c r="GU31" s="32"/>
      <x:c r="GV31" s="32"/>
      <x:c r="GW31" s="32"/>
      <x:c r="GX31" s="32"/>
      <x:c r="GY31" s="32"/>
      <x:c r="GZ31" s="32"/>
      <x:c r="HA31" s="32"/>
      <x:c r="HB31" s="32"/>
      <x:c r="HC31" s="32"/>
      <x:c r="HD31" s="32"/>
      <x:c r="HE31" s="32"/>
      <x:c r="HF31" s="32"/>
      <x:c r="HG31" s="32"/>
      <x:c r="HH31" s="32"/>
      <x:c r="HI31" s="32"/>
      <x:c r="HJ31" s="32"/>
      <x:c r="HK31" s="32"/>
      <x:c r="HL31" s="32"/>
      <x:c r="HM31" s="32"/>
      <x:c r="HN31" s="32"/>
      <x:c r="HO31" s="32"/>
      <x:c r="HP31" s="32"/>
      <x:c r="HQ31" s="32"/>
      <x:c r="HR31" s="32"/>
      <x:c r="HS31" s="32"/>
      <x:c r="HT31" s="32"/>
      <x:c r="HU31" s="32"/>
      <x:c r="HV31" s="32"/>
      <x:c r="HW31" s="32"/>
      <x:c r="HX31" s="32"/>
      <x:c r="HY31" s="32"/>
      <x:c r="VW31" s="32"/>
      <x:c r="VX31" s="32"/>
      <x:c r="VY31" s="32"/>
      <x:c r="VZ31" s="32"/>
      <x:c r="WA31" s="32"/>
      <x:c r="WB31" s="32"/>
      <x:c r="WC31" s="32"/>
      <x:c r="WD31" s="32"/>
      <x:c r="WE31" s="32"/>
      <x:c r="WF31" s="32"/>
      <x:c r="WG31" s="32"/>
      <x:c r="WH31" s="32"/>
      <x:c r="WI31" s="32"/>
      <x:c r="WJ31" s="32"/>
      <x:c r="WK31" s="32"/>
      <x:c r="WL31" s="32"/>
      <x:c r="WM31" s="32"/>
      <x:c r="WN31" s="32"/>
      <x:c r="WO31" s="32"/>
      <x:c r="WP31" s="32"/>
      <x:c r="WQ31" s="32"/>
      <x:c r="WR31" s="32"/>
      <x:c r="WS31" s="32"/>
      <x:c r="WT31" s="32"/>
      <x:c r="WU31" s="32"/>
      <x:c r="WV31" s="32"/>
      <x:c r="WW31" s="32"/>
      <x:c r="WX31" s="32"/>
      <x:c r="WY31" s="32"/>
      <x:c r="WZ31" s="32"/>
      <x:c r="XA31" s="32"/>
      <x:c r="XB31" s="32"/>
      <x:c r="XC31" s="32"/>
      <x:c r="XD31" s="32"/>
    </x:row>
    <x:row r="32">
      <x:c r="A32" s="32" t="str">
        <x:v>d54b12b9-0300-48c4-a869-7c8402b7beba</x:v>
      </x:c>
      <x:c r="B32" s="32" t="str">
        <x:v>C-008</x:v>
      </x:c>
      <x:c r="C32" s="42" t="n">
        <x:v>46261.02116898148</x:v>
      </x:c>
      <x:c r="D32" s="32" t="str">
        <x:v>489b7424f5051f7a276dafe8d5f318ccf1368d87</x:v>
      </x:c>
      <x:c r="E32" s="32" t="str">
        <x:v>GLONBW11</x:v>
      </x:c>
      <x:c r="F32" s="32" t="str">
        <x:v>local-filesystem</x:v>
      </x:c>
      <x:c r="G32" s="32" t="str">
        <x:v>3.14.2</x:v>
      </x:c>
      <x:c r="H32" s="32" t="str">
        <x:v>deterministic</x:v>
      </x:c>
      <x:c r="I32" s="32" t="n">
        <x:v>1000</x:v>
      </x:c>
      <x:c r="J32" s="32" t="n">
        <x:v>3.5</x:v>
      </x:c>
      <x:c r="K32" s="32" t="n">
        <x:v>3.5859379166666665</x:v>
      </x:c>
      <x:c r="L32" s="32" t="n">
        <x:v>45</x:v>
      </x:c>
      <x:c r="M32" s="32" t="n">
        <x:v>5</x:v>
      </x:c>
      <x:c r="N32" s="32" t="n">
        <x:v>10</x:v>
      </x:c>
      <x:c r="O32" s="32" t="n">
        <x:v>931.6263799992157</x:v>
      </x:c>
      <x:c r="P32" s="32" t="n">
        <x:v>1603.2940664008484</x:v>
      </x:c>
      <x:c r="Q32" s="32" t="n">
        <x:v>1978.4301576393777</x:v>
      </x:c>
      <x:c r="R32" s="32" t="n">
        <x:v>2043.8880969995807</x:v>
      </x:c>
      <x:c r="S32" s="32" t="n">
        <x:v>0</x:v>
      </x:c>
      <x:c r="T32" s="43" t="n">
        <x:v>0</x:v>
      </x:c>
      <x:c r="U32" s="32" t="n">
        <x:v>96.71412775421817</x:v>
      </x:c>
      <x:c r="V32" s="32" t="n">
        <x:v>99.8800134737525</x:v>
      </x:c>
      <x:c r="W32" s="32" t="n">
        <x:v>148.983984375</x:v>
      </x:c>
      <x:c r="X32" s="32" t="n">
        <x:v>152.83984375</x:v>
      </x:c>
      <x:c r="Y32" s="32"/>
      <x:c r="Z32" s="32"/>
      <x:c r="AA32" s="32"/>
      <x:c r="AB32" s="32"/>
      <x:c r="AC32" s="32" t="n">
        <x:v>0</x:v>
      </x:c>
      <x:c r="AD32" s="32" t="n">
        <x:v>0</x:v>
      </x:c>
      <x:c r="AE32" s="32" t="n">
        <x:v>0</x:v>
      </x:c>
      <x:c r="AF32" s="32"/>
      <x:c r="AG32" s="32"/>
      <x:c r="AH32" s="32" t="n">
        <x:v>1255.8826780004892</x:v>
      </x:c>
      <x:c r="AI32" s="32" t="str">
        <x:v>PASS</x:v>
      </x:c>
      <x:c r="AJ32" s="32" t="str">
        <x:v>GREEN</x:v>
      </x:c>
      <x:c r="AK32" s="32" t="str">
        <x:v>latest-narrow</x:v>
      </x:c>
      <x:c r="AL32" s="32" t="n">
        <x:v>1</x:v>
      </x:c>
      <x:c r="AM32" s="32" t="n">
        <x:v>1</x:v>
      </x:c>
      <x:c r="AN32" s="32" t="n">
        <x:v>1000</x:v>
      </x:c>
      <x:c r="AO32" s="32" t="n">
        <x:v>1</x:v>
      </x:c>
      <x:c r="AP32" s="32" t="n">
        <x:v>8132</x:v>
      </x:c>
      <x:c r="AQ32" s="32" t="n">
        <x:v>4.269790999387624</x:v>
      </x:c>
      <x:c r="AR32" s="32" t="n">
        <x:v>5.108350550290197</x:v>
      </x:c>
      <x:c r="AS32" s="32" t="n">
        <x:v>5.2610678110067965</x:v>
      </x:c>
      <x:c r="AT32" s="32" t="n">
        <x:v>36</x:v>
      </x:c>
      <x:c r="AU32" s="32" t="str">
        <x:v>28×28 + 8×27</x:v>
      </x:c>
      <x:c r="AV32" s="32" t="n">
        <x:v>0.3855199993267888</x:v>
      </x:c>
      <x:c r="AW32" s="32" t="n">
        <x:v>0.45488565065170405</x:v>
      </x:c>
      <x:c r="AX32" s="32" t="n">
        <x:v>0.4785552686371375</x:v>
      </x:c>
      <x:c r="AY32" s="32" t="str">
        <x:v>balanced</x:v>
      </x:c>
      <x:c r="AZ32" s="32" t="str">
        <x:v>PASS</x:v>
      </x:c>
      <x:c r="BA32" s="32" t="n">
        <x:v>1000</x:v>
      </x:c>
      <x:c r="BB32" s="32" t="n">
        <x:v>0</x:v>
      </x:c>
      <x:c r="BC32" s="115" t="b">
        <x:v>1</x:v>
      </x:c>
      <x:c r="BD32" s="32" t="str">
        <x:v>PASS/GREEN. Compatible AC-1→AC-2 removal emitted exactly 3000 REMOVED (1000 reached + 2000 pending), preserved all Occurrences and left only origin assignments. p95 1.603 s, 0 overruns; R3.5C routing closes 11/11.</x:v>
      </x:c>
      <x:c r="BE32" s="32" t="n">
        <x:v>0</x:v>
      </x:c>
      <x:c r="BF32" s="32" t="n">
        <x:v>0</x:v>
      </x:c>
      <x:c r="BG32" s="32" t="n">
        <x:v>0</x:v>
      </x:c>
      <x:c r="BH32" s="32" t="n">
        <x:v>0</x:v>
      </x:c>
      <x:c r="BI32" s="32" t="n">
        <x:v>0</x:v>
      </x:c>
      <x:c r="BJ32" s="32" t="n">
        <x:v>1000</x:v>
      </x:c>
      <x:c r="BK32" s="32" t="n">
        <x:v>1000</x:v>
      </x:c>
      <x:c r="BL32" s="32" t="n">
        <x:v>0</x:v>
      </x:c>
      <x:c r="BM32" s="32" t="n">
        <x:v>0</x:v>
      </x:c>
      <x:c r="BN32" s="32" t="n">
        <x:v>100</x:v>
      </x:c>
      <x:c r="BO32" s="32" t="n">
        <x:v>10</x:v>
      </x:c>
      <x:c r="BP32" s="32" t="n">
        <x:v>0</x:v>
      </x:c>
      <x:c r="BQ32" s="32" t="n">
        <x:v>100</x:v>
      </x:c>
      <x:c r="BR32" s="32" t="n">
        <x:v>0</x:v>
      </x:c>
      <x:c r="BS32" s="32" t="n">
        <x:v>0</x:v>
      </x:c>
      <x:c r="BT32" s="32" t="n">
        <x:v>300</x:v>
      </x:c>
      <x:c r="BU32" s="32" t="n">
        <x:v>300</x:v>
      </x:c>
      <x:c r="BV32" s="32" t="n">
        <x:v>0</x:v>
      </x:c>
      <x:c r="BW32" s="32" t="n">
        <x:v>1000</x:v>
      </x:c>
      <x:c r="BX32" s="32" t="n">
        <x:v>1000</x:v>
      </x:c>
      <x:c r="BY32" s="32" t="n">
        <x:v>0</x:v>
      </x:c>
      <x:c r="BZ32" s="32" t="n">
        <x:v>0</x:v>
      </x:c>
      <x:c r="CA32" s="32" t="n">
        <x:v>100</x:v>
      </x:c>
      <x:c r="CB32" s="32" t="n">
        <x:v>100</x:v>
      </x:c>
      <x:c r="CC32" s="32" t="n">
        <x:v>0</x:v>
      </x:c>
      <x:c r="CD32" s="32" t="n">
        <x:v>0</x:v>
      </x:c>
      <x:c r="CE32" s="32" t="n">
        <x:v>8000</x:v>
      </x:c>
      <x:c r="CF32" s="32" t="n">
        <x:v>9000</x:v>
      </x:c>
      <x:c r="CG32" s="32" t="n">
        <x:v>1000</x:v>
      </x:c>
      <x:c r="CH32" s="32" t="n">
        <x:v>0</x:v>
      </x:c>
      <x:c r="CI32" s="115" t="b">
        <x:v>1</x:v>
      </x:c>
      <x:c r="CJ32" s="32" t="n">
        <x:v>0</x:v>
      </x:c>
      <x:c r="CK32" s="32" t="n">
        <x:v>8000</x:v>
      </x:c>
      <x:c r="CL32" s="32" t="n">
        <x:v>0</x:v>
      </x:c>
      <x:c r="CM32" s="32" t="n">
        <x:v>0</x:v>
      </x:c>
      <x:c r="CN32" s="32" t="n">
        <x:v>0</x:v>
      </x:c>
      <x:c r="CO32" s="32" t="n">
        <x:v>0</x:v>
      </x:c>
      <x:c r="CP32" s="32" t="n">
        <x:v>0</x:v>
      </x:c>
      <x:c r="CQ32" s="32" t="n">
        <x:v>0</x:v>
      </x:c>
      <x:c r="CR32" s="32" t="n">
        <x:v>0</x:v>
      </x:c>
      <x:c r="CS32" s="32" t="n">
        <x:v>0</x:v>
      </x:c>
      <x:c r="CT32" s="32" t="n">
        <x:v>0</x:v>
      </x:c>
      <x:c r="CU32" s="32" t="n">
        <x:v>0</x:v>
      </x:c>
      <x:c r="CV32" s="32" t="n">
        <x:v>0</x:v>
      </x:c>
      <x:c r="CW32" s="32" t="n">
        <x:v>0</x:v>
      </x:c>
      <x:c r="CX32" s="32" t="n">
        <x:v>0</x:v>
      </x:c>
      <x:c r="CY32" s="32" t="n">
        <x:v>0</x:v>
      </x:c>
      <x:c r="CZ32" s="32" t="n">
        <x:v>0</x:v>
      </x:c>
      <x:c r="DA32" s="32" t="n">
        <x:v>0</x:v>
      </x:c>
      <x:c r="DB32" s="32" t="n">
        <x:v>0</x:v>
      </x:c>
      <x:c r="DC32" s="32" t="n">
        <x:v>0</x:v>
      </x:c>
      <x:c r="DD32" s="32" t="n">
        <x:v>0</x:v>
      </x:c>
      <x:c r="DE32" s="32" t="n">
        <x:v>0</x:v>
      </x:c>
      <x:c r="DF32" s="32" t="n">
        <x:v>0</x:v>
      </x:c>
      <x:c r="DG32" s="32" t="n">
        <x:v>0</x:v>
      </x:c>
      <x:c r="DH32" s="32" t="str">
        <x:v>baseline</x:v>
      </x:c>
      <x:c r="DI32" s="32" t="n">
        <x:v>45</x:v>
      </x:c>
      <x:c r="DJ32" s="32" t="n">
        <x:v>0</x:v>
      </x:c>
      <x:c r="DK32" s="32" t="n">
        <x:v>0</x:v>
      </x:c>
      <x:c r="DL32" s="32" t="n">
        <x:v>0</x:v>
      </x:c>
      <x:c r="DM32" s="32" t="n">
        <x:v>0</x:v>
      </x:c>
      <x:c r="DN32" s="32" t="n">
        <x:v>0</x:v>
      </x:c>
      <x:c r="DO32" s="32" t="n">
        <x:v>0</x:v>
      </x:c>
      <x:c r="DP32" s="32" t="n">
        <x:v>0</x:v>
      </x:c>
      <x:c r="DQ32" s="32" t="str">
        <x:v>C2</x:v>
      </x:c>
      <x:c r="DR32" s="32" t="n">
        <x:v>0</x:v>
      </x:c>
      <x:c r="DS32" s="32" t="n">
        <x:v>2000</x:v>
      </x:c>
      <x:c r="DT32" s="32" t="n">
        <x:v>2000</x:v>
      </x:c>
      <x:c r="DU32" s="32" t="n">
        <x:v>3000</x:v>
      </x:c>
      <x:c r="DV32" s="32" t="n">
        <x:v>0</x:v>
      </x:c>
      <x:c r="DW32" s="32" t="n">
        <x:v>3000</x:v>
      </x:c>
      <x:c r="DX32" s="32" t="n">
        <x:v>1000</x:v>
      </x:c>
      <x:c r="DY32" s="32" t="n">
        <x:v>1000</x:v>
      </x:c>
      <x:c r="DZ32" s="32" t="n">
        <x:v>0</x:v>
      </x:c>
      <x:c r="EA32" s="32" t="n">
        <x:v>0</x:v>
      </x:c>
      <x:c r="EB32" s="32" t="str">
        <x:v>60,120,180</x:v>
      </x:c>
      <x:c r="EC32" s="32" t="n">
        <x:v>3000</x:v>
      </x:c>
      <x:c r="ED32" s="32" t="str">
        <x:v>1000,1000,1000</x:v>
      </x:c>
      <x:c r="EE32" s="32" t="str">
        <x:v>1000,1000,1000</x:v>
      </x:c>
      <x:c r="EF32" s="32" t="str">
        <x:v>1000,2000,1000</x:v>
      </x:c>
      <x:c r="EG32" s="32" t="str">
        <x:v>1000,2000,1000</x:v>
      </x:c>
      <x:c r="EH32" s="32" t="str">
        <x:v>3000,2000,0</x:v>
      </x:c>
      <x:c r="EI32" s="32" t="str">
        <x:v>3000,2000,0</x:v>
      </x:c>
      <x:c r="EJ32" s="32"/>
      <x:c r="EK32" s="32" t="n">
        <x:v>0</x:v>
      </x:c>
      <x:c r="EL32" s="32" t="n">
        <x:v>0</x:v>
      </x:c>
      <x:c r="EM32" s="32"/>
      <x:c r="EN32" s="32"/>
      <x:c r="EO32" s="32" t="str">
        <x:v>1000,0,0</x:v>
      </x:c>
      <x:c r="EP32" s="32" t="str">
        <x:v>1000,0,0</x:v>
      </x:c>
      <x:c r="EQ32" s="32" t="n">
        <x:v>0</x:v>
      </x:c>
      <x:c r="ER32" s="32" t="n">
        <x:v>0</x:v>
      </x:c>
      <x:c r="ES32" s="115" t="b">
        <x:v>1</x:v>
      </x:c>
      <x:c r="ET32" s="32" t="str">
        <x:v>267e39e5-f708-447f-b68d-79a50bf34c1f</x:v>
      </x:c>
      <x:c r="EU32" s="32" t="str">
        <x:v>d54b12b9-0300-48c4-a869-7c8402b7beba</x:v>
      </x:c>
      <x:c r="EV32" s="32" t="n">
        <x:v>90</x:v>
      </x:c>
      <x:c r="EW32" s="32" t="n">
        <x:v>3000</x:v>
      </x:c>
      <x:c r="EX32" s="32" t="str">
        <x:v>1000,1000,1000</x:v>
      </x:c>
      <x:c r="EY32" s="32" t="str">
        <x:v>1000,1000,1000</x:v>
      </x:c>
      <x:c r="EZ32" s="32" t="n">
        <x:v>1000</x:v>
      </x:c>
      <x:c r="FA32" s="32" t="n">
        <x:v>1000</x:v>
      </x:c>
      <x:c r="FB32" s="32" t="n">
        <x:v>2000</x:v>
      </x:c>
      <x:c r="FC32" s="32" t="n">
        <x:v>2000</x:v>
      </x:c>
      <x:c r="FD32" s="32" t="n">
        <x:v>100</x:v>
      </x:c>
      <x:c r="FE32" s="32" t="n">
        <x:v>100</x:v>
      </x:c>
      <x:c r="FF32" s="32"/>
      <x:c r="FG32" s="32"/>
      <x:c r="FH32" s="32"/>
      <x:c r="FI32" s="32"/>
      <x:c r="FJ32" s="32"/>
      <x:c r="FK32" s="32"/>
      <x:c r="FL32" s="32"/>
      <x:c r="FM32" s="32"/>
      <x:c r="FN32" s="32"/>
      <x:c r="FO32" s="32"/>
      <x:c r="FP32" s="32"/>
      <x:c r="FQ32" s="32"/>
      <x:c r="FR32" s="32"/>
      <x:c r="FS32" s="32"/>
      <x:c r="FT32" s="32"/>
      <x:c r="FU32" s="32"/>
      <x:c r="FV32" s="32"/>
      <x:c r="FW32" s="32"/>
      <x:c r="FX32" s="32"/>
      <x:c r="FY32" s="32"/>
      <x:c r="FZ32" s="32"/>
      <x:c r="GA32" s="32"/>
      <x:c r="GB32" s="32"/>
      <x:c r="GC32" s="32"/>
      <x:c r="GD32" s="32"/>
      <x:c r="GE32" s="32"/>
      <x:c r="GF32" s="32"/>
      <x:c r="GG32" s="32"/>
      <x:c r="GH32" s="32"/>
      <x:c r="GI32" s="32"/>
      <x:c r="GJ32" s="32"/>
      <x:c r="GK32" s="32"/>
      <x:c r="GL32" s="32"/>
      <x:c r="GM32" s="32"/>
      <x:c r="GN32" s="32"/>
      <x:c r="GO32" s="32"/>
      <x:c r="GP32" s="32"/>
      <x:c r="GQ32" s="32"/>
      <x:c r="GR32" s="32"/>
      <x:c r="GS32" s="32"/>
      <x:c r="GT32" s="32"/>
      <x:c r="GU32" s="32"/>
      <x:c r="GV32" s="32"/>
      <x:c r="GW32" s="32"/>
      <x:c r="GX32" s="32"/>
      <x:c r="GY32" s="32"/>
      <x:c r="GZ32" s="32"/>
      <x:c r="HA32" s="32"/>
      <x:c r="HB32" s="32"/>
      <x:c r="HC32" s="32"/>
      <x:c r="HD32" s="32"/>
      <x:c r="HE32" s="32"/>
      <x:c r="HF32" s="32"/>
      <x:c r="HG32" s="32"/>
      <x:c r="HH32" s="32"/>
      <x:c r="HI32" s="32"/>
      <x:c r="HJ32" s="32"/>
      <x:c r="HK32" s="32"/>
      <x:c r="HL32" s="32"/>
      <x:c r="HM32" s="32"/>
      <x:c r="HN32" s="32"/>
      <x:c r="HO32" s="32"/>
      <x:c r="HP32" s="32"/>
      <x:c r="HQ32" s="32"/>
      <x:c r="HR32" s="32"/>
      <x:c r="HS32" s="32"/>
      <x:c r="HT32" s="32"/>
      <x:c r="HU32" s="32"/>
      <x:c r="HV32" s="32"/>
      <x:c r="HW32" s="32"/>
      <x:c r="HX32" s="32"/>
      <x:c r="HY32" s="32"/>
      <x:c r="VW32" s="32"/>
      <x:c r="VX32" s="32"/>
      <x:c r="VY32" s="32"/>
      <x:c r="VZ32" s="32"/>
      <x:c r="WA32" s="32"/>
      <x:c r="WB32" s="32"/>
      <x:c r="WC32" s="32"/>
      <x:c r="WD32" s="32"/>
      <x:c r="WE32" s="32"/>
      <x:c r="WF32" s="32"/>
      <x:c r="WG32" s="32"/>
      <x:c r="WH32" s="32"/>
      <x:c r="WI32" s="32"/>
      <x:c r="WJ32" s="32"/>
      <x:c r="WK32" s="32"/>
      <x:c r="WL32" s="32"/>
      <x:c r="WM32" s="32"/>
      <x:c r="WN32" s="32"/>
      <x:c r="WO32" s="32"/>
      <x:c r="WP32" s="32"/>
      <x:c r="WQ32" s="32"/>
      <x:c r="WR32" s="32"/>
      <x:c r="WS32" s="32"/>
      <x:c r="WT32" s="32"/>
      <x:c r="WU32" s="32"/>
      <x:c r="WV32" s="32"/>
      <x:c r="WW32" s="32"/>
      <x:c r="WX32" s="32"/>
      <x:c r="WY32" s="32"/>
      <x:c r="WZ32" s="32"/>
      <x:c r="XA32" s="32"/>
      <x:c r="XB32" s="32"/>
      <x:c r="XC32" s="32"/>
      <x:c r="XD32" s="32"/>
    </x:row>
    <x:row r="33">
      <x:c r="A33" s="32" t="str">
        <x:v>3204ca5b-1be9-4968-b9c0-c0b2fb6ede3e</x:v>
      </x:c>
      <x:c r="B33" s="32" t="str">
        <x:v>D-001</x:v>
      </x:c>
      <x:c r="C33" s="42" t="n">
        <x:v>46261.06543981482</x:v>
      </x:c>
      <x:c r="D33" s="32" t="str">
        <x:v>489b7424f5051f7a276dafe8d5f318ccf1368d87</x:v>
      </x:c>
      <x:c r="E33" s="32" t="str">
        <x:v>GLONBW11</x:v>
      </x:c>
      <x:c r="F33" s="32" t="str">
        <x:v>local-filesystem</x:v>
      </x:c>
      <x:c r="G33" s="32" t="str">
        <x:v>3.14.2</x:v>
      </x:c>
      <x:c r="H33" s="32" t="str">
        <x:v>deterministic</x:v>
      </x:c>
      <x:c r="I33" s="32" t="n">
        <x:v>1000</x:v>
      </x:c>
      <x:c r="J33" s="32" t="n">
        <x:v>2</x:v>
      </x:c>
      <x:c r="K33" s="32" t="n">
        <x:v>2.0202343</x:v>
      </x:c>
      <x:c r="L33" s="32" t="n">
        <x:v>25</x:v>
      </x:c>
      <x:c r="M33" s="32" t="n">
        <x:v>5</x:v>
      </x:c>
      <x:c r="N33" s="32" t="n">
        <x:v>10</x:v>
      </x:c>
      <x:c r="O33" s="32" t="n">
        <x:v>917.3349289994803</x:v>
      </x:c>
      <x:c r="P33" s="32" t="n">
        <x:v>1006.567690801603</x:v>
      </x:c>
      <x:c r="Q33" s="32" t="n">
        <x:v>1520.4543028812632</x:v>
      </x:c>
      <x:c r="R33" s="32" t="n">
        <x:v>1679.2291800011299</x:v>
      </x:c>
      <x:c r="S33" s="32" t="n">
        <x:v>0</x:v>
      </x:c>
      <x:c r="T33" s="43" t="n">
        <x:v>0</x:v>
      </x:c>
      <x:c r="U33" s="32" t="n">
        <x:v>96.77989069630823</x:v>
      </x:c>
      <x:c r="V33" s="32" t="n">
        <x:v>99.44909970098675</x:v>
      </x:c>
      <x:c r="W33" s="32" t="n">
        <x:v>136.260703125</x:v>
      </x:c>
      <x:c r="X33" s="32" t="n">
        <x:v>136.62890625</x:v>
      </x:c>
      <x:c r="Y33" s="32"/>
      <x:c r="Z33" s="32"/>
      <x:c r="AA33" s="32"/>
      <x:c r="AB33" s="32"/>
      <x:c r="AC33" s="32" t="n">
        <x:v>0</x:v>
      </x:c>
      <x:c r="AD33" s="32" t="n">
        <x:v>0</x:v>
      </x:c>
      <x:c r="AE33" s="32" t="n">
        <x:v>0</x:v>
      </x:c>
      <x:c r="AF33" s="32"/>
      <x:c r="AG33" s="32"/>
      <x:c r="AH33" s="32" t="n">
        <x:v>213.60545399875264</x:v>
      </x:c>
      <x:c r="AI33" s="32" t="str">
        <x:v>PASS</x:v>
      </x:c>
      <x:c r="AJ33" s="32" t="str">
        <x:v>GREEN</x:v>
      </x:c>
      <x:c r="AK33" s="32" t="str">
        <x:v>latest-narrow</x:v>
      </x:c>
      <x:c r="AL33" s="32" t="n">
        <x:v>1</x:v>
      </x:c>
      <x:c r="AM33" s="32" t="n">
        <x:v>1</x:v>
      </x:c>
      <x:c r="AN33" s="32" t="n">
        <x:v>1000</x:v>
      </x:c>
      <x:c r="AO33" s="32" t="n">
        <x:v>1</x:v>
      </x:c>
      <x:c r="AP33" s="32" t="n">
        <x:v>8132</x:v>
      </x:c>
      <x:c r="AQ33" s="32" t="n">
        <x:v>4.554581002594205</x:v>
      </x:c>
      <x:c r="AR33" s="32" t="n">
        <x:v>6.424184601200977</x:v>
      </x:c>
      <x:c r="AS33" s="32" t="n">
        <x:v>6.597180601675063</x:v>
      </x:c>
      <x:c r="AT33" s="32" t="n">
        <x:v>36</x:v>
      </x:c>
      <x:c r="AU33" s="32" t="str">
        <x:v>28×28 + 8×27</x:v>
      </x:c>
      <x:c r="AV33" s="32" t="n">
        <x:v>0.3460160005488433</x:v>
      </x:c>
      <x:c r="AW33" s="32" t="n">
        <x:v>0.48797540075611323</x:v>
      </x:c>
      <x:c r="AX33" s="32" t="n">
        <x:v>0.4960823601868469</x:v>
      </x:c>
      <x:c r="AY33" s="32" t="str">
        <x:v>balanced</x:v>
      </x:c>
      <x:c r="AZ33" s="32" t="str">
        <x:v>PASS</x:v>
      </x:c>
      <x:c r="BA33" s="32" t="n">
        <x:v>1000</x:v>
      </x:c>
      <x:c r="BB33" s="32" t="n">
        <x:v>0</x:v>
      </x:c>
      <x:c r="BC33" s="115" t="b">
        <x:v>1</x:v>
      </x:c>
      <x:c r="BD33" s="32" t="str">
        <x:v>PASS/GREEN. Single durable ManagementAction produced exactly one MANAGEMENT/EFFECTIVE receipt and one active ManagementEffect, with receipt durable before cursor=256. Input→receipt=997.95 ms; p95 iteration=1.007 s; 0 overruns.</x:v>
      </x:c>
      <x:c r="BE33" s="32" t="n">
        <x:v>0</x:v>
      </x:c>
      <x:c r="BF33" s="32" t="n">
        <x:v>0</x:v>
      </x:c>
      <x:c r="BG33" s="32" t="n">
        <x:v>0</x:v>
      </x:c>
      <x:c r="BH33" s="32" t="n">
        <x:v>0</x:v>
      </x:c>
      <x:c r="BI33" s="32" t="n">
        <x:v>0</x:v>
      </x:c>
      <x:c r="BJ33" s="32" t="n">
        <x:v>1000</x:v>
      </x:c>
      <x:c r="BK33" s="32" t="n">
        <x:v>1000</x:v>
      </x:c>
      <x:c r="BL33" s="32" t="n">
        <x:v>0</x:v>
      </x:c>
      <x:c r="BM33" s="32" t="n">
        <x:v>0</x:v>
      </x:c>
      <x:c r="BN33" s="32" t="n">
        <x:v>100</x:v>
      </x:c>
      <x:c r="BO33" s="32" t="n">
        <x:v>10</x:v>
      </x:c>
      <x:c r="BP33" s="32" t="n">
        <x:v>0</x:v>
      </x:c>
      <x:c r="BQ33" s="32" t="n">
        <x:v>100</x:v>
      </x:c>
      <x:c r="BR33" s="32" t="n">
        <x:v>0</x:v>
      </x:c>
      <x:c r="BS33" s="32" t="n">
        <x:v>0</x:v>
      </x:c>
      <x:c r="BT33" s="32" t="n">
        <x:v>100</x:v>
      </x:c>
      <x:c r="BU33" s="32" t="n">
        <x:v>100</x:v>
      </x:c>
      <x:c r="BV33" s="32" t="n">
        <x:v>0</x:v>
      </x:c>
      <x:c r="BW33" s="32" t="n">
        <x:v>1000</x:v>
      </x:c>
      <x:c r="BX33" s="32" t="n">
        <x:v>1000</x:v>
      </x:c>
      <x:c r="BY33" s="32" t="n">
        <x:v>0</x:v>
      </x:c>
      <x:c r="BZ33" s="32" t="n">
        <x:v>0</x:v>
      </x:c>
      <x:c r="CA33" s="32" t="n">
        <x:v>100</x:v>
      </x:c>
      <x:c r="CB33" s="32" t="n">
        <x:v>100</x:v>
      </x:c>
      <x:c r="CC33" s="32" t="n">
        <x:v>0</x:v>
      </x:c>
      <x:c r="CD33" s="32" t="n">
        <x:v>0</x:v>
      </x:c>
      <x:c r="CE33" s="32" t="n">
        <x:v>1000</x:v>
      </x:c>
      <x:c r="CF33" s="32" t="n">
        <x:v>2001</x:v>
      </x:c>
      <x:c r="CG33" s="32" t="n">
        <x:v>1000</x:v>
      </x:c>
      <x:c r="CH33" s="32" t="n">
        <x:v>0</x:v>
      </x:c>
      <x:c r="CI33" s="115" t="b">
        <x:v>1</x:v>
      </x:c>
      <x:c r="CJ33" s="32" t="n">
        <x:v>0</x:v>
      </x:c>
      <x:c r="CK33" s="32" t="n">
        <x:v>1000</x:v>
      </x:c>
      <x:c r="CL33" s="32" t="n">
        <x:v>0</x:v>
      </x:c>
      <x:c r="CM33" s="32" t="n">
        <x:v>0</x:v>
      </x:c>
      <x:c r="CN33" s="32" t="n">
        <x:v>0</x:v>
      </x:c>
      <x:c r="CO33" s="32" t="n">
        <x:v>0</x:v>
      </x:c>
      <x:c r="CP33" s="32" t="n">
        <x:v>0</x:v>
      </x:c>
      <x:c r="CQ33" s="32" t="n">
        <x:v>0</x:v>
      </x:c>
      <x:c r="CR33" s="32" t="n">
        <x:v>0</x:v>
      </x:c>
      <x:c r="CS33" s="32" t="n">
        <x:v>0</x:v>
      </x:c>
      <x:c r="CT33" s="32" t="n">
        <x:v>0</x:v>
      </x:c>
      <x:c r="CU33" s="32" t="n">
        <x:v>0</x:v>
      </x:c>
      <x:c r="CV33" s="32" t="n">
        <x:v>0</x:v>
      </x:c>
      <x:c r="CW33" s="32" t="n">
        <x:v>0</x:v>
      </x:c>
      <x:c r="CX33" s="32" t="n">
        <x:v>0</x:v>
      </x:c>
      <x:c r="CY33" s="32" t="n">
        <x:v>0</x:v>
      </x:c>
      <x:c r="CZ33" s="32" t="n">
        <x:v>0</x:v>
      </x:c>
      <x:c r="DA33" s="32" t="n">
        <x:v>0</x:v>
      </x:c>
      <x:c r="DB33" s="32" t="n">
        <x:v>0</x:v>
      </x:c>
      <x:c r="DC33" s="32" t="n">
        <x:v>0</x:v>
      </x:c>
      <x:c r="DD33" s="32" t="n">
        <x:v>0</x:v>
      </x:c>
      <x:c r="DE33" s="32" t="n">
        <x:v>0</x:v>
      </x:c>
      <x:c r="DF33" s="32" t="n">
        <x:v>0</x:v>
      </x:c>
      <x:c r="DG33" s="32" t="n">
        <x:v>0</x:v>
      </x:c>
      <x:c r="DH33" s="32" t="str">
        <x:v>baseline</x:v>
      </x:c>
      <x:c r="DI33" s="32" t="n">
        <x:v>25</x:v>
      </x:c>
      <x:c r="DJ33" s="32" t="n">
        <x:v>0</x:v>
      </x:c>
      <x:c r="DK33" s="32" t="n">
        <x:v>0</x:v>
      </x:c>
      <x:c r="DL33" s="32" t="n">
        <x:v>0</x:v>
      </x:c>
      <x:c r="DM33" s="32" t="n">
        <x:v>0</x:v>
      </x:c>
      <x:c r="DN33" s="32" t="n">
        <x:v>0</x:v>
      </x:c>
      <x:c r="DO33" s="32" t="n">
        <x:v>0</x:v>
      </x:c>
      <x:c r="DP33" s="32" t="n">
        <x:v>0</x:v>
      </x:c>
      <x:c r="DQ33" s="32" t="str">
        <x:v>C3</x:v>
      </x:c>
      <x:c r="DR33" s="32" t="n">
        <x:v>0</x:v>
      </x:c>
      <x:c r="DS33" s="32" t="n">
        <x:v>1000</x:v>
      </x:c>
      <x:c r="DT33" s="32" t="n">
        <x:v>1000</x:v>
      </x:c>
      <x:c r="DU33" s="32" t="n">
        <x:v>0</x:v>
      </x:c>
      <x:c r="DV33" s="32" t="n">
        <x:v>0</x:v>
      </x:c>
      <x:c r="DW33" s="32" t="n">
        <x:v>0</x:v>
      </x:c>
      <x:c r="DX33" s="32" t="n">
        <x:v>1000</x:v>
      </x:c>
      <x:c r="DY33" s="32" t="n">
        <x:v>1000</x:v>
      </x:c>
      <x:c r="DZ33" s="32" t="n">
        <x:v>0</x:v>
      </x:c>
      <x:c r="EA33" s="32" t="n">
        <x:v>0</x:v>
      </x:c>
      <x:c r="EB33" s="32"/>
      <x:c r="EC33" s="32"/>
      <x:c r="ED33" s="32"/>
      <x:c r="EE33" s="32"/>
      <x:c r="EF33" s="32"/>
      <x:c r="EG33" s="32"/>
      <x:c r="EH33" s="32"/>
      <x:c r="EI33" s="32"/>
      <x:c r="EJ33" s="32"/>
      <x:c r="EK33" s="32"/>
      <x:c r="EL33" s="32"/>
      <x:c r="EM33" s="32"/>
      <x:c r="EN33" s="32"/>
      <x:c r="EO33" s="32"/>
      <x:c r="EP33" s="32"/>
      <x:c r="EQ33" s="32"/>
      <x:c r="ER33" s="32"/>
      <x:c r="ES33" s="32"/>
      <x:c r="ET33" s="32"/>
      <x:c r="EU33" s="32"/>
      <x:c r="EV33" s="32"/>
      <x:c r="EW33" s="32"/>
      <x:c r="EX33" s="32"/>
      <x:c r="EY33" s="32"/>
      <x:c r="EZ33" s="32"/>
      <x:c r="FA33" s="32"/>
      <x:c r="FB33" s="32"/>
      <x:c r="FC33" s="32"/>
      <x:c r="FD33" s="32"/>
      <x:c r="FE33" s="32"/>
      <x:c r="FF33" s="32" t="n">
        <x:v>30</x:v>
      </x:c>
      <x:c r="FG33" s="32" t="str">
        <x:v>PERF-M-000001</x:v>
      </x:c>
      <x:c r="FH33" s="32" t="n">
        <x:v>1</x:v>
      </x:c>
      <x:c r="FI33" s="32" t="n">
        <x:v>1</x:v>
      </x:c>
      <x:c r="FJ33" s="32" t="n">
        <x:v>1</x:v>
      </x:c>
      <x:c r="FK33" s="32" t="n">
        <x:v>1</x:v>
      </x:c>
      <x:c r="FL33" s="32" t="n">
        <x:v>0</x:v>
      </x:c>
      <x:c r="FM33" s="32" t="n">
        <x:v>1</x:v>
      </x:c>
      <x:c r="FN33" s="32" t="n">
        <x:v>0</x:v>
      </x:c>
      <x:c r="FO33" s="32" t="n">
        <x:v>2</x:v>
      </x:c>
      <x:c r="FP33" s="32" t="n">
        <x:v>101</x:v>
      </x:c>
      <x:c r="FQ33" s="32" t="n">
        <x:v>256</x:v>
      </x:c>
      <x:c r="FR33" s="32" t="n">
        <x:v>0</x:v>
      </x:c>
      <x:c r="FS33" s="32" t="n">
        <x:v>1</x:v>
      </x:c>
      <x:c r="FT33" s="115" t="b">
        <x:v>1</x:v>
      </x:c>
      <x:c r="FU33" s="32" t="n">
        <x:v>997.9496189989732</x:v>
      </x:c>
      <x:c r="FV33" s="32" t="str">
        <x:v>PERF-O-00000001</x:v>
      </x:c>
      <x:c r="FW33" s="32" t="n">
        <x:v>0</x:v>
      </x:c>
      <x:c r="FX33" s="32"/>
      <x:c r="FY33" s="32"/>
      <x:c r="FZ33" s="32"/>
      <x:c r="GA33" s="32"/>
      <x:c r="GB33" s="32"/>
      <x:c r="GC33" s="32"/>
      <x:c r="GD33" s="32"/>
      <x:c r="GE33" s="32"/>
      <x:c r="GF33" s="32"/>
      <x:c r="GG33" s="32"/>
      <x:c r="GH33" s="32"/>
      <x:c r="GI33" s="32"/>
      <x:c r="GJ33" s="32"/>
      <x:c r="GK33" s="32"/>
      <x:c r="GL33" s="32"/>
      <x:c r="GM33" s="32" t="str">
        <x:v>single</x:v>
      </x:c>
      <x:c r="GN33" s="32"/>
      <x:c r="GO33" s="32"/>
      <x:c r="GP33" s="32"/>
      <x:c r="GQ33" s="32"/>
      <x:c r="GR33" s="32"/>
      <x:c r="GS33" s="32"/>
      <x:c r="GT33" s="32"/>
      <x:c r="GU33" s="32"/>
      <x:c r="GV33" s="32"/>
      <x:c r="GW33" s="32"/>
      <x:c r="GX33" s="32"/>
      <x:c r="GY33" s="32"/>
      <x:c r="GZ33" s="32"/>
      <x:c r="HA33" s="32"/>
      <x:c r="HB33" s="32"/>
      <x:c r="HC33" s="32"/>
      <x:c r="HD33" s="32"/>
      <x:c r="HE33" s="32"/>
      <x:c r="HF33" s="32"/>
      <x:c r="HG33" s="32"/>
      <x:c r="HH33" s="32"/>
      <x:c r="HI33" s="32"/>
      <x:c r="HJ33" s="32"/>
      <x:c r="HK33" s="32"/>
      <x:c r="HL33" s="32"/>
      <x:c r="HM33" s="32"/>
      <x:c r="HN33" s="32"/>
      <x:c r="HO33" s="32"/>
      <x:c r="HP33" s="32"/>
      <x:c r="HQ33" s="32"/>
      <x:c r="HR33" s="32"/>
      <x:c r="HS33" s="32"/>
      <x:c r="HT33" s="32"/>
      <x:c r="HU33" s="32"/>
      <x:c r="HV33" s="32"/>
      <x:c r="HW33" s="32"/>
      <x:c r="HX33" s="32"/>
      <x:c r="HY33" s="32"/>
      <x:c r="VW33" s="32"/>
      <x:c r="VX33" s="32"/>
      <x:c r="VY33" s="32"/>
      <x:c r="VZ33" s="32"/>
      <x:c r="WA33" s="32"/>
      <x:c r="WB33" s="32"/>
      <x:c r="WC33" s="32"/>
      <x:c r="WD33" s="32"/>
      <x:c r="WE33" s="32"/>
      <x:c r="WF33" s="32"/>
      <x:c r="WG33" s="32"/>
      <x:c r="WH33" s="32"/>
      <x:c r="WI33" s="32"/>
      <x:c r="WJ33" s="32"/>
      <x:c r="WK33" s="32"/>
      <x:c r="WL33" s="32"/>
      <x:c r="WM33" s="32"/>
      <x:c r="WN33" s="32"/>
      <x:c r="WO33" s="32"/>
      <x:c r="WP33" s="32"/>
      <x:c r="WQ33" s="32"/>
      <x:c r="WR33" s="32"/>
      <x:c r="WS33" s="32"/>
      <x:c r="WT33" s="32"/>
      <x:c r="WU33" s="32"/>
      <x:c r="WV33" s="32"/>
      <x:c r="WW33" s="32"/>
      <x:c r="WX33" s="32"/>
      <x:c r="WY33" s="32"/>
      <x:c r="WZ33" s="32"/>
      <x:c r="XA33" s="32"/>
      <x:c r="XB33" s="32"/>
      <x:c r="XC33" s="32"/>
      <x:c r="XD33" s="32"/>
    </x:row>
    <x:row r="34">
      <x:c r="A34" s="32" t="str">
        <x:v>b318a6a4-d160-4b05-a5eb-300d7110040c</x:v>
      </x:c>
      <x:c r="B34" s="32" t="str">
        <x:v>D-002</x:v>
      </x:c>
      <x:c r="C34" s="42" t="n">
        <x:v>46261.09011574074</x:v>
      </x:c>
      <x:c r="D34" s="32" t="str">
        <x:v>489b7424f5051f7a276dafe8d5f318ccf1368d87</x:v>
      </x:c>
      <x:c r="E34" s="32" t="str">
        <x:v>GLONBW11</x:v>
      </x:c>
      <x:c r="F34" s="32" t="str">
        <x:v>local-filesystem</x:v>
      </x:c>
      <x:c r="G34" s="32" t="str">
        <x:v>3.14.2</x:v>
      </x:c>
      <x:c r="H34" s="32" t="str">
        <x:v>deterministic</x:v>
      </x:c>
      <x:c r="I34" s="32" t="n">
        <x:v>1000</x:v>
      </x:c>
      <x:c r="J34" s="32" t="n">
        <x:v>10</x:v>
      </x:c>
      <x:c r="K34" s="32" t="n">
        <x:v>10.108216666666667</x:v>
      </x:c>
      <x:c r="L34" s="32" t="n">
        <x:v>120</x:v>
      </x:c>
      <x:c r="M34" s="32" t="n">
        <x:v>5</x:v>
      </x:c>
      <x:c r="N34" s="32" t="n">
        <x:v>10</x:v>
      </x:c>
      <x:c r="O34" s="32"/>
      <x:c r="P34" s="32"/>
      <x:c r="Q34" s="32"/>
      <x:c r="R34" s="32"/>
      <x:c r="S34" s="32"/>
      <x:c r="T34" s="43" t="n">
        <x:v>0</x:v>
      </x:c>
      <x:c r="U34" s="32"/>
      <x:c r="V34" s="32" t="n">
        <x:v>19.035</x:v>
      </x:c>
      <x:c r="W34" s="32"/>
      <x:c r="X34" s="32"/>
      <x:c r="Y34" s="32"/>
      <x:c r="Z34" s="32"/>
      <x:c r="AA34" s="32"/>
      <x:c r="AB34" s="32"/>
      <x:c r="AC34" s="32" t="n">
        <x:v>0</x:v>
      </x:c>
      <x:c r="AD34" s="32" t="n">
        <x:v>0</x:v>
      </x:c>
      <x:c r="AE34" s="32" t="n">
        <x:v>0</x:v>
      </x:c>
      <x:c r="AF34" s="32"/>
      <x:c r="AG34" s="32"/>
      <x:c r="AH34" s="32"/>
      <x:c r="AI34" s="32" t="str">
        <x:v>OBSERVED</x:v>
      </x:c>
      <x:c r="AJ34" s="32" t="str">
        <x:v>N/A</x:v>
      </x:c>
      <x:c r="AK34" s="32" t="str">
        <x:v>latest-narrow</x:v>
      </x:c>
      <x:c r="AL34" s="32" t="n">
        <x:v>1</x:v>
      </x:c>
      <x:c r="AM34" s="32" t="n">
        <x:v>1</x:v>
      </x:c>
      <x:c r="AN34" s="32" t="n">
        <x:v>1000</x:v>
      </x:c>
      <x:c r="AO34" s="32" t="n">
        <x:v>1</x:v>
      </x:c>
      <x:c r="AP34" s="32" t="n">
        <x:v>8132</x:v>
      </x:c>
      <x:c r="AQ34" s="32"/>
      <x:c r="AR34" s="32"/>
      <x:c r="AS34" s="32"/>
      <x:c r="AT34" s="32" t="n">
        <x:v>36</x:v>
      </x:c>
      <x:c r="AU34" s="32" t="str">
        <x:v>28×28 + 8×27</x:v>
      </x:c>
      <x:c r="AV34" s="32"/>
      <x:c r="AW34" s="32"/>
      <x:c r="AX34" s="32"/>
      <x:c r="AY34" s="32" t="str">
        <x:v>balanced</x:v>
      </x:c>
      <x:c r="AZ34" s="32" t="str">
        <x:v>RUNTIME_ERROR</x:v>
      </x:c>
      <x:c r="BA34" s="32" t="n">
        <x:v>1000</x:v>
      </x:c>
      <x:c r="BB34" s="32" t="n">
        <x:v>0</x:v>
      </x:c>
      <x:c r="BC34" s="115" t="b">
        <x:v>1</x:v>
      </x:c>
      <x:c r="BD34" s="32" t="str">
        <x:v>INTERRUPTED by generic Job Runtime LeaseRenewalError during second 5-minute evidence wave. Management workload itself reached 540/540 durable EFFECTIVE receipts/effects with cursor 138240 and pending 0. WAL durable; partial evidence materialization requires recovery 24 apply / 76 skip. Not a Management FAIL.</x:v>
      </x:c>
      <x:c r="BE34" s="32"/>
      <x:c r="BF34" s="32"/>
      <x:c r="BG34" s="32"/>
      <x:c r="BH34" s="32"/>
      <x:c r="BI34" s="32"/>
      <x:c r="BJ34" s="32"/>
      <x:c r="BK34" s="32"/>
      <x:c r="BL34" s="32"/>
      <x:c r="BM34" s="32"/>
      <x:c r="BN34" s="32" t="n">
        <x:v>100</x:v>
      </x:c>
      <x:c r="BO34" s="32" t="n">
        <x:v>10</x:v>
      </x:c>
      <x:c r="BP34" s="32"/>
      <x:c r="BQ34" s="32" t="n">
        <x:v>100</x:v>
      </x:c>
      <x:c r="BR34" s="32"/>
      <x:c r="BS34" s="32"/>
      <x:c r="BT34" s="32"/>
      <x:c r="BU34" s="32"/>
      <x:c r="BV34" s="32"/>
      <x:c r="BW34" s="32" t="n">
        <x:v>1000</x:v>
      </x:c>
      <x:c r="BX34" s="32" t="n">
        <x:v>1000</x:v>
      </x:c>
      <x:c r="BY34" s="32"/>
      <x:c r="BZ34" s="32"/>
      <x:c r="CA34" s="32" t="n">
        <x:v>100</x:v>
      </x:c>
      <x:c r="CB34" s="32" t="n">
        <x:v>100</x:v>
      </x:c>
      <x:c r="CC34" s="32"/>
      <x:c r="CD34" s="32"/>
      <x:c r="CE34" s="32"/>
      <x:c r="CF34" s="32"/>
      <x:c r="CG34" s="32"/>
      <x:c r="CH34" s="32"/>
      <x:c r="CI34" s="115" t="b">
        <x:v>1</x:v>
      </x:c>
      <x:c r="CJ34" s="32"/>
      <x:c r="CK34" s="32"/>
      <x:c r="CL34" s="32"/>
      <x:c r="CM34" s="32"/>
      <x:c r="CN34" s="32"/>
      <x:c r="CO34" s="32"/>
      <x:c r="CP34" s="32"/>
      <x:c r="CQ34" s="32" t="n">
        <x:v>0</x:v>
      </x:c>
      <x:c r="CR34" s="32"/>
      <x:c r="CS34" s="32"/>
      <x:c r="CT34" s="32"/>
      <x:c r="CU34" s="32"/>
      <x:c r="CV34" s="32"/>
      <x:c r="CW34" s="32"/>
      <x:c r="CX34" s="32"/>
      <x:c r="CY34" s="32"/>
      <x:c r="CZ34" s="32"/>
      <x:c r="DA34" s="32"/>
      <x:c r="DB34" s="32"/>
      <x:c r="DC34" s="32"/>
      <x:c r="DD34" s="32"/>
      <x:c r="DE34" s="32"/>
      <x:c r="DF34" s="32"/>
      <x:c r="DG34" s="32"/>
      <x:c r="DH34" s="32"/>
      <x:c r="DI34" s="32"/>
      <x:c r="DJ34" s="32"/>
      <x:c r="DK34" s="32"/>
      <x:c r="DL34" s="32"/>
      <x:c r="DM34" s="32"/>
      <x:c r="DN34" s="32"/>
      <x:c r="DO34" s="32"/>
      <x:c r="DP34" s="32"/>
      <x:c r="DQ34" s="32" t="str">
        <x:v>C3</x:v>
      </x:c>
      <x:c r="DR34" s="32" t="n">
        <x:v>0</x:v>
      </x:c>
      <x:c r="DS34" s="32"/>
      <x:c r="DT34" s="32"/>
      <x:c r="DU34" s="32"/>
      <x:c r="DV34" s="32"/>
      <x:c r="DW34" s="32"/>
      <x:c r="DX34" s="32" t="n">
        <x:v>1000</x:v>
      </x:c>
      <x:c r="DY34" s="32" t="n">
        <x:v>1000</x:v>
      </x:c>
      <x:c r="DZ34" s="32" t="n">
        <x:v>0</x:v>
      </x:c>
      <x:c r="EA34" s="32" t="n">
        <x:v>0</x:v>
      </x:c>
      <x:c r="EB34" s="32"/>
      <x:c r="EC34" s="32"/>
      <x:c r="ED34" s="32"/>
      <x:c r="EE34" s="32"/>
      <x:c r="EF34" s="32"/>
      <x:c r="EG34" s="32"/>
      <x:c r="EH34" s="32"/>
      <x:c r="EI34" s="32"/>
      <x:c r="EJ34" s="32"/>
      <x:c r="EK34" s="32"/>
      <x:c r="EL34" s="32"/>
      <x:c r="EM34" s="32"/>
      <x:c r="EN34" s="32"/>
      <x:c r="EO34" s="32"/>
      <x:c r="EP34" s="32"/>
      <x:c r="EQ34" s="32"/>
      <x:c r="ER34" s="32"/>
      <x:c r="ES34" s="32"/>
      <x:c r="ET34" s="32"/>
      <x:c r="EU34" s="32"/>
      <x:c r="EV34" s="32"/>
      <x:c r="EW34" s="32"/>
      <x:c r="EX34" s="32"/>
      <x:c r="EY34" s="32"/>
      <x:c r="EZ34" s="32"/>
      <x:c r="FA34" s="32"/>
      <x:c r="FB34" s="32"/>
      <x:c r="FC34" s="32"/>
      <x:c r="FD34" s="32"/>
      <x:c r="FE34" s="32"/>
      <x:c r="FF34" s="32" t="n">
        <x:v>30</x:v>
      </x:c>
      <x:c r="FG34" s="32" t="str">
        <x:v>PERF-M-000001..PERF-M-000540</x:v>
      </x:c>
      <x:c r="FH34" s="32" t="n">
        <x:v>540</x:v>
      </x:c>
      <x:c r="FI34" s="32" t="n">
        <x:v>540</x:v>
      </x:c>
      <x:c r="FJ34" s="32" t="n">
        <x:v>540</x:v>
      </x:c>
      <x:c r="FK34" s="32" t="n">
        <x:v>540</x:v>
      </x:c>
      <x:c r="FL34" s="32" t="n">
        <x:v>0</x:v>
      </x:c>
      <x:c r="FM34" s="32"/>
      <x:c r="FN34" s="32" t="n">
        <x:v>0</x:v>
      </x:c>
      <x:c r="FO34" s="32"/>
      <x:c r="FP34" s="32"/>
      <x:c r="FQ34" s="32" t="n">
        <x:v>138240</x:v>
      </x:c>
      <x:c r="FR34" s="32" t="n">
        <x:v>0</x:v>
      </x:c>
      <x:c r="FS34" s="32" t="n">
        <x:v>540</x:v>
      </x:c>
      <x:c r="FT34" s="32"/>
      <x:c r="FU34" s="32"/>
      <x:c r="FV34" s="32"/>
      <x:c r="FW34" s="32" t="n">
        <x:v>0</x:v>
      </x:c>
      <x:c r="FX34" s="32" t="n">
        <x:v>540</x:v>
      </x:c>
      <x:c r="FY34" s="32" t="n">
        <x:v>1</x:v>
      </x:c>
      <x:c r="FZ34" s="32" t="n">
        <x:v>0</x:v>
      </x:c>
      <x:c r="GA34" s="32" t="n">
        <x:v>0</x:v>
      </x:c>
      <x:c r="GB34" s="32" t="n">
        <x:v>540</x:v>
      </x:c>
      <x:c r="GC34" s="32" t="n">
        <x:v>540</x:v>
      </x:c>
      <x:c r="GD34" s="32"/>
      <x:c r="GE34" s="32" t="n">
        <x:v>5</x:v>
      </x:c>
      <x:c r="GF34" s="32" t="n">
        <x:v>109</x:v>
      </x:c>
      <x:c r="GG34" s="32" t="str">
        <x:v>1×1, 5×107, 4×1</x:v>
      </x:c>
      <x:c r="GH34" s="32"/>
      <x:c r="GI34" s="32"/>
      <x:c r="GJ34" s="32"/>
      <x:c r="GK34" s="32"/>
      <x:c r="GL34" s="32"/>
      <x:c r="GM34" s="32" t="str">
        <x:v>sustained</x:v>
      </x:c>
      <x:c r="GN34" s="32" t="n">
        <x:v>1</x:v>
      </x:c>
      <x:c r="GO34" s="32"/>
      <x:c r="GP34" s="32"/>
      <x:c r="GQ34" s="32"/>
      <x:c r="GR34" s="32"/>
      <x:c r="GS34" s="32"/>
      <x:c r="GT34" s="32"/>
      <x:c r="GU34" s="32"/>
      <x:c r="GV34" s="32"/>
      <x:c r="GW34" s="32"/>
      <x:c r="GX34" s="32"/>
      <x:c r="GY34" s="32"/>
      <x:c r="GZ34" s="32"/>
      <x:c r="HA34" s="32"/>
      <x:c r="HB34" s="32"/>
      <x:c r="HC34" s="32"/>
      <x:c r="HD34" s="32"/>
      <x:c r="HE34" s="32"/>
      <x:c r="HF34" s="32"/>
      <x:c r="HG34" s="32"/>
      <x:c r="HH34" s="32"/>
      <x:c r="HI34" s="32"/>
      <x:c r="HJ34" s="32"/>
      <x:c r="HK34" s="32"/>
      <x:c r="HL34" s="32"/>
      <x:c r="HM34" s="32"/>
      <x:c r="HN34" s="32"/>
      <x:c r="HO34" s="32"/>
      <x:c r="HP34" s="32"/>
      <x:c r="HQ34" s="32"/>
      <x:c r="HR34" s="32"/>
      <x:c r="HS34" s="32"/>
      <x:c r="HT34" s="32"/>
      <x:c r="HU34" s="32"/>
      <x:c r="HV34" s="32"/>
      <x:c r="HW34" s="32"/>
      <x:c r="HX34" s="32"/>
      <x:c r="HY34" s="32"/>
      <x:c r="VW34" s="32"/>
      <x:c r="VX34" s="32"/>
      <x:c r="VY34" s="32"/>
      <x:c r="VZ34" s="32"/>
      <x:c r="WA34" s="32"/>
      <x:c r="WB34" s="32"/>
      <x:c r="WC34" s="32"/>
      <x:c r="WD34" s="32"/>
      <x:c r="WE34" s="32"/>
      <x:c r="WF34" s="32"/>
      <x:c r="WG34" s="32"/>
      <x:c r="WH34" s="32"/>
      <x:c r="WI34" s="32"/>
      <x:c r="WJ34" s="32"/>
      <x:c r="WK34" s="32"/>
      <x:c r="WL34" s="32"/>
      <x:c r="WM34" s="32"/>
      <x:c r="WN34" s="32"/>
      <x:c r="WO34" s="32"/>
      <x:c r="WP34" s="32"/>
      <x:c r="WQ34" s="32"/>
      <x:c r="WR34" s="32"/>
      <x:c r="WS34" s="32"/>
      <x:c r="WT34" s="32"/>
      <x:c r="WU34" s="32"/>
      <x:c r="WV34" s="32"/>
      <x:c r="WW34" s="32"/>
      <x:c r="WX34" s="32"/>
      <x:c r="WY34" s="32"/>
      <x:c r="WZ34" s="32"/>
      <x:c r="XA34" s="32"/>
      <x:c r="XB34" s="32"/>
      <x:c r="XC34" s="32"/>
      <x:c r="XD34" s="32"/>
    </x:row>
    <x:row r="35">
      <x:c r="A35" s="32" t="str">
        <x:v>5e7bd0dc-d6b9-4556-a3bd-8b81a3eb3478</x:v>
      </x:c>
      <x:c r="B35" s="32" t="str">
        <x:v>D-002</x:v>
      </x:c>
      <x:c r="C35" s="42" t="n">
        <x:v>46261.163518518515</x:v>
      </x:c>
      <x:c r="D35" s="32" t="str">
        <x:v>489b7424f5051f7a276dafe8d5f318ccf1368d87</x:v>
      </x:c>
      <x:c r="E35" s="32" t="str">
        <x:v>GLONBW11</x:v>
      </x:c>
      <x:c r="F35" s="32" t="str">
        <x:v>local-filesystem</x:v>
      </x:c>
      <x:c r="G35" s="32" t="str">
        <x:v>3.14.2</x:v>
      </x:c>
      <x:c r="H35" s="32" t="str">
        <x:v>deterministic</x:v>
      </x:c>
      <x:c r="I35" s="32" t="n">
        <x:v>1000</x:v>
      </x:c>
      <x:c r="J35" s="32" t="n">
        <x:v>10</x:v>
      </x:c>
      <x:c r="K35" s="32" t="n">
        <x:v>10.052595966666667</x:v>
      </x:c>
      <x:c r="L35" s="32" t="n">
        <x:v>121</x:v>
      </x:c>
      <x:c r="M35" s="32" t="n">
        <x:v>5</x:v>
      </x:c>
      <x:c r="N35" s="32" t="n">
        <x:v>10</x:v>
      </x:c>
      <x:c r="O35" s="32" t="n">
        <x:v>1022.859138000058</x:v>
      </x:c>
      <x:c r="P35" s="32" t="n">
        <x:v>1057.7811129987822</x:v>
      </x:c>
      <x:c r="Q35" s="32" t="n">
        <x:v>1890.776504002133</x:v>
      </x:c>
      <x:c r="R35" s="32" t="n">
        <x:v>1944.6835169983387</x:v>
      </x:c>
      <x:c r="S35" s="32" t="n">
        <x:v>0</x:v>
      </x:c>
      <x:c r="T35" s="43" t="n">
        <x:v>0</x:v>
      </x:c>
      <x:c r="U35" s="32" t="n">
        <x:v>91.96639943626238</x:v>
      </x:c>
      <x:c r="V35" s="32" t="n">
        <x:v>100.08476951512067</x:v>
      </x:c>
      <x:c r="W35" s="32" t="n">
        <x:v>137.09291064049586</x:v>
      </x:c>
      <x:c r="X35" s="32" t="n">
        <x:v>137.828125</x:v>
      </x:c>
      <x:c r="Y35" s="32"/>
      <x:c r="Z35" s="32"/>
      <x:c r="AA35" s="32"/>
      <x:c r="AB35" s="32"/>
      <x:c r="AC35" s="32" t="n">
        <x:v>0</x:v>
      </x:c>
      <x:c r="AD35" s="32" t="n">
        <x:v>0</x:v>
      </x:c>
      <x:c r="AE35" s="32" t="n">
        <x:v>0</x:v>
      </x:c>
      <x:c r="AF35" s="32"/>
      <x:c r="AG35" s="32"/>
      <x:c r="AH35" s="32" t="n">
        <x:v>972.5182369984395</x:v>
      </x:c>
      <x:c r="AI35" s="32" t="str">
        <x:v>PASS</x:v>
      </x:c>
      <x:c r="AJ35" s="32" t="str">
        <x:v>GREEN</x:v>
      </x:c>
      <x:c r="AK35" s="32" t="str">
        <x:v>latest-narrow</x:v>
      </x:c>
      <x:c r="AL35" s="32" t="n">
        <x:v>1</x:v>
      </x:c>
      <x:c r="AM35" s="32" t="n">
        <x:v>1</x:v>
      </x:c>
      <x:c r="AN35" s="32" t="n">
        <x:v>1000</x:v>
      </x:c>
      <x:c r="AO35" s="32" t="n">
        <x:v>1</x:v>
      </x:c>
      <x:c r="AP35" s="32" t="n">
        <x:v>8132</x:v>
      </x:c>
      <x:c r="AQ35" s="32" t="n">
        <x:v>3.8683679995301645</x:v>
      </x:c>
      <x:c r="AR35" s="32" t="n">
        <x:v>5.840401998284506</x:v>
      </x:c>
      <x:c r="AS35" s="32" t="n">
        <x:v>6.70053740250296</x:v>
      </x:c>
      <x:c r="AT35" s="32" t="n">
        <x:v>36</x:v>
      </x:c>
      <x:c r="AU35" s="32" t="str">
        <x:v>28×28 + 8×27</x:v>
      </x:c>
      <x:c r="AV35" s="32" t="n">
        <x:v>0.36135299887973815</x:v>
      </x:c>
      <x:c r="AW35" s="32" t="n">
        <x:v>0.4728400017484091</x:v>
      </x:c>
      <x:c r="AX35" s="32" t="n">
        <x:v>0.5567325984884519</x:v>
      </x:c>
      <x:c r="AY35" s="32" t="str">
        <x:v>balanced</x:v>
      </x:c>
      <x:c r="AZ35" s="32" t="str">
        <x:v>PASS</x:v>
      </x:c>
      <x:c r="BA35" s="32" t="n">
        <x:v>1000</x:v>
      </x:c>
      <x:c r="BB35" s="32" t="n">
        <x:v>0</x:v>
      </x:c>
      <x:c r="BC35" s="115" t="b">
        <x:v>1</x:v>
      </x:c>
      <x:c r="BD35" s="32" t="str">
        <x:v>PASS/GREEN. Clean Runtime 0.7.1 rerun completed through +600 s evidence wave with 0 LeaseRenewalError. 540/540 EFFECTIVE receipts/effects, lost=0, duplicates=0, cursor=138240, pending=0, receipt-before-cursor=540/540; 835 durable records / 8,025,617 bytes and durable==materialized.</x:v>
      </x:c>
      <x:c r="BE35" s="32" t="n">
        <x:v>0</x:v>
      </x:c>
      <x:c r="BF35" s="32" t="n">
        <x:v>0</x:v>
      </x:c>
      <x:c r="BG35" s="32" t="n">
        <x:v>0</x:v>
      </x:c>
      <x:c r="BH35" s="32" t="n">
        <x:v>0</x:v>
      </x:c>
      <x:c r="BI35" s="32" t="n">
        <x:v>0</x:v>
      </x:c>
      <x:c r="BJ35" s="32" t="n">
        <x:v>1000</x:v>
      </x:c>
      <x:c r="BK35" s="32" t="n">
        <x:v>1000</x:v>
      </x:c>
      <x:c r="BL35" s="32" t="n">
        <x:v>0</x:v>
      </x:c>
      <x:c r="BM35" s="32" t="n">
        <x:v>0</x:v>
      </x:c>
      <x:c r="BN35" s="32" t="n">
        <x:v>100</x:v>
      </x:c>
      <x:c r="BO35" s="32" t="n">
        <x:v>10</x:v>
      </x:c>
      <x:c r="BP35" s="32" t="n">
        <x:v>0</x:v>
      </x:c>
      <x:c r="BQ35" s="32" t="n">
        <x:v>100</x:v>
      </x:c>
      <x:c r="BR35" s="32" t="n">
        <x:v>0</x:v>
      </x:c>
      <x:c r="BS35" s="32" t="n">
        <x:v>0</x:v>
      </x:c>
      <x:c r="BT35" s="32" t="n">
        <x:v>100</x:v>
      </x:c>
      <x:c r="BU35" s="32" t="n">
        <x:v>100</x:v>
      </x:c>
      <x:c r="BV35" s="32" t="n">
        <x:v>0</x:v>
      </x:c>
      <x:c r="BW35" s="32" t="n">
        <x:v>1000</x:v>
      </x:c>
      <x:c r="BX35" s="32" t="n">
        <x:v>1000</x:v>
      </x:c>
      <x:c r="BY35" s="32" t="n">
        <x:v>0</x:v>
      </x:c>
      <x:c r="BZ35" s="32" t="n">
        <x:v>0</x:v>
      </x:c>
      <x:c r="CA35" s="32" t="n">
        <x:v>100</x:v>
      </x:c>
      <x:c r="CB35" s="32" t="n">
        <x:v>100</x:v>
      </x:c>
      <x:c r="CC35" s="32" t="n">
        <x:v>0</x:v>
      </x:c>
      <x:c r="CD35" s="32" t="n">
        <x:v>0</x:v>
      </x:c>
      <x:c r="CE35" s="32" t="n">
        <x:v>1000</x:v>
      </x:c>
      <x:c r="CF35" s="32" t="n">
        <x:v>2540</x:v>
      </x:c>
      <x:c r="CG35" s="32" t="n">
        <x:v>3000</x:v>
      </x:c>
      <x:c r="CH35" s="32" t="n">
        <x:v>195</x:v>
      </x:c>
      <x:c r="CI35" s="115" t="b">
        <x:v>1</x:v>
      </x:c>
      <x:c r="CJ35" s="32" t="n">
        <x:v>0</x:v>
      </x:c>
      <x:c r="CK35" s="32" t="n">
        <x:v>1000</x:v>
      </x:c>
      <x:c r="CL35" s="32" t="n">
        <x:v>0</x:v>
      </x:c>
      <x:c r="CM35" s="32" t="n">
        <x:v>0</x:v>
      </x:c>
      <x:c r="CN35" s="32" t="n">
        <x:v>0</x:v>
      </x:c>
      <x:c r="CO35" s="32" t="n">
        <x:v>0</x:v>
      </x:c>
      <x:c r="CP35" s="32" t="n">
        <x:v>0</x:v>
      </x:c>
      <x:c r="CQ35" s="32" t="n">
        <x:v>0</x:v>
      </x:c>
      <x:c r="CR35" s="32" t="n">
        <x:v>0</x:v>
      </x:c>
      <x:c r="CS35" s="32" t="n">
        <x:v>0</x:v>
      </x:c>
      <x:c r="CT35" s="32" t="n">
        <x:v>0</x:v>
      </x:c>
      <x:c r="CU35" s="32" t="n">
        <x:v>0</x:v>
      </x:c>
      <x:c r="CV35" s="32" t="n">
        <x:v>0</x:v>
      </x:c>
      <x:c r="CW35" s="32" t="n">
        <x:v>0</x:v>
      </x:c>
      <x:c r="CX35" s="32" t="n">
        <x:v>0</x:v>
      </x:c>
      <x:c r="CY35" s="32" t="n">
        <x:v>0</x:v>
      </x:c>
      <x:c r="CZ35" s="32" t="n">
        <x:v>0</x:v>
      </x:c>
      <x:c r="DA35" s="32" t="n">
        <x:v>0</x:v>
      </x:c>
      <x:c r="DB35" s="32" t="n">
        <x:v>0</x:v>
      </x:c>
      <x:c r="DC35" s="32" t="n">
        <x:v>0</x:v>
      </x:c>
      <x:c r="DD35" s="32" t="n">
        <x:v>0</x:v>
      </x:c>
      <x:c r="DE35" s="32" t="n">
        <x:v>0</x:v>
      </x:c>
      <x:c r="DF35" s="32" t="n">
        <x:v>0</x:v>
      </x:c>
      <x:c r="DG35" s="32" t="n">
        <x:v>0</x:v>
      </x:c>
      <x:c r="DH35" s="32" t="str">
        <x:v>baseline</x:v>
      </x:c>
      <x:c r="DI35" s="32" t="n">
        <x:v>121</x:v>
      </x:c>
      <x:c r="DJ35" s="32" t="n">
        <x:v>0</x:v>
      </x:c>
      <x:c r="DK35" s="32" t="n">
        <x:v>0</x:v>
      </x:c>
      <x:c r="DL35" s="32" t="n">
        <x:v>0</x:v>
      </x:c>
      <x:c r="DM35" s="32" t="n">
        <x:v>0</x:v>
      </x:c>
      <x:c r="DN35" s="32" t="n">
        <x:v>0</x:v>
      </x:c>
      <x:c r="DO35" s="32" t="n">
        <x:v>0</x:v>
      </x:c>
      <x:c r="DP35" s="32" t="n">
        <x:v>0</x:v>
      </x:c>
      <x:c r="DQ35" s="32" t="str">
        <x:v>C3</x:v>
      </x:c>
      <x:c r="DR35" s="32" t="n">
        <x:v>0</x:v>
      </x:c>
      <x:c r="DS35" s="32" t="n">
        <x:v>1000</x:v>
      </x:c>
      <x:c r="DT35" s="32" t="n">
        <x:v>1000</x:v>
      </x:c>
      <x:c r="DU35" s="32" t="n">
        <x:v>0</x:v>
      </x:c>
      <x:c r="DV35" s="32" t="n">
        <x:v>0</x:v>
      </x:c>
      <x:c r="DW35" s="32" t="n">
        <x:v>0</x:v>
      </x:c>
      <x:c r="DX35" s="32" t="n">
        <x:v>1000</x:v>
      </x:c>
      <x:c r="DY35" s="32" t="n">
        <x:v>1000</x:v>
      </x:c>
      <x:c r="DZ35" s="32" t="n">
        <x:v>0</x:v>
      </x:c>
      <x:c r="EA35" s="32" t="n">
        <x:v>0</x:v>
      </x:c>
      <x:c r="EB35" s="32"/>
      <x:c r="EC35" s="32"/>
      <x:c r="ED35" s="32"/>
      <x:c r="EE35" s="32"/>
      <x:c r="EF35" s="32"/>
      <x:c r="EG35" s="32"/>
      <x:c r="EH35" s="32"/>
      <x:c r="EI35" s="32"/>
      <x:c r="EJ35" s="32"/>
      <x:c r="EK35" s="32"/>
      <x:c r="EL35" s="32"/>
      <x:c r="EM35" s="32"/>
      <x:c r="EN35" s="32"/>
      <x:c r="EO35" s="32"/>
      <x:c r="EP35" s="32"/>
      <x:c r="EQ35" s="32"/>
      <x:c r="ER35" s="32"/>
      <x:c r="ES35" s="32"/>
      <x:c r="ET35" s="32"/>
      <x:c r="EU35" s="32"/>
      <x:c r="EV35" s="32"/>
      <x:c r="EW35" s="32"/>
      <x:c r="EX35" s="32"/>
      <x:c r="EY35" s="32"/>
      <x:c r="EZ35" s="32"/>
      <x:c r="FA35" s="32"/>
      <x:c r="FB35" s="32"/>
      <x:c r="FC35" s="32"/>
      <x:c r="FD35" s="32"/>
      <x:c r="FE35" s="32"/>
      <x:c r="FF35" s="32" t="n">
        <x:v>30</x:v>
      </x:c>
      <x:c r="FG35" s="32" t="str">
        <x:v>PERF-M-000001..PERF-M-000540</x:v>
      </x:c>
      <x:c r="FH35" s="32" t="n">
        <x:v>540</x:v>
      </x:c>
      <x:c r="FI35" s="32" t="n">
        <x:v>540</x:v>
      </x:c>
      <x:c r="FJ35" s="32" t="n">
        <x:v>540</x:v>
      </x:c>
      <x:c r="FK35" s="32" t="n">
        <x:v>540</x:v>
      </x:c>
      <x:c r="FL35" s="32" t="n">
        <x:v>0</x:v>
      </x:c>
      <x:c r="FM35" s="32" t="n">
        <x:v>540</x:v>
      </x:c>
      <x:c r="FN35" s="32" t="n">
        <x:v>0</x:v>
      </x:c>
      <x:c r="FO35" s="32"/>
      <x:c r="FP35" s="32" t="n">
        <x:v>835</x:v>
      </x:c>
      <x:c r="FQ35" s="32" t="n">
        <x:v>138240</x:v>
      </x:c>
      <x:c r="FR35" s="32" t="n">
        <x:v>0</x:v>
      </x:c>
      <x:c r="FS35" s="32" t="n">
        <x:v>540</x:v>
      </x:c>
      <x:c r="FT35" s="115" t="b">
        <x:v>1</x:v>
      </x:c>
      <x:c r="FU35" s="32"/>
      <x:c r="FV35" s="32"/>
      <x:c r="FW35" s="32" t="n">
        <x:v>0</x:v>
      </x:c>
      <x:c r="FX35" s="32" t="n">
        <x:v>540</x:v>
      </x:c>
      <x:c r="FY35" s="32" t="n">
        <x:v>1</x:v>
      </x:c>
      <x:c r="FZ35" s="32" t="n">
        <x:v>0</x:v>
      </x:c>
      <x:c r="GA35" s="32" t="n">
        <x:v>0</x:v>
      </x:c>
      <x:c r="GB35" s="32" t="n">
        <x:v>540</x:v>
      </x:c>
      <x:c r="GC35" s="32" t="n">
        <x:v>540</x:v>
      </x:c>
      <x:c r="GD35" s="32" t="n">
        <x:v>0</x:v>
      </x:c>
      <x:c r="GE35" s="32" t="n">
        <x:v>5</x:v>
      </x:c>
      <x:c r="GF35" s="32" t="n">
        <x:v>109</x:v>
      </x:c>
      <x:c r="GG35" s="32" t="str">
        <x:v>1×1, 5×107, 4×1</x:v>
      </x:c>
      <x:c r="GH35" s="32" t="n">
        <x:v>540</x:v>
      </x:c>
      <x:c r="GI35" s="32" t="n">
        <x:v>3125.847210001666</x:v>
      </x:c>
      <x:c r="GJ35" s="32" t="n">
        <x:v>5212.4640864021785</x:v>
      </x:c>
      <x:c r="GK35" s="32" t="n">
        <x:v>5246.562994832893</x:v>
      </x:c>
      <x:c r="GL35" s="32" t="n">
        <x:v>5919.024665003235</x:v>
      </x:c>
      <x:c r="GM35" s="32" t="str">
        <x:v>sustained</x:v>
      </x:c>
      <x:c r="GN35" s="32" t="n">
        <x:v>1</x:v>
      </x:c>
      <x:c r="GO35" s="32"/>
      <x:c r="GP35" s="32"/>
      <x:c r="GQ35" s="32"/>
      <x:c r="GR35" s="32"/>
      <x:c r="GS35" s="32"/>
      <x:c r="GT35" s="32"/>
      <x:c r="GU35" s="32"/>
      <x:c r="GV35" s="32"/>
      <x:c r="GW35" s="32"/>
      <x:c r="GX35" s="32"/>
      <x:c r="GY35" s="32"/>
      <x:c r="GZ35" s="32"/>
      <x:c r="HA35" s="32"/>
      <x:c r="HB35" s="32"/>
      <x:c r="HC35" s="32"/>
      <x:c r="HD35" s="32"/>
      <x:c r="HE35" s="32"/>
      <x:c r="HF35" s="32"/>
      <x:c r="HG35" s="32"/>
      <x:c r="HH35" s="32"/>
      <x:c r="HI35" s="32"/>
      <x:c r="HJ35" s="32"/>
      <x:c r="HK35" s="32"/>
      <x:c r="HL35" s="32"/>
      <x:c r="HM35" s="32"/>
      <x:c r="HN35" s="32"/>
      <x:c r="HO35" s="32"/>
      <x:c r="HP35" s="32"/>
      <x:c r="HQ35" s="32"/>
      <x:c r="HR35" s="32"/>
      <x:c r="HS35" s="32"/>
      <x:c r="HT35" s="32"/>
      <x:c r="HU35" s="32"/>
      <x:c r="HV35" s="32"/>
      <x:c r="HW35" s="32"/>
      <x:c r="HX35" s="32"/>
      <x:c r="HY35" s="32"/>
      <x:c r="VW35" s="32"/>
      <x:c r="VX35" s="32"/>
      <x:c r="VY35" s="32"/>
      <x:c r="VZ35" s="32"/>
      <x:c r="WA35" s="32"/>
      <x:c r="WB35" s="32"/>
      <x:c r="WC35" s="32"/>
      <x:c r="WD35" s="32"/>
      <x:c r="WE35" s="32"/>
      <x:c r="WF35" s="32"/>
      <x:c r="WG35" s="32"/>
      <x:c r="WH35" s="32"/>
      <x:c r="WI35" s="32"/>
      <x:c r="WJ35" s="32"/>
      <x:c r="WK35" s="32"/>
      <x:c r="WL35" s="32"/>
      <x:c r="WM35" s="32"/>
      <x:c r="WN35" s="32"/>
      <x:c r="WO35" s="32"/>
      <x:c r="WP35" s="32"/>
      <x:c r="WQ35" s="32"/>
      <x:c r="WR35" s="32"/>
      <x:c r="WS35" s="32"/>
      <x:c r="WT35" s="32"/>
      <x:c r="WU35" s="32"/>
      <x:c r="WV35" s="32"/>
      <x:c r="WW35" s="32"/>
      <x:c r="WX35" s="32"/>
      <x:c r="WY35" s="32"/>
      <x:c r="WZ35" s="32"/>
      <x:c r="XA35" s="32"/>
      <x:c r="XB35" s="32"/>
      <x:c r="XC35" s="32"/>
      <x:c r="XD35" s="32"/>
    </x:row>
    <x:row r="36">
      <x:c r="A36" s="32" t="str">
        <x:v>8f918b47-edd2-46e7-bc0b-de8a4206183a</x:v>
      </x:c>
      <x:c r="B36" s="32" t="str">
        <x:v>D-003</x:v>
      </x:c>
      <x:c r="C36" s="42" t="n">
        <x:v>46261.58613425926</x:v>
      </x:c>
      <x:c r="D36" s="32" t="str">
        <x:v>489b7424f5051f7a276dafe8d5f318ccf1368d87</x:v>
      </x:c>
      <x:c r="E36" s="32" t="str">
        <x:v>GLONBW11</x:v>
      </x:c>
      <x:c r="F36" s="32" t="str">
        <x:v>local-filesystem</x:v>
      </x:c>
      <x:c r="G36" s="32" t="str">
        <x:v>3.14.2</x:v>
      </x:c>
      <x:c r="H36" s="32" t="str">
        <x:v>deterministic</x:v>
      </x:c>
      <x:c r="I36" s="32" t="n">
        <x:v>1000</x:v>
      </x:c>
      <x:c r="J36" s="32" t="n">
        <x:v>2</x:v>
      </x:c>
      <x:c r="K36" s="32" t="n">
        <x:v>2.0207850666666665</x:v>
      </x:c>
      <x:c r="L36" s="32" t="n">
        <x:v>25</x:v>
      </x:c>
      <x:c r="M36" s="32" t="n">
        <x:v>5</x:v>
      </x:c>
      <x:c r="N36" s="32" t="n">
        <x:v>10</x:v>
      </x:c>
      <x:c r="O36" s="32" t="n">
        <x:v>925.7342469936702</x:v>
      </x:c>
      <x:c r="P36" s="32" t="n">
        <x:v>1295.4298766009745</x:v>
      </x:c>
      <x:c r="Q36" s="32" t="n">
        <x:v>1626.2661935237707</x:v>
      </x:c>
      <x:c r="R36" s="32" t="n">
        <x:v>1704.3247660039924</x:v>
      </x:c>
      <x:c r="S36" s="32" t="n">
        <x:v>0</x:v>
      </x:c>
      <x:c r="T36" s="43" t="n">
        <x:v>0</x:v>
      </x:c>
      <x:c r="U36" s="32" t="n">
        <x:v>96.29010622233343</x:v>
      </x:c>
      <x:c r="V36" s="32" t="n">
        <x:v>100.67064648265504</x:v>
      </x:c>
      <x:c r="W36" s="32" t="n">
        <x:v>136.439453125</x:v>
      </x:c>
      <x:c r="X36" s="32" t="n">
        <x:v>136.86328125</x:v>
      </x:c>
      <x:c r="Y36" s="32"/>
      <x:c r="Z36" s="32"/>
      <x:c r="AA36" s="32"/>
      <x:c r="AB36" s="32"/>
      <x:c r="AC36" s="32" t="n">
        <x:v>0</x:v>
      </x:c>
      <x:c r="AD36" s="32" t="n">
        <x:v>0</x:v>
      </x:c>
      <x:c r="AE36" s="32" t="n">
        <x:v>0</x:v>
      </x:c>
      <x:c r="AF36" s="32"/>
      <x:c r="AG36" s="32"/>
      <x:c r="AH36" s="32" t="n">
        <x:v>253.82953800726682</x:v>
      </x:c>
      <x:c r="AI36" s="32" t="str">
        <x:v>PASS</x:v>
      </x:c>
      <x:c r="AJ36" s="32" t="str">
        <x:v>GREEN</x:v>
      </x:c>
      <x:c r="AK36" s="32" t="str">
        <x:v>latest-narrow</x:v>
      </x:c>
      <x:c r="AL36" s="32" t="n">
        <x:v>1</x:v>
      </x:c>
      <x:c r="AM36" s="32" t="n">
        <x:v>1</x:v>
      </x:c>
      <x:c r="AN36" s="32" t="n">
        <x:v>1000</x:v>
      </x:c>
      <x:c r="AO36" s="32" t="n">
        <x:v>1</x:v>
      </x:c>
      <x:c r="AP36" s="32" t="n">
        <x:v>8132</x:v>
      </x:c>
      <x:c r="AQ36" s="32" t="n">
        <x:v>3.902173993992619</x:v>
      </x:c>
      <x:c r="AR36" s="32" t="n">
        <x:v>5.041956200147979</x:v>
      </x:c>
      <x:c r="AS36" s="32" t="n">
        <x:v>5.112146164756268</x:v>
      </x:c>
      <x:c r="AT36" s="32" t="n">
        <x:v>36</x:v>
      </x:c>
      <x:c r="AU36" s="32" t="str">
        <x:v>28×28 + 8×27</x:v>
      </x:c>
      <x:c r="AV36" s="32" t="n">
        <x:v>0.37171499570831656</x:v>
      </x:c>
      <x:c r="AW36" s="32" t="n">
        <x:v>0.4824803938390687</x:v>
      </x:c>
      <x:c r="AX36" s="32" t="n">
        <x:v>0.5168895580573009</x:v>
      </x:c>
      <x:c r="AY36" s="32" t="str">
        <x:v>balanced</x:v>
      </x:c>
      <x:c r="AZ36" s="32" t="str">
        <x:v>PASS</x:v>
      </x:c>
      <x:c r="BA36" s="32" t="n">
        <x:v>1000</x:v>
      </x:c>
      <x:c r="BB36" s="32" t="n">
        <x:v>0</x:v>
      </x:c>
      <x:c r="BC36" s="115" t="b">
        <x:v>1</x:v>
      </x:c>
      <x:c r="BD36" s="32" t="str">
        <x:v>PASS/GREEN. Burst 50 was fully absorbed in the first eligible iteration: first batch=50/50, one nonempty batch, 50 EFFECTIVE/STARTED, lost=0, duplicates=0, pending=0, cursor=12800, receipt-before-cursor=50/50; 150 durable records / 2,376,600 bytes and durable==materialized.</x:v>
      </x:c>
      <x:c r="BE36" s="32"/>
      <x:c r="BF36" s="32"/>
      <x:c r="BG36" s="32"/>
      <x:c r="BH36" s="32"/>
      <x:c r="BI36" s="32"/>
      <x:c r="BJ36" s="32"/>
      <x:c r="BK36" s="32"/>
      <x:c r="BL36" s="32"/>
      <x:c r="BM36" s="32"/>
      <x:c r="BN36" s="32" t="n">
        <x:v>100</x:v>
      </x:c>
      <x:c r="BO36" s="32" t="n">
        <x:v>10</x:v>
      </x:c>
      <x:c r="BP36" s="32" t="n">
        <x:v>0</x:v>
      </x:c>
      <x:c r="BQ36" s="32" t="n">
        <x:v>100</x:v>
      </x:c>
      <x:c r="BR36" s="32"/>
      <x:c r="BS36" s="32"/>
      <x:c r="BT36" s="32"/>
      <x:c r="BU36" s="32"/>
      <x:c r="BV36" s="32"/>
      <x:c r="BW36" s="32" t="n">
        <x:v>1000</x:v>
      </x:c>
      <x:c r="BX36" s="32" t="n">
        <x:v>1000</x:v>
      </x:c>
      <x:c r="BY36" s="32"/>
      <x:c r="BZ36" s="32"/>
      <x:c r="CA36" s="32" t="n">
        <x:v>100</x:v>
      </x:c>
      <x:c r="CB36" s="32" t="n">
        <x:v>100</x:v>
      </x:c>
      <x:c r="CC36" s="32"/>
      <x:c r="CD36" s="32"/>
      <x:c r="CE36" s="32" t="n">
        <x:v>1000</x:v>
      </x:c>
      <x:c r="CF36" s="32" t="n">
        <x:v>2050</x:v>
      </x:c>
      <x:c r="CG36" s="32" t="n">
        <x:v>1000</x:v>
      </x:c>
      <x:c r="CH36" s="32"/>
      <x:c r="CI36" s="115" t="b">
        <x:v>1</x:v>
      </x:c>
      <x:c r="CJ36" s="32"/>
      <x:c r="CK36" s="32"/>
      <x:c r="CL36" s="32"/>
      <x:c r="CM36" s="32"/>
      <x:c r="CN36" s="32"/>
      <x:c r="CO36" s="32"/>
      <x:c r="CP36" s="32"/>
      <x:c r="CQ36" s="32" t="n">
        <x:v>0</x:v>
      </x:c>
      <x:c r="CR36" s="32"/>
      <x:c r="CS36" s="32"/>
      <x:c r="CT36" s="32"/>
      <x:c r="CU36" s="32"/>
      <x:c r="CV36" s="32"/>
      <x:c r="CW36" s="32"/>
      <x:c r="CX36" s="32"/>
      <x:c r="CY36" s="32"/>
      <x:c r="CZ36" s="32"/>
      <x:c r="DA36" s="32"/>
      <x:c r="DB36" s="32"/>
      <x:c r="DC36" s="32"/>
      <x:c r="DD36" s="32"/>
      <x:c r="DE36" s="32"/>
      <x:c r="DF36" s="32"/>
      <x:c r="DG36" s="32"/>
      <x:c r="DH36" s="32" t="str">
        <x:v>baseline</x:v>
      </x:c>
      <x:c r="DI36" s="32" t="n">
        <x:v>25</x:v>
      </x:c>
      <x:c r="DJ36" s="32" t="n">
        <x:v>0</x:v>
      </x:c>
      <x:c r="DK36" s="32"/>
      <x:c r="DL36" s="32" t="n">
        <x:v>0</x:v>
      </x:c>
      <x:c r="DM36" s="32"/>
      <x:c r="DN36" s="32"/>
      <x:c r="DO36" s="32"/>
      <x:c r="DP36" s="32"/>
      <x:c r="DQ36" s="32" t="str">
        <x:v>C3</x:v>
      </x:c>
      <x:c r="DR36" s="32"/>
      <x:c r="DS36" s="32" t="n">
        <x:v>1000</x:v>
      </x:c>
      <x:c r="DT36" s="32" t="n">
        <x:v>1000</x:v>
      </x:c>
      <x:c r="DU36" s="32"/>
      <x:c r="DV36" s="32"/>
      <x:c r="DW36" s="32"/>
      <x:c r="DX36" s="32" t="n">
        <x:v>1000</x:v>
      </x:c>
      <x:c r="DY36" s="32" t="n">
        <x:v>1000</x:v>
      </x:c>
      <x:c r="DZ36" s="32" t="n">
        <x:v>0</x:v>
      </x:c>
      <x:c r="EA36" s="32" t="n">
        <x:v>0</x:v>
      </x:c>
      <x:c r="EB36" s="32"/>
      <x:c r="EC36" s="32"/>
      <x:c r="ED36" s="32"/>
      <x:c r="EE36" s="32"/>
      <x:c r="EF36" s="32"/>
      <x:c r="EG36" s="32"/>
      <x:c r="EH36" s="32"/>
      <x:c r="EI36" s="32"/>
      <x:c r="EJ36" s="32"/>
      <x:c r="EK36" s="32"/>
      <x:c r="EL36" s="32"/>
      <x:c r="EM36" s="32"/>
      <x:c r="EN36" s="32"/>
      <x:c r="EO36" s="32"/>
      <x:c r="EP36" s="32"/>
      <x:c r="EQ36" s="32"/>
      <x:c r="ER36" s="32"/>
      <x:c r="ES36" s="32"/>
      <x:c r="ET36" s="32"/>
      <x:c r="EU36" s="32"/>
      <x:c r="EV36" s="32"/>
      <x:c r="EW36" s="32"/>
      <x:c r="EX36" s="32"/>
      <x:c r="EY36" s="32"/>
      <x:c r="EZ36" s="32"/>
      <x:c r="FA36" s="32"/>
      <x:c r="FB36" s="32"/>
      <x:c r="FC36" s="32"/>
      <x:c r="FD36" s="32"/>
      <x:c r="FE36" s="32"/>
      <x:c r="FF36" s="32" t="n">
        <x:v>30</x:v>
      </x:c>
      <x:c r="FG36" s="32" t="str">
        <x:v>PERF-M-000001..PERF-M-000050</x:v>
      </x:c>
      <x:c r="FH36" s="32" t="n">
        <x:v>50</x:v>
      </x:c>
      <x:c r="FI36" s="32" t="n">
        <x:v>50</x:v>
      </x:c>
      <x:c r="FJ36" s="32" t="n">
        <x:v>50</x:v>
      </x:c>
      <x:c r="FK36" s="32" t="n">
        <x:v>50</x:v>
      </x:c>
      <x:c r="FL36" s="32" t="n">
        <x:v>0</x:v>
      </x:c>
      <x:c r="FM36" s="32" t="n">
        <x:v>50</x:v>
      </x:c>
      <x:c r="FN36" s="32" t="n">
        <x:v>0</x:v>
      </x:c>
      <x:c r="FO36" s="32"/>
      <x:c r="FP36" s="32" t="n">
        <x:v>150</x:v>
      </x:c>
      <x:c r="FQ36" s="32" t="n">
        <x:v>12800</x:v>
      </x:c>
      <x:c r="FR36" s="32" t="n">
        <x:v>0</x:v>
      </x:c>
      <x:c r="FS36" s="32" t="n">
        <x:v>50</x:v>
      </x:c>
      <x:c r="FT36" s="115" t="b">
        <x:v>1</x:v>
      </x:c>
      <x:c r="FU36" s="32"/>
      <x:c r="FV36" s="32"/>
      <x:c r="FW36" s="32" t="n">
        <x:v>0</x:v>
      </x:c>
      <x:c r="FX36" s="32" t="n">
        <x:v>50</x:v>
      </x:c>
      <x:c r="FY36" s="32" t="n">
        <x:v>0</x:v>
      </x:c>
      <x:c r="FZ36" s="32" t="n">
        <x:v>0</x:v>
      </x:c>
      <x:c r="GA36" s="32" t="n">
        <x:v>0</x:v>
      </x:c>
      <x:c r="GB36" s="32" t="n">
        <x:v>50</x:v>
      </x:c>
      <x:c r="GC36" s="32" t="n">
        <x:v>50</x:v>
      </x:c>
      <x:c r="GD36" s="32" t="n">
        <x:v>0</x:v>
      </x:c>
      <x:c r="GE36" s="32" t="n">
        <x:v>50</x:v>
      </x:c>
      <x:c r="GF36" s="32" t="n">
        <x:v>1</x:v>
      </x:c>
      <x:c r="GG36" s="32" t="str">
        <x:v>50</x:v>
      </x:c>
      <x:c r="GH36" s="32" t="n">
        <x:v>50</x:v>
      </x:c>
      <x:c r="GI36" s="32" t="n">
        <x:v>1393.9900169934845</x:v>
      </x:c>
      <x:c r="GJ36" s="32" t="n">
        <x:v>1393.9900169934845</x:v>
      </x:c>
      <x:c r="GK36" s="32" t="n">
        <x:v>1393.9900169934845</x:v>
      </x:c>
      <x:c r="GL36" s="32" t="n">
        <x:v>1393.9900169934845</x:v>
      </x:c>
      <x:c r="GM36" s="32" t="str">
        <x:v>burst</x:v>
      </x:c>
      <x:c r="GN36" s="32" t="n">
        <x:v>50</x:v>
      </x:c>
      <x:c r="GO36" s="32" t="n">
        <x:v>50</x:v>
      </x:c>
      <x:c r="GP36" s="115" t="b">
        <x:v>1</x:v>
      </x:c>
      <x:c r="GQ36" s="32"/>
      <x:c r="GR36" s="32"/>
      <x:c r="GS36" s="32"/>
      <x:c r="GT36" s="32"/>
      <x:c r="GU36" s="32"/>
      <x:c r="GV36" s="32"/>
      <x:c r="GW36" s="32"/>
      <x:c r="GX36" s="32"/>
      <x:c r="GY36" s="32"/>
      <x:c r="GZ36" s="32"/>
      <x:c r="HA36" s="32"/>
      <x:c r="HB36" s="32"/>
      <x:c r="HC36" s="32"/>
      <x:c r="HD36" s="32"/>
      <x:c r="HE36" s="32"/>
      <x:c r="HF36" s="32"/>
      <x:c r="HG36" s="32"/>
      <x:c r="HH36" s="32"/>
      <x:c r="HI36" s="32"/>
      <x:c r="HJ36" s="32"/>
      <x:c r="HK36" s="32"/>
      <x:c r="HL36" s="32"/>
      <x:c r="HM36" s="32"/>
      <x:c r="HN36" s="32"/>
      <x:c r="HO36" s="32"/>
      <x:c r="HP36" s="32"/>
      <x:c r="HQ36" s="32"/>
      <x:c r="HR36" s="32"/>
      <x:c r="HS36" s="32"/>
      <x:c r="HT36" s="32"/>
      <x:c r="HU36" s="32"/>
      <x:c r="HV36" s="32"/>
      <x:c r="HW36" s="32"/>
      <x:c r="HX36" s="32"/>
      <x:c r="HY36" s="32"/>
      <x:c r="VW36" s="32"/>
      <x:c r="VX36" s="32"/>
      <x:c r="VY36" s="32"/>
      <x:c r="VZ36" s="32"/>
      <x:c r="WA36" s="32"/>
      <x:c r="WB36" s="32"/>
      <x:c r="WC36" s="32"/>
      <x:c r="WD36" s="32"/>
      <x:c r="WE36" s="32"/>
      <x:c r="WF36" s="32"/>
      <x:c r="WG36" s="32"/>
      <x:c r="WH36" s="32"/>
      <x:c r="WI36" s="32"/>
      <x:c r="WJ36" s="32"/>
      <x:c r="WK36" s="32"/>
      <x:c r="WL36" s="32"/>
      <x:c r="WM36" s="32"/>
      <x:c r="WN36" s="32"/>
      <x:c r="WO36" s="32"/>
      <x:c r="WP36" s="32"/>
      <x:c r="WQ36" s="32"/>
      <x:c r="WR36" s="32"/>
      <x:c r="WS36" s="32"/>
      <x:c r="WT36" s="32"/>
      <x:c r="WU36" s="32"/>
      <x:c r="WV36" s="32"/>
      <x:c r="WW36" s="32"/>
      <x:c r="WX36" s="32"/>
      <x:c r="WY36" s="32"/>
      <x:c r="WZ36" s="32"/>
      <x:c r="XA36" s="32"/>
      <x:c r="XB36" s="32"/>
      <x:c r="XC36" s="32"/>
      <x:c r="XD36" s="32"/>
    </x:row>
    <x:row r="37">
      <x:c r="A37" s="32" t="str">
        <x:v>248c19b9-3f16-471c-b1cf-0d730744b47a</x:v>
      </x:c>
      <x:c r="B37" s="32" t="str">
        <x:v>D-004</x:v>
      </x:c>
      <x:c r="C37" s="42" t="n">
        <x:v>46261.59961805555</x:v>
      </x:c>
      <x:c r="D37" s="32" t="str">
        <x:v>489b7424f5051f7a276dafe8d5f318ccf1368d87</x:v>
      </x:c>
      <x:c r="E37" s="32" t="str">
        <x:v>GLONBW11</x:v>
      </x:c>
      <x:c r="F37" s="32" t="str">
        <x:v>local-filesystem</x:v>
      </x:c>
      <x:c r="G37" s="32" t="str">
        <x:v>3.14.2</x:v>
      </x:c>
      <x:c r="H37" s="32" t="str">
        <x:v>deterministic</x:v>
      </x:c>
      <x:c r="I37" s="32" t="n">
        <x:v>1000</x:v>
      </x:c>
      <x:c r="J37" s="32" t="n">
        <x:v>2</x:v>
      </x:c>
      <x:c r="K37" s="32" t="n">
        <x:v>2.0223113833333333</x:v>
      </x:c>
      <x:c r="L37" s="32" t="n">
        <x:v>25</x:v>
      </x:c>
      <x:c r="M37" s="32" t="n">
        <x:v>5</x:v>
      </x:c>
      <x:c r="N37" s="32" t="n">
        <x:v>10</x:v>
      </x:c>
      <x:c r="O37" s="32" t="n">
        <x:v>916.0213550057961</x:v>
      </x:c>
      <x:c r="P37" s="32" t="n">
        <x:v>1563.5842447984037</x:v>
      </x:c>
      <x:c r="Q37" s="32" t="n">
        <x:v>1720.2677881997079</x:v>
      </x:c>
      <x:c r="R37" s="32" t="n">
        <x:v>1721.4445610006806</x:v>
      </x:c>
      <x:c r="S37" s="32" t="n">
        <x:v>0</x:v>
      </x:c>
      <x:c r="T37" s="43" t="n">
        <x:v>0</x:v>
      </x:c>
      <x:c r="U37" s="32" t="n">
        <x:v>96.32098463416948</x:v>
      </x:c>
      <x:c r="V37" s="32" t="n">
        <x:v>99.55240502885887</x:v>
      </x:c>
      <x:c r="W37" s="32" t="n">
        <x:v>136.69015625</x:v>
      </x:c>
      <x:c r="X37" s="32" t="n">
        <x:v>137.16015625</x:v>
      </x:c>
      <x:c r="Y37" s="32"/>
      <x:c r="Z37" s="32"/>
      <x:c r="AA37" s="32"/>
      <x:c r="AB37" s="32"/>
      <x:c r="AC37" s="32" t="n">
        <x:v>0</x:v>
      </x:c>
      <x:c r="AD37" s="32" t="n">
        <x:v>0</x:v>
      </x:c>
      <x:c r="AE37" s="32" t="n">
        <x:v>0</x:v>
      </x:c>
      <x:c r="AF37" s="32"/>
      <x:c r="AG37" s="32"/>
      <x:c r="AH37" s="32" t="n">
        <x:v>309.34497200360056</x:v>
      </x:c>
      <x:c r="AI37" s="32" t="str">
        <x:v>PASS</x:v>
      </x:c>
      <x:c r="AJ37" s="32" t="str">
        <x:v>GREEN</x:v>
      </x:c>
      <x:c r="AK37" s="32" t="str">
        <x:v>latest-narrow</x:v>
      </x:c>
      <x:c r="AL37" s="32" t="n">
        <x:v>1</x:v>
      </x:c>
      <x:c r="AM37" s="32" t="n">
        <x:v>1</x:v>
      </x:c>
      <x:c r="AN37" s="32" t="n">
        <x:v>1000</x:v>
      </x:c>
      <x:c r="AO37" s="32" t="n">
        <x:v>1</x:v>
      </x:c>
      <x:c r="AP37" s="32" t="n">
        <x:v>8132</x:v>
      </x:c>
      <x:c r="AQ37" s="32" t="n">
        <x:v>4.249657009495422</x:v>
      </x:c>
      <x:c r="AR37" s="32" t="n">
        <x:v>5.671858208370395</x:v>
      </x:c>
      <x:c r="AS37" s="32" t="n">
        <x:v>6.329097243724393</x:v>
      </x:c>
      <x:c r="AT37" s="32" t="n">
        <x:v>36</x:v>
      </x:c>
      <x:c r="AU37" s="32" t="str">
        <x:v>28×28 + 8×27</x:v>
      </x:c>
      <x:c r="AV37" s="32" t="n">
        <x:v>0.3732479963218793</x:v>
      </x:c>
      <x:c r="AW37" s="32" t="n">
        <x:v>0.44881740759592503</x:v>
      </x:c>
      <x:c r="AX37" s="32" t="n">
        <x:v>0.4546184925129637</x:v>
      </x:c>
      <x:c r="AY37" s="32" t="str">
        <x:v>balanced</x:v>
      </x:c>
      <x:c r="AZ37" s="32" t="str">
        <x:v>PASS</x:v>
      </x:c>
      <x:c r="BA37" s="32" t="n">
        <x:v>1000</x:v>
      </x:c>
      <x:c r="BB37" s="32" t="n">
        <x:v>0</x:v>
      </x:c>
      <x:c r="BC37" s="115" t="b">
        <x:v>1</x:v>
      </x:c>
      <x:c r="BD37" s="32" t="str">
        <x:v>PASS/GREEN. Burst 100 fully absorbed in first eligible iteration: first batch=100/100, one nonempty batch, 100 EFFECTIVE/STARTED, lost=0, duplicates=0, pending=0, cursor=25600, receipt-before-cursor=100/100; 200 durable records / 2,722,400 bytes and durable==materialized.</x:v>
      </x:c>
      <x:c r="BE37" s="32"/>
      <x:c r="BF37" s="32"/>
      <x:c r="BG37" s="32"/>
      <x:c r="BH37" s="32"/>
      <x:c r="BI37" s="32"/>
      <x:c r="BJ37" s="32"/>
      <x:c r="BK37" s="32"/>
      <x:c r="BL37" s="32"/>
      <x:c r="BM37" s="32"/>
      <x:c r="BN37" s="32" t="n">
        <x:v>100</x:v>
      </x:c>
      <x:c r="BO37" s="32" t="n">
        <x:v>10</x:v>
      </x:c>
      <x:c r="BP37" s="32" t="n">
        <x:v>0</x:v>
      </x:c>
      <x:c r="BQ37" s="32" t="n">
        <x:v>100</x:v>
      </x:c>
      <x:c r="BR37" s="32"/>
      <x:c r="BS37" s="32"/>
      <x:c r="BT37" s="32"/>
      <x:c r="BU37" s="32"/>
      <x:c r="BV37" s="32"/>
      <x:c r="BW37" s="32" t="n">
        <x:v>1000</x:v>
      </x:c>
      <x:c r="BX37" s="32" t="n">
        <x:v>1000</x:v>
      </x:c>
      <x:c r="BY37" s="32"/>
      <x:c r="BZ37" s="32"/>
      <x:c r="CA37" s="32" t="n">
        <x:v>100</x:v>
      </x:c>
      <x:c r="CB37" s="32" t="n">
        <x:v>100</x:v>
      </x:c>
      <x:c r="CC37" s="32"/>
      <x:c r="CD37" s="32"/>
      <x:c r="CE37" s="32" t="n">
        <x:v>1000</x:v>
      </x:c>
      <x:c r="CF37" s="32" t="n">
        <x:v>2100</x:v>
      </x:c>
      <x:c r="CG37" s="32" t="n">
        <x:v>1000</x:v>
      </x:c>
      <x:c r="CH37" s="32"/>
      <x:c r="CI37" s="115" t="b">
        <x:v>1</x:v>
      </x:c>
      <x:c r="CJ37" s="32"/>
      <x:c r="CK37" s="32"/>
      <x:c r="CL37" s="32"/>
      <x:c r="CM37" s="32"/>
      <x:c r="CN37" s="32"/>
      <x:c r="CO37" s="32"/>
      <x:c r="CP37" s="32"/>
      <x:c r="CQ37" s="32" t="n">
        <x:v>0</x:v>
      </x:c>
      <x:c r="CR37" s="32"/>
      <x:c r="CS37" s="32"/>
      <x:c r="CT37" s="32"/>
      <x:c r="CU37" s="32"/>
      <x:c r="CV37" s="32"/>
      <x:c r="CW37" s="32"/>
      <x:c r="CX37" s="32"/>
      <x:c r="CY37" s="32"/>
      <x:c r="CZ37" s="32"/>
      <x:c r="DA37" s="32"/>
      <x:c r="DB37" s="32"/>
      <x:c r="DC37" s="32"/>
      <x:c r="DD37" s="32"/>
      <x:c r="DE37" s="32"/>
      <x:c r="DF37" s="32"/>
      <x:c r="DG37" s="32"/>
      <x:c r="DH37" s="32" t="str">
        <x:v>baseline</x:v>
      </x:c>
      <x:c r="DI37" s="32" t="n">
        <x:v>25</x:v>
      </x:c>
      <x:c r="DJ37" s="32" t="n">
        <x:v>0</x:v>
      </x:c>
      <x:c r="DK37" s="32"/>
      <x:c r="DL37" s="32" t="n">
        <x:v>0</x:v>
      </x:c>
      <x:c r="DM37" s="32"/>
      <x:c r="DN37" s="32"/>
      <x:c r="DO37" s="32"/>
      <x:c r="DP37" s="32"/>
      <x:c r="DQ37" s="32" t="str">
        <x:v>C3</x:v>
      </x:c>
      <x:c r="DR37" s="32"/>
      <x:c r="DS37" s="32" t="n">
        <x:v>1000</x:v>
      </x:c>
      <x:c r="DT37" s="32" t="n">
        <x:v>1000</x:v>
      </x:c>
      <x:c r="DU37" s="32"/>
      <x:c r="DV37" s="32"/>
      <x:c r="DW37" s="32"/>
      <x:c r="DX37" s="32" t="n">
        <x:v>1000</x:v>
      </x:c>
      <x:c r="DY37" s="32" t="n">
        <x:v>1000</x:v>
      </x:c>
      <x:c r="DZ37" s="32" t="n">
        <x:v>0</x:v>
      </x:c>
      <x:c r="EA37" s="32" t="n">
        <x:v>0</x:v>
      </x:c>
      <x:c r="EB37" s="32"/>
      <x:c r="EC37" s="32"/>
      <x:c r="ED37" s="32"/>
      <x:c r="EE37" s="32"/>
      <x:c r="EF37" s="32"/>
      <x:c r="EG37" s="32"/>
      <x:c r="EH37" s="32"/>
      <x:c r="EI37" s="32"/>
      <x:c r="EJ37" s="32"/>
      <x:c r="EK37" s="32"/>
      <x:c r="EL37" s="32"/>
      <x:c r="EM37" s="32"/>
      <x:c r="EN37" s="32"/>
      <x:c r="EO37" s="32"/>
      <x:c r="EP37" s="32"/>
      <x:c r="EQ37" s="32"/>
      <x:c r="ER37" s="32"/>
      <x:c r="ES37" s="32"/>
      <x:c r="ET37" s="32"/>
      <x:c r="EU37" s="32"/>
      <x:c r="EV37" s="32"/>
      <x:c r="EW37" s="32"/>
      <x:c r="EX37" s="32"/>
      <x:c r="EY37" s="32"/>
      <x:c r="EZ37" s="32"/>
      <x:c r="FA37" s="32"/>
      <x:c r="FB37" s="32"/>
      <x:c r="FC37" s="32"/>
      <x:c r="FD37" s="32"/>
      <x:c r="FE37" s="32"/>
      <x:c r="FF37" s="32" t="n">
        <x:v>30</x:v>
      </x:c>
      <x:c r="FG37" s="32" t="str">
        <x:v>PERF-M-000001..PERF-M-000100</x:v>
      </x:c>
      <x:c r="FH37" s="32" t="n">
        <x:v>100</x:v>
      </x:c>
      <x:c r="FI37" s="32" t="n">
        <x:v>100</x:v>
      </x:c>
      <x:c r="FJ37" s="32" t="n">
        <x:v>100</x:v>
      </x:c>
      <x:c r="FK37" s="32" t="n">
        <x:v>100</x:v>
      </x:c>
      <x:c r="FL37" s="32" t="n">
        <x:v>0</x:v>
      </x:c>
      <x:c r="FM37" s="32" t="n">
        <x:v>100</x:v>
      </x:c>
      <x:c r="FN37" s="32" t="n">
        <x:v>0</x:v>
      </x:c>
      <x:c r="FO37" s="32"/>
      <x:c r="FP37" s="32" t="n">
        <x:v>200</x:v>
      </x:c>
      <x:c r="FQ37" s="32" t="n">
        <x:v>25600</x:v>
      </x:c>
      <x:c r="FR37" s="32" t="n">
        <x:v>0</x:v>
      </x:c>
      <x:c r="FS37" s="32" t="n">
        <x:v>100</x:v>
      </x:c>
      <x:c r="FT37" s="115" t="b">
        <x:v>1</x:v>
      </x:c>
      <x:c r="FU37" s="32"/>
      <x:c r="FV37" s="32"/>
      <x:c r="FW37" s="32" t="n">
        <x:v>0</x:v>
      </x:c>
      <x:c r="FX37" s="32" t="n">
        <x:v>100</x:v>
      </x:c>
      <x:c r="FY37" s="32" t="n">
        <x:v>0</x:v>
      </x:c>
      <x:c r="FZ37" s="32" t="n">
        <x:v>0</x:v>
      </x:c>
      <x:c r="GA37" s="32" t="n">
        <x:v>0</x:v>
      </x:c>
      <x:c r="GB37" s="32" t="n">
        <x:v>100</x:v>
      </x:c>
      <x:c r="GC37" s="32" t="n">
        <x:v>100</x:v>
      </x:c>
      <x:c r="GD37" s="32" t="n">
        <x:v>0</x:v>
      </x:c>
      <x:c r="GE37" s="32" t="n">
        <x:v>100</x:v>
      </x:c>
      <x:c r="GF37" s="32" t="n">
        <x:v>1</x:v>
      </x:c>
      <x:c r="GG37" s="32" t="str">
        <x:v>100</x:v>
      </x:c>
      <x:c r="GH37" s="32" t="n">
        <x:v>100</x:v>
      </x:c>
      <x:c r="GI37" s="32" t="n">
        <x:v>1727.508432988543</x:v>
      </x:c>
      <x:c r="GJ37" s="32" t="n">
        <x:v>1727.508432988543</x:v>
      </x:c>
      <x:c r="GK37" s="32" t="n">
        <x:v>1727.508432988543</x:v>
      </x:c>
      <x:c r="GL37" s="32" t="n">
        <x:v>1727.508432988543</x:v>
      </x:c>
      <x:c r="GM37" s="32" t="str">
        <x:v>burst</x:v>
      </x:c>
      <x:c r="GN37" s="32" t="n">
        <x:v>100</x:v>
      </x:c>
      <x:c r="GO37" s="32" t="n">
        <x:v>100</x:v>
      </x:c>
      <x:c r="GP37" s="115" t="b">
        <x:v>1</x:v>
      </x:c>
      <x:c r="GQ37" s="32"/>
      <x:c r="GR37" s="32"/>
      <x:c r="GS37" s="32"/>
      <x:c r="GT37" s="32"/>
      <x:c r="GU37" s="32"/>
      <x:c r="GV37" s="32"/>
      <x:c r="GW37" s="32"/>
      <x:c r="GX37" s="32"/>
      <x:c r="GY37" s="32"/>
      <x:c r="GZ37" s="32"/>
      <x:c r="HA37" s="32"/>
      <x:c r="HB37" s="32"/>
      <x:c r="HC37" s="32"/>
      <x:c r="HD37" s="32"/>
      <x:c r="HE37" s="32"/>
      <x:c r="HF37" s="32"/>
      <x:c r="HG37" s="32"/>
      <x:c r="HH37" s="32"/>
      <x:c r="HI37" s="32"/>
      <x:c r="HJ37" s="32"/>
      <x:c r="HK37" s="32"/>
      <x:c r="HL37" s="32"/>
      <x:c r="HM37" s="32"/>
      <x:c r="HN37" s="32"/>
      <x:c r="HO37" s="32"/>
      <x:c r="HP37" s="32"/>
      <x:c r="HQ37" s="32"/>
      <x:c r="HR37" s="32"/>
      <x:c r="HS37" s="32"/>
      <x:c r="HT37" s="32"/>
      <x:c r="HU37" s="32"/>
      <x:c r="HV37" s="32"/>
      <x:c r="HW37" s="32"/>
      <x:c r="HX37" s="32"/>
      <x:c r="HY37" s="32"/>
      <x:c r="VW37" s="32"/>
      <x:c r="VX37" s="32"/>
      <x:c r="VY37" s="32"/>
      <x:c r="VZ37" s="32"/>
      <x:c r="WA37" s="32"/>
      <x:c r="WB37" s="32"/>
      <x:c r="WC37" s="32"/>
      <x:c r="WD37" s="32"/>
      <x:c r="WE37" s="32"/>
      <x:c r="WF37" s="32"/>
      <x:c r="WG37" s="32"/>
      <x:c r="WH37" s="32"/>
      <x:c r="WI37" s="32"/>
      <x:c r="WJ37" s="32"/>
      <x:c r="WK37" s="32"/>
      <x:c r="WL37" s="32"/>
      <x:c r="WM37" s="32"/>
      <x:c r="WN37" s="32"/>
      <x:c r="WO37" s="32"/>
      <x:c r="WP37" s="32"/>
      <x:c r="WQ37" s="32"/>
      <x:c r="WR37" s="32"/>
      <x:c r="WS37" s="32"/>
      <x:c r="WT37" s="32"/>
      <x:c r="WU37" s="32"/>
      <x:c r="WV37" s="32"/>
      <x:c r="WW37" s="32"/>
      <x:c r="WX37" s="32"/>
      <x:c r="WY37" s="32"/>
      <x:c r="WZ37" s="32"/>
      <x:c r="XA37" s="32"/>
      <x:c r="XB37" s="32"/>
      <x:c r="XC37" s="32"/>
      <x:c r="XD37" s="32"/>
    </x:row>
    <x:row r="38">
      <x:c r="A38" s="32" t="str">
        <x:v>fa708376-dcb7-4fa4-b8af-ec09ea6bb5b5</x:v>
      </x:c>
      <x:c r="B38" s="32" t="str">
        <x:v>D-005</x:v>
      </x:c>
      <x:c r="C38" s="42" t="n">
        <x:v>46261.63972222222</x:v>
      </x:c>
      <x:c r="D38" s="32" t="str">
        <x:v>489b7424f5051f7a276dafe8d5f318ccf1368d87</x:v>
      </x:c>
      <x:c r="E38" s="32" t="str">
        <x:v>GLONBW11</x:v>
      </x:c>
      <x:c r="F38" s="32" t="str">
        <x:v>local-filesystem</x:v>
      </x:c>
      <x:c r="G38" s="32" t="str">
        <x:v>3.14.2</x:v>
      </x:c>
      <x:c r="H38" s="32" t="str">
        <x:v>deterministic</x:v>
      </x:c>
      <x:c r="I38" s="32" t="n">
        <x:v>1000</x:v>
      </x:c>
      <x:c r="J38" s="32" t="n">
        <x:v>2</x:v>
      </x:c>
      <x:c r="K38" s="32" t="n">
        <x:v>2.0203074833333337</x:v>
      </x:c>
      <x:c r="L38" s="32" t="n">
        <x:v>25</x:v>
      </x:c>
      <x:c r="M38" s="32" t="n">
        <x:v>5</x:v>
      </x:c>
      <x:c r="N38" s="32" t="n">
        <x:v>10</x:v>
      </x:c>
      <x:c r="O38" s="32" t="n">
        <x:v>922.7774079918163</x:v>
      </x:c>
      <x:c r="P38" s="32" t="n">
        <x:v>1169.960077601718</x:v>
      </x:c>
      <x:c r="Q38" s="32" t="n">
        <x:v>1621.2905531248553</x:v>
      </x:c>
      <x:c r="R38" s="32" t="n">
        <x:v>1749.98120800592</x:v>
      </x:c>
      <x:c r="S38" s="32" t="n">
        <x:v>0</x:v>
      </x:c>
      <x:c r="T38" s="43" t="n">
        <x:v>0</x:v>
      </x:c>
      <x:c r="U38" s="32" t="n">
        <x:v>96.98818792105753</x:v>
      </x:c>
      <x:c r="V38" s="32" t="n">
        <x:v>100.09889600238809</x:v>
      </x:c>
      <x:c r="W38" s="32" t="n">
        <x:v>136.8103125</x:v>
      </x:c>
      <x:c r="X38" s="32" t="n">
        <x:v>137.1953125</x:v>
      </x:c>
      <x:c r="Y38" s="32"/>
      <x:c r="Z38" s="32"/>
      <x:c r="AA38" s="32"/>
      <x:c r="AB38" s="32" t="n">
        <x:v>981.4595420029946</x:v>
      </x:c>
      <x:c r="AC38" s="32" t="n">
        <x:v>0</x:v>
      </x:c>
      <x:c r="AD38" s="32" t="n">
        <x:v>0</x:v>
      </x:c>
      <x:c r="AE38" s="32" t="n">
        <x:v>0</x:v>
      </x:c>
      <x:c r="AF38" s="32" t="n">
        <x:v>0</x:v>
      </x:c>
      <x:c r="AG38" s="32" t="n">
        <x:v>0</x:v>
      </x:c>
      <x:c r="AH38" s="32" t="n">
        <x:v>216.6621210053563</x:v>
      </x:c>
      <x:c r="AI38" s="32" t="str">
        <x:v>PASS</x:v>
      </x:c>
      <x:c r="AJ38" s="32" t="str">
        <x:v>GREEN</x:v>
      </x:c>
      <x:c r="AK38" s="32" t="str">
        <x:v>latest-narrow</x:v>
      </x:c>
      <x:c r="AL38" s="32" t="n">
        <x:v>1</x:v>
      </x:c>
      <x:c r="AM38" s="32" t="n">
        <x:v>1</x:v>
      </x:c>
      <x:c r="AN38" s="32" t="n">
        <x:v>1000</x:v>
      </x:c>
      <x:c r="AO38" s="32" t="n">
        <x:v>1</x:v>
      </x:c>
      <x:c r="AP38" s="32" t="n">
        <x:v>8132</x:v>
      </x:c>
      <x:c r="AQ38" s="32" t="n">
        <x:v>4.349902999820188</x:v>
      </x:c>
      <x:c r="AR38" s="32" t="n">
        <x:v>6.34817160316743</x:v>
      </x:c>
      <x:c r="AS38" s="32" t="n">
        <x:v>6.869331366033294</x:v>
      </x:c>
      <x:c r="AT38" s="32" t="n">
        <x:v>36</x:v>
      </x:c>
      <x:c r="AU38" s="32" t="str">
        <x:v>28×28 + 8×27</x:v>
      </x:c>
      <x:c r="AV38" s="32" t="n">
        <x:v>0.34225299896206707</x:v>
      </x:c>
      <x:c r="AW38" s="32" t="n">
        <x:v>0.40862780588213354</x:v>
      </x:c>
      <x:c r="AX38" s="32" t="n">
        <x:v>0.41494656063150615</x:v>
      </x:c>
      <x:c r="AY38" t="str">
        <x:v>balanced</x:v>
      </x:c>
      <x:c r="AZ38" s="32" t="str">
        <x:v>PASS</x:v>
      </x:c>
      <x:c r="BA38" s="32" t="n">
        <x:v>1000</x:v>
      </x:c>
      <x:c r="BB38" s="32" t="n">
        <x:v>0</x:v>
      </x:c>
      <x:c r="BC38" s="115" t="b">
        <x:v>1</x:v>
      </x:c>
      <x:c r="BD38" s="32" t="str">
        <x:v>PASS/GREEN. Single DeactivationDecision closed: exact PENDING_APPROVAL→APPLIED causal chain, same occurrence, target visible while pending, cursors 256/256, final pending 0/0/0, original 300 s window preserved with 270 s remaining, decision latency 981.46 ms, 102 durable records / 2,045,701 bytes and durable==materialized.</x:v>
      </x:c>
      <x:c r="BE38" s="32"/>
      <x:c r="BF38" s="32"/>
      <x:c r="BG38" s="32"/>
      <x:c r="BH38" s="32"/>
      <x:c r="BI38" s="32"/>
      <x:c r="BJ38" s="32" t="n">
        <x:v>1000</x:v>
      </x:c>
      <x:c r="BK38" s="32" t="n">
        <x:v>1000</x:v>
      </x:c>
      <x:c r="BL38" s="32"/>
      <x:c r="BM38" s="32"/>
      <x:c r="BN38" t="n">
        <x:v>100</x:v>
      </x:c>
      <x:c r="BO38" t="n">
        <x:v>10</x:v>
      </x:c>
      <x:c r="BP38" t="n">
        <x:v>0</x:v>
      </x:c>
      <x:c r="BQ38" t="n">
        <x:v>100</x:v>
      </x:c>
      <x:c r="BR38"/>
      <x:c r="BS38"/>
      <x:c r="BT38"/>
      <x:c r="BU38"/>
      <x:c r="BV38"/>
      <x:c r="BW38" t="n">
        <x:v>1000</x:v>
      </x:c>
      <x:c r="BX38" t="n">
        <x:v>1000</x:v>
      </x:c>
      <x:c r="BY38"/>
      <x:c r="BZ38"/>
      <x:c r="CA38" t="n">
        <x:v>100</x:v>
      </x:c>
      <x:c r="CB38" t="n">
        <x:v>100</x:v>
      </x:c>
      <x:c r="CC38"/>
      <x:c r="CD38"/>
      <x:c r="CE38" t="n">
        <x:v>1000</x:v>
      </x:c>
      <x:c r="CF38" t="n">
        <x:v>2004</x:v>
      </x:c>
      <x:c r="CG38" t="n">
        <x:v>1000</x:v>
      </x:c>
      <x:c r="CH38"/>
      <x:c r="CI38" s="127" t="b">
        <x:v>1</x:v>
      </x:c>
      <x:c r="CJ38"/>
      <x:c r="CK38"/>
      <x:c r="CL38"/>
      <x:c r="CM38"/>
      <x:c r="CN38"/>
      <x:c r="CO38"/>
      <x:c r="CP38"/>
      <x:c r="CQ38" t="n">
        <x:v>0</x:v>
      </x:c>
      <x:c r="CR38"/>
      <x:c r="CS38"/>
      <x:c r="CT38"/>
      <x:c r="CU38"/>
      <x:c r="CV38"/>
      <x:c r="CW38"/>
      <x:c r="CX38"/>
      <x:c r="CY38"/>
      <x:c r="CZ38"/>
      <x:c r="DA38"/>
      <x:c r="DB38"/>
      <x:c r="DC38"/>
      <x:c r="DD38"/>
      <x:c r="DE38"/>
      <x:c r="DF38"/>
      <x:c r="DG38"/>
      <x:c r="DH38" t="str">
        <x:v>baseline</x:v>
      </x:c>
      <x:c r="DI38" t="n">
        <x:v>25</x:v>
      </x:c>
      <x:c r="DJ38" t="n">
        <x:v>0</x:v>
      </x:c>
      <x:c r="DK38" t="n">
        <x:v>0</x:v>
      </x:c>
      <x:c r="DL38" t="n">
        <x:v>0</x:v>
      </x:c>
      <x:c r="DM38" t="n">
        <x:v>0</x:v>
      </x:c>
      <x:c r="DN38" t="n">
        <x:v>0</x:v>
      </x:c>
      <x:c r="DO38" t="n">
        <x:v>0</x:v>
      </x:c>
      <x:c r="DP38" t="n">
        <x:v>0</x:v>
      </x:c>
      <x:c r="DQ38" t="str">
        <x:v>C3</x:v>
      </x:c>
      <x:c r="DR38"/>
      <x:c r="DS38" t="n">
        <x:v>1000</x:v>
      </x:c>
      <x:c r="DT38" t="n">
        <x:v>1000</x:v>
      </x:c>
      <x:c r="DU38"/>
      <x:c r="DV38"/>
      <x:c r="DW38"/>
      <x:c r="DX38" t="n">
        <x:v>1000</x:v>
      </x:c>
      <x:c r="DY38" t="n">
        <x:v>1000</x:v>
      </x:c>
      <x:c r="DZ38" t="n">
        <x:v>0</x:v>
      </x:c>
      <x:c r="EA38" t="n">
        <x:v>0</x:v>
      </x:c>
      <x:c r="EB38"/>
      <x:c r="EC38"/>
      <x:c r="ED38"/>
      <x:c r="EE38"/>
      <x:c r="EF38"/>
      <x:c r="EG38"/>
      <x:c r="EH38"/>
      <x:c r="EI38"/>
      <x:c r="EJ38"/>
      <x:c r="EK38"/>
      <x:c r="EL38"/>
      <x:c r="EM38"/>
      <x:c r="EN38"/>
      <x:c r="EO38"/>
      <x:c r="EP38"/>
      <x:c r="EQ38"/>
      <x:c r="ER38"/>
      <x:c r="ES38"/>
      <x:c r="ET38"/>
      <x:c r="EU38"/>
      <x:c r="EV38"/>
      <x:c r="EW38"/>
      <x:c r="EX38"/>
      <x:c r="EY38"/>
      <x:c r="EZ38"/>
      <x:c r="FA38"/>
      <x:c r="FB38"/>
      <x:c r="FC38"/>
      <x:c r="FD38"/>
      <x:c r="FE38"/>
      <x:c r="FF38" t="n">
        <x:v>30</x:v>
      </x:c>
      <x:c r="FG38" t="str">
        <x:v>PERF-M-000001</x:v>
      </x:c>
      <x:c r="FH38" t="n">
        <x:v>1</x:v>
      </x:c>
      <x:c r="FI38" t="n">
        <x:v>1</x:v>
      </x:c>
      <x:c r="FJ38" t="n">
        <x:v>0</x:v>
      </x:c>
      <x:c r="FK38" t="n">
        <x:v>1</x:v>
      </x:c>
      <x:c r="FL38" t="n">
        <x:v>0</x:v>
      </x:c>
      <x:c r="FM38" t="n">
        <x:v>1</x:v>
      </x:c>
      <x:c r="FN38" t="n">
        <x:v>1</x:v>
      </x:c>
      <x:c r="FO38" t="n">
        <x:v>3</x:v>
      </x:c>
      <x:c r="FP38" t="n">
        <x:v>102</x:v>
      </x:c>
      <x:c r="FQ38" t="n">
        <x:v>256</x:v>
      </x:c>
      <x:c r="FR38" t="n">
        <x:v>0</x:v>
      </x:c>
      <x:c r="FS38" t="n">
        <x:v>1</x:v>
      </x:c>
      <x:c r="FT38" s="127" t="b">
        <x:v>1</x:v>
      </x:c>
      <x:c r="FU38"/>
      <x:c r="FV38" t="str">
        <x:v>PERF-O-00000001</x:v>
      </x:c>
      <x:c r="FW38" t="n">
        <x:v>0</x:v>
      </x:c>
      <x:c r="FX38"/>
      <x:c r="FY38"/>
      <x:c r="FZ38"/>
      <x:c r="GA38"/>
      <x:c r="GB38"/>
      <x:c r="GC38"/>
      <x:c r="GD38"/>
      <x:c r="GE38"/>
      <x:c r="GF38"/>
      <x:c r="GG38"/>
      <x:c r="GH38"/>
      <x:c r="GI38"/>
      <x:c r="GJ38"/>
      <x:c r="GK38"/>
      <x:c r="GL38"/>
      <x:c r="GM38" t="str">
        <x:v>single</x:v>
      </x:c>
      <x:c r="GN38"/>
      <x:c r="GO38"/>
      <x:c r="GP38"/>
      <x:c r="GQ38" t="n">
        <x:v>30</x:v>
      </x:c>
      <x:c r="GR38" t="n">
        <x:v>60</x:v>
      </x:c>
      <x:c r="GS38" t="n">
        <x:v>300</x:v>
      </x:c>
      <x:c r="GT38" t="str">
        <x:v>PERF-DR-PERF-M-000001</x:v>
      </x:c>
      <x:c r="GU38" t="str">
        <x:v>PERF-D-000001</x:v>
      </x:c>
      <x:c r="GV38" t="str">
        <x:v>perf/alarm_00001</x:v>
      </x:c>
      <x:c r="GW38" t="str">
        <x:v>PERF-O-00000001</x:v>
      </x:c>
      <x:c r="GX38" t="n">
        <x:v>1</x:v>
      </x:c>
      <x:c r="GY38" t="n">
        <x:v>1</x:v>
      </x:c>
      <x:c r="GZ38" t="n">
        <x:v>1</x:v>
      </x:c>
      <x:c r="HA38" t="n">
        <x:v>1</x:v>
      </x:c>
      <x:c r="HB38" t="n">
        <x:v>1</x:v>
      </x:c>
      <x:c r="HC38" t="n">
        <x:v>1</x:v>
      </x:c>
      <x:c r="HD38" t="n">
        <x:v>1</x:v>
      </x:c>
      <x:c r="HE38" t="n">
        <x:v>1</x:v>
      </x:c>
      <x:c r="HF38" t="n">
        <x:v>0</x:v>
      </x:c>
      <x:c r="HG38" t="n">
        <x:v>256</x:v>
      </x:c>
      <x:c r="HH38" t="n">
        <x:v>256</x:v>
      </x:c>
      <x:c r="HI38" t="n">
        <x:v>0</x:v>
      </x:c>
      <x:c r="HJ38" t="n">
        <x:v>0</x:v>
      </x:c>
      <x:c r="HK38" t="n">
        <x:v>0</x:v>
      </x:c>
      <x:c r="HL38" t="n">
        <x:v>1</x:v>
      </x:c>
      <x:c r="HM38" t="n">
        <x:v>0</x:v>
      </x:c>
      <x:c r="HN38" s="127" t="b">
        <x:v>1</x:v>
      </x:c>
      <x:c r="HO38" s="127" t="b">
        <x:v>1</x:v>
      </x:c>
      <x:c r="HP38" s="127" t="b">
        <x:v>1</x:v>
      </x:c>
      <x:c r="HQ38" s="127" t="b">
        <x:v>1</x:v>
      </x:c>
      <x:c r="HR38" s="127" t="b">
        <x:v>1</x:v>
      </x:c>
      <x:c r="HS38" t="n">
        <x:v>270</x:v>
      </x:c>
      <x:c r="HT38" t="n">
        <x:v>270</x:v>
      </x:c>
      <x:c r="HU38" t="n">
        <x:v>981.4595420029946</x:v>
      </x:c>
      <x:c r="HV38" t="n">
        <x:v>3</x:v>
      </x:c>
      <x:c r="HW38" t="n">
        <x:v>3</x:v>
      </x:c>
      <x:c r="HX38" t="n">
        <x:v>102</x:v>
      </x:c>
      <x:c r="HY38" s="127" t="b">
        <x:v>1</x:v>
      </x:c>
      <x:c r="VW38" s="32"/>
      <x:c r="VX38" s="32"/>
      <x:c r="VY38" s="32"/>
      <x:c r="VZ38" s="32"/>
      <x:c r="WA38" s="32"/>
      <x:c r="WB38" s="32"/>
      <x:c r="WC38" s="32"/>
      <x:c r="WD38" s="32"/>
      <x:c r="WE38" s="32"/>
      <x:c r="WF38" s="32"/>
      <x:c r="WG38" s="32"/>
      <x:c r="WH38" s="32"/>
      <x:c r="WI38" s="32"/>
      <x:c r="WJ38" s="32"/>
      <x:c r="WK38" s="32"/>
      <x:c r="WL38" s="32"/>
      <x:c r="WM38" s="32"/>
      <x:c r="WN38" s="32"/>
      <x:c r="WO38" s="32"/>
      <x:c r="WP38" s="32"/>
      <x:c r="WQ38" s="32"/>
      <x:c r="WR38" s="32"/>
      <x:c r="WS38" s="32"/>
      <x:c r="WT38" s="32"/>
      <x:c r="WU38" s="32"/>
      <x:c r="WV38" s="32"/>
      <x:c r="WW38" s="32"/>
      <x:c r="WX38" s="32"/>
      <x:c r="WY38" s="32"/>
      <x:c r="WZ38" s="32"/>
      <x:c r="XA38" s="32"/>
      <x:c r="XB38" s="32"/>
      <x:c r="XC38" s="32"/>
      <x:c r="XD38" s="32"/>
    </x:row>
    <x:row r="39">
      <x:c r="A39" s="32" t="str">
        <x:v>4a45dc70-1f12-47dc-8687-79f59a94b3db</x:v>
      </x:c>
      <x:c r="B39" s="32" t="str">
        <x:v>D-006</x:v>
      </x:c>
      <x:c r="C39" s="42" t="n">
        <x:v>46261.71229166667</x:v>
      </x:c>
      <x:c r="D39" s="32" t="str">
        <x:v>489b7424f5051f7a276dafe8d5f318ccf1368d87</x:v>
      </x:c>
      <x:c r="E39" s="32" t="str">
        <x:v>GLONBW11</x:v>
      </x:c>
      <x:c r="F39" s="32" t="str">
        <x:v>local-filesystem</x:v>
      </x:c>
      <x:c r="G39" s="32" t="str">
        <x:v>3.14.2</x:v>
      </x:c>
      <x:c r="H39" s="32" t="str">
        <x:v>deterministic</x:v>
      </x:c>
      <x:c r="I39" s="32" t="n">
        <x:v>1000</x:v>
      </x:c>
      <x:c r="J39" s="32" t="n">
        <x:v>20</x:v>
      </x:c>
      <x:c r="K39" s="32" t="n">
        <x:v>20.12817765</x:v>
      </x:c>
      <x:c r="L39" s="32" t="n">
        <x:v>242</x:v>
      </x:c>
      <x:c r="M39" s="32" t="n">
        <x:v>5</x:v>
      </x:c>
      <x:c r="N39" s="32" t="n">
        <x:v>10</x:v>
      </x:c>
      <x:c r="O39" s="32" t="n">
        <x:v>1020.7902080001077</x:v>
      </x:c>
      <x:c r="P39" s="32" t="n">
        <x:v>1060.1159365054627</x:v>
      </x:c>
      <x:c r="Q39" s="32" t="n">
        <x:v>1707.0064457983246</x:v>
      </x:c>
      <x:c r="R39" s="32" t="n">
        <x:v>1932.6314009958878</x:v>
      </x:c>
      <x:c r="S39" s="32" t="n">
        <x:v>0</x:v>
      </x:c>
      <x:c r="T39" s="43" t="n">
        <x:v>0</x:v>
      </x:c>
      <x:c r="U39" s="32" t="n">
        <x:v>93.2765438475353</x:v>
      </x:c>
      <x:c r="V39" s="32" t="n">
        <x:v>100.4199501425817</x:v>
      </x:c>
      <x:c r="W39" s="32" t="n">
        <x:v>149.15324767561984</x:v>
      </x:c>
      <x:c r="X39" s="32" t="n">
        <x:v>160.6328125</x:v>
      </x:c>
      <x:c r="Y39" s="32"/>
      <x:c r="Z39" s="32"/>
      <x:c r="AA39" s="32"/>
      <x:c r="AB39" s="32" t="n">
        <x:v>6107.423221850331</x:v>
      </x:c>
      <x:c r="AC39" s="32" t="n">
        <x:v>0</x:v>
      </x:c>
      <x:c r="AD39" s="32" t="n">
        <x:v>0</x:v>
      </x:c>
      <x:c r="AE39" s="32" t="n">
        <x:v>0</x:v>
      </x:c>
      <x:c r="AF39" s="32" t="n">
        <x:v>0</x:v>
      </x:c>
      <x:c r="AG39" s="32" t="n">
        <x:v>0</x:v>
      </x:c>
      <x:c r="AH39" s="32" t="n">
        <x:v>2820.4949620121624</x:v>
      </x:c>
      <x:c r="AI39" s="32" t="str">
        <x:v>PASS</x:v>
      </x:c>
      <x:c r="AJ39" s="32" t="str">
        <x:v>GREEN</x:v>
      </x:c>
      <x:c r="AK39" s="32" t="str">
        <x:v>latest-narrow</x:v>
      </x:c>
      <x:c r="AL39" s="32" t="n">
        <x:v>1</x:v>
      </x:c>
      <x:c r="AM39" s="32" t="n">
        <x:v>1</x:v>
      </x:c>
      <x:c r="AN39" s="32" t="n">
        <x:v>1000</x:v>
      </x:c>
      <x:c r="AO39" s="32" t="n">
        <x:v>1</x:v>
      </x:c>
      <x:c r="AP39" s="32" t="n">
        <x:v>8132</x:v>
      </x:c>
      <x:c r="AQ39" s="32" t="n">
        <x:v>4.235665997839533</x:v>
      </x:c>
      <x:c r="AR39" s="32" t="n">
        <x:v>5.409871092706453</x:v>
      </x:c>
      <x:c r="AS39" s="32" t="n">
        <x:v>6.183492785494309</x:v>
      </x:c>
      <x:c r="AT39" s="32" t="n">
        <x:v>36</x:v>
      </x:c>
      <x:c r="AU39" s="32" t="str">
        <x:v>28×28 + 8×27</x:v>
      </x:c>
      <x:c r="AV39" s="32" t="n">
        <x:v>0.3777035017265007</x:v>
      </x:c>
      <x:c r="AW39" s="32" t="n">
        <x:v>0.5086894016130827</x:v>
      </x:c>
      <x:c r="AX39" s="32" t="n">
        <x:v>0.5723492478136905</x:v>
      </x:c>
      <x:c r="AY39" t="str">
        <x:v>balanced</x:v>
      </x:c>
      <x:c r="AZ39" s="32" t="str">
        <x:v>PASS</x:v>
      </x:c>
      <x:c r="BA39" s="32" t="n">
        <x:v>1000</x:v>
      </x:c>
      <x:c r="BB39" s="32" t="n">
        <x:v>0</x:v>
      </x:c>
      <x:c r="BC39" s="115" t="b">
        <x:v>1</x:v>
      </x:c>
      <x:c r="BD39" s="32" t="str">
        <x:v>PASS/GREEN. Exact two-phase integrity: 540 PENDING_APPROVAL + 540 APPLIED; 540 ManagementEffect STARTED + 540 DeactivationEffect STARTED; 0 CLEARED/lost/duplicates/wrong correlations/mismatches; cursors 138240/138240; pending 0/0/0; remaining 1197 s for all 540; WAL 1570 records / 15,160,690 bytes; 100 chains and materialized snapshots aligned.</x:v>
      </x:c>
      <x:c r="BE39" s="32" t="n">
        <x:v>0</x:v>
      </x:c>
      <x:c r="BF39" s="32" t="n">
        <x:v>0</x:v>
      </x:c>
      <x:c r="BG39" s="32" t="n">
        <x:v>0</x:v>
      </x:c>
      <x:c r="BH39" s="32" t="n">
        <x:v>0</x:v>
      </x:c>
      <x:c r="BI39" s="32" t="n">
        <x:v>0</x:v>
      </x:c>
      <x:c r="BJ39" s="32" t="n">
        <x:v>1000</x:v>
      </x:c>
      <x:c r="BK39" s="32" t="n">
        <x:v>1000</x:v>
      </x:c>
      <x:c r="BL39" s="32" t="n">
        <x:v>0</x:v>
      </x:c>
      <x:c r="BM39" s="32" t="n">
        <x:v>0</x:v>
      </x:c>
      <x:c r="BN39" t="n">
        <x:v>100</x:v>
      </x:c>
      <x:c r="BO39" t="n">
        <x:v>10</x:v>
      </x:c>
      <x:c r="BP39" t="n">
        <x:v>0</x:v>
      </x:c>
      <x:c r="BQ39" t="n">
        <x:v>100</x:v>
      </x:c>
      <x:c r="BR39"/>
      <x:c r="BS39"/>
      <x:c r="BT39"/>
      <x:c r="BU39"/>
      <x:c r="BV39"/>
      <x:c r="BW39"/>
      <x:c r="BX39"/>
      <x:c r="BY39"/>
      <x:c r="BZ39"/>
      <x:c r="CA39"/>
      <x:c r="CB39"/>
      <x:c r="CC39"/>
      <x:c r="CD39"/>
      <x:c r="CE39" t="n">
        <x:v>1000</x:v>
      </x:c>
      <x:c r="CF39" t="n">
        <x:v>4160</x:v>
      </x:c>
      <x:c r="CG39" t="n">
        <x:v>5000</x:v>
      </x:c>
      <x:c r="CH39" t="n">
        <x:v>390</x:v>
      </x:c>
      <x:c r="CI39" s="127" t="b">
        <x:v>1</x:v>
      </x:c>
      <x:c r="CJ39"/>
      <x:c r="CK39"/>
      <x:c r="CL39"/>
      <x:c r="CM39"/>
      <x:c r="CN39"/>
      <x:c r="CO39"/>
      <x:c r="CP39"/>
      <x:c r="CQ39" t="n">
        <x:v>0</x:v>
      </x:c>
      <x:c r="CR39"/>
      <x:c r="CS39"/>
      <x:c r="CT39"/>
      <x:c r="CU39"/>
      <x:c r="CV39"/>
      <x:c r="CW39"/>
      <x:c r="CX39"/>
      <x:c r="CY39"/>
      <x:c r="CZ39"/>
      <x:c r="DA39"/>
      <x:c r="DB39"/>
      <x:c r="DC39"/>
      <x:c r="DD39"/>
      <x:c r="DE39"/>
      <x:c r="DF39"/>
      <x:c r="DG39"/>
      <x:c r="DH39" t="str">
        <x:v>baseline</x:v>
      </x:c>
      <x:c r="DI39" t="n">
        <x:v>242</x:v>
      </x:c>
      <x:c r="DJ39" t="n">
        <x:v>0</x:v>
      </x:c>
      <x:c r="DK39" t="n">
        <x:v>0</x:v>
      </x:c>
      <x:c r="DL39" t="n">
        <x:v>0</x:v>
      </x:c>
      <x:c r="DM39" t="n">
        <x:v>0</x:v>
      </x:c>
      <x:c r="DN39" t="n">
        <x:v>0</x:v>
      </x:c>
      <x:c r="DO39" t="n">
        <x:v>0</x:v>
      </x:c>
      <x:c r="DP39" t="n">
        <x:v>0</x:v>
      </x:c>
      <x:c r="DQ39" t="str">
        <x:v>C3</x:v>
      </x:c>
      <x:c r="DR39" t="n">
        <x:v>0</x:v>
      </x:c>
      <x:c r="DS39" t="n">
        <x:v>1000</x:v>
      </x:c>
      <x:c r="DT39" t="n">
        <x:v>1000</x:v>
      </x:c>
      <x:c r="DU39"/>
      <x:c r="DV39"/>
      <x:c r="DW39"/>
      <x:c r="DX39" t="n">
        <x:v>1000</x:v>
      </x:c>
      <x:c r="DY39" t="n">
        <x:v>1000</x:v>
      </x:c>
      <x:c r="DZ39" t="n">
        <x:v>0</x:v>
      </x:c>
      <x:c r="EA39" t="n">
        <x:v>0</x:v>
      </x:c>
      <x:c r="EB39"/>
      <x:c r="EC39"/>
      <x:c r="ED39"/>
      <x:c r="EE39"/>
      <x:c r="EF39"/>
      <x:c r="EG39"/>
      <x:c r="EH39"/>
      <x:c r="EI39"/>
      <x:c r="EJ39"/>
      <x:c r="EK39"/>
      <x:c r="EL39"/>
      <x:c r="EM39"/>
      <x:c r="EN39"/>
      <x:c r="EO39"/>
      <x:c r="EP39"/>
      <x:c r="EQ39"/>
      <x:c r="ER39"/>
      <x:c r="ES39"/>
      <x:c r="ET39" t="str">
        <x:v>f586e4a0-d802-40de-ba6f-90abe8950208</x:v>
      </x:c>
      <x:c r="EU39" t="str">
        <x:v>4a45dc70-1f12-47dc-8687-79f59a94b3db</x:v>
      </x:c>
      <x:c r="EV39"/>
      <x:c r="EW39"/>
      <x:c r="EX39"/>
      <x:c r="EY39"/>
      <x:c r="EZ39"/>
      <x:c r="FA39"/>
      <x:c r="FB39"/>
      <x:c r="FC39"/>
      <x:c r="FD39"/>
      <x:c r="FE39"/>
      <x:c r="FF39" t="n">
        <x:v>30</x:v>
      </x:c>
      <x:c r="FG39" t="str">
        <x:v>PERF-M-000001..PERF-M-000540</x:v>
      </x:c>
      <x:c r="FH39" t="n">
        <x:v>540</x:v>
      </x:c>
      <x:c r="FI39" t="n">
        <x:v>540</x:v>
      </x:c>
      <x:c r="FJ39" t="n">
        <x:v>0</x:v>
      </x:c>
      <x:c r="FK39" t="n">
        <x:v>540</x:v>
      </x:c>
      <x:c r="FL39" t="n">
        <x:v>0</x:v>
      </x:c>
      <x:c r="FM39" t="n">
        <x:v>540</x:v>
      </x:c>
      <x:c r="FN39" t="n">
        <x:v>540</x:v>
      </x:c>
      <x:c r="FO39"/>
      <x:c r="FP39" t="n">
        <x:v>1570</x:v>
      </x:c>
      <x:c r="FQ39" t="n">
        <x:v>138240</x:v>
      </x:c>
      <x:c r="FR39" t="n">
        <x:v>0</x:v>
      </x:c>
      <x:c r="FS39" t="n">
        <x:v>540</x:v>
      </x:c>
      <x:c r="FT39" s="127" t="b">
        <x:v>1</x:v>
      </x:c>
      <x:c r="FU39"/>
      <x:c r="FV39"/>
      <x:c r="FW39" t="n">
        <x:v>0</x:v>
      </x:c>
      <x:c r="FX39" t="n">
        <x:v>540</x:v>
      </x:c>
      <x:c r="FY39" t="n">
        <x:v>1</x:v>
      </x:c>
      <x:c r="FZ39" t="n">
        <x:v>0</x:v>
      </x:c>
      <x:c r="GA39" t="n">
        <x:v>0</x:v>
      </x:c>
      <x:c r="GB39" t="n">
        <x:v>540</x:v>
      </x:c>
      <x:c r="GC39" t="n">
        <x:v>540</x:v>
      </x:c>
      <x:c r="GD39" t="n">
        <x:v>0</x:v>
      </x:c>
      <x:c r="GE39" t="n">
        <x:v>5</x:v>
      </x:c>
      <x:c r="GF39"/>
      <x:c r="GG39"/>
      <x:c r="GH39" t="n">
        <x:v>540</x:v>
      </x:c>
      <x:c r="GI39"/>
      <x:c r="GJ39"/>
      <x:c r="GK39"/>
      <x:c r="GL39"/>
      <x:c r="GM39" t="str">
        <x:v>sustained</x:v>
      </x:c>
      <x:c r="GN39"/>
      <x:c r="GO39"/>
      <x:c r="GP39"/>
      <x:c r="GQ39" t="n">
        <x:v>30</x:v>
      </x:c>
      <x:c r="GR39" t="n">
        <x:v>30</x:v>
      </x:c>
      <x:c r="GS39" t="n">
        <x:v>1800</x:v>
      </x:c>
      <x:c r="GT39" t="str">
        <x:v>PERF-DR-PERF-M-000001..000540</x:v>
      </x:c>
      <x:c r="GU39" t="str">
        <x:v>PERF-D-000001..PERF-D-000540</x:v>
      </x:c>
      <x:c r="GV39" t="str">
        <x:v>540 unique targets</x:v>
      </x:c>
      <x:c r="GW39" t="str">
        <x:v>540 preserved</x:v>
      </x:c>
      <x:c r="GX39" t="n">
        <x:v>540</x:v>
      </x:c>
      <x:c r="GY39" t="n">
        <x:v>540</x:v>
      </x:c>
      <x:c r="GZ39" t="n">
        <x:v>540</x:v>
      </x:c>
      <x:c r="HA39" t="n">
        <x:v>540</x:v>
      </x:c>
      <x:c r="HB39" t="n">
        <x:v>540</x:v>
      </x:c>
      <x:c r="HC39" t="n">
        <x:v>540</x:v>
      </x:c>
      <x:c r="HD39" t="n">
        <x:v>540</x:v>
      </x:c>
      <x:c r="HE39" t="n">
        <x:v>540</x:v>
      </x:c>
      <x:c r="HF39" t="n">
        <x:v>0</x:v>
      </x:c>
      <x:c r="HG39" t="n">
        <x:v>138240</x:v>
      </x:c>
      <x:c r="HH39" t="n">
        <x:v>138240</x:v>
      </x:c>
      <x:c r="HI39" t="n">
        <x:v>0</x:v>
      </x:c>
      <x:c r="HJ39" t="n">
        <x:v>0</x:v>
      </x:c>
      <x:c r="HK39" t="n">
        <x:v>0</x:v>
      </x:c>
      <x:c r="HL39" t="n">
        <x:v>540</x:v>
      </x:c>
      <x:c r="HM39" t="n">
        <x:v>0</x:v>
      </x:c>
      <x:c r="HN39" s="127" t="b">
        <x:v>1</x:v>
      </x:c>
      <x:c r="HO39"/>
      <x:c r="HP39" s="127" t="b">
        <x:v>1</x:v>
      </x:c>
      <x:c r="HQ39" s="127" t="b">
        <x:v>1</x:v>
      </x:c>
      <x:c r="HR39" s="127" t="b">
        <x:v>1</x:v>
      </x:c>
      <x:c r="HS39" t="n">
        <x:v>1197</x:v>
      </x:c>
      <x:c r="HT39"/>
      <x:c r="HU39"/>
      <x:c r="HV39"/>
      <x:c r="HW39"/>
      <x:c r="HX39"/>
      <x:c r="HY39" s="127" t="b">
        <x:v>1</x:v>
      </x:c>
      <x:c r="HZ39"/>
      <x:c r="IA39"/>
      <x:c r="IB39"/>
      <x:c r="IC39"/>
      <x:c r="ID39"/>
      <x:c r="IE39"/>
      <x:c r="IF39"/>
      <x:c r="IG39"/>
      <x:c r="IH39"/>
      <x:c r="II39"/>
      <x:c r="IJ39"/>
      <x:c r="IK39"/>
      <x:c r="IL39"/>
      <x:c r="IM39"/>
      <x:c r="IN39"/>
      <x:c r="IO39"/>
      <x:c r="IP39"/>
      <x:c r="IQ39"/>
      <x:c r="IR39"/>
      <x:c r="IS39"/>
      <x:c r="IT39"/>
      <x:c r="IU39"/>
      <x:c r="IV39"/>
      <x:c r="IW39"/>
      <x:c r="IX39"/>
      <x:c r="IY39"/>
      <x:c r="IZ39"/>
      <x:c r="JA39" t="str">
        <x:v>f586e4a0-d802-40de-ba6f-90abe8950208</x:v>
      </x:c>
      <x:c r="JB39" t="str">
        <x:v>4a45dc70-1f12-47dc-8687-79f59a94b3db</x:v>
      </x:c>
      <x:c r="JC39" t="n">
        <x:v>602.876797</x:v>
      </x:c>
      <x:c r="JD39" t="n">
        <x:v>604.813862</x:v>
      </x:c>
      <x:c r="JE39" t="n">
        <x:v>540</x:v>
      </x:c>
      <x:c r="JF39" t="n">
        <x:v>540</x:v>
      </x:c>
      <x:c r="JG39" t="n">
        <x:v>540</x:v>
      </x:c>
      <x:c r="JH39" t="n">
        <x:v>0</x:v>
      </x:c>
      <x:c r="JI39" t="n">
        <x:v>0</x:v>
      </x:c>
      <x:c r="JJ39" t="n">
        <x:v>0</x:v>
      </x:c>
      <x:c r="JK39" t="n">
        <x:v>0</x:v>
      </x:c>
      <x:c r="JL39" t="n">
        <x:v>0</x:v>
      </x:c>
      <x:c r="JM39" t="n">
        <x:v>0</x:v>
      </x:c>
      <x:c r="JN39" t="n">
        <x:v>6</x:v>
      </x:c>
      <x:c r="JO39" t="n">
        <x:v>6</x:v>
      </x:c>
      <x:c r="JP39" t="n">
        <x:v>109</x:v>
      </x:c>
      <x:c r="JQ39" t="str">
        <x:v>2, 5×106, 6, 2</x:v>
      </x:c>
      <x:c r="JR39" t="n">
        <x:v>4060.1532379951095</x:v>
      </x:c>
      <x:c r="JS39" t="n">
        <x:v>6107.423221850331</x:v>
      </x:c>
      <x:c r="JT39" t="n">
        <x:v>6166.729561134271</x:v>
      </x:c>
      <x:c r="JU39" t="n">
        <x:v>6807.1725339978</x:v>
      </x:c>
      <x:c r="JV39" t="n">
        <x:v>1197</x:v>
      </x:c>
      <x:c r="JW39" t="n">
        <x:v>1197</x:v>
      </x:c>
      <x:c r="JX39" t="n">
        <x:v>540</x:v>
      </x:c>
      <x:c r="JY39" t="n">
        <x:v>540</x:v>
      </x:c>
      <x:c r="JZ39" s="127" t="b">
        <x:v>1</x:v>
      </x:c>
      <x:c r="KA39" t="n">
        <x:v>1570</x:v>
      </x:c>
      <x:c r="KB39" t="n">
        <x:v>15160690</x:v>
      </x:c>
      <x:c r="KC39" t="n">
        <x:v>0</x:v>
      </x:c>
      <x:c r="KD39" t="n">
        <x:v>0</x:v>
      </x:c>
      <x:c r="KE39" t="n">
        <x:v>0</x:v>
      </x:c>
      <x:c r="KF39" s="127" t="b">
        <x:v>1</x:v>
      </x:c>
      <x:c r="KG39" t="str">
        <x:v>success</x:v>
      </x:c>
      <x:c r="KH39" t="str">
        <x:v>success</x:v>
      </x:c>
      <x:c r="KI39" t="n">
        <x:v>540</x:v>
      </x:c>
      <x:c r="KJ39" t="str">
        <x:v>106×5 + 2×2 + 1×6</x:v>
      </x:c>
      <x:c r="VW39" s="32"/>
      <x:c r="VX39" s="32"/>
      <x:c r="VY39" s="32"/>
      <x:c r="VZ39" s="32"/>
      <x:c r="WA39" s="32"/>
      <x:c r="WB39" s="32"/>
      <x:c r="WC39" s="32"/>
      <x:c r="WD39" s="32"/>
      <x:c r="WE39" s="32"/>
      <x:c r="WF39" s="32"/>
      <x:c r="WG39" s="32"/>
      <x:c r="WH39" s="32"/>
      <x:c r="WI39" s="32"/>
      <x:c r="WJ39" s="32"/>
      <x:c r="WK39" s="32"/>
      <x:c r="WL39" s="32"/>
      <x:c r="WM39" s="32"/>
      <x:c r="WN39" s="32"/>
      <x:c r="WO39" s="32"/>
      <x:c r="WP39" s="32"/>
      <x:c r="WQ39" s="32"/>
      <x:c r="WR39" s="32"/>
      <x:c r="WS39" s="32"/>
      <x:c r="WT39" s="32"/>
      <x:c r="WU39" s="32"/>
      <x:c r="WV39" s="32"/>
      <x:c r="WW39" s="32"/>
      <x:c r="WX39" s="32"/>
      <x:c r="WY39" s="32"/>
      <x:c r="WZ39" s="32"/>
      <x:c r="XA39" s="32"/>
      <x:c r="XB39" s="32"/>
      <x:c r="XC39" s="32"/>
      <x:c r="XD39" s="32"/>
    </x:row>
    <x:row r="40">
      <x:c r="A40" s="32" t="str">
        <x:v>b4acb562-5468-4276-b109-220c246065b2</x:v>
      </x:c>
      <x:c r="B40" s="32" t="str">
        <x:v>D-007</x:v>
      </x:c>
      <x:c r="C40" s="42" t="n">
        <x:v>46261.76210648148</x:v>
      </x:c>
      <x:c r="D40" s="32" t="str">
        <x:v>489b7424f5051f7a276dafe8d5f318ccf1368d87</x:v>
      </x:c>
      <x:c r="E40" s="32" t="str">
        <x:v>GLONBW11</x:v>
      </x:c>
      <x:c r="F40" s="32" t="str">
        <x:v>local-filesystem</x:v>
      </x:c>
      <x:c r="G40" s="32" t="str">
        <x:v>3.14.2</x:v>
      </x:c>
      <x:c r="H40" s="32" t="str">
        <x:v>deterministic</x:v>
      </x:c>
      <x:c r="I40" s="32" t="n">
        <x:v>1000</x:v>
      </x:c>
      <x:c r="J40" s="32" t="n">
        <x:v>4</x:v>
      </x:c>
      <x:c r="K40" s="32" t="n">
        <x:v>4.046330816666667</x:v>
      </x:c>
      <x:c r="L40" s="32" t="n">
        <x:v>50</x:v>
      </x:c>
      <x:c r="M40" s="32" t="n">
        <x:v>5</x:v>
      </x:c>
      <x:c r="N40" s="32" t="n">
        <x:v>10</x:v>
      </x:c>
      <x:c r="O40" s="32" t="n">
        <x:v>916.411866004637</x:v>
      </x:c>
      <x:c r="P40" s="32" t="n">
        <x:v>1247.7119897994266</x:v>
      </x:c>
      <x:c r="Q40" s="32" t="n">
        <x:v>1439.560657506226</x:v>
      </x:c>
      <x:c r="R40" s="32" t="n">
        <x:v>1556.8693529930897</x:v>
      </x:c>
      <x:c r="S40" s="32" t="n">
        <x:v>0</x:v>
      </x:c>
      <x:c r="T40" s="43" t="n">
        <x:v>0</x:v>
      </x:c>
      <x:c r="U40" s="32" t="n">
        <x:v>97.74479571767974</x:v>
      </x:c>
      <x:c r="V40" s="32" t="n">
        <x:v>100.1272315652469</x:v>
      </x:c>
      <x:c r="W40" s="32" t="n">
        <x:v>137.3333203125</x:v>
      </x:c>
      <x:c r="X40" s="32" t="n">
        <x:v>137.71484375</x:v>
      </x:c>
      <x:c r="Y40" s="32"/>
      <x:c r="Z40" s="32"/>
      <x:c r="AA40" s="32"/>
      <x:c r="AB40" s="32" t="n">
        <x:v>1851.2582379917149</x:v>
      </x:c>
      <x:c r="AC40" s="32" t="n">
        <x:v>0</x:v>
      </x:c>
      <x:c r="AD40" s="32" t="n">
        <x:v>0</x:v>
      </x:c>
      <x:c r="AE40" s="32" t="n">
        <x:v>0</x:v>
      </x:c>
      <x:c r="AF40" s="32" t="n">
        <x:v>0</x:v>
      </x:c>
      <x:c r="AG40" s="32" t="n">
        <x:v>0</x:v>
      </x:c>
      <x:c r="AH40" s="32" t="n">
        <x:v>557.2670810070122</x:v>
      </x:c>
      <x:c r="AI40" s="32" t="str">
        <x:v>PASS</x:v>
      </x:c>
      <x:c r="AJ40" s="32" t="str">
        <x:v>GREEN</x:v>
      </x:c>
      <x:c r="AK40" s="32" t="str">
        <x:v>latest-narrow</x:v>
      </x:c>
      <x:c r="AL40" s="32" t="n">
        <x:v>1</x:v>
      </x:c>
      <x:c r="AM40" s="32" t="n">
        <x:v>1</x:v>
      </x:c>
      <x:c r="AN40" s="32" t="n">
        <x:v>1000</x:v>
      </x:c>
      <x:c r="AO40" s="32" t="n">
        <x:v>1</x:v>
      </x:c>
      <x:c r="AP40" s="32" t="n">
        <x:v>8132</x:v>
      </x:c>
      <x:c r="AQ40" s="32" t="n">
        <x:v>4.036892001749948</x:v>
      </x:c>
      <x:c r="AR40" s="32" t="n">
        <x:v>5.125196553854039</x:v>
      </x:c>
      <x:c r="AS40" s="32" t="n">
        <x:v>6.573543255508411</x:v>
      </x:c>
      <x:c r="AT40" s="32" t="n">
        <x:v>36</x:v>
      </x:c>
      <x:c r="AU40" s="32" t="str">
        <x:v>28×28 + 8×27</x:v>
      </x:c>
      <x:c r="AV40" s="32" t="n">
        <x:v>0.3764825014513917</x:v>
      </x:c>
      <x:c r="AW40" s="32" t="n">
        <x:v>0.43626400292851025</x:v>
      </x:c>
      <x:c r="AX40" s="32" t="n">
        <x:v>0.4586785401625093</x:v>
      </x:c>
      <x:c r="AY40" t="str">
        <x:v>balanced</x:v>
      </x:c>
      <x:c r="AZ40" s="32" t="str">
        <x:v>PASS</x:v>
      </x:c>
      <x:c r="BA40" s="32" t="n">
        <x:v>1000</x:v>
      </x:c>
      <x:c r="BB40" s="32" t="n">
        <x:v>0</x:v>
      </x:c>
      <x:c r="BC40" s="115" t="b">
        <x:v>1</x:v>
      </x:c>
      <x:c r="BD40" s="32" t="str">
        <x:v>PASS/GREEN. Decision burst 50 absorbed 50/50 in the first eligible iteration. Exact 50 PENDING_APPROVAL + 50 APPLIED; 50 ManagementEffect + 50 DeactivationEffect STARTED; 0 CLEARED/lost/duplicates/wrong correlation/mismatches; cursors 12800/12800; pending 0/0/0; remaining 479 s for all 50; WAL 200 records / 2,775,850 bytes; 100 chains and snapshots aligned.</x:v>
      </x:c>
      <x:c r="BE40" s="32" t="n">
        <x:v>0</x:v>
      </x:c>
      <x:c r="BF40" s="32" t="n">
        <x:v>0</x:v>
      </x:c>
      <x:c r="BG40" s="32" t="n">
        <x:v>0</x:v>
      </x:c>
      <x:c r="BH40" s="32" t="n">
        <x:v>0</x:v>
      </x:c>
      <x:c r="BI40" s="32" t="n">
        <x:v>0</x:v>
      </x:c>
      <x:c r="BJ40" s="32" t="n">
        <x:v>1000</x:v>
      </x:c>
      <x:c r="BK40" s="32" t="n">
        <x:v>1000</x:v>
      </x:c>
      <x:c r="BL40" s="32" t="n">
        <x:v>0</x:v>
      </x:c>
      <x:c r="BM40" s="32" t="n">
        <x:v>0</x:v>
      </x:c>
      <x:c r="BN40" t="n">
        <x:v>100</x:v>
      </x:c>
      <x:c r="BO40" t="n">
        <x:v>10</x:v>
      </x:c>
      <x:c r="BP40" t="n">
        <x:v>0</x:v>
      </x:c>
      <x:c r="BQ40" t="n">
        <x:v>100</x:v>
      </x:c>
      <x:c r="BR40"/>
      <x:c r="BS40"/>
      <x:c r="BT40"/>
      <x:c r="BU40"/>
      <x:c r="BV40"/>
      <x:c r="BW40"/>
      <x:c r="BX40"/>
      <x:c r="BY40"/>
      <x:c r="BZ40"/>
      <x:c r="CA40"/>
      <x:c r="CB40"/>
      <x:c r="CC40"/>
      <x:c r="CD40"/>
      <x:c r="CE40" t="n">
        <x:v>1000</x:v>
      </x:c>
      <x:c r="CF40" t="n">
        <x:v>2200</x:v>
      </x:c>
      <x:c r="CG40" t="n">
        <x:v>1000</x:v>
      </x:c>
      <x:c r="CH40" t="n">
        <x:v>0</x:v>
      </x:c>
      <x:c r="CI40" s="127" t="b">
        <x:v>1</x:v>
      </x:c>
      <x:c r="CJ40"/>
      <x:c r="CK40"/>
      <x:c r="CL40"/>
      <x:c r="CM40"/>
      <x:c r="CN40"/>
      <x:c r="CO40"/>
      <x:c r="CP40"/>
      <x:c r="CQ40" t="n">
        <x:v>0</x:v>
      </x:c>
      <x:c r="CR40"/>
      <x:c r="CS40"/>
      <x:c r="CT40"/>
      <x:c r="CU40"/>
      <x:c r="CV40"/>
      <x:c r="CW40"/>
      <x:c r="CX40"/>
      <x:c r="CY40"/>
      <x:c r="CZ40"/>
      <x:c r="DA40"/>
      <x:c r="DB40"/>
      <x:c r="DC40"/>
      <x:c r="DD40"/>
      <x:c r="DE40"/>
      <x:c r="DF40"/>
      <x:c r="DG40"/>
      <x:c r="DH40" t="str">
        <x:v>baseline</x:v>
      </x:c>
      <x:c r="DI40" t="n">
        <x:v>50</x:v>
      </x:c>
      <x:c r="DJ40" t="n">
        <x:v>0</x:v>
      </x:c>
      <x:c r="DK40" t="n">
        <x:v>0</x:v>
      </x:c>
      <x:c r="DL40" t="n">
        <x:v>0</x:v>
      </x:c>
      <x:c r="DM40" t="n">
        <x:v>0</x:v>
      </x:c>
      <x:c r="DN40" t="n">
        <x:v>0</x:v>
      </x:c>
      <x:c r="DO40" t="n">
        <x:v>0</x:v>
      </x:c>
      <x:c r="DP40" t="n">
        <x:v>0</x:v>
      </x:c>
      <x:c r="DQ40" t="str">
        <x:v>C3</x:v>
      </x:c>
      <x:c r="DR40" t="n">
        <x:v>0</x:v>
      </x:c>
      <x:c r="DS40" t="n">
        <x:v>1000</x:v>
      </x:c>
      <x:c r="DT40" t="n">
        <x:v>1000</x:v>
      </x:c>
      <x:c r="DU40"/>
      <x:c r="DV40"/>
      <x:c r="DW40"/>
      <x:c r="DX40" t="n">
        <x:v>1000</x:v>
      </x:c>
      <x:c r="DY40" t="n">
        <x:v>1000</x:v>
      </x:c>
      <x:c r="DZ40" t="n">
        <x:v>0</x:v>
      </x:c>
      <x:c r="EA40" t="n">
        <x:v>0</x:v>
      </x:c>
      <x:c r="EB40"/>
      <x:c r="EC40"/>
      <x:c r="ED40"/>
      <x:c r="EE40"/>
      <x:c r="EF40"/>
      <x:c r="EG40"/>
      <x:c r="EH40"/>
      <x:c r="EI40"/>
      <x:c r="EJ40"/>
      <x:c r="EK40"/>
      <x:c r="EL40"/>
      <x:c r="EM40"/>
      <x:c r="EN40"/>
      <x:c r="EO40"/>
      <x:c r="EP40"/>
      <x:c r="EQ40"/>
      <x:c r="ER40"/>
      <x:c r="ES40"/>
      <x:c r="ET40" t="str">
        <x:v>2acf1950-9045-4781-bab2-16b328882371</x:v>
      </x:c>
      <x:c r="EU40" t="str">
        <x:v>b4acb562-5468-4276-b109-220c246065b2</x:v>
      </x:c>
      <x:c r="EV40"/>
      <x:c r="EW40"/>
      <x:c r="EX40"/>
      <x:c r="EY40"/>
      <x:c r="EZ40"/>
      <x:c r="FA40"/>
      <x:c r="FB40"/>
      <x:c r="FC40"/>
      <x:c r="FD40"/>
      <x:c r="FE40"/>
      <x:c r="FF40" t="n">
        <x:v>30</x:v>
      </x:c>
      <x:c r="FG40" t="str">
        <x:v>PERF-M-000001..PERF-M-000050</x:v>
      </x:c>
      <x:c r="FH40" t="n">
        <x:v>50</x:v>
      </x:c>
      <x:c r="FI40" t="n">
        <x:v>50</x:v>
      </x:c>
      <x:c r="FJ40" t="n">
        <x:v>0</x:v>
      </x:c>
      <x:c r="FK40" t="n">
        <x:v>50</x:v>
      </x:c>
      <x:c r="FL40" t="n">
        <x:v>0</x:v>
      </x:c>
      <x:c r="FM40" t="n">
        <x:v>50</x:v>
      </x:c>
      <x:c r="FN40" t="n">
        <x:v>50</x:v>
      </x:c>
      <x:c r="FO40"/>
      <x:c r="FP40" t="n">
        <x:v>200</x:v>
      </x:c>
      <x:c r="FQ40" t="n">
        <x:v>12800</x:v>
      </x:c>
      <x:c r="FR40" t="n">
        <x:v>0</x:v>
      </x:c>
      <x:c r="FS40" t="n">
        <x:v>50</x:v>
      </x:c>
      <x:c r="FT40" s="127" t="b">
        <x:v>1</x:v>
      </x:c>
      <x:c r="FU40"/>
      <x:c r="FV40"/>
      <x:c r="FW40" t="n">
        <x:v>0</x:v>
      </x:c>
      <x:c r="FX40" t="n">
        <x:v>50</x:v>
      </x:c>
      <x:c r="FY40" t="n">
        <x:v>0</x:v>
      </x:c>
      <x:c r="FZ40" t="n">
        <x:v>0</x:v>
      </x:c>
      <x:c r="GA40" t="n">
        <x:v>0</x:v>
      </x:c>
      <x:c r="GB40" t="n">
        <x:v>50</x:v>
      </x:c>
      <x:c r="GC40" t="n">
        <x:v>50</x:v>
      </x:c>
      <x:c r="GD40" t="n">
        <x:v>0</x:v>
      </x:c>
      <x:c r="GE40" t="n">
        <x:v>50</x:v>
      </x:c>
      <x:c r="GF40"/>
      <x:c r="GG40"/>
      <x:c r="GH40" t="n">
        <x:v>50</x:v>
      </x:c>
      <x:c r="GI40"/>
      <x:c r="GJ40"/>
      <x:c r="GK40"/>
      <x:c r="GL40"/>
      <x:c r="GM40" t="str">
        <x:v>burst</x:v>
      </x:c>
      <x:c r="GN40" t="n">
        <x:v>50</x:v>
      </x:c>
      <x:c r="GO40" t="n">
        <x:v>50</x:v>
      </x:c>
      <x:c r="GP40" s="127" t="b">
        <x:v>1</x:v>
      </x:c>
      <x:c r="GQ40" t="n">
        <x:v>30</x:v>
      </x:c>
      <x:c r="GR40" t="n">
        <x:v>30</x:v>
      </x:c>
      <x:c r="GS40" t="n">
        <x:v>600</x:v>
      </x:c>
      <x:c r="GT40" t="str">
        <x:v>PERF-DR-PERF-M-000001..000050</x:v>
      </x:c>
      <x:c r="GU40" t="str">
        <x:v>PERF-D-000001..PERF-D-000050</x:v>
      </x:c>
      <x:c r="GV40" t="str">
        <x:v>50 unique targets in perf-group-001..050</x:v>
      </x:c>
      <x:c r="GW40" t="str">
        <x:v>50 preserved</x:v>
      </x:c>
      <x:c r="GX40" t="n">
        <x:v>50</x:v>
      </x:c>
      <x:c r="GY40" t="n">
        <x:v>50</x:v>
      </x:c>
      <x:c r="GZ40" t="n">
        <x:v>50</x:v>
      </x:c>
      <x:c r="HA40" t="n">
        <x:v>50</x:v>
      </x:c>
      <x:c r="HB40" t="n">
        <x:v>50</x:v>
      </x:c>
      <x:c r="HC40" t="n">
        <x:v>50</x:v>
      </x:c>
      <x:c r="HD40" t="n">
        <x:v>50</x:v>
      </x:c>
      <x:c r="HE40" t="n">
        <x:v>50</x:v>
      </x:c>
      <x:c r="HF40" t="n">
        <x:v>0</x:v>
      </x:c>
      <x:c r="HG40" t="n">
        <x:v>12800</x:v>
      </x:c>
      <x:c r="HH40" t="n">
        <x:v>12800</x:v>
      </x:c>
      <x:c r="HI40" t="n">
        <x:v>0</x:v>
      </x:c>
      <x:c r="HJ40" t="n">
        <x:v>0</x:v>
      </x:c>
      <x:c r="HK40" t="n">
        <x:v>0</x:v>
      </x:c>
      <x:c r="HL40" t="n">
        <x:v>50</x:v>
      </x:c>
      <x:c r="HM40" t="n">
        <x:v>0</x:v>
      </x:c>
      <x:c r="HN40" s="127" t="b">
        <x:v>1</x:v>
      </x:c>
      <x:c r="HO40"/>
      <x:c r="HP40" s="127" t="b">
        <x:v>1</x:v>
      </x:c>
      <x:c r="HQ40" s="127" t="b">
        <x:v>1</x:v>
      </x:c>
      <x:c r="HR40" s="127" t="b">
        <x:v>1</x:v>
      </x:c>
      <x:c r="HS40" t="n">
        <x:v>479</x:v>
      </x:c>
      <x:c r="HT40"/>
      <x:c r="HU40" t="n">
        <x:v>1851.2582379917149</x:v>
      </x:c>
      <x:c r="HV40"/>
      <x:c r="HW40"/>
      <x:c r="HX40"/>
      <x:c r="HY40" s="127" t="b">
        <x:v>1</x:v>
      </x:c>
      <x:c r="HZ40"/>
      <x:c r="IA40"/>
      <x:c r="IB40"/>
      <x:c r="IC40"/>
      <x:c r="ID40"/>
      <x:c r="IE40"/>
      <x:c r="IF40"/>
      <x:c r="IG40"/>
      <x:c r="IH40"/>
      <x:c r="II40"/>
      <x:c r="IJ40"/>
      <x:c r="IK40"/>
      <x:c r="IL40"/>
      <x:c r="IM40"/>
      <x:c r="IN40"/>
      <x:c r="IO40"/>
      <x:c r="IP40"/>
      <x:c r="IQ40"/>
      <x:c r="IR40"/>
      <x:c r="IS40"/>
      <x:c r="IT40"/>
      <x:c r="IU40"/>
      <x:c r="IV40"/>
      <x:c r="IW40"/>
      <x:c r="IX40"/>
      <x:c r="IY40"/>
      <x:c r="IZ40"/>
      <x:c r="JA40" t="str">
        <x:v>2acf1950-9045-4781-bab2-16b328882371</x:v>
      </x:c>
      <x:c r="JB40" t="str">
        <x:v>b4acb562-5468-4276-b109-220c246065b2</x:v>
      </x:c>
      <x:c r="JC40" t="n">
        <x:v>121.222837</x:v>
      </x:c>
      <x:c r="JD40" t="n">
        <x:v>121.557012</x:v>
      </x:c>
      <x:c r="JE40" t="n">
        <x:v>50</x:v>
      </x:c>
      <x:c r="JF40" t="n">
        <x:v>50</x:v>
      </x:c>
      <x:c r="JG40" t="n">
        <x:v>50</x:v>
      </x:c>
      <x:c r="JH40" t="n">
        <x:v>0</x:v>
      </x:c>
      <x:c r="JI40" t="n">
        <x:v>0</x:v>
      </x:c>
      <x:c r="JJ40" t="n">
        <x:v>0</x:v>
      </x:c>
      <x:c r="JK40" t="n">
        <x:v>0</x:v>
      </x:c>
      <x:c r="JL40" t="n">
        <x:v>0</x:v>
      </x:c>
      <x:c r="JM40" t="n">
        <x:v>0</x:v>
      </x:c>
      <x:c r="JN40" t="n">
        <x:v>50</x:v>
      </x:c>
      <x:c r="JO40" t="n">
        <x:v>50</x:v>
      </x:c>
      <x:c r="JP40" t="n">
        <x:v>1</x:v>
      </x:c>
      <x:c r="JQ40" t="str">
        <x:v>50</x:v>
      </x:c>
      <x:c r="JR40" t="n">
        <x:v>1851.2582379917149</x:v>
      </x:c>
      <x:c r="JS40" t="n">
        <x:v>1851.2582379917149</x:v>
      </x:c>
      <x:c r="JT40" t="n">
        <x:v>1851.2582379917149</x:v>
      </x:c>
      <x:c r="JU40" t="n">
        <x:v>1851.2582379917149</x:v>
      </x:c>
      <x:c r="JV40" t="n">
        <x:v>479</x:v>
      </x:c>
      <x:c r="JW40" t="n">
        <x:v>479</x:v>
      </x:c>
      <x:c r="JX40" t="n">
        <x:v>50</x:v>
      </x:c>
      <x:c r="JY40" t="n">
        <x:v>50</x:v>
      </x:c>
      <x:c r="JZ40" s="127" t="b">
        <x:v>1</x:v>
      </x:c>
      <x:c r="KA40" t="n">
        <x:v>200</x:v>
      </x:c>
      <x:c r="KB40" t="n">
        <x:v>2775850</x:v>
      </x:c>
      <x:c r="KC40" t="n">
        <x:v>0</x:v>
      </x:c>
      <x:c r="KD40" t="n">
        <x:v>0</x:v>
      </x:c>
      <x:c r="KE40" t="n">
        <x:v>0</x:v>
      </x:c>
      <x:c r="KF40" s="127" t="b">
        <x:v>1</x:v>
      </x:c>
      <x:c r="KG40" t="str">
        <x:v>success</x:v>
      </x:c>
      <x:c r="KH40" t="str">
        <x:v>success</x:v>
      </x:c>
      <x:c r="KI40" t="n">
        <x:v>50</x:v>
      </x:c>
      <x:c r="KJ40" t="str">
        <x:v>1×50</x:v>
      </x:c>
      <x:c r="KK40" t="str">
        <x:v>burst</x:v>
      </x:c>
      <x:c r="KL40" t="n">
        <x:v>50</x:v>
      </x:c>
      <x:c r="KM40" s="127" t="b">
        <x:v>1</x:v>
      </x:c>
      <x:c r="VW40" s="32"/>
      <x:c r="VX40" s="32"/>
      <x:c r="VY40" s="32"/>
      <x:c r="VZ40" s="32"/>
      <x:c r="WA40" s="32"/>
      <x:c r="WB40" s="32"/>
      <x:c r="WC40" s="32"/>
      <x:c r="WD40" s="32"/>
      <x:c r="WE40" s="32"/>
      <x:c r="WF40" s="32"/>
      <x:c r="WG40" s="32"/>
      <x:c r="WH40" s="32"/>
      <x:c r="WI40" s="32"/>
      <x:c r="WJ40" s="32"/>
      <x:c r="WK40" s="32"/>
      <x:c r="WL40" s="32"/>
      <x:c r="WM40" s="32"/>
      <x:c r="WN40" s="32"/>
      <x:c r="WO40" s="32"/>
      <x:c r="WP40" s="32"/>
      <x:c r="WQ40" s="32"/>
      <x:c r="WR40" s="32"/>
      <x:c r="WS40" s="32"/>
      <x:c r="WT40" s="32"/>
      <x:c r="WU40" s="32"/>
      <x:c r="WV40" s="32"/>
      <x:c r="WW40" s="32"/>
      <x:c r="WX40" s="32"/>
      <x:c r="WY40" s="32"/>
      <x:c r="WZ40" s="32"/>
      <x:c r="XA40" s="32"/>
      <x:c r="XB40" s="32"/>
      <x:c r="XC40" s="32"/>
      <x:c r="XD40" s="32"/>
    </x:row>
    <x:row r="41">
      <x:c r="A41" s="32" t="str">
        <x:v>7b0edb58-fa4f-4fca-9c11-cfda59d5c5c2</x:v>
      </x:c>
      <x:c r="B41" s="32" t="str">
        <x:v>D-008</x:v>
      </x:c>
      <x:c r="C41" s="42" t="n">
        <x:v>46261.781343</x:v>
      </x:c>
      <x:c r="D41" s="32" t="str">
        <x:v>489b7424f5051f7a276dafe8d5f318ccf1368d87</x:v>
      </x:c>
      <x:c r="E41" s="32" t="str">
        <x:v>GLONBW11</x:v>
      </x:c>
      <x:c r="F41" s="32" t="str">
        <x:v>local-filesystem</x:v>
      </x:c>
      <x:c r="G41" s="32" t="str">
        <x:v>3.14.2</x:v>
      </x:c>
      <x:c r="H41" s="32" t="str">
        <x:v>deterministic</x:v>
      </x:c>
      <x:c r="I41" s="32" t="n">
        <x:v>1000</x:v>
      </x:c>
      <x:c r="J41" s="32" t="n">
        <x:v>3</x:v>
      </x:c>
      <x:c r="K41" s="32" t="n">
        <x:v>3.0226031</x:v>
      </x:c>
      <x:c r="L41" s="32" t="n">
        <x:v>37</x:v>
      </x:c>
      <x:c r="M41" s="32" t="n">
        <x:v>5</x:v>
      </x:c>
      <x:c r="N41" s="32" t="n">
        <x:v>10</x:v>
      </x:c>
      <x:c r="O41" s="32" t="n">
        <x:v>913.4943320095772</x:v>
      </x:c>
      <x:c r="P41" s="32" t="n">
        <x:v>1278.9193776028696</x:v>
      </x:c>
      <x:c r="Q41" s="32" t="n">
        <x:v>1494.7737595241053</x:v>
      </x:c>
      <x:c r="R41" s="32" t="n">
        <x:v>1613.2331160042668</x:v>
      </x:c>
      <x:c r="S41" s="32" t="n">
        <x:v>0</x:v>
      </x:c>
      <x:c r="T41" s="43" t="n">
        <x:v>0</x:v>
      </x:c>
      <x:c r="U41" s="32" t="n">
        <x:v>97.51109693164568</x:v>
      </x:c>
      <x:c r="V41" s="32" t="n">
        <x:v>99.9574161411409</x:v>
      </x:c>
      <x:c r="W41" s="32" t="n">
        <x:v>137.5055954391892</x:v>
      </x:c>
      <x:c r="X41" s="32" t="n">
        <x:v>137.828125</x:v>
      </x:c>
      <x:c r="Y41" s="32"/>
      <x:c r="Z41" s="32"/>
      <x:c r="AA41" s="32"/>
      <x:c r="AB41" s="32" t="n">
        <x:v>21310.385898003005</x:v>
      </x:c>
      <x:c r="AC41" s="32" t="n">
        <x:v>0</x:v>
      </x:c>
      <x:c r="AD41" s="32" t="n">
        <x:v>0</x:v>
      </x:c>
      <x:c r="AE41" s="32" t="n">
        <x:v>0</x:v>
      </x:c>
      <x:c r="AF41" s="32" t="n">
        <x:v>0</x:v>
      </x:c>
      <x:c r="AG41" s="32" t="n">
        <x:v>0</x:v>
      </x:c>
      <x:c r="AH41" s="32" t="n">
        <x:v>310.4529060074128</x:v>
      </x:c>
      <x:c r="AI41" s="32" t="str">
        <x:v>PASS</x:v>
      </x:c>
      <x:c r="AJ41" s="32" t="str">
        <x:v>GREEN</x:v>
      </x:c>
      <x:c r="AK41" s="32" t="str">
        <x:v>latest-narrow</x:v>
      </x:c>
      <x:c r="AL41" s="32" t="n">
        <x:v>1</x:v>
      </x:c>
      <x:c r="AM41" s="32" t="n">
        <x:v>1</x:v>
      </x:c>
      <x:c r="AN41" s="32" t="n">
        <x:v>1000</x:v>
      </x:c>
      <x:c r="AO41" s="32" t="n">
        <x:v>1</x:v>
      </x:c>
      <x:c r="AP41" s="32" t="n">
        <x:v>8132</x:v>
      </x:c>
      <x:c r="AQ41" s="32" t="n">
        <x:v>4.5213370030978695</x:v>
      </x:c>
      <x:c r="AR41" s="32" t="n">
        <x:v>5.995774196344429</x:v>
      </x:c>
      <x:c r="AS41" s="32" t="n">
        <x:v>7.834913881379181</x:v>
      </x:c>
      <x:c r="AT41" s="32" t="n">
        <x:v>36</x:v>
      </x:c>
      <x:c r="AU41" s="32" t="str">
        <x:v>28×28 + 8×27</x:v>
      </x:c>
      <x:c r="AV41" s="32" t="n">
        <x:v>0.3890049993060529</x:v>
      </x:c>
      <x:c r="AW41" s="32" t="n">
        <x:v>0.5643143958877772</x:v>
      </x:c>
      <x:c r="AX41" s="32" t="n">
        <x:v>0.5984233587514609</x:v>
      </x:c>
      <x:c r="AY41" t="str">
        <x:v>balanced</x:v>
      </x:c>
      <x:c r="AZ41" s="32" t="str">
        <x:v>PASS</x:v>
      </x:c>
      <x:c r="BA41" s="32" t="n">
        <x:v>1000</x:v>
      </x:c>
      <x:c r="BB41" s="32" t="n">
        <x:v>0</x:v>
      </x:c>
      <x:c r="BC41" s="115" t="b">
        <x:v>1</x:v>
      </x:c>
      <x:c r="BD41" s="32" t="str">
        <x:v>PASS/GREEN. Inverted delivery exact: Decision cursor advances to 12800 with 50 durable pending locators and 0 receipts before requests exist; delayed request commit creates 50 PENDING_APPROVAL while decisions remain pending; next cycle replays exactly 50 APPLIED/STARTED. Fresh decisions=50, pending read_at=200, final pending=0/0/0, WAL 200 records / 2,775,850 bytes, snapshots aligned.</x:v>
      </x:c>
      <x:c r="BE41" s="32" t="n">
        <x:v>0</x:v>
      </x:c>
      <x:c r="BF41" s="32" t="n">
        <x:v>0</x:v>
      </x:c>
      <x:c r="BG41" s="32" t="n">
        <x:v>0</x:v>
      </x:c>
      <x:c r="BH41" s="32" t="n">
        <x:v>0</x:v>
      </x:c>
      <x:c r="BI41" s="32" t="n">
        <x:v>0</x:v>
      </x:c>
      <x:c r="BJ41" s="32" t="n">
        <x:v>1000</x:v>
      </x:c>
      <x:c r="BK41" s="32" t="n">
        <x:v>1000</x:v>
      </x:c>
      <x:c r="BL41" s="32" t="n">
        <x:v>0</x:v>
      </x:c>
      <x:c r="BM41" s="32" t="n">
        <x:v>0</x:v>
      </x:c>
      <x:c r="BN41" t="n">
        <x:v>100</x:v>
      </x:c>
      <x:c r="BO41" t="n">
        <x:v>10</x:v>
      </x:c>
      <x:c r="BP41" t="n">
        <x:v>0</x:v>
      </x:c>
      <x:c r="BQ41" t="n">
        <x:v>100</x:v>
      </x:c>
      <x:c r="BR41"/>
      <x:c r="BS41"/>
      <x:c r="BT41"/>
      <x:c r="BU41"/>
      <x:c r="BV41"/>
      <x:c r="BW41"/>
      <x:c r="BX41"/>
      <x:c r="BY41"/>
      <x:c r="BZ41"/>
      <x:c r="CA41"/>
      <x:c r="CB41"/>
      <x:c r="CC41"/>
      <x:c r="CD41"/>
      <x:c r="CE41" t="n">
        <x:v>1000</x:v>
      </x:c>
      <x:c r="CF41" t="n">
        <x:v>2200</x:v>
      </x:c>
      <x:c r="CG41" t="n">
        <x:v>1000</x:v>
      </x:c>
      <x:c r="CH41" t="n">
        <x:v>0</x:v>
      </x:c>
      <x:c r="CI41" s="127" t="b">
        <x:v>1</x:v>
      </x:c>
      <x:c r="CJ41"/>
      <x:c r="CK41"/>
      <x:c r="CL41"/>
      <x:c r="CM41"/>
      <x:c r="CN41"/>
      <x:c r="CO41"/>
      <x:c r="CP41"/>
      <x:c r="CQ41" t="n">
        <x:v>0</x:v>
      </x:c>
      <x:c r="CR41"/>
      <x:c r="CS41"/>
      <x:c r="CT41"/>
      <x:c r="CU41"/>
      <x:c r="CV41"/>
      <x:c r="CW41"/>
      <x:c r="CX41"/>
      <x:c r="CY41"/>
      <x:c r="CZ41"/>
      <x:c r="DA41"/>
      <x:c r="DB41"/>
      <x:c r="DC41"/>
      <x:c r="DD41"/>
      <x:c r="DE41"/>
      <x:c r="DF41"/>
      <x:c r="DG41"/>
      <x:c r="DH41" t="str">
        <x:v>baseline</x:v>
      </x:c>
      <x:c r="DI41" t="n">
        <x:v>37</x:v>
      </x:c>
      <x:c r="DJ41" t="n">
        <x:v>0</x:v>
      </x:c>
      <x:c r="DK41" t="n">
        <x:v>0</x:v>
      </x:c>
      <x:c r="DL41" t="n">
        <x:v>0</x:v>
      </x:c>
      <x:c r="DM41" t="n">
        <x:v>0</x:v>
      </x:c>
      <x:c r="DN41" t="n">
        <x:v>0</x:v>
      </x:c>
      <x:c r="DO41" t="n">
        <x:v>0</x:v>
      </x:c>
      <x:c r="DP41" t="n">
        <x:v>0</x:v>
      </x:c>
      <x:c r="DQ41" t="str">
        <x:v>C3</x:v>
      </x:c>
      <x:c r="DR41" t="n">
        <x:v>0</x:v>
      </x:c>
      <x:c r="DS41" t="n">
        <x:v>1000</x:v>
      </x:c>
      <x:c r="DT41" t="n">
        <x:v>1000</x:v>
      </x:c>
      <x:c r="DU41"/>
      <x:c r="DV41"/>
      <x:c r="DW41"/>
      <x:c r="DX41" t="n">
        <x:v>1000</x:v>
      </x:c>
      <x:c r="DY41" t="n">
        <x:v>1000</x:v>
      </x:c>
      <x:c r="DZ41" t="n">
        <x:v>0</x:v>
      </x:c>
      <x:c r="EA41" t="n">
        <x:v>0</x:v>
      </x:c>
      <x:c r="EB41"/>
      <x:c r="EC41"/>
      <x:c r="ED41"/>
      <x:c r="EE41"/>
      <x:c r="EF41"/>
      <x:c r="EG41"/>
      <x:c r="EH41"/>
      <x:c r="EI41"/>
      <x:c r="EJ41"/>
      <x:c r="EK41"/>
      <x:c r="EL41"/>
      <x:c r="EM41"/>
      <x:c r="EN41"/>
      <x:c r="EO41"/>
      <x:c r="EP41"/>
      <x:c r="EQ41"/>
      <x:c r="ER41"/>
      <x:c r="ES41"/>
      <x:c r="ET41"/>
      <x:c r="EU41"/>
      <x:c r="EV41"/>
      <x:c r="EW41"/>
      <x:c r="EX41"/>
      <x:c r="EY41"/>
      <x:c r="EZ41"/>
      <x:c r="FA41"/>
      <x:c r="FB41"/>
      <x:c r="FC41"/>
      <x:c r="FD41"/>
      <x:c r="FE41"/>
      <x:c r="FF41" t="n">
        <x:v>30</x:v>
      </x:c>
      <x:c r="FG41" t="str">
        <x:v>PERF-M-000001..PERF-M-000050</x:v>
      </x:c>
      <x:c r="FH41" t="n">
        <x:v>50</x:v>
      </x:c>
      <x:c r="FI41" t="n">
        <x:v>50</x:v>
      </x:c>
      <x:c r="FJ41" t="n">
        <x:v>0</x:v>
      </x:c>
      <x:c r="FK41" t="n">
        <x:v>50</x:v>
      </x:c>
      <x:c r="FL41" t="n">
        <x:v>0</x:v>
      </x:c>
      <x:c r="FM41" t="n">
        <x:v>50</x:v>
      </x:c>
      <x:c r="FN41" t="n">
        <x:v>50</x:v>
      </x:c>
      <x:c r="FO41"/>
      <x:c r="FP41" t="n">
        <x:v>200</x:v>
      </x:c>
      <x:c r="FQ41" t="n">
        <x:v>12800</x:v>
      </x:c>
      <x:c r="FR41" t="n">
        <x:v>0</x:v>
      </x:c>
      <x:c r="FS41" t="n">
        <x:v>50</x:v>
      </x:c>
      <x:c r="FT41"/>
      <x:c r="FU41"/>
      <x:c r="FV41"/>
      <x:c r="FW41" t="n">
        <x:v>0</x:v>
      </x:c>
      <x:c r="FX41" t="n">
        <x:v>50</x:v>
      </x:c>
      <x:c r="FY41" t="n">
        <x:v>0</x:v>
      </x:c>
      <x:c r="FZ41" t="n">
        <x:v>0</x:v>
      </x:c>
      <x:c r="GA41" t="n">
        <x:v>0</x:v>
      </x:c>
      <x:c r="GB41" t="n">
        <x:v>50</x:v>
      </x:c>
      <x:c r="GC41" t="n">
        <x:v>50</x:v>
      </x:c>
      <x:c r="GD41" t="n">
        <x:v>0</x:v>
      </x:c>
      <x:c r="GE41" t="n">
        <x:v>50</x:v>
      </x:c>
      <x:c r="GF41"/>
      <x:c r="GG41" t="str">
        <x:v>50</x:v>
      </x:c>
      <x:c r="GH41"/>
      <x:c r="GI41"/>
      <x:c r="GJ41"/>
      <x:c r="GK41"/>
      <x:c r="GL41"/>
      <x:c r="GM41" t="str">
        <x:v>burst</x:v>
      </x:c>
      <x:c r="GN41" t="n">
        <x:v>50</x:v>
      </x:c>
      <x:c r="GO41" t="n">
        <x:v>50</x:v>
      </x:c>
      <x:c r="GP41" s="127" t="b">
        <x:v>1</x:v>
      </x:c>
      <x:c r="GQ41" t="n">
        <x:v>30</x:v>
      </x:c>
      <x:c r="GR41" t="n">
        <x:v>45</x:v>
      </x:c>
      <x:c r="GS41" t="n">
        <x:v>600</x:v>
      </x:c>
      <x:c r="GT41" t="str">
        <x:v>PERF-DR-PERF-M-000001..000050</x:v>
      </x:c>
      <x:c r="GU41" t="str">
        <x:v>PERF-D-000001..PERF-D-000050</x:v>
      </x:c>
      <x:c r="GV41" t="str">
        <x:v>50 unique targets in perf-group-001..050</x:v>
      </x:c>
      <x:c r="GW41" t="str">
        <x:v>50 preserved</x:v>
      </x:c>
      <x:c r="GX41" t="n">
        <x:v>50</x:v>
      </x:c>
      <x:c r="GY41" t="n">
        <x:v>50</x:v>
      </x:c>
      <x:c r="GZ41" t="n">
        <x:v>50</x:v>
      </x:c>
      <x:c r="HA41" t="n">
        <x:v>50</x:v>
      </x:c>
      <x:c r="HB41" t="n">
        <x:v>50</x:v>
      </x:c>
      <x:c r="HC41" t="n">
        <x:v>50</x:v>
      </x:c>
      <x:c r="HD41" t="n">
        <x:v>50</x:v>
      </x:c>
      <x:c r="HE41" t="n">
        <x:v>50</x:v>
      </x:c>
      <x:c r="HF41" t="n">
        <x:v>0</x:v>
      </x:c>
      <x:c r="HG41" t="n">
        <x:v>12800</x:v>
      </x:c>
      <x:c r="HH41" t="n">
        <x:v>12800</x:v>
      </x:c>
      <x:c r="HI41" t="n">
        <x:v>0</x:v>
      </x:c>
      <x:c r="HJ41" t="n">
        <x:v>0</x:v>
      </x:c>
      <x:c r="HK41" t="n">
        <x:v>0</x:v>
      </x:c>
      <x:c r="HL41" t="n">
        <x:v>50</x:v>
      </x:c>
      <x:c r="HM41" t="n">
        <x:v>50</x:v>
      </x:c>
      <x:c r="HN41" s="127" t="b">
        <x:v>1</x:v>
      </x:c>
      <x:c r="HO41" s="127" t="b">
        <x:v>1</x:v>
      </x:c>
      <x:c r="HP41"/>
      <x:c r="HQ41" s="127" t="b">
        <x:v>0</x:v>
      </x:c>
      <x:c r="HR41" s="127" t="b">
        <x:v>1</x:v>
      </x:c>
      <x:c r="HS41" t="n">
        <x:v>585</x:v>
      </x:c>
      <x:c r="HT41"/>
      <x:c r="HU41" t="n">
        <x:v>21310.385898003005</x:v>
      </x:c>
      <x:c r="HV41"/>
      <x:c r="HW41"/>
      <x:c r="HX41"/>
      <x:c r="HY41" s="127" t="b">
        <x:v>1</x:v>
      </x:c>
      <x:c r="HZ41"/>
      <x:c r="IA41"/>
      <x:c r="IB41"/>
      <x:c r="IC41"/>
      <x:c r="ID41"/>
      <x:c r="IE41"/>
      <x:c r="IF41"/>
      <x:c r="IG41"/>
      <x:c r="IH41"/>
      <x:c r="II41"/>
      <x:c r="IJ41"/>
      <x:c r="IK41"/>
      <x:c r="IL41"/>
      <x:c r="IM41"/>
      <x:c r="IN41"/>
      <x:c r="IO41"/>
      <x:c r="IP41"/>
      <x:c r="IQ41"/>
      <x:c r="IR41"/>
      <x:c r="IS41"/>
      <x:c r="IT41"/>
      <x:c r="IU41"/>
      <x:c r="IV41"/>
      <x:c r="IW41"/>
      <x:c r="IX41"/>
      <x:c r="IY41"/>
      <x:c r="IZ41"/>
      <x:c r="JA41"/>
      <x:c r="JB41"/>
      <x:c r="JC41"/>
      <x:c r="JD41"/>
      <x:c r="JE41"/>
      <x:c r="JF41"/>
      <x:c r="JG41"/>
      <x:c r="JH41" t="n">
        <x:v>0</x:v>
      </x:c>
      <x:c r="JI41" t="n">
        <x:v>0</x:v>
      </x:c>
      <x:c r="JJ41" t="n">
        <x:v>0</x:v>
      </x:c>
      <x:c r="JK41" t="n">
        <x:v>0</x:v>
      </x:c>
      <x:c r="JL41" t="n">
        <x:v>0</x:v>
      </x:c>
      <x:c r="JM41" t="n">
        <x:v>0</x:v>
      </x:c>
      <x:c r="JN41" t="n">
        <x:v>50</x:v>
      </x:c>
      <x:c r="JO41" t="n">
        <x:v>50</x:v>
      </x:c>
      <x:c r="JP41" t="n">
        <x:v>1</x:v>
      </x:c>
      <x:c r="JQ41" t="str">
        <x:v>50</x:v>
      </x:c>
      <x:c r="JR41" t="n">
        <x:v>21310.385898003005</x:v>
      </x:c>
      <x:c r="JS41" t="n">
        <x:v>21310.385898003005</x:v>
      </x:c>
      <x:c r="JT41" t="n">
        <x:v>21310.385898003005</x:v>
      </x:c>
      <x:c r="JU41" t="n">
        <x:v>21310.385898003005</x:v>
      </x:c>
      <x:c r="JV41" t="n">
        <x:v>585</x:v>
      </x:c>
      <x:c r="JW41" t="n">
        <x:v>585</x:v>
      </x:c>
      <x:c r="JX41" t="n">
        <x:v>50</x:v>
      </x:c>
      <x:c r="JY41" t="n">
        <x:v>50</x:v>
      </x:c>
      <x:c r="JZ41" s="127" t="b">
        <x:v>1</x:v>
      </x:c>
      <x:c r="KA41" t="n">
        <x:v>200</x:v>
      </x:c>
      <x:c r="KB41" t="n">
        <x:v>2775850</x:v>
      </x:c>
      <x:c r="KC41" t="n">
        <x:v>0</x:v>
      </x:c>
      <x:c r="KD41" t="n">
        <x:v>0</x:v>
      </x:c>
      <x:c r="KE41" t="n">
        <x:v>0</x:v>
      </x:c>
      <x:c r="KF41" s="127" t="b">
        <x:v>1</x:v>
      </x:c>
      <x:c r="KG41" t="str">
        <x:v>success</x:v>
      </x:c>
      <x:c r="KH41"/>
      <x:c r="KI41" t="n">
        <x:v>50</x:v>
      </x:c>
      <x:c r="KJ41" t="str">
        <x:v>1×50</x:v>
      </x:c>
      <x:c r="KK41" t="str">
        <x:v>burst</x:v>
      </x:c>
      <x:c r="KL41" t="n">
        <x:v>50</x:v>
      </x:c>
      <x:c r="KM41" s="127" t="b">
        <x:v>1</x:v>
      </x:c>
      <x:c r="KN41" t="n">
        <x:v>12800</x:v>
      </x:c>
      <x:c r="KO41" t="n">
        <x:v>50</x:v>
      </x:c>
      <x:c r="KP41" t="n">
        <x:v>0</x:v>
      </x:c>
      <x:c r="KQ41" t="n">
        <x:v>12800</x:v>
      </x:c>
      <x:c r="KR41" t="n">
        <x:v>50</x:v>
      </x:c>
      <x:c r="KS41" t="n">
        <x:v>50</x:v>
      </x:c>
      <x:c r="KT41" t="n">
        <x:v>0</x:v>
      </x:c>
      <x:c r="KU41" t="n">
        <x:v>50</x:v>
      </x:c>
      <x:c r="KV41" t="n">
        <x:v>200</x:v>
      </x:c>
      <x:c r="KW41" t="n">
        <x:v>4</x:v>
      </x:c>
      <x:c r="KX41" t="n">
        <x:v>21310.385898003005</x:v>
      </x:c>
      <x:c r="KY41" s="127" t="b">
        <x:v>1</x:v>
      </x:c>
      <x:c r="KZ41" s="127" t="b">
        <x:v>1</x:v>
      </x:c>
      <x:c r="LA41" s="127" t="b">
        <x:v>1</x:v>
      </x:c>
      <x:c r="VW41" s="32"/>
      <x:c r="VX41" s="32"/>
      <x:c r="VY41" s="32"/>
      <x:c r="VZ41" s="32"/>
      <x:c r="WA41" s="32"/>
      <x:c r="WB41" s="32"/>
      <x:c r="WC41" s="32"/>
      <x:c r="WD41" s="32"/>
      <x:c r="WE41" s="32"/>
      <x:c r="WF41" s="32"/>
      <x:c r="WG41" s="32"/>
      <x:c r="WH41" s="32"/>
      <x:c r="WI41" s="32"/>
      <x:c r="WJ41" s="32"/>
      <x:c r="WK41" s="32"/>
      <x:c r="WL41" s="32"/>
      <x:c r="WM41" s="32"/>
      <x:c r="WN41" s="32"/>
      <x:c r="WO41" s="32"/>
      <x:c r="WP41" s="32"/>
      <x:c r="WQ41" s="32"/>
      <x:c r="WR41" s="32"/>
      <x:c r="WS41" s="32"/>
      <x:c r="WT41" s="32"/>
      <x:c r="WU41" s="32"/>
      <x:c r="WV41" s="32"/>
      <x:c r="WW41" s="32"/>
      <x:c r="WX41" s="32"/>
      <x:c r="WY41" s="32"/>
      <x:c r="WZ41" s="32"/>
      <x:c r="XA41" s="32"/>
      <x:c r="XB41" s="32"/>
      <x:c r="XC41" s="32"/>
      <x:c r="XD41" s="32"/>
    </x:row>
    <x:row r="42">
      <x:c r="A42" s="32" t="str">
        <x:v>1cfa0555-b0c9-4674-b249-9dbde1f1d141</x:v>
      </x:c>
      <x:c r="B42" s="32" t="str">
        <x:v>D-009</x:v>
      </x:c>
      <x:c r="C42" s="42" t="n">
        <x:v>46261.80470561192</x:v>
      </x:c>
      <x:c r="D42" s="32" t="str">
        <x:v>489b7424f5051f7a276dafe8d5f318ccf1368d87</x:v>
      </x:c>
      <x:c r="E42" s="32" t="str">
        <x:v>GLONBW11</x:v>
      </x:c>
      <x:c r="F42" s="32" t="str">
        <x:v>local-filesystem</x:v>
      </x:c>
      <x:c r="G42" s="32" t="str">
        <x:v>3.14.2</x:v>
      </x:c>
      <x:c r="H42" s="32" t="str">
        <x:v>deterministic</x:v>
      </x:c>
      <x:c r="I42" s="32" t="n">
        <x:v>1000</x:v>
      </x:c>
      <x:c r="J42" s="32" t="n">
        <x:v>10</x:v>
      </x:c>
      <x:c r="K42" s="32" t="n">
        <x:v>10.0904349</x:v>
      </x:c>
      <x:c r="L42" s="32" t="n">
        <x:v>121</x:v>
      </x:c>
      <x:c r="M42" s="32" t="n">
        <x:v>5</x:v>
      </x:c>
      <x:c r="N42" s="32" t="n">
        <x:v>10</x:v>
      </x:c>
      <x:c r="O42" s="32" t="n">
        <x:v>1049.869394992129</x:v>
      </x:c>
      <x:c r="P42" s="32" t="n">
        <x:v>1106.0737639927538</x:v>
      </x:c>
      <x:c r="Q42" s="32" t="n">
        <x:v>1737.6265310042065</x:v>
      </x:c>
      <x:c r="R42" s="32" t="n">
        <x:v>3707.64169699396</x:v>
      </x:c>
      <x:c r="S42" s="32" t="n">
        <x:v>0</x:v>
      </x:c>
      <x:c r="T42" s="43" t="n">
        <x:v>0</x:v>
      </x:c>
      <x:c r="U42" s="32" t="n">
        <x:v>91.81955123550543</x:v>
      </x:c>
      <x:c r="V42" s="32" t="n">
        <x:v>99.74831245649806</x:v>
      </x:c>
      <x:c r="W42" s="32" t="n">
        <x:v>138.2997804752066</x:v>
      </x:c>
      <x:c r="X42" s="32" t="n">
        <x:v>139.5859375</x:v>
      </x:c>
      <x:c r="Y42" s="32"/>
      <x:c r="Z42" s="32"/>
      <x:c r="AA42" s="32"/>
      <x:c r="AB42" s="32" t="n">
        <x:v>5195.297367545572</x:v>
      </x:c>
      <x:c r="AC42" s="32" t="n">
        <x:v>0</x:v>
      </x:c>
      <x:c r="AD42" s="32" t="n">
        <x:v>0</x:v>
      </x:c>
      <x:c r="AE42" s="32" t="n">
        <x:v>0</x:v>
      </x:c>
      <x:c r="AF42" s="32" t="n">
        <x:v>0</x:v>
      </x:c>
      <x:c r="AG42" s="32" t="n">
        <x:v>0</x:v>
      </x:c>
      <x:c r="AH42" s="32" t="n">
        <x:v>1420.0784800050315</x:v>
      </x:c>
      <x:c r="AI42" s="32" t="str">
        <x:v>PASS</x:v>
      </x:c>
      <x:c r="AJ42" s="32" t="str">
        <x:v>GREEN</x:v>
      </x:c>
      <x:c r="AK42" s="32" t="str">
        <x:v>latest-narrow</x:v>
      </x:c>
      <x:c r="AL42" s="32" t="n">
        <x:v>1</x:v>
      </x:c>
      <x:c r="AM42" s="32" t="n">
        <x:v>1</x:v>
      </x:c>
      <x:c r="AN42" s="32" t="n">
        <x:v>1000</x:v>
      </x:c>
      <x:c r="AO42" s="32" t="n">
        <x:v>1</x:v>
      </x:c>
      <x:c r="AP42" s="32" t="n">
        <x:v>8132</x:v>
      </x:c>
      <x:c r="AQ42" s="32" t="n">
        <x:v>4.250864003552124</x:v>
      </x:c>
      <x:c r="AR42" s="32" t="n">
        <x:v>5.401524002081715</x:v>
      </x:c>
      <x:c r="AS42" s="32" t="n">
        <x:v>6.707478596945293</x:v>
      </x:c>
      <x:c r="AT42" s="32" t="n">
        <x:v>36</x:v>
      </x:c>
      <x:c r="AU42" s="32" t="str">
        <x:v>28×28 + 8×27</x:v>
      </x:c>
      <x:c r="AV42" s="32" t="n">
        <x:v>0.3900419978890568</x:v>
      </x:c>
      <x:c r="AW42" s="32" t="n">
        <x:v>0.4950480069965124</x:v>
      </x:c>
      <x:c r="AX42" s="32" t="n">
        <x:v>0.6003052112646401</x:v>
      </x:c>
      <x:c r="AY42" t="str">
        <x:v>balanced</x:v>
      </x:c>
      <x:c r="AZ42" s="32" t="str">
        <x:v>PASS</x:v>
      </x:c>
      <x:c r="BA42" s="32" t="n">
        <x:v>1000</x:v>
      </x:c>
      <x:c r="BB42" s="32" t="n">
        <x:v>0</x:v>
      </x:c>
      <x:c r="BC42" s="115" t="b">
        <x:v>1</x:v>
      </x:c>
      <x:c r="BD42" s="32" t="str">
        <x:v>PASS/GREEN. Mixed 480 request + 480 decision pipeline converged with 91 mixed receipt cycles; 0 stream pending/read_at, pending-request high-water=30, exact cursors=122880/122880, final pending=0/0/0, remaining=870 s for all pairs; WAL 1250 records / 11,894,761 bytes; 100 chains/snapshots aligned.</x:v>
      </x:c>
      <x:c r="BE42" s="32" t="n">
        <x:v>0</x:v>
      </x:c>
      <x:c r="BF42" s="32" t="n">
        <x:v>0</x:v>
      </x:c>
      <x:c r="BG42" s="32" t="n">
        <x:v>0</x:v>
      </x:c>
      <x:c r="BH42" s="32" t="n">
        <x:v>0</x:v>
      </x:c>
      <x:c r="BI42" s="32" t="n">
        <x:v>0</x:v>
      </x:c>
      <x:c r="BJ42" s="32" t="n">
        <x:v>1000</x:v>
      </x:c>
      <x:c r="BK42" s="32" t="n">
        <x:v>1000</x:v>
      </x:c>
      <x:c r="BL42" s="32" t="n">
        <x:v>0</x:v>
      </x:c>
      <x:c r="BM42" s="32" t="n">
        <x:v>0</x:v>
      </x:c>
      <x:c r="BN42" t="n">
        <x:v>100</x:v>
      </x:c>
      <x:c r="BO42" t="n">
        <x:v>10</x:v>
      </x:c>
      <x:c r="BP42" t="n">
        <x:v>0</x:v>
      </x:c>
      <x:c r="BQ42" t="n">
        <x:v>100</x:v>
      </x:c>
      <x:c r="BR42"/>
      <x:c r="BS42"/>
      <x:c r="BT42"/>
      <x:c r="BU42"/>
      <x:c r="BV42"/>
      <x:c r="BW42"/>
      <x:c r="BX42"/>
      <x:c r="BY42"/>
      <x:c r="BZ42"/>
      <x:c r="CA42"/>
      <x:c r="CB42"/>
      <x:c r="CC42"/>
      <x:c r="CD42"/>
      <x:c r="CE42" t="n">
        <x:v>1000</x:v>
      </x:c>
      <x:c r="CF42" t="n">
        <x:v>3920</x:v>
      </x:c>
      <x:c r="CG42" t="n">
        <x:v>3000</x:v>
      </x:c>
      <x:c r="CH42" t="n">
        <x:v>190</x:v>
      </x:c>
      <x:c r="CI42" s="127" t="b">
        <x:v>1</x:v>
      </x:c>
      <x:c r="CJ42"/>
      <x:c r="CK42"/>
      <x:c r="CL42"/>
      <x:c r="CM42"/>
      <x:c r="CN42"/>
      <x:c r="CO42"/>
      <x:c r="CP42"/>
      <x:c r="CQ42" t="n">
        <x:v>0</x:v>
      </x:c>
      <x:c r="CR42"/>
      <x:c r="CS42"/>
      <x:c r="CT42"/>
      <x:c r="CU42"/>
      <x:c r="CV42"/>
      <x:c r="CW42"/>
      <x:c r="CX42"/>
      <x:c r="CY42"/>
      <x:c r="CZ42"/>
      <x:c r="DA42"/>
      <x:c r="DB42"/>
      <x:c r="DC42"/>
      <x:c r="DD42"/>
      <x:c r="DE42"/>
      <x:c r="DF42"/>
      <x:c r="DG42"/>
      <x:c r="DH42" t="str">
        <x:v>baseline</x:v>
      </x:c>
      <x:c r="DI42" t="n">
        <x:v>121</x:v>
      </x:c>
      <x:c r="DJ42" t="n">
        <x:v>0</x:v>
      </x:c>
      <x:c r="DK42" t="n">
        <x:v>0</x:v>
      </x:c>
      <x:c r="DL42" t="n">
        <x:v>0</x:v>
      </x:c>
      <x:c r="DM42" t="n">
        <x:v>0</x:v>
      </x:c>
      <x:c r="DN42" t="n">
        <x:v>0</x:v>
      </x:c>
      <x:c r="DO42" t="n">
        <x:v>0</x:v>
      </x:c>
      <x:c r="DP42" t="n">
        <x:v>0</x:v>
      </x:c>
      <x:c r="DQ42" t="str">
        <x:v>C3</x:v>
      </x:c>
      <x:c r="DR42" t="n">
        <x:v>0</x:v>
      </x:c>
      <x:c r="DS42" t="n">
        <x:v>1000</x:v>
      </x:c>
      <x:c r="DT42" t="n">
        <x:v>1000</x:v>
      </x:c>
      <x:c r="DU42"/>
      <x:c r="DV42"/>
      <x:c r="DW42"/>
      <x:c r="DX42" t="n">
        <x:v>1000</x:v>
      </x:c>
      <x:c r="DY42" t="n">
        <x:v>1000</x:v>
      </x:c>
      <x:c r="DZ42" t="n">
        <x:v>0</x:v>
      </x:c>
      <x:c r="EA42" t="n">
        <x:v>0</x:v>
      </x:c>
      <x:c r="EB42"/>
      <x:c r="EC42"/>
      <x:c r="ED42"/>
      <x:c r="EE42"/>
      <x:c r="EF42"/>
      <x:c r="EG42"/>
      <x:c r="EH42"/>
      <x:c r="EI42"/>
      <x:c r="EJ42"/>
      <x:c r="EK42"/>
      <x:c r="EL42"/>
      <x:c r="EM42"/>
      <x:c r="EN42"/>
      <x:c r="EO42"/>
      <x:c r="EP42"/>
      <x:c r="EQ42"/>
      <x:c r="ER42"/>
      <x:c r="ES42"/>
      <x:c r="ET42"/>
      <x:c r="EU42"/>
      <x:c r="EV42"/>
      <x:c r="EW42"/>
      <x:c r="EX42"/>
      <x:c r="EY42"/>
      <x:c r="EZ42"/>
      <x:c r="FA42"/>
      <x:c r="FB42"/>
      <x:c r="FC42"/>
      <x:c r="FD42"/>
      <x:c r="FE42"/>
      <x:c r="FF42" t="n">
        <x:v>30</x:v>
      </x:c>
      <x:c r="FG42" t="str">
        <x:v>PERF-M-000001..PERF-M-000480</x:v>
      </x:c>
      <x:c r="FH42" t="n">
        <x:v>480</x:v>
      </x:c>
      <x:c r="FI42" t="n">
        <x:v>480</x:v>
      </x:c>
      <x:c r="FJ42" t="n">
        <x:v>0</x:v>
      </x:c>
      <x:c r="FK42" t="n">
        <x:v>480</x:v>
      </x:c>
      <x:c r="FL42" t="n">
        <x:v>0</x:v>
      </x:c>
      <x:c r="FM42" t="n">
        <x:v>480</x:v>
      </x:c>
      <x:c r="FN42" t="n">
        <x:v>480</x:v>
      </x:c>
      <x:c r="FO42"/>
      <x:c r="FP42" t="n">
        <x:v>1250</x:v>
      </x:c>
      <x:c r="FQ42" t="n">
        <x:v>122880</x:v>
      </x:c>
      <x:c r="FR42" t="n">
        <x:v>0</x:v>
      </x:c>
      <x:c r="FS42" t="n">
        <x:v>480</x:v>
      </x:c>
      <x:c r="FT42"/>
      <x:c r="FU42"/>
      <x:c r="FV42"/>
      <x:c r="FW42" t="n">
        <x:v>0</x:v>
      </x:c>
      <x:c r="FX42" t="n">
        <x:v>480</x:v>
      </x:c>
      <x:c r="FY42" t="n">
        <x:v>1</x:v>
      </x:c>
      <x:c r="FZ42" t="n">
        <x:v>0</x:v>
      </x:c>
      <x:c r="GA42" t="n">
        <x:v>0</x:v>
      </x:c>
      <x:c r="GB42" t="n">
        <x:v>480</x:v>
      </x:c>
      <x:c r="GC42" t="n">
        <x:v>480</x:v>
      </x:c>
      <x:c r="GD42" t="n">
        <x:v>0</x:v>
      </x:c>
      <x:c r="GE42" t="n">
        <x:v>5</x:v>
      </x:c>
      <x:c r="GF42"/>
      <x:c r="GG42" t="str">
        <x:v>1×1, 95×5, 1×4</x:v>
      </x:c>
      <x:c r="GH42"/>
      <x:c r="GI42" t="n">
        <x:v>3137.54730400251</x:v>
      </x:c>
      <x:c r="GJ42" t="n">
        <x:v>5190.443194654654</x:v>
      </x:c>
      <x:c r="GK42" t="n">
        <x:v>5232.46240012304</x:v>
      </x:c>
      <x:c r="GL42" t="n">
        <x:v>5870.521108998219</x:v>
      </x:c>
      <x:c r="GM42" t="str">
        <x:v>sustained</x:v>
      </x:c>
      <x:c r="GN42" t="n">
        <x:v>1</x:v>
      </x:c>
      <x:c r="GO42"/>
      <x:c r="GP42"/>
      <x:c r="GQ42" t="n">
        <x:v>30</x:v>
      </x:c>
      <x:c r="GR42" t="n">
        <x:v>60</x:v>
      </x:c>
      <x:c r="GS42" t="n">
        <x:v>900</x:v>
      </x:c>
      <x:c r="GT42" t="str">
        <x:v>PERF-DR-PERF-M-000001..000480</x:v>
      </x:c>
      <x:c r="GU42" t="str">
        <x:v>PERF-D-000001..PERF-D-000480</x:v>
      </x:c>
      <x:c r="GV42" t="str">
        <x:v>480 unique group-first targets</x:v>
      </x:c>
      <x:c r="GW42" t="str">
        <x:v>480 preserved</x:v>
      </x:c>
      <x:c r="GX42" t="n">
        <x:v>480</x:v>
      </x:c>
      <x:c r="GY42" t="n">
        <x:v>480</x:v>
      </x:c>
      <x:c r="GZ42" t="n">
        <x:v>480</x:v>
      </x:c>
      <x:c r="HA42" t="n">
        <x:v>480</x:v>
      </x:c>
      <x:c r="HB42" t="n">
        <x:v>480</x:v>
      </x:c>
      <x:c r="HC42" t="n">
        <x:v>480</x:v>
      </x:c>
      <x:c r="HD42" t="n">
        <x:v>480</x:v>
      </x:c>
      <x:c r="HE42" t="n">
        <x:v>480</x:v>
      </x:c>
      <x:c r="HF42" t="n">
        <x:v>0</x:v>
      </x:c>
      <x:c r="HG42" t="n">
        <x:v>122880</x:v>
      </x:c>
      <x:c r="HH42" t="n">
        <x:v>122880</x:v>
      </x:c>
      <x:c r="HI42" t="n">
        <x:v>0</x:v>
      </x:c>
      <x:c r="HJ42" t="n">
        <x:v>0</x:v>
      </x:c>
      <x:c r="HK42" t="n">
        <x:v>0</x:v>
      </x:c>
      <x:c r="HL42" t="n">
        <x:v>30</x:v>
      </x:c>
      <x:c r="HM42" t="n">
        <x:v>0</x:v>
      </x:c>
      <x:c r="HN42" s="127" t="b">
        <x:v>1</x:v>
      </x:c>
      <x:c r="HO42"/>
      <x:c r="HP42"/>
      <x:c r="HQ42"/>
      <x:c r="HR42" s="127" t="b">
        <x:v>1</x:v>
      </x:c>
      <x:c r="HS42" t="n">
        <x:v>870</x:v>
      </x:c>
      <x:c r="HT42"/>
      <x:c r="HU42"/>
      <x:c r="HV42"/>
      <x:c r="HW42"/>
      <x:c r="HX42"/>
      <x:c r="HY42" s="127" t="b">
        <x:v>1</x:v>
      </x:c>
      <x:c r="HZ42"/>
      <x:c r="IA42"/>
      <x:c r="IB42"/>
      <x:c r="IC42"/>
      <x:c r="ID42"/>
      <x:c r="IE42"/>
      <x:c r="IF42"/>
      <x:c r="IG42"/>
      <x:c r="IH42"/>
      <x:c r="II42"/>
      <x:c r="IJ42"/>
      <x:c r="IK42"/>
      <x:c r="IL42"/>
      <x:c r="IM42"/>
      <x:c r="IN42"/>
      <x:c r="IO42"/>
      <x:c r="IP42"/>
      <x:c r="IQ42"/>
      <x:c r="IR42"/>
      <x:c r="IS42"/>
      <x:c r="IT42"/>
      <x:c r="IU42"/>
      <x:c r="IV42"/>
      <x:c r="IW42"/>
      <x:c r="IX42"/>
      <x:c r="IY42"/>
      <x:c r="IZ42"/>
      <x:c r="JA42"/>
      <x:c r="JB42"/>
      <x:c r="JC42"/>
      <x:c r="JD42"/>
      <x:c r="JE42"/>
      <x:c r="JF42"/>
      <x:c r="JG42"/>
      <x:c r="JH42" t="n">
        <x:v>0</x:v>
      </x:c>
      <x:c r="JI42" t="n">
        <x:v>0</x:v>
      </x:c>
      <x:c r="JJ42" t="n">
        <x:v>0</x:v>
      </x:c>
      <x:c r="JK42" t="n">
        <x:v>0</x:v>
      </x:c>
      <x:c r="JL42" t="n">
        <x:v>0</x:v>
      </x:c>
      <x:c r="JM42" t="n">
        <x:v>0</x:v>
      </x:c>
      <x:c r="JN42" t="n">
        <x:v>5</x:v>
      </x:c>
      <x:c r="JO42" t="n">
        <x:v>5</x:v>
      </x:c>
      <x:c r="JP42" t="n">
        <x:v>97</x:v>
      </x:c>
      <x:c r="JQ42" t="str">
        <x:v>1×1, 95×5, 1×4</x:v>
      </x:c>
      <x:c r="JR42" t="n">
        <x:v>3144.0736510048737</x:v>
      </x:c>
      <x:c r="JS42" t="n">
        <x:v>5195.297367545572</x:v>
      </x:c>
      <x:c r="JT42" t="n">
        <x:v>5232.46240012304</x:v>
      </x:c>
      <x:c r="JU42" t="n">
        <x:v>5870.521108998219</x:v>
      </x:c>
      <x:c r="JV42" t="n">
        <x:v>870</x:v>
      </x:c>
      <x:c r="JW42" t="n">
        <x:v>870</x:v>
      </x:c>
      <x:c r="JX42" t="n">
        <x:v>480</x:v>
      </x:c>
      <x:c r="JY42" t="n">
        <x:v>480</x:v>
      </x:c>
      <x:c r="JZ42" s="127" t="b">
        <x:v>1</x:v>
      </x:c>
      <x:c r="KA42" t="n">
        <x:v>1250</x:v>
      </x:c>
      <x:c r="KB42" t="n">
        <x:v>11894761</x:v>
      </x:c>
      <x:c r="KC42" t="n">
        <x:v>0</x:v>
      </x:c>
      <x:c r="KD42" t="n">
        <x:v>0</x:v>
      </x:c>
      <x:c r="KE42" t="n">
        <x:v>0</x:v>
      </x:c>
      <x:c r="KF42" s="127" t="b">
        <x:v>1</x:v>
      </x:c>
      <x:c r="KG42"/>
      <x:c r="KH42"/>
      <x:c r="KI42" t="n">
        <x:v>480</x:v>
      </x:c>
      <x:c r="KJ42" t="str">
        <x:v>1×1 + 95×5 + 1×4</x:v>
      </x:c>
      <x:c r="KK42" t="str">
        <x:v>sustained</x:v>
      </x:c>
      <x:c r="KL42"/>
      <x:c r="KM42"/>
      <x:c r="KN42"/>
      <x:c r="KO42"/>
      <x:c r="KP42"/>
      <x:c r="KQ42"/>
      <x:c r="KR42"/>
      <x:c r="KS42"/>
      <x:c r="KT42"/>
      <x:c r="KU42"/>
      <x:c r="KV42"/>
      <x:c r="KW42"/>
      <x:c r="KX42"/>
      <x:c r="KY42"/>
      <x:c r="KZ42"/>
      <x:c r="LA42"/>
      <x:c r="LB42" t="n">
        <x:v>3137.54730400251</x:v>
      </x:c>
      <x:c r="LC42" t="n">
        <x:v>5190.443194654654</x:v>
      </x:c>
      <x:c r="LD42" t="n">
        <x:v>5232.46240012304</x:v>
      </x:c>
      <x:c r="LE42" t="n">
        <x:v>5870.521108998219</x:v>
      </x:c>
      <x:c r="LF42" t="str">
        <x:v>1×1 + 95×5 + 1×4</x:v>
      </x:c>
      <x:c r="LG42" t="str">
        <x:v>1×1 + 95×5 + 1×4</x:v>
      </x:c>
      <x:c r="LH42" t="n">
        <x:v>91</x:v>
      </x:c>
      <x:c r="LI42" t="n">
        <x:v>0</x:v>
      </x:c>
      <x:c r="LJ42" t="n">
        <x:v>0</x:v>
      </x:c>
      <x:c r="LK42" t="n">
        <x:v>30</x:v>
      </x:c>
      <x:c r="LL42" t="n">
        <x:v>0</x:v>
      </x:c>
      <x:c r="LM42" t="n">
        <x:v>0</x:v>
      </x:c>
      <x:c r="LN42" t="n">
        <x:v>480</x:v>
      </x:c>
      <x:c r="LO42" t="n">
        <x:v>480</x:v>
      </x:c>
      <x:c r="LP42" t="n">
        <x:v>1063.17</x:v>
      </x:c>
      <x:c r="LQ42" t="n">
        <x:v>1101.77</x:v>
      </x:c>
      <x:c r="LR42" t="n">
        <x:v>1188.01</x:v>
      </x:c>
      <x:c r="LS42" t="n">
        <x:v>1783.24</x:v>
      </x:c>
      <x:c r="VW42" s="32"/>
      <x:c r="VX42" s="32"/>
      <x:c r="VY42" s="32"/>
      <x:c r="VZ42" s="32"/>
      <x:c r="WA42" s="32"/>
      <x:c r="WB42" s="32"/>
      <x:c r="WC42" s="32"/>
      <x:c r="WD42" s="32"/>
      <x:c r="WE42" s="32"/>
      <x:c r="WF42" s="32"/>
      <x:c r="WG42" s="32"/>
      <x:c r="WH42" s="32"/>
      <x:c r="WI42" s="32"/>
      <x:c r="WJ42" s="32"/>
      <x:c r="WK42" s="32"/>
      <x:c r="WL42" s="32"/>
      <x:c r="WM42" s="32"/>
      <x:c r="WN42" s="32"/>
      <x:c r="WO42" s="32"/>
      <x:c r="WP42" s="32"/>
      <x:c r="WQ42" s="32"/>
      <x:c r="WR42" s="32"/>
      <x:c r="WS42" s="32"/>
      <x:c r="WT42" s="32"/>
      <x:c r="WU42" s="32"/>
      <x:c r="WV42" s="32"/>
      <x:c r="WW42" s="32"/>
      <x:c r="WX42" s="32"/>
      <x:c r="WY42" s="32"/>
      <x:c r="WZ42" s="32"/>
      <x:c r="XA42" s="32"/>
      <x:c r="XB42" s="32"/>
      <x:c r="XC42" s="32"/>
      <x:c r="XD42" s="32"/>
    </x:row>
    <x:row r="43">
      <x:c r="A43" s="32" t="str">
        <x:v>550948d8-3846-4cce-9f7b-29ed40bef027</x:v>
      </x:c>
      <x:c r="B43" s="32" t="str">
        <x:v>D-010</x:v>
      </x:c>
      <x:c r="C43" s="42" t="n">
        <x:v>46261.8564</x:v>
      </x:c>
      <x:c r="D43" s="32" t="str">
        <x:v>489b7424f5051f7a276dafe8d5f318ccf1368d87</x:v>
      </x:c>
      <x:c r="E43" s="32" t="str">
        <x:v>GLONBW11</x:v>
      </x:c>
      <x:c r="F43" s="32" t="str">
        <x:v>local-filesystem</x:v>
      </x:c>
      <x:c r="G43" s="32" t="str">
        <x:v>3.14.2</x:v>
      </x:c>
      <x:c r="H43" s="32" t="str">
        <x:v>deterministic</x:v>
      </x:c>
      <x:c r="I43" s="32" t="n">
        <x:v>1000</x:v>
      </x:c>
      <x:c r="J43" s="32" t="n">
        <x:v>3</x:v>
      </x:c>
      <x:c r="K43" s="32" t="n">
        <x:v>3.040438</x:v>
      </x:c>
      <x:c r="L43" s="32" t="n">
        <x:v>38</x:v>
      </x:c>
      <x:c r="M43" s="32" t="n">
        <x:v>5</x:v>
      </x:c>
      <x:c r="N43" s="32" t="n">
        <x:v>10</x:v>
      </x:c>
      <x:c r="O43" s="32" t="n">
        <x:v>824.8077650059713</x:v>
      </x:c>
      <x:c r="P43" s="32" t="n">
        <x:v>1601.4660848544734</x:v>
      </x:c>
      <x:c r="Q43" s="32" t="n">
        <x:v>1748.3754675442472</x:v>
      </x:c>
      <x:c r="R43" s="32" t="n">
        <x:v>1774.9305739998817</x:v>
      </x:c>
      <x:c r="S43" s="32" t="n">
        <x:v>0</x:v>
      </x:c>
      <x:c r="T43" s="43" t="n">
        <x:v>0</x:v>
      </x:c>
      <x:c r="U43" s="32" t="n">
        <x:v>95.02286449317245</x:v>
      </x:c>
      <x:c r="V43" s="32" t="n">
        <x:v>100.1059333225341</x:v>
      </x:c>
      <x:c r="W43" s="32" t="n">
        <x:v>139.21170847039474</x:v>
      </x:c>
      <x:c r="X43" s="32" t="n">
        <x:v>139.55859375</x:v>
      </x:c>
      <x:c r="Y43" s="32"/>
      <x:c r="Z43" s="32"/>
      <x:c r="AA43" s="32"/>
      <x:c r="AB43" s="32" t="n">
        <x:v>2696.0329370049294</x:v>
      </x:c>
      <x:c r="AC43" s="32" t="n">
        <x:v>0</x:v>
      </x:c>
      <x:c r="AD43" s="32" t="n">
        <x:v>0</x:v>
      </x:c>
      <x:c r="AE43" s="32" t="n">
        <x:v>0</x:v>
      </x:c>
      <x:c r="AF43" s="32" t="n">
        <x:v>0</x:v>
      </x:c>
      <x:c r="AG43" s="32" t="n">
        <x:v>0</x:v>
      </x:c>
      <x:c r="AH43" s="32" t="n">
        <x:v>473.1305110035464</x:v>
      </x:c>
      <x:c r="AI43" s="32" t="str">
        <x:v>NOT ADJUDICATED</x:v>
      </x:c>
      <x:c r="AJ43" s="32" t="str">
        <x:v>GREEN</x:v>
      </x:c>
      <x:c r="AK43" s="32" t="str">
        <x:v>latest-narrow</x:v>
      </x:c>
      <x:c r="AL43" s="32" t="n">
        <x:v>1</x:v>
      </x:c>
      <x:c r="AM43" s="32" t="n">
        <x:v>1</x:v>
      </x:c>
      <x:c r="AN43" s="32" t="n">
        <x:v>1000</x:v>
      </x:c>
      <x:c r="AO43" s="32" t="n">
        <x:v>1</x:v>
      </x:c>
      <x:c r="AP43" s="32" t="n">
        <x:v>8132</x:v>
      </x:c>
      <x:c r="AQ43" s="32" t="n">
        <x:v>4.342575994087383</x:v>
      </x:c>
      <x:c r="AR43" s="32" t="n">
        <x:v>6.532271203468555</x:v>
      </x:c>
      <x:c r="AS43" s="32" t="n">
        <x:v>6.942354712518863</x:v>
      </x:c>
      <x:c r="AT43" s="32" t="n">
        <x:v>36</x:v>
      </x:c>
      <x:c r="AU43" s="32" t="str">
        <x:v>28×28 + 8×27</x:v>
      </x:c>
      <x:c r="AV43" s="32" t="n">
        <x:v>0.40421501034870744</x:v>
      </x:c>
      <x:c r="AW43" s="32" t="n">
        <x:v>0.5260234058368952</x:v>
      </x:c>
      <x:c r="AX43" s="32" t="n">
        <x:v>0.5783744377549738</x:v>
      </x:c>
      <x:c r="AY43" t="str">
        <x:v>balanced</x:v>
      </x:c>
      <x:c r="AZ43" s="32" t="str">
        <x:v>FAIL</x:v>
      </x:c>
      <x:c r="BA43" s="32" t="n">
        <x:v>900</x:v>
      </x:c>
      <x:c r="BB43" s="32" t="n">
        <x:v>100</x:v>
      </x:c>
      <x:c r="BC43" s="115" t="b">
        <x:v>1</x:v>
      </x:c>
      <x:c r="BD43" s="32" t="str">
        <x:v>NOT CLOSED. Independent durable audit validates product behavior: 100 PENDING_APPROVAL, 100 CLOSED/configuration_removed, 100 ManagementEffect CLEARED, 100 STALE_TARGET, 0 APPLIED/DeactivationEffect, exact cursors and pending=0, WAL=400 and durable==materialized. Raw harness FAIL is false negative caused by closure_reason case assumption and nonexistent journey discriminator. Rerun required after 0.1.6.</x:v>
      </x:c>
      <x:c r="BE43" s="32"/>
      <x:c r="BF43" s="32"/>
      <x:c r="BG43" s="32"/>
      <x:c r="BH43" s="32"/>
      <x:c r="BI43" s="32"/>
      <x:c r="BJ43" s="32" t="n">
        <x:v>1000</x:v>
      </x:c>
      <x:c r="BK43" s="32" t="n">
        <x:v>1000</x:v>
      </x:c>
      <x:c r="BL43" s="32"/>
      <x:c r="BM43" s="32"/>
      <x:c r="BN43" t="n">
        <x:v>100</x:v>
      </x:c>
      <x:c r="BO43" t="n">
        <x:v>10</x:v>
      </x:c>
      <x:c r="BP43"/>
      <x:c r="BQ43" t="n">
        <x:v>100</x:v>
      </x:c>
      <x:c r="BR43"/>
      <x:c r="BS43"/>
      <x:c r="BT43"/>
      <x:c r="BU43"/>
      <x:c r="BV43"/>
      <x:c r="BW43"/>
      <x:c r="BX43"/>
      <x:c r="BY43"/>
      <x:c r="BZ43"/>
      <x:c r="CA43"/>
      <x:c r="CB43"/>
      <x:c r="CC43"/>
      <x:c r="CD43"/>
      <x:c r="CE43"/>
      <x:c r="CF43"/>
      <x:c r="CG43"/>
      <x:c r="CH43"/>
      <x:c r="CI43" s="127" t="b">
        <x:v>1</x:v>
      </x:c>
      <x:c r="CJ43"/>
      <x:c r="CK43"/>
      <x:c r="CL43"/>
      <x:c r="CM43"/>
      <x:c r="CN43"/>
      <x:c r="CO43"/>
      <x:c r="CP43"/>
      <x:c r="CQ43" t="n">
        <x:v>0</x:v>
      </x:c>
      <x:c r="CR43"/>
      <x:c r="CS43"/>
      <x:c r="CT43"/>
      <x:c r="CU43"/>
      <x:c r="CV43"/>
      <x:c r="CW43"/>
      <x:c r="CX43"/>
      <x:c r="CY43"/>
      <x:c r="CZ43"/>
      <x:c r="DA43"/>
      <x:c r="DB43"/>
      <x:c r="DC43"/>
      <x:c r="DD43"/>
      <x:c r="DE43"/>
      <x:c r="DF43"/>
      <x:c r="DG43"/>
      <x:c r="DH43" t="str">
        <x:v>baseline</x:v>
      </x:c>
      <x:c r="DI43" t="n">
        <x:v>38</x:v>
      </x:c>
      <x:c r="DJ43"/>
      <x:c r="DK43"/>
      <x:c r="DL43"/>
      <x:c r="DM43"/>
      <x:c r="DN43"/>
      <x:c r="DO43"/>
      <x:c r="DP43"/>
      <x:c r="DQ43" t="str">
        <x:v>C3</x:v>
      </x:c>
      <x:c r="DR43"/>
      <x:c r="DS43"/>
      <x:c r="DT43"/>
      <x:c r="DU43"/>
      <x:c r="DV43"/>
      <x:c r="DW43"/>
      <x:c r="DX43"/>
      <x:c r="DY43"/>
      <x:c r="DZ43"/>
      <x:c r="EA43"/>
      <x:c r="EB43"/>
      <x:c r="EC43"/>
      <x:c r="ED43"/>
      <x:c r="EE43"/>
      <x:c r="EF43"/>
      <x:c r="EG43"/>
      <x:c r="EH43"/>
      <x:c r="EI43"/>
      <x:c r="EJ43"/>
      <x:c r="EK43"/>
      <x:c r="EL43"/>
      <x:c r="EM43"/>
      <x:c r="EN43"/>
      <x:c r="EO43"/>
      <x:c r="EP43"/>
      <x:c r="EQ43"/>
      <x:c r="ER43"/>
      <x:c r="ES43"/>
      <x:c r="ET43"/>
      <x:c r="EU43"/>
      <x:c r="EV43"/>
      <x:c r="EW43"/>
      <x:c r="EX43"/>
      <x:c r="EY43"/>
      <x:c r="EZ43"/>
      <x:c r="FA43"/>
      <x:c r="FB43"/>
      <x:c r="FC43"/>
      <x:c r="FD43"/>
      <x:c r="FE43"/>
      <x:c r="FF43" t="n">
        <x:v>30</x:v>
      </x:c>
      <x:c r="FG43" t="str">
        <x:v>PERF-M-000001..PERF-M-000100</x:v>
      </x:c>
      <x:c r="FH43" t="n">
        <x:v>100</x:v>
      </x:c>
      <x:c r="FI43" t="n">
        <x:v>100</x:v>
      </x:c>
      <x:c r="FJ43"/>
      <x:c r="FK43" t="n">
        <x:v>100</x:v>
      </x:c>
      <x:c r="FL43" t="n">
        <x:v>100</x:v>
      </x:c>
      <x:c r="FM43" t="n">
        <x:v>100</x:v>
      </x:c>
      <x:c r="FN43" t="n">
        <x:v>100</x:v>
      </x:c>
      <x:c r="FO43"/>
      <x:c r="FP43" t="n">
        <x:v>400</x:v>
      </x:c>
      <x:c r="FQ43" t="n">
        <x:v>25600</x:v>
      </x:c>
      <x:c r="FR43" t="n">
        <x:v>0</x:v>
      </x:c>
      <x:c r="FS43"/>
      <x:c r="FT43"/>
      <x:c r="FU43"/>
      <x:c r="FV43"/>
      <x:c r="FW43"/>
      <x:c r="FX43" t="n">
        <x:v>100</x:v>
      </x:c>
      <x:c r="FY43" t="n">
        <x:v>0</x:v>
      </x:c>
      <x:c r="FZ43" t="n">
        <x:v>0</x:v>
      </x:c>
      <x:c r="GA43" t="n">
        <x:v>0</x:v>
      </x:c>
      <x:c r="GB43" t="n">
        <x:v>100</x:v>
      </x:c>
      <x:c r="GC43" t="n">
        <x:v>100</x:v>
      </x:c>
      <x:c r="GD43" t="n">
        <x:v>0</x:v>
      </x:c>
      <x:c r="GE43" t="n">
        <x:v>100</x:v>
      </x:c>
      <x:c r="GF43"/>
      <x:c r="GG43" t="str">
        <x:v>100</x:v>
      </x:c>
      <x:c r="GH43"/>
      <x:c r="GI43" t="n">
        <x:v>1826.3841970037902</x:v>
      </x:c>
      <x:c r="GJ43" t="n">
        <x:v>1826.3841970037902</x:v>
      </x:c>
      <x:c r="GK43" t="n">
        <x:v>1826.3841970037902</x:v>
      </x:c>
      <x:c r="GL43" t="n">
        <x:v>1826.3841970037902</x:v>
      </x:c>
      <x:c r="GM43" t="str">
        <x:v>burst</x:v>
      </x:c>
      <x:c r="GN43" t="n">
        <x:v>100</x:v>
      </x:c>
      <x:c r="GO43"/>
      <x:c r="GP43"/>
      <x:c r="GQ43" t="n">
        <x:v>30</x:v>
      </x:c>
      <x:c r="GR43" t="n">
        <x:v>90</x:v>
      </x:c>
      <x:c r="GS43" t="n">
        <x:v>600</x:v>
      </x:c>
      <x:c r="GT43" t="str">
        <x:v>PERF-DR-PERF-M-000001..000100</x:v>
      </x:c>
      <x:c r="GU43" t="str">
        <x:v>PERF-D-000001..PERF-D-000100</x:v>
      </x:c>
      <x:c r="GV43" t="str">
        <x:v>100 unique targets, one per perf-group-001..100</x:v>
      </x:c>
      <x:c r="GW43" t="str">
        <x:v>100 preserved original occurrences</x:v>
      </x:c>
      <x:c r="GX43" t="n">
        <x:v>100</x:v>
      </x:c>
      <x:c r="GY43" t="n">
        <x:v>100</x:v>
      </x:c>
      <x:c r="GZ43" t="n">
        <x:v>100</x:v>
      </x:c>
      <x:c r="HA43" t="n">
        <x:v>100</x:v>
      </x:c>
      <x:c r="HB43" t="n">
        <x:v>100</x:v>
      </x:c>
      <x:c r="HC43" t="n">
        <x:v>0</x:v>
      </x:c>
      <x:c r="HD43" t="n">
        <x:v>100</x:v>
      </x:c>
      <x:c r="HE43" t="n">
        <x:v>0</x:v>
      </x:c>
      <x:c r="HF43" t="n">
        <x:v>0</x:v>
      </x:c>
      <x:c r="HG43" t="n">
        <x:v>25600</x:v>
      </x:c>
      <x:c r="HH43" t="n">
        <x:v>25600</x:v>
      </x:c>
      <x:c r="HI43" t="n">
        <x:v>0</x:v>
      </x:c>
      <x:c r="HJ43" t="n">
        <x:v>0</x:v>
      </x:c>
      <x:c r="HK43" t="n">
        <x:v>0</x:v>
      </x:c>
      <x:c r="HL43" t="n">
        <x:v>100</x:v>
      </x:c>
      <x:c r="HM43" t="n">
        <x:v>0</x:v>
      </x:c>
      <x:c r="HN43" s="127" t="b">
        <x:v>1</x:v>
      </x:c>
      <x:c r="HO43"/>
      <x:c r="HP43"/>
      <x:c r="HQ43"/>
      <x:c r="HR43" s="127" t="b">
        <x:v>1</x:v>
      </x:c>
      <x:c r="HS43" t="n">
        <x:v>540</x:v>
      </x:c>
      <x:c r="HT43"/>
      <x:c r="HU43"/>
      <x:c r="HV43"/>
      <x:c r="HW43"/>
      <x:c r="HX43"/>
      <x:c r="HY43"/>
      <x:c r="HZ43"/>
      <x:c r="IA43"/>
      <x:c r="IB43"/>
      <x:c r="IC43"/>
      <x:c r="ID43"/>
      <x:c r="IE43"/>
      <x:c r="IF43"/>
      <x:c r="IG43"/>
      <x:c r="IH43"/>
      <x:c r="II43"/>
      <x:c r="IJ43"/>
      <x:c r="IK43"/>
      <x:c r="IL43"/>
      <x:c r="IM43"/>
      <x:c r="IN43"/>
      <x:c r="IO43"/>
      <x:c r="IP43"/>
      <x:c r="IQ43"/>
      <x:c r="IR43"/>
      <x:c r="IS43"/>
      <x:c r="IT43"/>
      <x:c r="IU43"/>
      <x:c r="IV43"/>
      <x:c r="IW43"/>
      <x:c r="IX43"/>
      <x:c r="IY43"/>
      <x:c r="IZ43"/>
      <x:c r="JA43"/>
      <x:c r="JB43"/>
      <x:c r="JC43"/>
      <x:c r="JD43"/>
      <x:c r="JE43"/>
      <x:c r="JF43"/>
      <x:c r="JG43"/>
      <x:c r="JH43"/>
      <x:c r="JI43"/>
      <x:c r="JJ43"/>
      <x:c r="JK43"/>
      <x:c r="JL43"/>
      <x:c r="JM43"/>
      <x:c r="JN43"/>
      <x:c r="JO43"/>
      <x:c r="JP43"/>
      <x:c r="JQ43"/>
      <x:c r="JR43" t="n">
        <x:v>2696.0329370049294</x:v>
      </x:c>
      <x:c r="JS43" t="n">
        <x:v>2696.0329370049294</x:v>
      </x:c>
      <x:c r="JT43" t="n">
        <x:v>2696.0329370049294</x:v>
      </x:c>
      <x:c r="JU43" t="n">
        <x:v>2696.0329370049294</x:v>
      </x:c>
      <x:c r="JV43" t="n">
        <x:v>540</x:v>
      </x:c>
      <x:c r="JW43" t="n">
        <x:v>540</x:v>
      </x:c>
      <x:c r="JX43"/>
      <x:c r="JY43"/>
      <x:c r="JZ43"/>
      <x:c r="KA43" t="n">
        <x:v>400</x:v>
      </x:c>
      <x:c r="KB43" t="n">
        <x:v>4037700</x:v>
      </x:c>
      <x:c r="KC43" t="n">
        <x:v>0</x:v>
      </x:c>
      <x:c r="KD43" t="n">
        <x:v>0</x:v>
      </x:c>
      <x:c r="KE43" t="n">
        <x:v>0</x:v>
      </x:c>
      <x:c r="KF43" s="127" t="b">
        <x:v>1</x:v>
      </x:c>
      <x:c r="KG43"/>
      <x:c r="KH43"/>
      <x:c r="KI43" t="n">
        <x:v>100</x:v>
      </x:c>
      <x:c r="KJ43" t="str">
        <x:v>1×100</x:v>
      </x:c>
      <x:c r="KK43" t="str">
        <x:v>burst</x:v>
      </x:c>
      <x:c r="KL43"/>
      <x:c r="KM43"/>
      <x:c r="KN43"/>
      <x:c r="KO43"/>
      <x:c r="KP43"/>
      <x:c r="KQ43"/>
      <x:c r="KR43"/>
      <x:c r="KS43"/>
      <x:c r="KT43"/>
      <x:c r="KU43"/>
      <x:c r="KV43"/>
      <x:c r="KW43"/>
      <x:c r="KX43"/>
      <x:c r="KY43"/>
      <x:c r="KZ43"/>
      <x:c r="LA43"/>
      <x:c r="LB43"/>
      <x:c r="LC43"/>
      <x:c r="LD43"/>
      <x:c r="LE43"/>
      <x:c r="LF43"/>
      <x:c r="LG43"/>
      <x:c r="LH43"/>
      <x:c r="LI43"/>
      <x:c r="LJ43"/>
      <x:c r="LK43"/>
      <x:c r="LL43"/>
      <x:c r="LM43"/>
      <x:c r="LN43"/>
      <x:c r="LO43"/>
      <x:c r="LP43"/>
      <x:c r="LQ43"/>
      <x:c r="LR43"/>
      <x:c r="LS43"/>
      <x:c r="LT43" t="n">
        <x:v>100</x:v>
      </x:c>
      <x:c r="LU43" t="n">
        <x:v>0</x:v>
      </x:c>
      <x:c r="LV43" t="n">
        <x:v>100</x:v>
      </x:c>
      <x:c r="LW43" t="n">
        <x:v>100</x:v>
      </x:c>
      <x:c r="LX43" t="n">
        <x:v>0</x:v>
      </x:c>
      <x:c r="LY43" t="n">
        <x:v>100</x:v>
      </x:c>
      <x:c r="LZ43" t="n">
        <x:v>900</x:v>
      </x:c>
      <x:c r="MA43" t="n">
        <x:v>0</x:v>
      </x:c>
      <x:c r="MB43" t="n">
        <x:v>100</x:v>
      </x:c>
      <x:c r="MC43" t="n">
        <x:v>100</x:v>
      </x:c>
      <x:c r="MD43" t="n">
        <x:v>0</x:v>
      </x:c>
      <x:c r="ME43" t="n">
        <x:v>0</x:v>
      </x:c>
      <x:c r="MF43" t="n">
        <x:v>100</x:v>
      </x:c>
      <x:c r="MG43" t="n">
        <x:v>100</x:v>
      </x:c>
      <x:c r="MH43" t="n">
        <x:v>400</x:v>
      </x:c>
      <x:c r="MI43" t="n">
        <x:v>400</x:v>
      </x:c>
      <x:c r="MJ43" s="127" t="b">
        <x:v>1</x:v>
      </x:c>
      <x:c r="MK43" t="str">
        <x:v>Harness assumed uppercase closure_reason and serialized journey discriminator; durable contract uses lowercase configuration_removed and receipt+journey co-location in the same commit.</x:v>
      </x:c>
      <x:c r="VW43" s="32"/>
      <x:c r="VX43" s="32"/>
      <x:c r="VY43" s="32"/>
      <x:c r="VZ43" s="32"/>
      <x:c r="WA43" s="32"/>
      <x:c r="WB43" s="32"/>
      <x:c r="WC43" s="32"/>
      <x:c r="WD43" s="32"/>
      <x:c r="WE43" s="32"/>
      <x:c r="WF43" s="32"/>
      <x:c r="WG43" s="32"/>
      <x:c r="WH43" s="32"/>
      <x:c r="WI43" s="32"/>
      <x:c r="WJ43" s="32"/>
      <x:c r="WK43" s="32"/>
      <x:c r="WL43" s="32"/>
      <x:c r="WM43" s="32"/>
      <x:c r="WN43" s="32"/>
      <x:c r="WO43" s="32"/>
      <x:c r="WP43" s="32"/>
      <x:c r="WQ43" s="32"/>
      <x:c r="WR43" s="32"/>
      <x:c r="WS43" s="32"/>
      <x:c r="WT43" s="32"/>
      <x:c r="WU43" s="32"/>
      <x:c r="WV43" s="32"/>
      <x:c r="WW43" s="32"/>
      <x:c r="WX43" s="32"/>
      <x:c r="WY43" s="32"/>
      <x:c r="WZ43" s="32"/>
      <x:c r="XA43" s="32"/>
      <x:c r="XB43" s="32"/>
      <x:c r="XC43" s="32"/>
      <x:c r="XD43" s="32"/>
    </x:row>
    <x:row r="44">
      <x:c r="A44" s="32" t="str">
        <x:v>24b97fa3-80b4-4f25-bab1-ca074d05590c</x:v>
      </x:c>
      <x:c r="B44" s="32" t="str">
        <x:v>D-010</x:v>
      </x:c>
      <x:c r="C44" s="42" t="n">
        <x:v>46261.874925032236</x:v>
      </x:c>
      <x:c r="D44" s="32" t="str">
        <x:v>489b7424f5051f7a276dafe8d5f318ccf1368d87</x:v>
      </x:c>
      <x:c r="E44" s="32" t="str">
        <x:v>GLONBW11</x:v>
      </x:c>
      <x:c r="F44" s="32" t="str">
        <x:v>local-filesystem</x:v>
      </x:c>
      <x:c r="G44" s="32" t="str">
        <x:v>3.14.2</x:v>
      </x:c>
      <x:c r="H44" s="32" t="str">
        <x:v>deterministic</x:v>
      </x:c>
      <x:c r="I44" s="32" t="n">
        <x:v>1000</x:v>
      </x:c>
      <x:c r="J44" s="32" t="n">
        <x:v>3</x:v>
      </x:c>
      <x:c r="K44" s="32" t="n">
        <x:v>3.03113975</x:v>
      </x:c>
      <x:c r="L44" s="32" t="n">
        <x:v>37</x:v>
      </x:c>
      <x:c r="M44" s="32" t="n">
        <x:v>5</x:v>
      </x:c>
      <x:c r="N44" s="32" t="n">
        <x:v>10</x:v>
      </x:c>
      <x:c r="O44" s="32" t="n">
        <x:v>834.001327995793</x:v>
      </x:c>
      <x:c r="P44" s="32" t="n">
        <x:v>1670.5829564045418</x:v>
      </x:c>
      <x:c r="Q44" s="32" t="n">
        <x:v>4135.257738961956</x:v>
      </x:c>
      <x:c r="R44" s="32" t="n">
        <x:v>5499.026033998234</x:v>
      </x:c>
      <x:c r="S44" s="32" t="n">
        <x:v>1</x:v>
      </x:c>
      <x:c r="T44" s="43" t="n">
        <x:v>0.02702702702702703</x:v>
      </x:c>
      <x:c r="U44" s="32" t="n">
        <x:v>93.22204861209778</x:v>
      </x:c>
      <x:c r="V44" s="32" t="n">
        <x:v>100.21419474622274</x:v>
      </x:c>
      <x:c r="W44" s="32" t="n">
        <x:v>139.34660050675674</x:v>
      </x:c>
      <x:c r="X44" s="32" t="n">
        <x:v>139.6796875</x:v>
      </x:c>
      <x:c r="Y44" s="32"/>
      <x:c r="Z44" s="32"/>
      <x:c r="AA44" s="32"/>
      <x:c r="AB44" s="32" t="n">
        <x:v>2165.0932260090485</x:v>
      </x:c>
      <x:c r="AC44" s="32" t="n">
        <x:v>0</x:v>
      </x:c>
      <x:c r="AD44" s="32" t="n">
        <x:v>0</x:v>
      </x:c>
      <x:c r="AE44" s="32" t="n">
        <x:v>0</x:v>
      </x:c>
      <x:c r="AF44" s="32" t="n">
        <x:v>0</x:v>
      </x:c>
      <x:c r="AG44" s="32" t="n">
        <x:v>0</x:v>
      </x:c>
      <x:c r="AH44" s="32" t="n">
        <x:v>458.0179600015981</x:v>
      </x:c>
      <x:c r="AI44" s="32" t="str">
        <x:v>PASS</x:v>
      </x:c>
      <x:c r="AJ44" s="32" t="str">
        <x:v>GREEN</x:v>
      </x:c>
      <x:c r="AK44" s="32" t="str">
        <x:v>latest-narrow</x:v>
      </x:c>
      <x:c r="AL44" s="32" t="n">
        <x:v>1</x:v>
      </x:c>
      <x:c r="AM44" s="32" t="n">
        <x:v>1</x:v>
      </x:c>
      <x:c r="AN44" s="32" t="n">
        <x:v>1000</x:v>
      </x:c>
      <x:c r="AO44" s="32" t="n">
        <x:v>1</x:v>
      </x:c>
      <x:c r="AP44" s="32" t="n">
        <x:v>8132</x:v>
      </x:c>
      <x:c r="AQ44" s="32" t="n">
        <x:v>3.848104504868388</x:v>
      </x:c>
      <x:c r="AR44" s="32" t="n">
        <x:v>5.31649199911044</x:v>
      </x:c>
      <x:c r="AS44" s="32" t="n">
        <x:v>5.82718144141836</x:v>
      </x:c>
      <x:c r="AT44" s="32" t="n">
        <x:v>36</x:v>
      </x:c>
      <x:c r="AU44" s="32" t="str">
        <x:v>28×28 + 8×27</x:v>
      </x:c>
      <x:c r="AV44" s="32" t="n">
        <x:v>0.36317899503046647</x:v>
      </x:c>
      <x:c r="AW44" s="32" t="n">
        <x:v>0.522391503182007</x:v>
      </x:c>
      <x:c r="AX44" s="32" t="n">
        <x:v>0.5520002952835057</x:v>
      </x:c>
      <x:c r="AY44" t="str">
        <x:v>balanced</x:v>
      </x:c>
      <x:c r="AZ44" s="32" t="str">
        <x:v>PASS</x:v>
      </x:c>
      <x:c r="BA44" s="32" t="n">
        <x:v>900</x:v>
      </x:c>
      <x:c r="BB44" s="32" t="n">
        <x:v>100</x:v>
      </x:c>
      <x:c r="BC44" s="115" t="b">
        <x:v>1</x:v>
      </x:c>
      <x:c r="BD44" s="32" t="str">
        <x:v>PASS/GREEN authoritative closure. Independent audit confirms 100 groups × 4 records (bootstrap/request/adoption/stale-decision), exact target/occurrence identity, 0 duplicate commits or chain errors, 100/100 materialized snapshots equal latest snapshot_after, final state_basis=PERF-AC-2, journal head durable==materialized at byte_offset 4,037,700. One isolated adoption iteration overrun (iteration 13, 5499.03 ms, cycle_executed=false) is secondary characterization for R3.5E.</x:v>
      </x:c>
      <x:c r="BE44" s="32"/>
      <x:c r="BF44" s="32"/>
      <x:c r="BG44" s="32"/>
      <x:c r="BH44" s="32"/>
      <x:c r="BI44" s="32"/>
      <x:c r="BJ44" s="32" t="n">
        <x:v>1000</x:v>
      </x:c>
      <x:c r="BK44" s="32" t="n">
        <x:v>1000</x:v>
      </x:c>
      <x:c r="BL44" s="32"/>
      <x:c r="BM44" s="32"/>
      <x:c r="BN44" t="n">
        <x:v>100</x:v>
      </x:c>
      <x:c r="BO44" t="n">
        <x:v>10</x:v>
      </x:c>
      <x:c r="BP44"/>
      <x:c r="BQ44" t="n">
        <x:v>100</x:v>
      </x:c>
      <x:c r="BR44"/>
      <x:c r="BS44"/>
      <x:c r="BT44"/>
      <x:c r="BU44"/>
      <x:c r="BV44"/>
      <x:c r="BW44" t="n">
        <x:v>1000</x:v>
      </x:c>
      <x:c r="BX44"/>
      <x:c r="BY44" t="n">
        <x:v>100</x:v>
      </x:c>
      <x:c r="BZ44" t="n">
        <x:v>100</x:v>
      </x:c>
      <x:c r="CA44"/>
      <x:c r="CB44"/>
      <x:c r="CC44"/>
      <x:c r="CD44"/>
      <x:c r="CE44" t="n">
        <x:v>1000</x:v>
      </x:c>
      <x:c r="CF44" t="n">
        <x:v>2500</x:v>
      </x:c>
      <x:c r="CG44" t="n">
        <x:v>1000</x:v>
      </x:c>
      <x:c r="CH44"/>
      <x:c r="CI44" s="127" t="b">
        <x:v>1</x:v>
      </x:c>
      <x:c r="CJ44"/>
      <x:c r="CK44"/>
      <x:c r="CL44"/>
      <x:c r="CM44"/>
      <x:c r="CN44"/>
      <x:c r="CO44"/>
      <x:c r="CP44"/>
      <x:c r="CQ44" t="n">
        <x:v>0</x:v>
      </x:c>
      <x:c r="CR44"/>
      <x:c r="CS44"/>
      <x:c r="CT44"/>
      <x:c r="CU44"/>
      <x:c r="CV44"/>
      <x:c r="CW44"/>
      <x:c r="CX44"/>
      <x:c r="CY44"/>
      <x:c r="CZ44"/>
      <x:c r="DA44"/>
      <x:c r="DB44"/>
      <x:c r="DC44"/>
      <x:c r="DD44"/>
      <x:c r="DE44"/>
      <x:c r="DF44"/>
      <x:c r="DG44"/>
      <x:c r="DH44" t="str">
        <x:v>baseline</x:v>
      </x:c>
      <x:c r="DI44" t="n">
        <x:v>37</x:v>
      </x:c>
      <x:c r="DJ44" t="n">
        <x:v>0</x:v>
      </x:c>
      <x:c r="DK44" t="n">
        <x:v>0</x:v>
      </x:c>
      <x:c r="DL44" t="n">
        <x:v>0</x:v>
      </x:c>
      <x:c r="DM44" t="n">
        <x:v>0</x:v>
      </x:c>
      <x:c r="DN44" t="n">
        <x:v>0</x:v>
      </x:c>
      <x:c r="DO44" t="n">
        <x:v>0</x:v>
      </x:c>
      <x:c r="DP44" t="n">
        <x:v>0</x:v>
      </x:c>
      <x:c r="DQ44" t="str">
        <x:v>C3</x:v>
      </x:c>
      <x:c r="DR44"/>
      <x:c r="DS44"/>
      <x:c r="DT44"/>
      <x:c r="DU44"/>
      <x:c r="DV44"/>
      <x:c r="DW44"/>
      <x:c r="DX44"/>
      <x:c r="DY44"/>
      <x:c r="DZ44"/>
      <x:c r="EA44"/>
      <x:c r="EB44"/>
      <x:c r="EC44"/>
      <x:c r="ED44"/>
      <x:c r="EE44"/>
      <x:c r="EF44"/>
      <x:c r="EG44"/>
      <x:c r="EH44"/>
      <x:c r="EI44"/>
      <x:c r="EJ44"/>
      <x:c r="EK44"/>
      <x:c r="EL44"/>
      <x:c r="EM44"/>
      <x:c r="EN44"/>
      <x:c r="EO44"/>
      <x:c r="EP44"/>
      <x:c r="EQ44"/>
      <x:c r="ER44"/>
      <x:c r="ES44"/>
      <x:c r="ET44"/>
      <x:c r="EU44"/>
      <x:c r="EV44"/>
      <x:c r="EW44"/>
      <x:c r="EX44"/>
      <x:c r="EY44"/>
      <x:c r="EZ44"/>
      <x:c r="FA44"/>
      <x:c r="FB44"/>
      <x:c r="FC44"/>
      <x:c r="FD44"/>
      <x:c r="FE44"/>
      <x:c r="FF44" t="n">
        <x:v>30</x:v>
      </x:c>
      <x:c r="FG44" t="str">
        <x:v>PERF-M-000001..PERF-M-000100</x:v>
      </x:c>
      <x:c r="FH44" t="n">
        <x:v>100</x:v>
      </x:c>
      <x:c r="FI44" t="n">
        <x:v>100</x:v>
      </x:c>
      <x:c r="FJ44"/>
      <x:c r="FK44" t="n">
        <x:v>100</x:v>
      </x:c>
      <x:c r="FL44" t="n">
        <x:v>100</x:v>
      </x:c>
      <x:c r="FM44" t="n">
        <x:v>100</x:v>
      </x:c>
      <x:c r="FN44" t="n">
        <x:v>100</x:v>
      </x:c>
      <x:c r="FO44"/>
      <x:c r="FP44" t="n">
        <x:v>400</x:v>
      </x:c>
      <x:c r="FQ44" t="n">
        <x:v>25600</x:v>
      </x:c>
      <x:c r="FR44" t="n">
        <x:v>0</x:v>
      </x:c>
      <x:c r="FS44" t="n">
        <x:v>0</x:v>
      </x:c>
      <x:c r="FT44" s="127" t="b">
        <x:v>1</x:v>
      </x:c>
      <x:c r="FU44" t="n">
        <x:v>1748.0782220081892</x:v>
      </x:c>
      <x:c r="FV44" t="str">
        <x:v>100 preserved original occurrences</x:v>
      </x:c>
      <x:c r="FW44" t="n">
        <x:v>0</x:v>
      </x:c>
      <x:c r="FX44" t="n">
        <x:v>100</x:v>
      </x:c>
      <x:c r="FY44" t="n">
        <x:v>0</x:v>
      </x:c>
      <x:c r="FZ44" t="n">
        <x:v>0</x:v>
      </x:c>
      <x:c r="GA44" t="n">
        <x:v>0</x:v>
      </x:c>
      <x:c r="GB44" t="n">
        <x:v>100</x:v>
      </x:c>
      <x:c r="GC44" t="n">
        <x:v>100</x:v>
      </x:c>
      <x:c r="GD44" t="n">
        <x:v>0</x:v>
      </x:c>
      <x:c r="GE44" t="n">
        <x:v>100</x:v>
      </x:c>
      <x:c r="GF44" t="n">
        <x:v>1</x:v>
      </x:c>
      <x:c r="GG44" t="str">
        <x:v>100</x:v>
      </x:c>
      <x:c r="GH44" s="127" t="b">
        <x:v>1</x:v>
      </x:c>
      <x:c r="GI44" t="n">
        <x:v>1748.0782220081892</x:v>
      </x:c>
      <x:c r="GJ44" t="n">
        <x:v>1748.0782220081892</x:v>
      </x:c>
      <x:c r="GK44" t="n">
        <x:v>1748.0782220081892</x:v>
      </x:c>
      <x:c r="GL44" t="n">
        <x:v>1748.0782220081892</x:v>
      </x:c>
      <x:c r="GM44" t="str">
        <x:v>burst</x:v>
      </x:c>
      <x:c r="GN44" t="n">
        <x:v>100</x:v>
      </x:c>
      <x:c r="GO44" t="n">
        <x:v>100</x:v>
      </x:c>
      <x:c r="GP44" s="127" t="b">
        <x:v>1</x:v>
      </x:c>
      <x:c r="GQ44" t="n">
        <x:v>30</x:v>
      </x:c>
      <x:c r="GR44" t="n">
        <x:v>90</x:v>
      </x:c>
      <x:c r="GS44" t="n">
        <x:v>600</x:v>
      </x:c>
      <x:c r="GT44" t="str">
        <x:v>PERF-DR-PERF-M-000001..PERF-DR-PERF-M-000100</x:v>
      </x:c>
      <x:c r="GU44" t="str">
        <x:v>PERF-D-000001..PERF-D-000100</x:v>
      </x:c>
      <x:c r="GV44" t="str">
        <x:v>100 unique targets; first slot of perf-group-001..100</x:v>
      </x:c>
      <x:c r="GW44" t="str">
        <x:v>100 original PERF-O occurrences preserved</x:v>
      </x:c>
      <x:c r="GX44" t="n">
        <x:v>100</x:v>
      </x:c>
      <x:c r="GY44" t="n">
        <x:v>100</x:v>
      </x:c>
      <x:c r="GZ44" t="n">
        <x:v>100</x:v>
      </x:c>
      <x:c r="HA44" t="n">
        <x:v>100</x:v>
      </x:c>
      <x:c r="HB44" t="n">
        <x:v>100</x:v>
      </x:c>
      <x:c r="HC44" t="n">
        <x:v>0</x:v>
      </x:c>
      <x:c r="HD44" t="n">
        <x:v>100</x:v>
      </x:c>
      <x:c r="HE44" t="n">
        <x:v>0</x:v>
      </x:c>
      <x:c r="HF44" t="n">
        <x:v>0</x:v>
      </x:c>
      <x:c r="HG44" t="n">
        <x:v>25600</x:v>
      </x:c>
      <x:c r="HH44" t="n">
        <x:v>25600</x:v>
      </x:c>
      <x:c r="HI44" t="n">
        <x:v>0</x:v>
      </x:c>
      <x:c r="HJ44" t="n">
        <x:v>0</x:v>
      </x:c>
      <x:c r="HK44" t="n">
        <x:v>0</x:v>
      </x:c>
      <x:c r="HL44" t="n">
        <x:v>100</x:v>
      </x:c>
      <x:c r="HM44" t="n">
        <x:v>0</x:v>
      </x:c>
      <x:c r="HN44" s="127" t="b">
        <x:v>1</x:v>
      </x:c>
      <x:c r="HO44"/>
      <x:c r="HP44" s="127" t="b">
        <x:v>1</x:v>
      </x:c>
      <x:c r="HQ44" s="127" t="b">
        <x:v>1</x:v>
      </x:c>
      <x:c r="HR44" s="127" t="b">
        <x:v>1</x:v>
      </x:c>
      <x:c r="HS44" t="n">
        <x:v>540</x:v>
      </x:c>
      <x:c r="HT44" t="n">
        <x:v>540</x:v>
      </x:c>
      <x:c r="HU44" t="n">
        <x:v>2165.0932260090485</x:v>
      </x:c>
      <x:c r="HV44"/>
      <x:c r="HW44"/>
      <x:c r="HX44"/>
      <x:c r="HY44" s="127" t="b">
        <x:v>1</x:v>
      </x:c>
      <x:c r="HZ44"/>
      <x:c r="IA44"/>
      <x:c r="IB44"/>
      <x:c r="IC44"/>
      <x:c r="ID44"/>
      <x:c r="IE44"/>
      <x:c r="IF44"/>
      <x:c r="IG44"/>
      <x:c r="IH44"/>
      <x:c r="II44"/>
      <x:c r="IJ44"/>
      <x:c r="IK44"/>
      <x:c r="IL44"/>
      <x:c r="IM44"/>
      <x:c r="IN44"/>
      <x:c r="IO44"/>
      <x:c r="IP44"/>
      <x:c r="IQ44"/>
      <x:c r="IR44"/>
      <x:c r="IS44"/>
      <x:c r="IT44"/>
      <x:c r="IU44"/>
      <x:c r="IV44"/>
      <x:c r="IW44"/>
      <x:c r="IX44"/>
      <x:c r="IY44"/>
      <x:c r="IZ44"/>
      <x:c r="JA44"/>
      <x:c r="JB44"/>
      <x:c r="JC44"/>
      <x:c r="JD44"/>
      <x:c r="JE44"/>
      <x:c r="JF44"/>
      <x:c r="JG44"/>
      <x:c r="JH44" t="n">
        <x:v>0</x:v>
      </x:c>
      <x:c r="JI44" t="n">
        <x:v>0</x:v>
      </x:c>
      <x:c r="JJ44" t="n">
        <x:v>0</x:v>
      </x:c>
      <x:c r="JK44" t="n">
        <x:v>0</x:v>
      </x:c>
      <x:c r="JL44" t="n">
        <x:v>0</x:v>
      </x:c>
      <x:c r="JM44" t="n">
        <x:v>0</x:v>
      </x:c>
      <x:c r="JN44" t="n">
        <x:v>100</x:v>
      </x:c>
      <x:c r="JO44" t="n">
        <x:v>100</x:v>
      </x:c>
      <x:c r="JP44" t="n">
        <x:v>1</x:v>
      </x:c>
      <x:c r="JQ44" t="str">
        <x:v>100</x:v>
      </x:c>
      <x:c r="JR44" t="n">
        <x:v>2165.0932260090485</x:v>
      </x:c>
      <x:c r="JS44" t="n">
        <x:v>2165.0932260090485</x:v>
      </x:c>
      <x:c r="JT44" t="n">
        <x:v>2165.0932260090485</x:v>
      </x:c>
      <x:c r="JU44" t="n">
        <x:v>2165.0932260090485</x:v>
      </x:c>
      <x:c r="JV44" t="n">
        <x:v>540</x:v>
      </x:c>
      <x:c r="JW44" t="n">
        <x:v>540</x:v>
      </x:c>
      <x:c r="JX44" t="n">
        <x:v>0</x:v>
      </x:c>
      <x:c r="JY44" t="n">
        <x:v>0</x:v>
      </x:c>
      <x:c r="JZ44" s="127" t="b">
        <x:v>1</x:v>
      </x:c>
      <x:c r="KA44" t="n">
        <x:v>400</x:v>
      </x:c>
      <x:c r="KB44" t="n">
        <x:v>4037700</x:v>
      </x:c>
      <x:c r="KC44" t="n">
        <x:v>0</x:v>
      </x:c>
      <x:c r="KD44" t="n">
        <x:v>0</x:v>
      </x:c>
      <x:c r="KE44" t="n">
        <x:v>0</x:v>
      </x:c>
      <x:c r="KF44" s="127" t="b">
        <x:v>1</x:v>
      </x:c>
      <x:c r="KG44"/>
      <x:c r="KH44"/>
      <x:c r="KI44" t="n">
        <x:v>100</x:v>
      </x:c>
      <x:c r="KJ44" t="str">
        <x:v>1×100</x:v>
      </x:c>
      <x:c r="KK44" t="str">
        <x:v>burst</x:v>
      </x:c>
      <x:c r="KL44" t="n">
        <x:v>100</x:v>
      </x:c>
      <x:c r="KM44" s="127" t="b">
        <x:v>1</x:v>
      </x:c>
      <x:c r="KN44"/>
      <x:c r="KO44"/>
      <x:c r="KP44"/>
      <x:c r="KQ44"/>
      <x:c r="KR44"/>
      <x:c r="KS44"/>
      <x:c r="KT44"/>
      <x:c r="KU44"/>
      <x:c r="KV44"/>
      <x:c r="KW44"/>
      <x:c r="KX44"/>
      <x:c r="KY44"/>
      <x:c r="KZ44"/>
      <x:c r="LA44"/>
      <x:c r="LB44"/>
      <x:c r="LC44"/>
      <x:c r="LD44"/>
      <x:c r="LE44"/>
      <x:c r="LF44"/>
      <x:c r="LG44"/>
      <x:c r="LH44"/>
      <x:c r="LI44"/>
      <x:c r="LJ44"/>
      <x:c r="LK44"/>
      <x:c r="LL44"/>
      <x:c r="LM44"/>
      <x:c r="LN44"/>
      <x:c r="LO44"/>
      <x:c r="LP44"/>
      <x:c r="LQ44"/>
      <x:c r="LR44"/>
      <x:c r="LS44"/>
      <x:c r="LT44" t="n">
        <x:v>100</x:v>
      </x:c>
      <x:c r="LU44" t="n">
        <x:v>100</x:v>
      </x:c>
      <x:c r="LV44" t="n">
        <x:v>100</x:v>
      </x:c>
      <x:c r="LW44" t="n">
        <x:v>0</x:v>
      </x:c>
      <x:c r="LX44" t="n">
        <x:v>0</x:v>
      </x:c>
      <x:c r="LY44" t="n">
        <x:v>100</x:v>
      </x:c>
      <x:c r="LZ44" t="n">
        <x:v>900</x:v>
      </x:c>
      <x:c r="MA44" t="n">
        <x:v>0</x:v>
      </x:c>
      <x:c r="MB44" t="n">
        <x:v>100</x:v>
      </x:c>
      <x:c r="MC44" t="n">
        <x:v>100</x:v>
      </x:c>
      <x:c r="MD44" t="n">
        <x:v>0</x:v>
      </x:c>
      <x:c r="ME44" t="n">
        <x:v>0</x:v>
      </x:c>
      <x:c r="MF44" t="n">
        <x:v>100</x:v>
      </x:c>
      <x:c r="MG44" t="n">
        <x:v>100</x:v>
      </x:c>
      <x:c r="MH44" t="n">
        <x:v>400</x:v>
      </x:c>
      <x:c r="MI44" t="n">
        <x:v>400</x:v>
      </x:c>
      <x:c r="MJ44" s="127" t="b">
        <x:v>1</x:v>
      </x:c>
      <x:c r="MK44" t="str">
        <x:v>Resolved by harness 0.1.6; final adjudicator and independent durable audit agree.</x:v>
      </x:c>
      <x:c r="VW44" s="32"/>
      <x:c r="VX44" s="32"/>
      <x:c r="VY44" s="32"/>
      <x:c r="VZ44" s="32"/>
      <x:c r="WA44" s="32"/>
      <x:c r="WB44" s="32"/>
      <x:c r="WC44" s="32"/>
      <x:c r="WD44" s="32"/>
      <x:c r="WE44" s="32"/>
      <x:c r="WF44" s="32"/>
      <x:c r="WG44" s="32"/>
      <x:c r="WH44" s="32"/>
      <x:c r="WI44" s="32"/>
      <x:c r="WJ44" s="32"/>
      <x:c r="WK44" s="32"/>
      <x:c r="WL44" s="32"/>
      <x:c r="WM44" s="32"/>
      <x:c r="WN44" s="32"/>
      <x:c r="WO44" s="32"/>
      <x:c r="WP44" s="32"/>
      <x:c r="WQ44" s="32"/>
      <x:c r="WR44" s="32"/>
      <x:c r="WS44" s="32"/>
      <x:c r="WT44" s="32"/>
      <x:c r="WU44" s="32"/>
      <x:c r="WV44" s="32"/>
      <x:c r="WW44" s="32"/>
      <x:c r="WX44" s="32"/>
      <x:c r="WY44" s="32"/>
      <x:c r="WZ44" s="32"/>
      <x:c r="XA44" s="32"/>
      <x:c r="XB44" s="32"/>
      <x:c r="XC44" s="32"/>
      <x:c r="XD44" s="32"/>
    </x:row>
    <x:row r="45">
      <x:c r="A45" s="32" t="str">
        <x:v>29fdaf99-f789-4401-8866-a1cd9cff2bac</x:v>
      </x:c>
      <x:c r="B45" s="32" t="str">
        <x:v>E-001</x:v>
      </x:c>
      <x:c r="C45" s="42" t="n">
        <x:v>46261.91715124192</x:v>
      </x:c>
      <x:c r="D45" s="32" t="str">
        <x:v>489b7424f5051f7a276dafe8d5f318ccf1368d87</x:v>
      </x:c>
      <x:c r="E45" s="32" t="str">
        <x:v>GLONBW11</x:v>
      </x:c>
      <x:c r="F45" s="32" t="str">
        <x:v>local-filesystem</x:v>
      </x:c>
      <x:c r="G45" s="32" t="str">
        <x:v>3.14.2</x:v>
      </x:c>
      <x:c r="H45" s="32" t="str">
        <x:v>deterministic</x:v>
      </x:c>
      <x:c r="I45" s="32" t="n">
        <x:v>1000</x:v>
      </x:c>
      <x:c r="J45" s="32" t="n">
        <x:v>3</x:v>
      </x:c>
      <x:c r="K45" s="32" t="n">
        <x:v>3.0202536833333338</x:v>
      </x:c>
      <x:c r="L45" s="32" t="n">
        <x:v>37</x:v>
      </x:c>
      <x:c r="M45" s="32" t="n">
        <x:v>5</x:v>
      </x:c>
      <x:c r="N45" s="32" t="n">
        <x:v>10</x:v>
      </x:c>
      <x:c r="O45" s="32" t="n">
        <x:v>918.5500530002173</x:v>
      </x:c>
      <x:c r="P45" s="32" t="n">
        <x:v>1038.255205191673</x:v>
      </x:c>
      <x:c r="Q45" s="32" t="n">
        <x:v>1728.0475891986866</x:v>
      </x:c>
      <x:c r="R45" s="32" t="n">
        <x:v>1942.8899570048088</x:v>
      </x:c>
      <x:c r="S45" s="32" t="n">
        <x:v>0</x:v>
      </x:c>
      <x:c r="T45" s="43" t="n">
        <x:v>0</x:v>
      </x:c>
      <x:c r="U45" s="32" t="n">
        <x:v>96.99480693276473</x:v>
      </x:c>
      <x:c r="V45" s="32" t="n">
        <x:v>99.86222053224851</x:v>
      </x:c>
      <x:c r="W45" s="32" t="n">
        <x:v>138.97075591216216</x:v>
      </x:c>
      <x:c r="X45" s="32" t="n">
        <x:v>139.234375</x:v>
      </x:c>
      <x:c r="Y45" s="32"/>
      <x:c r="Z45" s="32"/>
      <x:c r="AA45" s="32"/>
      <x:c r="AB45" s="32"/>
      <x:c r="AC45" s="32" t="n">
        <x:v>0</x:v>
      </x:c>
      <x:c r="AD45" s="32" t="n">
        <x:v>0</x:v>
      </x:c>
      <x:c r="AE45" s="32" t="n">
        <x:v>0</x:v>
      </x:c>
      <x:c r="AF45" s="32" t="n">
        <x:v>0</x:v>
      </x:c>
      <x:c r="AG45" s="32" t="n">
        <x:v>0</x:v>
      </x:c>
      <x:c r="AH45" s="32" t="n">
        <x:v>207.86278299055994</x:v>
      </x:c>
      <x:c r="AI45" s="32" t="str">
        <x:v>PASS</x:v>
      </x:c>
      <x:c r="AJ45" s="32" t="str">
        <x:v>GREEN</x:v>
      </x:c>
      <x:c r="AK45" s="32" t="str">
        <x:v>latest-narrow</x:v>
      </x:c>
      <x:c r="AL45" s="32" t="n">
        <x:v>1</x:v>
      </x:c>
      <x:c r="AM45" s="32" t="n">
        <x:v>1</x:v>
      </x:c>
      <x:c r="AN45" s="32" t="n">
        <x:v>1000</x:v>
      </x:c>
      <x:c r="AO45" s="32" t="n">
        <x:v>1</x:v>
      </x:c>
      <x:c r="AP45" s="32" t="n">
        <x:v>8132</x:v>
      </x:c>
      <x:c r="AQ45" s="32" t="n">
        <x:v>3.9944019954418764</x:v>
      </x:c>
      <x:c r="AR45" s="32" t="n">
        <x:v>5.795439195935618</x:v>
      </x:c>
      <x:c r="AS45" s="32" t="n">
        <x:v>7.248432804481127</x:v>
      </x:c>
      <x:c r="AT45" s="32" t="n">
        <x:v>36</x:v>
      </x:c>
      <x:c r="AU45" s="32" t="str">
        <x:v>28×28 + 8×27</x:v>
      </x:c>
      <x:c r="AV45" s="32" t="n">
        <x:v>0.3763650020118803</x:v>
      </x:c>
      <x:c r="AW45" s="32" t="n">
        <x:v>0.48188479559030395</x:v>
      </x:c>
      <x:c r="AX45" s="32" t="n">
        <x:v>0.5218065594090149</x:v>
      </x:c>
      <x:c r="AY45" t="str">
        <x:v>balanced</x:v>
      </x:c>
      <x:c r="AZ45" s="32" t="str">
        <x:v>PASS</x:v>
      </x:c>
      <x:c r="BA45" s="32" t="n">
        <x:v>1000</x:v>
      </x:c>
      <x:c r="BB45" s="32" t="n">
        <x:v>0</x:v>
      </x:c>
      <x:c r="BC45" s="115" t="b">
        <x:v>1</x:v>
      </x:c>
      <x:c r="BD45" s="32" t="str">
        <x:v>PASS/GREEN. Independent audit confirms cache promotion without durable rewrite: runtime cache PERF-AC-2 while all 100 materialized snapshots remain state_basis PERF-AC-1. WAL has exactly one bootstrap cycle (100 records / 2,030,800 B), one record per group, 0 PERF-AC-2 records, 0 duplicate commit IDs, 0 previous_commit_id mismatches and 0 materialized snapshot mismatches. 1000 occurrences remain open. Adoption #13=1346.11 ms, cycle_executed=true, 0 overruns.</x:v>
      </x:c>
      <x:c r="BE45" s="32"/>
      <x:c r="BF45" s="32"/>
      <x:c r="BG45" s="32"/>
      <x:c r="BH45" s="32"/>
      <x:c r="BI45" s="32"/>
      <x:c r="BJ45" s="32" t="n">
        <x:v>1000</x:v>
      </x:c>
      <x:c r="BK45" s="32" t="n">
        <x:v>1000</x:v>
      </x:c>
      <x:c r="BL45" s="32"/>
      <x:c r="BM45" s="32"/>
      <x:c r="BN45" t="n">
        <x:v>100</x:v>
      </x:c>
      <x:c r="BO45" t="n">
        <x:v>10</x:v>
      </x:c>
      <x:c r="BP45"/>
      <x:c r="BQ45" t="n">
        <x:v>100</x:v>
      </x:c>
      <x:c r="BR45"/>
      <x:c r="BS45" t="n">
        <x:v>1000</x:v>
      </x:c>
      <x:c r="BT45" t="n">
        <x:v>100</x:v>
      </x:c>
      <x:c r="BU45" t="n">
        <x:v>100</x:v>
      </x:c>
      <x:c r="BV45" t="n">
        <x:v>0</x:v>
      </x:c>
      <x:c r="BW45" t="n">
        <x:v>1000</x:v>
      </x:c>
      <x:c r="BX45" t="n">
        <x:v>1000</x:v>
      </x:c>
      <x:c r="BY45" t="n">
        <x:v>0</x:v>
      </x:c>
      <x:c r="BZ45" t="n">
        <x:v>0</x:v>
      </x:c>
      <x:c r="CA45" t="n">
        <x:v>100</x:v>
      </x:c>
      <x:c r="CB45" t="n">
        <x:v>100</x:v>
      </x:c>
      <x:c r="CC45" t="n">
        <x:v>0</x:v>
      </x:c>
      <x:c r="CD45" t="n">
        <x:v>0</x:v>
      </x:c>
      <x:c r="CE45" t="n">
        <x:v>1000</x:v>
      </x:c>
      <x:c r="CF45" t="n">
        <x:v>2000</x:v>
      </x:c>
      <x:c r="CG45" t="n">
        <x:v>1000</x:v>
      </x:c>
      <x:c r="CH45" t="n">
        <x:v>0</x:v>
      </x:c>
      <x:c r="CI45" s="127" t="b">
        <x:v>1</x:v>
      </x:c>
      <x:c r="CJ45"/>
      <x:c r="CK45"/>
      <x:c r="CL45"/>
      <x:c r="CM45"/>
      <x:c r="CN45"/>
      <x:c r="CO45"/>
      <x:c r="CP45"/>
      <x:c r="CQ45" t="n">
        <x:v>0</x:v>
      </x:c>
      <x:c r="CR45"/>
      <x:c r="CS45"/>
      <x:c r="CT45"/>
      <x:c r="CU45"/>
      <x:c r="CV45"/>
      <x:c r="CW45"/>
      <x:c r="CX45"/>
      <x:c r="CY45"/>
      <x:c r="CZ45"/>
      <x:c r="DA45"/>
      <x:c r="DB45"/>
      <x:c r="DC45"/>
      <x:c r="DD45"/>
      <x:c r="DE45"/>
      <x:c r="DF45"/>
      <x:c r="DG45"/>
      <x:c r="DH45" t="str">
        <x:v>baseline</x:v>
      </x:c>
      <x:c r="DI45" t="n">
        <x:v>37</x:v>
      </x:c>
      <x:c r="DJ45" t="n">
        <x:v>0</x:v>
      </x:c>
      <x:c r="DK45" t="n">
        <x:v>0</x:v>
      </x:c>
      <x:c r="DL45" t="n">
        <x:v>0</x:v>
      </x:c>
      <x:c r="DM45" t="n">
        <x:v>0</x:v>
      </x:c>
      <x:c r="DN45" t="n">
        <x:v>0</x:v>
      </x:c>
      <x:c r="DO45" t="n">
        <x:v>0</x:v>
      </x:c>
      <x:c r="DP45" t="n">
        <x:v>0</x:v>
      </x:c>
      <x:c r="DQ45" t="str">
        <x:v>C3</x:v>
      </x:c>
      <x:c r="DR45"/>
      <x:c r="DS45"/>
      <x:c r="DT45"/>
      <x:c r="DU45"/>
      <x:c r="DV45"/>
      <x:c r="DW45"/>
      <x:c r="DX45"/>
      <x:c r="DY45"/>
      <x:c r="DZ45"/>
      <x:c r="EA45"/>
      <x:c r="EB45"/>
      <x:c r="EC45"/>
      <x:c r="ED45"/>
      <x:c r="EE45"/>
      <x:c r="EF45"/>
      <x:c r="EG45"/>
      <x:c r="EH45"/>
      <x:c r="EI45"/>
      <x:c r="EJ45"/>
      <x:c r="EK45"/>
      <x:c r="EL45"/>
      <x:c r="EM45"/>
      <x:c r="EN45"/>
      <x:c r="EO45"/>
      <x:c r="EP45"/>
      <x:c r="EQ45"/>
      <x:c r="ER45"/>
      <x:c r="ES45"/>
      <x:c r="ET45"/>
      <x:c r="EU45"/>
      <x:c r="EV45"/>
      <x:c r="EW45"/>
      <x:c r="EX45"/>
      <x:c r="EY45"/>
      <x:c r="EZ45"/>
      <x:c r="FA45"/>
      <x:c r="FB45"/>
      <x:c r="FC45"/>
      <x:c r="FD45"/>
      <x:c r="FE45"/>
      <x:c r="FF45"/>
      <x:c r="FG45"/>
      <x:c r="FH45"/>
      <x:c r="FI45"/>
      <x:c r="FJ45"/>
      <x:c r="FK45"/>
      <x:c r="FL45"/>
      <x:c r="FM45"/>
      <x:c r="FN45"/>
      <x:c r="FO45"/>
      <x:c r="FP45"/>
      <x:c r="FQ45"/>
      <x:c r="FR45"/>
      <x:c r="FS45"/>
      <x:c r="FT45"/>
      <x:c r="FU45"/>
      <x:c r="FV45"/>
      <x:c r="FW45"/>
      <x:c r="FX45"/>
      <x:c r="FY45"/>
      <x:c r="FZ45"/>
      <x:c r="GA45"/>
      <x:c r="GB45"/>
      <x:c r="GC45"/>
      <x:c r="GD45"/>
      <x:c r="GE45"/>
      <x:c r="GF45"/>
      <x:c r="GG45"/>
      <x:c r="GH45"/>
      <x:c r="GI45"/>
      <x:c r="GJ45"/>
      <x:c r="GK45"/>
      <x:c r="GL45"/>
      <x:c r="GM45"/>
      <x:c r="GN45"/>
      <x:c r="GO45"/>
      <x:c r="GP45"/>
      <x:c r="GQ45"/>
      <x:c r="GR45"/>
      <x:c r="GS45"/>
      <x:c r="GT45"/>
      <x:c r="GU45"/>
      <x:c r="GV45"/>
      <x:c r="GW45"/>
      <x:c r="GX45"/>
      <x:c r="GY45"/>
      <x:c r="GZ45"/>
      <x:c r="HA45"/>
      <x:c r="HB45"/>
      <x:c r="HC45"/>
      <x:c r="HD45"/>
      <x:c r="HE45"/>
      <x:c r="HF45"/>
      <x:c r="HG45"/>
      <x:c r="HH45"/>
      <x:c r="HI45"/>
      <x:c r="HJ45"/>
      <x:c r="HK45"/>
      <x:c r="HL45"/>
      <x:c r="HM45"/>
      <x:c r="HN45"/>
      <x:c r="HO45"/>
      <x:c r="HP45"/>
      <x:c r="HQ45"/>
      <x:c r="HR45"/>
      <x:c r="HS45"/>
      <x:c r="HT45"/>
      <x:c r="HU45"/>
      <x:c r="HV45"/>
      <x:c r="HW45"/>
      <x:c r="HX45"/>
      <x:c r="HY45"/>
      <x:c r="HZ45"/>
      <x:c r="IA45"/>
      <x:c r="IB45"/>
      <x:c r="IC45"/>
      <x:c r="ID45"/>
      <x:c r="IE45"/>
      <x:c r="IF45"/>
      <x:c r="IG45"/>
      <x:c r="IH45"/>
      <x:c r="II45"/>
      <x:c r="IJ45"/>
      <x:c r="IK45"/>
      <x:c r="IL45"/>
      <x:c r="IM45"/>
      <x:c r="IN45"/>
      <x:c r="IO45"/>
      <x:c r="IP45"/>
      <x:c r="IQ45"/>
      <x:c r="IR45"/>
      <x:c r="IS45"/>
      <x:c r="IT45"/>
      <x:c r="IU45"/>
      <x:c r="IV45"/>
      <x:c r="IW45"/>
      <x:c r="IX45"/>
      <x:c r="IY45"/>
      <x:c r="IZ45"/>
      <x:c r="JA45"/>
      <x:c r="JB45"/>
      <x:c r="JC45"/>
      <x:c r="JD45"/>
      <x:c r="JE45"/>
      <x:c r="JF45"/>
      <x:c r="JG45"/>
      <x:c r="JH45"/>
      <x:c r="JI45"/>
      <x:c r="JJ45"/>
      <x:c r="JK45"/>
      <x:c r="JL45"/>
      <x:c r="JM45"/>
      <x:c r="JN45"/>
      <x:c r="JO45"/>
      <x:c r="JP45"/>
      <x:c r="JQ45"/>
      <x:c r="JR45"/>
      <x:c r="JS45"/>
      <x:c r="JT45"/>
      <x:c r="JU45"/>
      <x:c r="JV45"/>
      <x:c r="JW45"/>
      <x:c r="JX45"/>
      <x:c r="JY45"/>
      <x:c r="JZ45"/>
      <x:c r="KA45" t="n">
        <x:v>100</x:v>
      </x:c>
      <x:c r="KB45" t="n">
        <x:v>2030800</x:v>
      </x:c>
      <x:c r="KC45" t="n">
        <x:v>0</x:v>
      </x:c>
      <x:c r="KD45" t="n">
        <x:v>0</x:v>
      </x:c>
      <x:c r="KE45" t="n">
        <x:v>0</x:v>
      </x:c>
      <x:c r="KF45" s="127" t="b">
        <x:v>1</x:v>
      </x:c>
      <x:c r="KG45"/>
      <x:c r="KH45"/>
      <x:c r="KI45"/>
      <x:c r="KJ45"/>
      <x:c r="KK45"/>
      <x:c r="KL45"/>
      <x:c r="KM45"/>
      <x:c r="KN45"/>
      <x:c r="KO45"/>
      <x:c r="KP45"/>
      <x:c r="KQ45"/>
      <x:c r="KR45"/>
      <x:c r="KS45"/>
      <x:c r="KT45"/>
      <x:c r="KU45"/>
      <x:c r="KV45"/>
      <x:c r="KW45"/>
      <x:c r="KX45"/>
      <x:c r="KY45"/>
      <x:c r="KZ45"/>
      <x:c r="LA45"/>
      <x:c r="LB45"/>
      <x:c r="LC45"/>
      <x:c r="LD45"/>
      <x:c r="LE45"/>
      <x:c r="LF45"/>
      <x:c r="LG45"/>
      <x:c r="LH45"/>
      <x:c r="LI45"/>
      <x:c r="LJ45"/>
      <x:c r="LK45"/>
      <x:c r="LL45"/>
      <x:c r="LM45"/>
      <x:c r="LN45"/>
      <x:c r="LO45"/>
      <x:c r="LP45"/>
      <x:c r="LQ45"/>
      <x:c r="LR45"/>
      <x:c r="LS45"/>
      <x:c r="LT45"/>
      <x:c r="LU45"/>
      <x:c r="LV45"/>
      <x:c r="LW45"/>
      <x:c r="LX45"/>
      <x:c r="LY45"/>
      <x:c r="LZ45"/>
      <x:c r="MA45"/>
      <x:c r="MB45"/>
      <x:c r="MC45"/>
      <x:c r="MD45"/>
      <x:c r="ME45"/>
      <x:c r="MF45"/>
      <x:c r="MG45"/>
      <x:c r="MH45"/>
      <x:c r="MI45"/>
      <x:c r="MJ45"/>
      <x:c r="MK45"/>
      <x:c r="ML45" t="n">
        <x:v>1000</x:v>
      </x:c>
      <x:c r="MM45" t="n">
        <x:v>1000</x:v>
      </x:c>
      <x:c r="MN45" t="n">
        <x:v>0</x:v>
      </x:c>
      <x:c r="MO45" t="n">
        <x:v>0</x:v>
      </x:c>
      <x:c r="MP45" t="n">
        <x:v>0</x:v>
      </x:c>
      <x:c r="MQ45" t="n">
        <x:v>0</x:v>
      </x:c>
      <x:c r="MR45" t="n">
        <x:v>0</x:v>
      </x:c>
      <x:c r="MS45" t="str">
        <x:v>PERF-AC-1</x:v>
      </x:c>
      <x:c r="MT45" t="str">
        <x:v>PERF-AC-2</x:v>
      </x:c>
      <x:c r="MU45" t="n">
        <x:v>0.5</x:v>
      </x:c>
      <x:c r="MV45" t="n">
        <x:v>0.75</x:v>
      </x:c>
      <x:c r="MW45" t="n">
        <x:v>1000</x:v>
      </x:c>
      <x:c r="MX45" t="n">
        <x:v>1000</x:v>
      </x:c>
      <x:c r="MY45" t="n">
        <x:v>13</x:v>
      </x:c>
      <x:c r="MZ45" t="n">
        <x:v>1346.1056019878015</x:v>
      </x:c>
      <x:c r="NA45" t="n">
        <x:v>95.08912213943826</x:v>
      </x:c>
      <x:c r="NB45" s="127" t="b">
        <x:v>1</x:v>
      </x:c>
      <x:c r="NC45" t="n">
        <x:v>24</x:v>
      </x:c>
      <x:c r="ND45" t="str">
        <x:v>PERF-AC-2</x:v>
      </x:c>
      <x:c r="NE45" t="n">
        <x:v>100</x:v>
      </x:c>
      <x:c r="NF45" t="n">
        <x:v>0</x:v>
      </x:c>
      <x:c r="NG45" t="n">
        <x:v>100</x:v>
      </x:c>
      <x:c r="NH45" t="n">
        <x:v>0</x:v>
      </x:c>
      <x:c r="NI45" t="n">
        <x:v>1000</x:v>
      </x:c>
      <x:c r="NJ45" t="n">
        <x:v>100</x:v>
      </x:c>
      <x:c r="NK45" t="n">
        <x:v>100</x:v>
      </x:c>
      <x:c r="NL45" t="n">
        <x:v>75.52101783724282</x:v>
      </x:c>
      <x:c r="VW45" s="32"/>
      <x:c r="VX45" s="32"/>
      <x:c r="VY45" s="32"/>
      <x:c r="VZ45" s="32"/>
      <x:c r="WA45" s="32"/>
      <x:c r="WB45" s="32"/>
      <x:c r="WC45" s="32"/>
      <x:c r="WD45" s="32"/>
      <x:c r="WE45" s="32"/>
      <x:c r="WF45" s="32"/>
      <x:c r="WG45" s="32"/>
      <x:c r="WH45" s="32"/>
      <x:c r="WI45" s="32"/>
      <x:c r="WJ45" s="32"/>
      <x:c r="WK45" s="32"/>
      <x:c r="WL45" s="32"/>
      <x:c r="WM45" s="32"/>
      <x:c r="WN45" s="32"/>
      <x:c r="WO45" s="32"/>
      <x:c r="WP45" s="32"/>
      <x:c r="WQ45" s="32"/>
      <x:c r="WR45" s="32"/>
      <x:c r="WS45" s="32"/>
      <x:c r="WT45" s="32"/>
      <x:c r="WU45" s="32"/>
      <x:c r="WV45" s="32"/>
      <x:c r="WW45" s="32"/>
      <x:c r="WX45" s="32"/>
      <x:c r="WY45" s="32"/>
      <x:c r="WZ45" s="32"/>
      <x:c r="XA45" s="32"/>
      <x:c r="XB45" s="32"/>
      <x:c r="XC45" s="32"/>
      <x:c r="XD45" s="32"/>
    </x:row>
    <x:row r="46">
      <x:c r="A46" s="32" t="str">
        <x:v>b474c653-ee7b-4750-b90e-e5182ec82756</x:v>
      </x:c>
      <x:c r="B46" s="32" t="str">
        <x:v>E-002</x:v>
      </x:c>
      <x:c r="C46" s="42" t="n">
        <x:v>46262.85100266656</x:v>
      </x:c>
      <x:c r="D46" s="32" t="str">
        <x:v>489b7424f5051f7a276dafe8d5f318ccf1368d87</x:v>
      </x:c>
      <x:c r="E46" s="32" t="str">
        <x:v>GLONBW11</x:v>
      </x:c>
      <x:c r="F46" s="32" t="str">
        <x:v>local-filesystem</x:v>
      </x:c>
      <x:c r="G46" s="32" t="str">
        <x:v>3.14.2</x:v>
      </x:c>
      <x:c r="H46" s="32" t="str">
        <x:v>deterministic</x:v>
      </x:c>
      <x:c r="I46" s="32" t="n">
        <x:v>1000</x:v>
      </x:c>
      <x:c r="J46" s="32" t="n">
        <x:v>3.5</x:v>
      </x:c>
      <x:c r="K46" s="32" t="n">
        <x:v>3.5551079666666667</x:v>
      </x:c>
      <x:c r="L46" s="32" t="n">
        <x:v>44</x:v>
      </x:c>
      <x:c r="M46" s="32" t="n">
        <x:v>5</x:v>
      </x:c>
      <x:c r="N46" s="32" t="n">
        <x:v>10</x:v>
      </x:c>
      <x:c r="O46" s="32" t="n">
        <x:v>939.8495260029449</x:v>
      </x:c>
      <x:c r="P46" s="32" t="n">
        <x:v>1837.7010123018415</x:v>
      </x:c>
      <x:c r="Q46" s="32" t="n">
        <x:v>2130.553149655898</x:v>
      </x:c>
      <x:c r="R46" s="32" t="n">
        <x:v>2272.824341998785</x:v>
      </x:c>
      <x:c r="S46" s="32" t="n">
        <x:v>0</x:v>
      </x:c>
      <x:c r="T46" s="43" t="n">
        <x:v>0</x:v>
      </x:c>
      <x:c r="U46" s="32" t="n">
        <x:v>96.26593321266411</x:v>
      </x:c>
      <x:c r="V46" s="32" t="n">
        <x:v>100.09002470894741</x:v>
      </x:c>
      <x:c r="W46" s="32" t="n">
        <x:v>148.64759410511363</x:v>
      </x:c>
      <x:c r="X46" s="32" t="n">
        <x:v>149.40234375</x:v>
      </x:c>
      <x:c r="Y46" s="32"/>
      <x:c r="Z46" s="32"/>
      <x:c r="AA46" s="32"/>
      <x:c r="AB46" s="32"/>
      <x:c r="AC46" s="32" t="n">
        <x:v>0</x:v>
      </x:c>
      <x:c r="AD46" s="32" t="n">
        <x:v>0</x:v>
      </x:c>
      <x:c r="AE46" s="32" t="n">
        <x:v>0</x:v>
      </x:c>
      <x:c r="AF46" s="32" t="n">
        <x:v>0</x:v>
      </x:c>
      <x:c r="AG46" s="32" t="n">
        <x:v>0</x:v>
      </x:c>
      <x:c r="AH46" s="32" t="n">
        <x:v>866.661601990927</x:v>
      </x:c>
      <x:c r="AI46" s="32" t="str">
        <x:v>PASS</x:v>
      </x:c>
      <x:c r="AJ46" s="32" t="str">
        <x:v>GREEN</x:v>
      </x:c>
      <x:c r="AK46" s="32" t="str">
        <x:v>latest-narrow</x:v>
      </x:c>
      <x:c r="AL46" s="32" t="n">
        <x:v>1</x:v>
      </x:c>
      <x:c r="AM46" s="32" t="n">
        <x:v>1</x:v>
      </x:c>
      <x:c r="AN46" s="32" t="n">
        <x:v>1000</x:v>
      </x:c>
      <x:c r="AO46" s="32" t="n">
        <x:v>1</x:v>
      </x:c>
      <x:c r="AP46" s="32" t="n">
        <x:v>8132</x:v>
      </x:c>
      <x:c r="AQ46" s="32" t="n">
        <x:v>3.6027399910381064</x:v>
      </x:c>
      <x:c r="AR46" s="32" t="n">
        <x:v>5.300605496449862</x:v>
      </x:c>
      <x:c r="AS46" s="32" t="n">
        <x:v>6.889520755794365</x:v>
      </x:c>
      <x:c r="AT46" s="32" t="n">
        <x:v>36</x:v>
      </x:c>
      <x:c r="AU46" s="32" t="str">
        <x:v>28×28 + 8×27</x:v>
      </x:c>
      <x:c r="AV46" s="32" t="n">
        <x:v>0.37710600008722395</x:v>
      </x:c>
      <x:c r="AW46" s="32" t="n">
        <x:v>0.5648303995258175</x:v>
      </x:c>
      <x:c r="AX46" s="32" t="n">
        <x:v>0.5832557799294591</x:v>
      </x:c>
      <x:c r="AY46" t="str">
        <x:v>balanced</x:v>
      </x:c>
      <x:c r="AZ46" s="32" t="str">
        <x:v>PASS</x:v>
      </x:c>
      <x:c r="BA46" s="32" t="n">
        <x:v>1000</x:v>
      </x:c>
      <x:c r="BB46" s="32" t="n">
        <x:v>0</x:v>
      </x:c>
      <x:c r="BC46" s="115" t="b">
        <x:v>1</x:v>
      </x:c>
      <x:c r="BD46" s="32" t="str">
        <x:v>PASS/GREEN. Independent audit confirms exact four-cycle routing geometry: bootstrap AC-1, route-01 AC-1, adoption AC-2, route-03 AC-2; 100 groups × 4 records. Adoption retained route-01, assigned route-02 and rescheduled route-03 without duplicate/migrated identity. Final 4000 assignments, pending=0, 1000 original occurrences open, cache/snapshots PERF-AC-2, WAL durable==materialized at 8,646,400 B.</x:v>
      </x:c>
      <x:c r="BE46" s="32"/>
      <x:c r="BF46" s="32"/>
      <x:c r="BG46" s="32"/>
      <x:c r="BH46" s="32"/>
      <x:c r="BI46" s="32"/>
      <x:c r="BJ46" s="32" t="n">
        <x:v>1000</x:v>
      </x:c>
      <x:c r="BK46" s="32" t="n">
        <x:v>1000</x:v>
      </x:c>
      <x:c r="BL46" s="32"/>
      <x:c r="BM46" s="32"/>
      <x:c r="BN46" t="n">
        <x:v>100</x:v>
      </x:c>
      <x:c r="BO46" t="n">
        <x:v>10</x:v>
      </x:c>
      <x:c r="BP46"/>
      <x:c r="BQ46" t="n">
        <x:v>100</x:v>
      </x:c>
      <x:c r="BR46"/>
      <x:c r="BS46"/>
      <x:c r="BT46" t="n">
        <x:v>400</x:v>
      </x:c>
      <x:c r="BU46" t="n">
        <x:v>400</x:v>
      </x:c>
      <x:c r="BV46" t="n">
        <x:v>0</x:v>
      </x:c>
      <x:c r="BW46" t="n">
        <x:v>1000</x:v>
      </x:c>
      <x:c r="BX46" t="n">
        <x:v>1000</x:v>
      </x:c>
      <x:c r="BY46" t="n">
        <x:v>0</x:v>
      </x:c>
      <x:c r="BZ46" t="n">
        <x:v>0</x:v>
      </x:c>
      <x:c r="CA46" t="n">
        <x:v>100</x:v>
      </x:c>
      <x:c r="CB46" t="n">
        <x:v>100</x:v>
      </x:c>
      <x:c r="CC46" t="n">
        <x:v>0</x:v>
      </x:c>
      <x:c r="CD46" t="n">
        <x:v>0</x:v>
      </x:c>
      <x:c r="CE46" t="n">
        <x:v>8000</x:v>
      </x:c>
      <x:c r="CF46" t="n">
        <x:v>9000</x:v>
      </x:c>
      <x:c r="CG46" t="n">
        <x:v>1000</x:v>
      </x:c>
      <x:c r="CH46" t="n">
        <x:v>0</x:v>
      </x:c>
      <x:c r="CI46" s="127" t="b">
        <x:v>1</x:v>
      </x:c>
      <x:c r="CJ46"/>
      <x:c r="CK46"/>
      <x:c r="CL46"/>
      <x:c r="CM46"/>
      <x:c r="CN46"/>
      <x:c r="CO46"/>
      <x:c r="CP46"/>
      <x:c r="CQ46" t="n">
        <x:v>0</x:v>
      </x:c>
      <x:c r="CR46"/>
      <x:c r="CS46"/>
      <x:c r="CT46"/>
      <x:c r="CU46"/>
      <x:c r="CV46"/>
      <x:c r="CW46"/>
      <x:c r="CX46"/>
      <x:c r="CY46"/>
      <x:c r="CZ46"/>
      <x:c r="DA46"/>
      <x:c r="DB46"/>
      <x:c r="DC46"/>
      <x:c r="DD46"/>
      <x:c r="DE46"/>
      <x:c r="DF46"/>
      <x:c r="DG46"/>
      <x:c r="DH46" t="str">
        <x:v>baseline</x:v>
      </x:c>
      <x:c r="DI46" t="n">
        <x:v>44</x:v>
      </x:c>
      <x:c r="DJ46" t="n">
        <x:v>0</x:v>
      </x:c>
      <x:c r="DK46" t="n">
        <x:v>0</x:v>
      </x:c>
      <x:c r="DL46" t="n">
        <x:v>0</x:v>
      </x:c>
      <x:c r="DM46" t="n">
        <x:v>0</x:v>
      </x:c>
      <x:c r="DN46" t="n">
        <x:v>0</x:v>
      </x:c>
      <x:c r="DO46" t="n">
        <x:v>0</x:v>
      </x:c>
      <x:c r="DP46" t="n">
        <x:v>0</x:v>
      </x:c>
      <x:c r="DQ46" t="str">
        <x:v>C2</x:v>
      </x:c>
      <x:c r="DR46"/>
      <x:c r="DS46" t="n">
        <x:v>4000</x:v>
      </x:c>
      <x:c r="DT46" t="n">
        <x:v>4000</x:v>
      </x:c>
      <x:c r="DU46" t="n">
        <x:v>3000</x:v>
      </x:c>
      <x:c r="DV46" t="n">
        <x:v>1000</x:v>
      </x:c>
      <x:c r="DW46" t="n">
        <x:v>0</x:v>
      </x:c>
      <x:c r="DX46" t="n">
        <x:v>4000</x:v>
      </x:c>
      <x:c r="DY46" t="n">
        <x:v>4000</x:v>
      </x:c>
      <x:c r="DZ46" t="n">
        <x:v>0</x:v>
      </x:c>
      <x:c r="EA46" t="n">
        <x:v>0</x:v>
      </x:c>
      <x:c r="EB46" t="str">
        <x:v>60,120,180</x:v>
      </x:c>
      <x:c r="EC46" t="n">
        <x:v>3000</x:v>
      </x:c>
      <x:c r="ED46" t="str">
        <x:v>1000,1000,1000</x:v>
      </x:c>
      <x:c r="EE46" t="str">
        <x:v>1000,1000,1000</x:v>
      </x:c>
      <x:c r="EF46" t="str">
        <x:v>1000,2000,3000,4000</x:v>
      </x:c>
      <x:c r="EG46" t="str">
        <x:v>1000,2000,3000,4000</x:v>
      </x:c>
      <x:c r="EH46" t="str">
        <x:v>3000,2000,1000,0</x:v>
      </x:c>
      <x:c r="EI46" t="str">
        <x:v>3000,2000,1000,0</x:v>
      </x:c>
      <x:c r="EJ46"/>
      <x:c r="EK46"/>
      <x:c r="EL46" t="n">
        <x:v>1000</x:v>
      </x:c>
      <x:c r="EM46"/>
      <x:c r="EN46"/>
      <x:c r="EO46"/>
      <x:c r="EP46"/>
      <x:c r="EQ46" t="n">
        <x:v>100</x:v>
      </x:c>
      <x:c r="ER46" t="n">
        <x:v>100</x:v>
      </x:c>
      <x:c r="ES46" s="127" t="b">
        <x:v>1</x:v>
      </x:c>
      <x:c r="ET46"/>
      <x:c r="EU46"/>
      <x:c r="EV46"/>
      <x:c r="EW46"/>
      <x:c r="EX46"/>
      <x:c r="EY46"/>
      <x:c r="EZ46"/>
      <x:c r="FA46"/>
      <x:c r="FB46"/>
      <x:c r="FC46"/>
      <x:c r="FD46"/>
      <x:c r="FE46"/>
      <x:c r="FF46"/>
      <x:c r="FG46"/>
      <x:c r="FH46"/>
      <x:c r="FI46"/>
      <x:c r="FJ46"/>
      <x:c r="FK46"/>
      <x:c r="FL46"/>
      <x:c r="FM46"/>
      <x:c r="FN46"/>
      <x:c r="FO46"/>
      <x:c r="FP46"/>
      <x:c r="FQ46"/>
      <x:c r="FR46"/>
      <x:c r="FS46"/>
      <x:c r="FT46"/>
      <x:c r="FU46"/>
      <x:c r="FV46"/>
      <x:c r="FW46"/>
      <x:c r="FX46"/>
      <x:c r="FY46"/>
      <x:c r="FZ46"/>
      <x:c r="GA46"/>
      <x:c r="GB46"/>
      <x:c r="GC46"/>
      <x:c r="GD46"/>
      <x:c r="GE46"/>
      <x:c r="GF46"/>
      <x:c r="GG46"/>
      <x:c r="GH46"/>
      <x:c r="GI46"/>
      <x:c r="GJ46"/>
      <x:c r="GK46"/>
      <x:c r="GL46"/>
      <x:c r="GM46"/>
      <x:c r="GN46"/>
      <x:c r="GO46"/>
      <x:c r="GP46"/>
      <x:c r="GQ46"/>
      <x:c r="GR46"/>
      <x:c r="GS46"/>
      <x:c r="GT46"/>
      <x:c r="GU46"/>
      <x:c r="GV46"/>
      <x:c r="GW46"/>
      <x:c r="GX46"/>
      <x:c r="GY46"/>
      <x:c r="GZ46"/>
      <x:c r="HA46"/>
      <x:c r="HB46"/>
      <x:c r="HC46"/>
      <x:c r="HD46"/>
      <x:c r="HE46"/>
      <x:c r="HF46"/>
      <x:c r="HG46"/>
      <x:c r="HH46"/>
      <x:c r="HI46"/>
      <x:c r="HJ46"/>
      <x:c r="HK46"/>
      <x:c r="HL46"/>
      <x:c r="HM46"/>
      <x:c r="HN46"/>
      <x:c r="HO46"/>
      <x:c r="HP46"/>
      <x:c r="HQ46"/>
      <x:c r="HR46"/>
      <x:c r="HS46"/>
      <x:c r="HT46"/>
      <x:c r="HU46"/>
      <x:c r="HV46"/>
      <x:c r="HW46"/>
      <x:c r="HX46"/>
      <x:c r="HY46"/>
      <x:c r="HZ46"/>
      <x:c r="IA46"/>
      <x:c r="IB46"/>
      <x:c r="IC46"/>
      <x:c r="ID46"/>
      <x:c r="IE46"/>
      <x:c r="IF46"/>
      <x:c r="IG46"/>
      <x:c r="IH46"/>
      <x:c r="II46"/>
      <x:c r="IJ46"/>
      <x:c r="IK46"/>
      <x:c r="IL46"/>
      <x:c r="IM46"/>
      <x:c r="IN46"/>
      <x:c r="IO46"/>
      <x:c r="IP46"/>
      <x:c r="IQ46"/>
      <x:c r="IR46"/>
      <x:c r="IS46"/>
      <x:c r="IT46"/>
      <x:c r="IU46"/>
      <x:c r="IV46"/>
      <x:c r="IW46"/>
      <x:c r="IX46"/>
      <x:c r="IY46"/>
      <x:c r="IZ46"/>
      <x:c r="JA46"/>
      <x:c r="JB46"/>
      <x:c r="JC46"/>
      <x:c r="JD46"/>
      <x:c r="JE46"/>
      <x:c r="JF46"/>
      <x:c r="JG46"/>
      <x:c r="JH46"/>
      <x:c r="JI46"/>
      <x:c r="JJ46"/>
      <x:c r="JK46"/>
      <x:c r="JL46"/>
      <x:c r="JM46"/>
      <x:c r="JN46"/>
      <x:c r="JO46"/>
      <x:c r="JP46"/>
      <x:c r="JQ46"/>
      <x:c r="JR46"/>
      <x:c r="JS46"/>
      <x:c r="JT46"/>
      <x:c r="JU46"/>
      <x:c r="JV46"/>
      <x:c r="JW46"/>
      <x:c r="JX46"/>
      <x:c r="JY46"/>
      <x:c r="JZ46"/>
      <x:c r="KA46" t="n">
        <x:v>400</x:v>
      </x:c>
      <x:c r="KB46" t="n">
        <x:v>8646400</x:v>
      </x:c>
      <x:c r="KC46" t="n">
        <x:v>0</x:v>
      </x:c>
      <x:c r="KD46" t="n">
        <x:v>0</x:v>
      </x:c>
      <x:c r="KE46" t="n">
        <x:v>0</x:v>
      </x:c>
      <x:c r="KF46" s="127" t="b">
        <x:v>1</x:v>
      </x:c>
      <x:c r="KG46"/>
      <x:c r="KH46"/>
      <x:c r="KI46"/>
      <x:c r="KJ46"/>
      <x:c r="KK46"/>
      <x:c r="KL46"/>
      <x:c r="KM46"/>
      <x:c r="KN46"/>
      <x:c r="KO46"/>
      <x:c r="KP46"/>
      <x:c r="KQ46"/>
      <x:c r="KR46"/>
      <x:c r="KS46"/>
      <x:c r="KT46"/>
      <x:c r="KU46"/>
      <x:c r="KV46"/>
      <x:c r="KW46"/>
      <x:c r="KX46"/>
      <x:c r="KY46"/>
      <x:c r="KZ46"/>
      <x:c r="LA46"/>
      <x:c r="LB46"/>
      <x:c r="LC46"/>
      <x:c r="LD46"/>
      <x:c r="LE46"/>
      <x:c r="LF46"/>
      <x:c r="LG46"/>
      <x:c r="LH46"/>
      <x:c r="LI46"/>
      <x:c r="LJ46"/>
      <x:c r="LK46"/>
      <x:c r="LL46"/>
      <x:c r="LM46"/>
      <x:c r="LN46"/>
      <x:c r="LO46"/>
      <x:c r="LP46"/>
      <x:c r="LQ46"/>
      <x:c r="LR46"/>
      <x:c r="LS46"/>
      <x:c r="LT46"/>
      <x:c r="LU46"/>
      <x:c r="LV46"/>
      <x:c r="LW46"/>
      <x:c r="LX46"/>
      <x:c r="LY46"/>
      <x:c r="LZ46"/>
      <x:c r="MA46"/>
      <x:c r="MB46"/>
      <x:c r="MC46"/>
      <x:c r="MD46"/>
      <x:c r="ME46"/>
      <x:c r="MF46"/>
      <x:c r="MG46"/>
      <x:c r="MH46"/>
      <x:c r="MI46"/>
      <x:c r="MJ46"/>
      <x:c r="MK46"/>
      <x:c r="ML46"/>
      <x:c r="MM46"/>
      <x:c r="MN46"/>
      <x:c r="MO46"/>
      <x:c r="MP46"/>
      <x:c r="MQ46"/>
      <x:c r="MR46"/>
      <x:c r="MS46"/>
      <x:c r="MT46"/>
      <x:c r="MU46"/>
      <x:c r="MV46"/>
      <x:c r="MW46"/>
      <x:c r="MX46"/>
      <x:c r="MY46"/>
      <x:c r="MZ46"/>
      <x:c r="NA46"/>
      <x:c r="NB46"/>
      <x:c r="NC46"/>
      <x:c r="ND46"/>
      <x:c r="NE46"/>
      <x:c r="NF46"/>
      <x:c r="NG46"/>
      <x:c r="NH46"/>
      <x:c r="NI46"/>
      <x:c r="NJ46"/>
      <x:c r="NK46"/>
      <x:c r="NL46"/>
      <x:c r="NM46" t="n">
        <x:v>1000</x:v>
      </x:c>
      <x:c r="NN46" t="n">
        <x:v>1000</x:v>
      </x:c>
      <x:c r="NO46" t="n">
        <x:v>0</x:v>
      </x:c>
      <x:c r="NP46" t="n">
        <x:v>0</x:v>
      </x:c>
      <x:c r="NQ46" t="n">
        <x:v>0</x:v>
      </x:c>
      <x:c r="NR46" t="n">
        <x:v>0</x:v>
      </x:c>
      <x:c r="NS46" t="n">
        <x:v>0</x:v>
      </x:c>
      <x:c r="NT46" t="str">
        <x:v>PERF-AC-1</x:v>
      </x:c>
      <x:c r="NU46" t="str">
        <x:v>PERF-AC-2</x:v>
      </x:c>
      <x:c r="NV46" t="str">
        <x:v>60,120,180</x:v>
      </x:c>
      <x:c r="NW46" t="str">
        <x:v>60,90,150</x:v>
      </x:c>
      <x:c r="NX46" t="n">
        <x:v>19</x:v>
      </x:c>
      <x:c r="NY46" t="n">
        <x:v>1381.6299099999014</x:v>
      </x:c>
      <x:c r="NZ46" t="n">
        <x:v>67.31180276779519</x:v>
      </x:c>
      <x:c r="OA46" s="127" t="b">
        <x:v>0</x:v>
      </x:c>
      <x:c r="OB46" t="n">
        <x:v>100</x:v>
      </x:c>
      <x:c r="OC46" t="n">
        <x:v>1000</x:v>
      </x:c>
      <x:c r="OD46" t="n">
        <x:v>1000</x:v>
      </x:c>
      <x:c r="OE46" t="n">
        <x:v>25</x:v>
      </x:c>
      <x:c r="OF46" t="str">
        <x:v>PERF-AC-2</x:v>
      </x:c>
      <x:c r="OG46" t="n">
        <x:v>200</x:v>
      </x:c>
      <x:c r="OH46" t="n">
        <x:v>200</x:v>
      </x:c>
      <x:c r="OI46" t="n">
        <x:v>4000</x:v>
      </x:c>
      <x:c r="OJ46" t="n">
        <x:v>0</x:v>
      </x:c>
      <x:c r="OK46" t="n">
        <x:v>1000</x:v>
      </x:c>
      <x:c r="OL46" t="n">
        <x:v>0</x:v>
      </x:c>
      <x:c r="OM46" t="n">
        <x:v>100</x:v>
      </x:c>
      <x:c r="ON46" t="n">
        <x:v>400</x:v>
      </x:c>
      <x:c r="OO46" t="n">
        <x:v>400</x:v>
      </x:c>
      <x:c r="OP46" t="str">
        <x:v>1000,2000,3000,4000</x:v>
      </x:c>
      <x:c r="OQ46" t="str">
        <x:v>3000,2000,1000,0</x:v>
      </x:c>
      <x:c r="OR46" t="n">
        <x:v>0</x:v>
      </x:c>
      <x:c r="VW46" s="32"/>
      <x:c r="VX46" s="32"/>
      <x:c r="VY46" s="32"/>
      <x:c r="VZ46" s="32"/>
      <x:c r="WA46" s="32"/>
      <x:c r="WB46" s="32"/>
      <x:c r="WC46" s="32"/>
      <x:c r="WD46" s="32"/>
      <x:c r="WE46" s="32"/>
      <x:c r="WF46" s="32"/>
      <x:c r="WG46" s="32"/>
      <x:c r="WH46" s="32"/>
      <x:c r="WI46" s="32"/>
      <x:c r="WJ46" s="32"/>
      <x:c r="WK46" s="32"/>
      <x:c r="WL46" s="32"/>
      <x:c r="WM46" s="32"/>
      <x:c r="WN46" s="32"/>
      <x:c r="WO46" s="32"/>
      <x:c r="WP46" s="32"/>
      <x:c r="WQ46" s="32"/>
      <x:c r="WR46" s="32"/>
      <x:c r="WS46" s="32"/>
      <x:c r="WT46" s="32"/>
      <x:c r="WU46" s="32"/>
      <x:c r="WV46" s="32"/>
      <x:c r="WW46" s="32"/>
      <x:c r="WX46" s="32"/>
      <x:c r="WY46" s="32"/>
      <x:c r="WZ46" s="32"/>
      <x:c r="XA46" s="32"/>
      <x:c r="XB46" s="32"/>
      <x:c r="XC46" s="32"/>
      <x:c r="XD46" s="32"/>
    </x:row>
    <x:row r="47">
      <x:c r="A47" s="32" t="str">
        <x:v>50b15483-d99c-40d2-93c6-79c1c1e369a6</x:v>
      </x:c>
      <x:c r="B47" s="32" t="str">
        <x:v>E-003</x:v>
      </x:c>
      <x:c r="C47" s="42" t="n">
        <x:v>46262.94284953304</x:v>
      </x:c>
      <x:c r="D47" s="32" t="str">
        <x:v>489b7424f5051f7a276dafe8d5f318ccf1368d87</x:v>
      </x:c>
      <x:c r="E47" s="32" t="str">
        <x:v>GLONBW11</x:v>
      </x:c>
      <x:c r="F47" s="32" t="str">
        <x:v>local-filesystem</x:v>
      </x:c>
      <x:c r="G47" s="32" t="str">
        <x:v>3.14.2</x:v>
      </x:c>
      <x:c r="H47" s="32" t="str">
        <x:v>deterministic</x:v>
      </x:c>
      <x:c r="I47" s="32" t="n">
        <x:v>1000</x:v>
      </x:c>
      <x:c r="J47" s="32" t="n">
        <x:v>3</x:v>
      </x:c>
      <x:c r="K47" s="32" t="n">
        <x:v>3.038258233333333</x:v>
      </x:c>
      <x:c r="L47" s="32" t="n">
        <x:v>38</x:v>
      </x:c>
      <x:c r="M47" s="32" t="n">
        <x:v>5</x:v>
      </x:c>
      <x:c r="N47" s="32" t="n">
        <x:v>10</x:v>
      </x:c>
      <x:c r="O47" s="32" t="n">
        <x:v>824.2129999998724</x:v>
      </x:c>
      <x:c r="P47" s="32" t="n">
        <x:v>968.3296717485061</x:v>
      </x:c>
      <x:c r="Q47" s="32" t="n">
        <x:v>1475.510753193959</x:v>
      </x:c>
      <x:c r="R47" s="32" t="n">
        <x:v>1699.946958993678</x:v>
      </x:c>
      <x:c r="S47" s="32" t="n">
        <x:v>0</x:v>
      </x:c>
      <x:c r="T47" s="43" t="n">
        <x:v>0</x:v>
      </x:c>
      <x:c r="U47" s="32" t="n">
        <x:v>95.80941594384646</x:v>
      </x:c>
      <x:c r="V47" s="32" t="n">
        <x:v>99.94626563944917</x:v>
      </x:c>
      <x:c r="W47" s="32" t="n">
        <x:v>139.22789884868422</x:v>
      </x:c>
      <x:c r="X47" s="32" t="n">
        <x:v>139.5390625</x:v>
      </x:c>
      <x:c r="Y47" s="32"/>
      <x:c r="Z47" s="32"/>
      <x:c r="AA47" s="32"/>
      <x:c r="AB47" s="32"/>
      <x:c r="AC47" s="32" t="n">
        <x:v>0</x:v>
      </x:c>
      <x:c r="AD47" s="32" t="n">
        <x:v>0</x:v>
      </x:c>
      <x:c r="AE47" s="32" t="n">
        <x:v>0</x:v>
      </x:c>
      <x:c r="AF47" s="32" t="n">
        <x:v>0</x:v>
      </x:c>
      <x:c r="AG47" s="32" t="n">
        <x:v>0</x:v>
      </x:c>
      <x:c r="AH47" s="32" t="n">
        <x:v>293.76208799658343</x:v>
      </x:c>
      <x:c r="AI47" s="32" t="str">
        <x:v>PASS</x:v>
      </x:c>
      <x:c r="AJ47" s="32" t="str">
        <x:v>GREEN</x:v>
      </x:c>
      <x:c r="AK47" s="32" t="str">
        <x:v>latest-narrow</x:v>
      </x:c>
      <x:c r="AL47" s="32" t="n">
        <x:v>1</x:v>
      </x:c>
      <x:c r="AM47" s="32" t="n">
        <x:v>1</x:v>
      </x:c>
      <x:c r="AN47" s="32" t="n">
        <x:v>1000</x:v>
      </x:c>
      <x:c r="AO47" s="32" t="n">
        <x:v>1</x:v>
      </x:c>
      <x:c r="AP47" s="32" t="n">
        <x:v>8132</x:v>
      </x:c>
      <x:c r="AQ47" s="32" t="n">
        <x:v>4.135427996516228</x:v>
      </x:c>
      <x:c r="AR47" s="32" t="n">
        <x:v>5.270501197082923</x:v>
      </x:c>
      <x:c r="AS47" s="32" t="n">
        <x:v>6.000374153954909</x:v>
      </x:c>
      <x:c r="AT47" s="32" t="n">
        <x:v>36</x:v>
      </x:c>
      <x:c r="AU47" s="32" t="str">
        <x:v>28×28 + 8×27</x:v>
      </x:c>
      <x:c r="AV47" s="32" t="n">
        <x:v>0.379802004317753</x:v>
      </x:c>
      <x:c r="AW47" s="32" t="n">
        <x:v>0.5013061949284748</x:v>
      </x:c>
      <x:c r="AX47" s="32" t="n">
        <x:v>0.5291948426747695</x:v>
      </x:c>
      <x:c r="AY47" t="str">
        <x:v>balanced</x:v>
      </x:c>
      <x:c r="AZ47" s="32" t="str">
        <x:v>PASS</x:v>
      </x:c>
      <x:c r="BA47" s="32" t="n">
        <x:v>900</x:v>
      </x:c>
      <x:c r="BB47" s="32" t="n">
        <x:v>100</x:v>
      </x:c>
      <x:c r="BC47" s="115" t="b">
        <x:v>1</x:v>
      </x:c>
      <x:c r="BD47" s="32" t="str">
        <x:v>PASS/GREEN. Independent audit confirms exact DISABLED semantics: 100 target alarms retain defined identity but are absent from execution/final snapshots; all 100 original occurrences close with configuration_disabled, 0 configuration_removed, 0 identity mismatches. WAL has 100 bootstrap AC-1 + 100 adoption AC-2 records, two records/group, 0 duplicate IDs/chains; 100 final snapshots are deep-equal latest WAL state, 9 alarms/group, state_basis PERF-AC-2, durable==materialized at 2,658,600 B.</x:v>
      </x:c>
      <x:c r="BE47" s="32"/>
      <x:c r="BF47" s="32"/>
      <x:c r="BG47" s="32"/>
      <x:c r="BH47" s="32"/>
      <x:c r="BI47" s="32"/>
      <x:c r="BJ47" s="32" t="n">
        <x:v>1000</x:v>
      </x:c>
      <x:c r="BK47" s="32" t="n">
        <x:v>1000</x:v>
      </x:c>
      <x:c r="BL47" s="32"/>
      <x:c r="BM47" s="32"/>
      <x:c r="BN47" t="n">
        <x:v>100</x:v>
      </x:c>
      <x:c r="BO47" t="n">
        <x:v>10</x:v>
      </x:c>
      <x:c r="BP47"/>
      <x:c r="BQ47" t="n">
        <x:v>100</x:v>
      </x:c>
      <x:c r="BR47"/>
      <x:c r="BS47"/>
      <x:c r="BT47" t="n">
        <x:v>200</x:v>
      </x:c>
      <x:c r="BU47" t="n">
        <x:v>200</x:v>
      </x:c>
      <x:c r="BV47" t="n">
        <x:v>0</x:v>
      </x:c>
      <x:c r="BW47" t="n">
        <x:v>1000</x:v>
      </x:c>
      <x:c r="BX47" t="n">
        <x:v>1000</x:v>
      </x:c>
      <x:c r="BY47" t="n">
        <x:v>100</x:v>
      </x:c>
      <x:c r="BZ47" t="n">
        <x:v>100</x:v>
      </x:c>
      <x:c r="CA47" t="n">
        <x:v>100</x:v>
      </x:c>
      <x:c r="CB47" t="n">
        <x:v>100</x:v>
      </x:c>
      <x:c r="CC47" t="n">
        <x:v>0</x:v>
      </x:c>
      <x:c r="CD47" t="n">
        <x:v>0</x:v>
      </x:c>
      <x:c r="CE47" t="n">
        <x:v>1000</x:v>
      </x:c>
      <x:c r="CF47" t="n">
        <x:v>2200</x:v>
      </x:c>
      <x:c r="CG47" t="n">
        <x:v>1000</x:v>
      </x:c>
      <x:c r="CH47" t="n">
        <x:v>0</x:v>
      </x:c>
      <x:c r="CI47" s="127" t="b">
        <x:v>1</x:v>
      </x:c>
      <x:c r="CJ47"/>
      <x:c r="CK47"/>
      <x:c r="CL47"/>
      <x:c r="CM47"/>
      <x:c r="CN47"/>
      <x:c r="CO47"/>
      <x:c r="CP47"/>
      <x:c r="CQ47" t="n">
        <x:v>0</x:v>
      </x:c>
      <x:c r="CR47"/>
      <x:c r="CS47"/>
      <x:c r="CT47"/>
      <x:c r="CU47"/>
      <x:c r="CV47"/>
      <x:c r="CW47"/>
      <x:c r="CX47"/>
      <x:c r="CY47"/>
      <x:c r="CZ47"/>
      <x:c r="DA47"/>
      <x:c r="DB47"/>
      <x:c r="DC47"/>
      <x:c r="DD47"/>
      <x:c r="DE47"/>
      <x:c r="DF47"/>
      <x:c r="DG47"/>
      <x:c r="DH47" t="str">
        <x:v>baseline</x:v>
      </x:c>
      <x:c r="DI47" t="n">
        <x:v>38</x:v>
      </x:c>
      <x:c r="DJ47" t="n">
        <x:v>0</x:v>
      </x:c>
      <x:c r="DK47" t="n">
        <x:v>0</x:v>
      </x:c>
      <x:c r="DL47" t="n">
        <x:v>0</x:v>
      </x:c>
      <x:c r="DM47" t="n">
        <x:v>0</x:v>
      </x:c>
      <x:c r="DN47" t="n">
        <x:v>0</x:v>
      </x:c>
      <x:c r="DO47" t="n">
        <x:v>0</x:v>
      </x:c>
      <x:c r="DP47" t="n">
        <x:v>0</x:v>
      </x:c>
      <x:c r="DQ47" t="str">
        <x:v>C3</x:v>
      </x:c>
      <x:c r="DR47"/>
      <x:c r="DS47"/>
      <x:c r="DT47"/>
      <x:c r="DU47"/>
      <x:c r="DV47"/>
      <x:c r="DW47"/>
      <x:c r="DX47" t="n">
        <x:v>900</x:v>
      </x:c>
      <x:c r="DY47" t="n">
        <x:v>900</x:v>
      </x:c>
      <x:c r="DZ47" t="n">
        <x:v>0</x:v>
      </x:c>
      <x:c r="EA47" t="n">
        <x:v>0</x:v>
      </x:c>
      <x:c r="EB47"/>
      <x:c r="EC47"/>
      <x:c r="ED47"/>
      <x:c r="EE47"/>
      <x:c r="EF47"/>
      <x:c r="EG47"/>
      <x:c r="EH47"/>
      <x:c r="EI47"/>
      <x:c r="EJ47"/>
      <x:c r="EK47"/>
      <x:c r="EL47"/>
      <x:c r="EM47"/>
      <x:c r="EN47"/>
      <x:c r="EO47"/>
      <x:c r="EP47"/>
      <x:c r="EQ47"/>
      <x:c r="ER47"/>
      <x:c r="ES47"/>
      <x:c r="ET47"/>
      <x:c r="EU47"/>
      <x:c r="EV47"/>
      <x:c r="EW47"/>
      <x:c r="EX47"/>
      <x:c r="EY47"/>
      <x:c r="EZ47"/>
      <x:c r="FA47"/>
      <x:c r="FB47"/>
      <x:c r="FC47"/>
      <x:c r="FD47"/>
      <x:c r="FE47"/>
      <x:c r="FF47"/>
      <x:c r="FG47"/>
      <x:c r="FH47"/>
      <x:c r="FI47"/>
      <x:c r="FJ47"/>
      <x:c r="FK47"/>
      <x:c r="FL47"/>
      <x:c r="FM47"/>
      <x:c r="FN47"/>
      <x:c r="FO47"/>
      <x:c r="FP47"/>
      <x:c r="FQ47"/>
      <x:c r="FR47"/>
      <x:c r="FS47"/>
      <x:c r="FT47"/>
      <x:c r="FU47"/>
      <x:c r="FV47"/>
      <x:c r="FW47"/>
      <x:c r="FX47"/>
      <x:c r="FY47"/>
      <x:c r="FZ47"/>
      <x:c r="GA47"/>
      <x:c r="GB47"/>
      <x:c r="GC47"/>
      <x:c r="GD47"/>
      <x:c r="GE47"/>
      <x:c r="GF47"/>
      <x:c r="GG47"/>
      <x:c r="GH47"/>
      <x:c r="GI47"/>
      <x:c r="GJ47"/>
      <x:c r="GK47"/>
      <x:c r="GL47"/>
      <x:c r="GM47"/>
      <x:c r="GN47"/>
      <x:c r="GO47"/>
      <x:c r="GP47"/>
      <x:c r="GQ47"/>
      <x:c r="GR47"/>
      <x:c r="GS47"/>
      <x:c r="GT47"/>
      <x:c r="GU47"/>
      <x:c r="GV47"/>
      <x:c r="GW47"/>
      <x:c r="GX47"/>
      <x:c r="GY47"/>
      <x:c r="GZ47"/>
      <x:c r="HA47"/>
      <x:c r="HB47"/>
      <x:c r="HC47"/>
      <x:c r="HD47"/>
      <x:c r="HE47"/>
      <x:c r="HF47"/>
      <x:c r="HG47"/>
      <x:c r="HH47"/>
      <x:c r="HI47"/>
      <x:c r="HJ47"/>
      <x:c r="HK47"/>
      <x:c r="HL47"/>
      <x:c r="HM47"/>
      <x:c r="HN47"/>
      <x:c r="HO47"/>
      <x:c r="HP47"/>
      <x:c r="HQ47"/>
      <x:c r="HR47"/>
      <x:c r="HS47"/>
      <x:c r="HT47"/>
      <x:c r="HU47"/>
      <x:c r="HV47"/>
      <x:c r="HW47"/>
      <x:c r="HX47"/>
      <x:c r="HY47"/>
      <x:c r="HZ47"/>
      <x:c r="IA47"/>
      <x:c r="IB47"/>
      <x:c r="IC47"/>
      <x:c r="ID47"/>
      <x:c r="IE47"/>
      <x:c r="IF47"/>
      <x:c r="IG47"/>
      <x:c r="IH47"/>
      <x:c r="II47"/>
      <x:c r="IJ47"/>
      <x:c r="IK47"/>
      <x:c r="IL47"/>
      <x:c r="IM47"/>
      <x:c r="IN47"/>
      <x:c r="IO47"/>
      <x:c r="IP47"/>
      <x:c r="IQ47"/>
      <x:c r="IR47"/>
      <x:c r="IS47"/>
      <x:c r="IT47"/>
      <x:c r="IU47"/>
      <x:c r="IV47"/>
      <x:c r="IW47"/>
      <x:c r="IX47"/>
      <x:c r="IY47"/>
      <x:c r="IZ47"/>
      <x:c r="JA47"/>
      <x:c r="JB47"/>
      <x:c r="JC47"/>
      <x:c r="JD47"/>
      <x:c r="JE47"/>
      <x:c r="JF47"/>
      <x:c r="JG47"/>
      <x:c r="JH47"/>
      <x:c r="JI47"/>
      <x:c r="JJ47"/>
      <x:c r="JK47"/>
      <x:c r="JL47"/>
      <x:c r="JM47"/>
      <x:c r="JN47"/>
      <x:c r="JO47"/>
      <x:c r="JP47"/>
      <x:c r="JQ47"/>
      <x:c r="JR47"/>
      <x:c r="JS47"/>
      <x:c r="JT47"/>
      <x:c r="JU47"/>
      <x:c r="JV47"/>
      <x:c r="JW47"/>
      <x:c r="JX47"/>
      <x:c r="JY47"/>
      <x:c r="JZ47"/>
      <x:c r="KA47" t="n">
        <x:v>200</x:v>
      </x:c>
      <x:c r="KB47" t="n">
        <x:v>2658600</x:v>
      </x:c>
      <x:c r="KC47" t="n">
        <x:v>0</x:v>
      </x:c>
      <x:c r="KD47" t="n">
        <x:v>0</x:v>
      </x:c>
      <x:c r="KE47" t="n">
        <x:v>0</x:v>
      </x:c>
      <x:c r="KF47" s="127" t="b">
        <x:v>1</x:v>
      </x:c>
      <x:c r="KG47"/>
      <x:c r="KH47"/>
      <x:c r="KI47"/>
      <x:c r="KJ47"/>
      <x:c r="KK47"/>
      <x:c r="KL47"/>
      <x:c r="KM47"/>
      <x:c r="KN47"/>
      <x:c r="KO47"/>
      <x:c r="KP47"/>
      <x:c r="KQ47"/>
      <x:c r="KR47"/>
      <x:c r="KS47"/>
      <x:c r="KT47"/>
      <x:c r="KU47"/>
      <x:c r="KV47"/>
      <x:c r="KW47"/>
      <x:c r="KX47"/>
      <x:c r="KY47"/>
      <x:c r="KZ47"/>
      <x:c r="LA47"/>
      <x:c r="LB47"/>
      <x:c r="LC47"/>
      <x:c r="LD47"/>
      <x:c r="LE47"/>
      <x:c r="LF47"/>
      <x:c r="LG47"/>
      <x:c r="LH47"/>
      <x:c r="LI47"/>
      <x:c r="LJ47"/>
      <x:c r="LK47"/>
      <x:c r="LL47"/>
      <x:c r="LM47"/>
      <x:c r="LN47"/>
      <x:c r="LO47"/>
      <x:c r="LP47"/>
      <x:c r="LQ47"/>
      <x:c r="LR47"/>
      <x:c r="LS47"/>
      <x:c r="LT47"/>
      <x:c r="LU47"/>
      <x:c r="LV47"/>
      <x:c r="LW47"/>
      <x:c r="LX47"/>
      <x:c r="LY47"/>
      <x:c r="LZ47"/>
      <x:c r="MA47"/>
      <x:c r="MB47"/>
      <x:c r="MC47"/>
      <x:c r="MD47"/>
      <x:c r="ME47"/>
      <x:c r="MF47"/>
      <x:c r="MG47"/>
      <x:c r="MH47"/>
      <x:c r="MI47"/>
      <x:c r="MJ47"/>
      <x:c r="MK47"/>
      <x:c r="ML47"/>
      <x:c r="MM47"/>
      <x:c r="MN47"/>
      <x:c r="MO47"/>
      <x:c r="MP47"/>
      <x:c r="MQ47"/>
      <x:c r="MR47"/>
      <x:c r="MS47"/>
      <x:c r="MT47"/>
      <x:c r="MU47"/>
      <x:c r="MV47"/>
      <x:c r="MW47"/>
      <x:c r="MX47"/>
      <x:c r="MY47"/>
      <x:c r="MZ47"/>
      <x:c r="NA47"/>
      <x:c r="NB47"/>
      <x:c r="NC47"/>
      <x:c r="ND47"/>
      <x:c r="NE47"/>
      <x:c r="NF47"/>
      <x:c r="NG47"/>
      <x:c r="NH47"/>
      <x:c r="NI47"/>
      <x:c r="NJ47"/>
      <x:c r="NK47"/>
      <x:c r="NL47"/>
      <x:c r="NM47"/>
      <x:c r="NN47"/>
      <x:c r="NO47"/>
      <x:c r="NP47"/>
      <x:c r="NQ47"/>
      <x:c r="NR47"/>
      <x:c r="NS47"/>
      <x:c r="NT47"/>
      <x:c r="NU47"/>
      <x:c r="NV47"/>
      <x:c r="NW47"/>
      <x:c r="NX47"/>
      <x:c r="NY47"/>
      <x:c r="NZ47"/>
      <x:c r="OA47"/>
      <x:c r="OB47"/>
      <x:c r="OC47"/>
      <x:c r="OD47"/>
      <x:c r="OE47"/>
      <x:c r="OF47"/>
      <x:c r="OG47"/>
      <x:c r="OH47"/>
      <x:c r="OI47"/>
      <x:c r="OJ47"/>
      <x:c r="OK47"/>
      <x:c r="OL47"/>
      <x:c r="OM47"/>
      <x:c r="ON47"/>
      <x:c r="OO47"/>
      <x:c r="OP47"/>
      <x:c r="OQ47"/>
      <x:c r="OR47"/>
      <x:c r="OS47" t="n">
        <x:v>1000</x:v>
      </x:c>
      <x:c r="OT47" t="n">
        <x:v>900</x:v>
      </x:c>
      <x:c r="OU47" t="n">
        <x:v>100</x:v>
      </x:c>
      <x:c r="OV47" t="n">
        <x:v>0</x:v>
      </x:c>
      <x:c r="OW47" t="n">
        <x:v>0</x:v>
      </x:c>
      <x:c r="OX47" t="n">
        <x:v>0</x:v>
      </x:c>
      <x:c r="OY47" t="n">
        <x:v>0</x:v>
      </x:c>
      <x:c r="OZ47" t="str">
        <x:v>PERF-AC-1</x:v>
      </x:c>
      <x:c r="PA47" t="str">
        <x:v>PERF-AC-2</x:v>
      </x:c>
      <x:c r="PB47" t="n">
        <x:v>13</x:v>
      </x:c>
      <x:c r="PC47" t="n">
        <x:v>1093.3626189944334</x:v>
      </x:c>
      <x:c r="PD47" t="n">
        <x:v>58.535017466447606</x:v>
      </x:c>
      <x:c r="PE47" s="127" t="b">
        <x:v>0</x:v>
      </x:c>
      <x:c r="PF47" t="n">
        <x:v>100</x:v>
      </x:c>
      <x:c r="PG47" t="n">
        <x:v>25</x:v>
      </x:c>
      <x:c r="PH47" t="str">
        <x:v>PERF-AC-2</x:v>
      </x:c>
      <x:c r="PI47" t="n">
        <x:v>1000</x:v>
      </x:c>
      <x:c r="PJ47" t="n">
        <x:v>900</x:v>
      </x:c>
      <x:c r="PK47" t="n">
        <x:v>100</x:v>
      </x:c>
      <x:c r="PL47" t="n">
        <x:v>0</x:v>
      </x:c>
      <x:c r="PM47" t="n">
        <x:v>0</x:v>
      </x:c>
      <x:c r="PN47" t="n">
        <x:v>100</x:v>
      </x:c>
      <x:c r="PO47" t="n">
        <x:v>100</x:v>
      </x:c>
      <x:c r="PP47" t="n">
        <x:v>0</x:v>
      </x:c>
      <x:c r="PQ47" t="n">
        <x:v>100</x:v>
      </x:c>
      <x:c r="PR47" t="n">
        <x:v>900</x:v>
      </x:c>
      <x:c r="PS47" t="n">
        <x:v>900</x:v>
      </x:c>
      <x:c r="PT47" t="n">
        <x:v>0</x:v>
      </x:c>
      <x:c r="PU47" t="n">
        <x:v>900</x:v>
      </x:c>
      <x:c r="PV47" t="n">
        <x:v>100</x:v>
      </x:c>
      <x:c r="PW47" t="n">
        <x:v>0</x:v>
      </x:c>
      <x:c r="PX47" t="n">
        <x:v>200</x:v>
      </x:c>
      <x:c r="PY47" t="n">
        <x:v>200</x:v>
      </x:c>
      <x:c r="VW47" s="32"/>
      <x:c r="VX47" s="32"/>
      <x:c r="VY47" s="32"/>
      <x:c r="VZ47" s="32"/>
      <x:c r="WA47" s="32"/>
      <x:c r="WB47" s="32"/>
      <x:c r="WC47" s="32"/>
      <x:c r="WD47" s="32"/>
      <x:c r="WE47" s="32"/>
      <x:c r="WF47" s="32"/>
      <x:c r="WG47" s="32"/>
      <x:c r="WH47" s="32"/>
      <x:c r="WI47" s="32"/>
      <x:c r="WJ47" s="32"/>
      <x:c r="WK47" s="32"/>
      <x:c r="WL47" s="32"/>
      <x:c r="WM47" s="32"/>
      <x:c r="WN47" s="32"/>
      <x:c r="WO47" s="32"/>
      <x:c r="WP47" s="32"/>
      <x:c r="WQ47" s="32"/>
      <x:c r="WR47" s="32"/>
      <x:c r="WS47" s="32"/>
      <x:c r="WT47" s="32"/>
      <x:c r="WU47" s="32"/>
      <x:c r="WV47" s="32"/>
      <x:c r="WW47" s="32"/>
      <x:c r="WX47" s="32"/>
      <x:c r="WY47" s="32"/>
      <x:c r="WZ47" s="32"/>
      <x:c r="XA47" s="32"/>
      <x:c r="XB47" s="32"/>
      <x:c r="XC47" s="32"/>
      <x:c r="XD47" s="32"/>
    </x:row>
    <x:row r="48">
      <x:c r="A48" s="32" t="str">
        <x:v>8ab0d2a9-b933-46df-bc4a-e84456299877</x:v>
      </x:c>
      <x:c r="B48" s="32" t="str">
        <x:v>E-004</x:v>
      </x:c>
      <x:c r="C48" s="42" t="n">
        <x:v>46262.972951316224</x:v>
      </x:c>
      <x:c r="D48" s="32" t="str">
        <x:v>489b7424f5051f7a276dafe8d5f318ccf1368d87</x:v>
      </x:c>
      <x:c r="E48" s="32" t="str">
        <x:v>GLONBW11</x:v>
      </x:c>
      <x:c r="F48" s="32" t="str">
        <x:v>local-filesystem</x:v>
      </x:c>
      <x:c r="G48" s="32" t="str">
        <x:v>3.14.2</x:v>
      </x:c>
      <x:c r="H48" s="32" t="str">
        <x:v>deterministic</x:v>
      </x:c>
      <x:c r="I48" s="32" t="n">
        <x:v>1000</x:v>
      </x:c>
      <x:c r="J48" s="32" t="n">
        <x:v>3</x:v>
      </x:c>
      <x:c r="K48" s="32" t="n">
        <x:v>3.04184195</x:v>
      </x:c>
      <x:c r="L48" s="32" t="n">
        <x:v>38</x:v>
      </x:c>
      <x:c r="M48" s="32" t="n">
        <x:v>5</x:v>
      </x:c>
      <x:c r="N48" s="32" t="n">
        <x:v>10</x:v>
      </x:c>
      <x:c r="O48" s="32" t="n">
        <x:v>834.7614920057822</x:v>
      </x:c>
      <x:c r="P48" s="32" t="n">
        <x:v>1720.9982622567622</x:v>
      </x:c>
      <x:c r="Q48" s="32" t="n">
        <x:v>1767.1181370715203</x:v>
      </x:c>
      <x:c r="R48" s="32" t="n">
        <x:v>1781.9264950085199</x:v>
      </x:c>
      <x:c r="S48" s="32" t="n">
        <x:v>0</x:v>
      </x:c>
      <x:c r="T48" s="43" t="n">
        <x:v>0</x:v>
      </x:c>
      <x:c r="U48" s="32" t="n">
        <x:v>95.16537085530027</x:v>
      </x:c>
      <x:c r="V48" s="32" t="n">
        <x:v>100.1897474708125</x:v>
      </x:c>
      <x:c r="W48" s="32" t="n">
        <x:v>139.75082236842104</x:v>
      </x:c>
      <x:c r="X48" s="32" t="n">
        <x:v>140.05859375</x:v>
      </x:c>
      <x:c r="Y48" s="32"/>
      <x:c r="Z48" s="32"/>
      <x:c r="AA48" s="32"/>
      <x:c r="AB48" s="32"/>
      <x:c r="AC48" s="32" t="n">
        <x:v>0</x:v>
      </x:c>
      <x:c r="AD48" s="32" t="n">
        <x:v>0</x:v>
      </x:c>
      <x:c r="AE48" s="32" t="n">
        <x:v>0</x:v>
      </x:c>
      <x:c r="AF48" s="32" t="n">
        <x:v>0</x:v>
      </x:c>
      <x:c r="AG48" s="32" t="n">
        <x:v>0</x:v>
      </x:c>
      <x:c r="AH48" s="32" t="n">
        <x:v>492.1379969891859</x:v>
      </x:c>
      <x:c r="AI48" s="32" t="str">
        <x:v>PASS</x:v>
      </x:c>
      <x:c r="AJ48" s="32" t="str">
        <x:v>GREEN</x:v>
      </x:c>
      <x:c r="AK48" s="32" t="str">
        <x:v>latest-narrow</x:v>
      </x:c>
      <x:c r="AL48" s="32" t="n">
        <x:v>1</x:v>
      </x:c>
      <x:c r="AM48" s="32" t="n">
        <x:v>1</x:v>
      </x:c>
      <x:c r="AN48" s="32" t="n">
        <x:v>1000</x:v>
      </x:c>
      <x:c r="AO48" s="32" t="n">
        <x:v>1</x:v>
      </x:c>
      <x:c r="AP48" s="32" t="n">
        <x:v>8132</x:v>
      </x:c>
      <x:c r="AQ48" s="32" t="n">
        <x:v>4.096914999536239</x:v>
      </x:c>
      <x:c r="AR48" s="32" t="n">
        <x:v>5.97993020201102</x:v>
      </x:c>
      <x:c r="AS48" s="32" t="n">
        <x:v>6.442184278275818</x:v>
      </x:c>
      <x:c r="AT48" s="32" t="n">
        <x:v>36</x:v>
      </x:c>
      <x:c r="AU48" s="32" t="str">
        <x:v>28×28 + 8×27</x:v>
      </x:c>
      <x:c r="AV48" s="32" t="n">
        <x:v>0.3860629949485883</x:v>
      </x:c>
      <x:c r="AW48" s="32" t="n">
        <x:v>0.5091704020742328</x:v>
      </x:c>
      <x:c r="AX48" s="32" t="n">
        <x:v>0.5456931202206761</x:v>
      </x:c>
      <x:c r="AY48" t="str">
        <x:v>balanced</x:v>
      </x:c>
      <x:c r="AZ48" s="32" t="str">
        <x:v>PASS</x:v>
      </x:c>
      <x:c r="BA48" s="32" t="n">
        <x:v>1000</x:v>
      </x:c>
      <x:c r="BB48" s="32" t="n">
        <x:v>0</x:v>
      </x:c>
      <x:c r="BC48" s="115" t="b">
        <x:v>1</x:v>
      </x:c>
      <x:c r="BD48" s="32" t="str">
        <x:v>PASS/GREEN. Independent audit confirms REMOVED + orphan preservation: exact first-slot target set across 100 groups, 100 configuration_removed closures preserving original occurrence IDs, 100 ManagementEffect CLEARED, 100 active deactivation-only orphan states, 0 orphan occurrences/management effects and 0 DeactivationEffect CLEARED. WAL=400 / 4,177,400 B with four 100-record cycles, AC1/AC2=300/100, 4 records/group, no duplicate IDs/chains; 100 final snapshots deep-equal latest WAL and durable==materialized.</x:v>
      </x:c>
      <x:c r="BE48" s="32"/>
      <x:c r="BF48" s="32"/>
      <x:c r="BG48" s="32"/>
      <x:c r="BH48" s="32"/>
      <x:c r="BI48" s="32"/>
      <x:c r="BJ48" s="32" t="n">
        <x:v>1000</x:v>
      </x:c>
      <x:c r="BK48" s="32" t="n">
        <x:v>1000</x:v>
      </x:c>
      <x:c r="BL48" s="32"/>
      <x:c r="BM48" s="32"/>
      <x:c r="BN48" t="n">
        <x:v>100</x:v>
      </x:c>
      <x:c r="BO48" t="n">
        <x:v>10</x:v>
      </x:c>
      <x:c r="BP48"/>
      <x:c r="BQ48" t="n">
        <x:v>100</x:v>
      </x:c>
      <x:c r="BR48"/>
      <x:c r="BS48"/>
      <x:c r="BT48" t="n">
        <x:v>400</x:v>
      </x:c>
      <x:c r="BU48" t="n">
        <x:v>400</x:v>
      </x:c>
      <x:c r="BV48" t="n">
        <x:v>0</x:v>
      </x:c>
      <x:c r="BW48" t="n">
        <x:v>1000</x:v>
      </x:c>
      <x:c r="BX48" t="n">
        <x:v>1000</x:v>
      </x:c>
      <x:c r="BY48" t="n">
        <x:v>100</x:v>
      </x:c>
      <x:c r="BZ48" t="n">
        <x:v>100</x:v>
      </x:c>
      <x:c r="CA48" t="n">
        <x:v>100</x:v>
      </x:c>
      <x:c r="CB48" t="n">
        <x:v>100</x:v>
      </x:c>
      <x:c r="CC48" t="n">
        <x:v>0</x:v>
      </x:c>
      <x:c r="CD48" t="n">
        <x:v>0</x:v>
      </x:c>
      <x:c r="CE48" t="n">
        <x:v>1000</x:v>
      </x:c>
      <x:c r="CF48" t="n">
        <x:v>2500</x:v>
      </x:c>
      <x:c r="CG48" t="n">
        <x:v>1000</x:v>
      </x:c>
      <x:c r="CH48" t="n">
        <x:v>0</x:v>
      </x:c>
      <x:c r="CI48" s="127" t="b">
        <x:v>1</x:v>
      </x:c>
      <x:c r="CJ48"/>
      <x:c r="CK48"/>
      <x:c r="CL48"/>
      <x:c r="CM48"/>
      <x:c r="CN48"/>
      <x:c r="CO48"/>
      <x:c r="CP48"/>
      <x:c r="CQ48" t="n">
        <x:v>0</x:v>
      </x:c>
      <x:c r="CR48"/>
      <x:c r="CS48"/>
      <x:c r="CT48"/>
      <x:c r="CU48"/>
      <x:c r="CV48"/>
      <x:c r="CW48"/>
      <x:c r="CX48"/>
      <x:c r="CY48"/>
      <x:c r="CZ48"/>
      <x:c r="DA48"/>
      <x:c r="DB48"/>
      <x:c r="DC48"/>
      <x:c r="DD48"/>
      <x:c r="DE48"/>
      <x:c r="DF48"/>
      <x:c r="DG48"/>
      <x:c r="DH48" t="str">
        <x:v>baseline</x:v>
      </x:c>
      <x:c r="DI48" t="n">
        <x:v>38</x:v>
      </x:c>
      <x:c r="DJ48" t="n">
        <x:v>0</x:v>
      </x:c>
      <x:c r="DK48" t="n">
        <x:v>0</x:v>
      </x:c>
      <x:c r="DL48" t="n">
        <x:v>0</x:v>
      </x:c>
      <x:c r="DM48" t="n">
        <x:v>0</x:v>
      </x:c>
      <x:c r="DN48" t="n">
        <x:v>0</x:v>
      </x:c>
      <x:c r="DO48" t="n">
        <x:v>0</x:v>
      </x:c>
      <x:c r="DP48" t="n">
        <x:v>0</x:v>
      </x:c>
      <x:c r="DQ48" t="str">
        <x:v>C3</x:v>
      </x:c>
      <x:c r="DR48"/>
      <x:c r="DS48"/>
      <x:c r="DT48"/>
      <x:c r="DU48"/>
      <x:c r="DV48"/>
      <x:c r="DW48"/>
      <x:c r="DX48" t="n">
        <x:v>900</x:v>
      </x:c>
      <x:c r="DY48" t="n">
        <x:v>900</x:v>
      </x:c>
      <x:c r="DZ48" t="n">
        <x:v>0</x:v>
      </x:c>
      <x:c r="EA48" t="n">
        <x:v>0</x:v>
      </x:c>
      <x:c r="EB48"/>
      <x:c r="EC48"/>
      <x:c r="ED48"/>
      <x:c r="EE48"/>
      <x:c r="EF48"/>
      <x:c r="EG48"/>
      <x:c r="EH48"/>
      <x:c r="EI48"/>
      <x:c r="EJ48"/>
      <x:c r="EK48"/>
      <x:c r="EL48"/>
      <x:c r="EM48"/>
      <x:c r="EN48"/>
      <x:c r="EO48"/>
      <x:c r="EP48"/>
      <x:c r="EQ48"/>
      <x:c r="ER48"/>
      <x:c r="ES48"/>
      <x:c r="ET48"/>
      <x:c r="EU48"/>
      <x:c r="EV48"/>
      <x:c r="EW48"/>
      <x:c r="EX48"/>
      <x:c r="EY48"/>
      <x:c r="EZ48"/>
      <x:c r="FA48"/>
      <x:c r="FB48"/>
      <x:c r="FC48"/>
      <x:c r="FD48"/>
      <x:c r="FE48"/>
      <x:c r="FF48" t="n">
        <x:v>20</x:v>
      </x:c>
      <x:c r="FG48"/>
      <x:c r="FH48" t="n">
        <x:v>100</x:v>
      </x:c>
      <x:c r="FI48"/>
      <x:c r="FJ48"/>
      <x:c r="FK48" t="n">
        <x:v>100</x:v>
      </x:c>
      <x:c r="FL48" t="n">
        <x:v>100</x:v>
      </x:c>
      <x:c r="FM48" t="n">
        <x:v>100</x:v>
      </x:c>
      <x:c r="FN48" t="n">
        <x:v>100</x:v>
      </x:c>
      <x:c r="FO48"/>
      <x:c r="FP48"/>
      <x:c r="FQ48" t="n">
        <x:v>25600</x:v>
      </x:c>
      <x:c r="FR48" t="n">
        <x:v>0</x:v>
      </x:c>
      <x:c r="FS48" t="n">
        <x:v>0</x:v>
      </x:c>
      <x:c r="FT48" s="127" t="b">
        <x:v>1</x:v>
      </x:c>
      <x:c r="FU48"/>
      <x:c r="FV48"/>
      <x:c r="FW48"/>
      <x:c r="FX48" t="n">
        <x:v>100</x:v>
      </x:c>
      <x:c r="FY48" t="n">
        <x:v>0</x:v>
      </x:c>
      <x:c r="FZ48" t="n">
        <x:v>0</x:v>
      </x:c>
      <x:c r="GA48" t="n">
        <x:v>0</x:v>
      </x:c>
      <x:c r="GB48" t="n">
        <x:v>100</x:v>
      </x:c>
      <x:c r="GC48" t="n">
        <x:v>100</x:v>
      </x:c>
      <x:c r="GD48"/>
      <x:c r="GE48"/>
      <x:c r="GF48"/>
      <x:c r="GG48"/>
      <x:c r="GH48"/>
      <x:c r="GI48"/>
      <x:c r="GJ48"/>
      <x:c r="GK48"/>
      <x:c r="GL48"/>
      <x:c r="GM48" t="str">
        <x:v>burst</x:v>
      </x:c>
      <x:c r="GN48"/>
      <x:c r="GO48"/>
      <x:c r="GP48"/>
      <x:c r="GQ48" t="n">
        <x:v>20</x:v>
      </x:c>
      <x:c r="GR48" t="n">
        <x:v>30</x:v>
      </x:c>
      <x:c r="GS48" t="n">
        <x:v>300</x:v>
      </x:c>
      <x:c r="GT48"/>
      <x:c r="GU48"/>
      <x:c r="GV48"/>
      <x:c r="GW48"/>
      <x:c r="GX48"/>
      <x:c r="GY48" t="n">
        <x:v>100</x:v>
      </x:c>
      <x:c r="GZ48" t="n">
        <x:v>100</x:v>
      </x:c>
      <x:c r="HA48"/>
      <x:c r="HB48" t="n">
        <x:v>100</x:v>
      </x:c>
      <x:c r="HC48" t="n">
        <x:v>100</x:v>
      </x:c>
      <x:c r="HD48" t="n">
        <x:v>100</x:v>
      </x:c>
      <x:c r="HE48" t="n">
        <x:v>100</x:v>
      </x:c>
      <x:c r="HF48" t="n">
        <x:v>0</x:v>
      </x:c>
      <x:c r="HG48" t="n">
        <x:v>25600</x:v>
      </x:c>
      <x:c r="HH48" t="n">
        <x:v>25600</x:v>
      </x:c>
      <x:c r="HI48" t="n">
        <x:v>0</x:v>
      </x:c>
      <x:c r="HJ48" t="n">
        <x:v>0</x:v>
      </x:c>
      <x:c r="HK48" t="n">
        <x:v>0</x:v>
      </x:c>
      <x:c r="HL48"/>
      <x:c r="HM48"/>
      <x:c r="HN48" s="127" t="b">
        <x:v>1</x:v>
      </x:c>
      <x:c r="HO48"/>
      <x:c r="HP48" s="127" t="b">
        <x:v>1</x:v>
      </x:c>
      <x:c r="HQ48" s="127" t="b">
        <x:v>1</x:v>
      </x:c>
      <x:c r="HR48"/>
      <x:c r="HS48"/>
      <x:c r="HT48"/>
      <x:c r="HU48"/>
      <x:c r="HV48"/>
      <x:c r="HW48"/>
      <x:c r="HX48"/>
      <x:c r="HY48" s="127" t="b">
        <x:v>1</x:v>
      </x:c>
      <x:c r="HZ48"/>
      <x:c r="IA48"/>
      <x:c r="IB48"/>
      <x:c r="IC48"/>
      <x:c r="ID48"/>
      <x:c r="IE48"/>
      <x:c r="IF48"/>
      <x:c r="IG48"/>
      <x:c r="IH48"/>
      <x:c r="II48"/>
      <x:c r="IJ48"/>
      <x:c r="IK48"/>
      <x:c r="IL48"/>
      <x:c r="IM48"/>
      <x:c r="IN48"/>
      <x:c r="IO48"/>
      <x:c r="IP48"/>
      <x:c r="IQ48"/>
      <x:c r="IR48"/>
      <x:c r="IS48"/>
      <x:c r="IT48"/>
      <x:c r="IU48"/>
      <x:c r="IV48"/>
      <x:c r="IW48"/>
      <x:c r="IX48"/>
      <x:c r="IY48"/>
      <x:c r="IZ48"/>
      <x:c r="JA48"/>
      <x:c r="JB48"/>
      <x:c r="JC48"/>
      <x:c r="JD48"/>
      <x:c r="JE48"/>
      <x:c r="JF48"/>
      <x:c r="JG48"/>
      <x:c r="JH48"/>
      <x:c r="JI48"/>
      <x:c r="JJ48"/>
      <x:c r="JK48"/>
      <x:c r="JL48"/>
      <x:c r="JM48"/>
      <x:c r="JN48"/>
      <x:c r="JO48"/>
      <x:c r="JP48"/>
      <x:c r="JQ48"/>
      <x:c r="JR48"/>
      <x:c r="JS48"/>
      <x:c r="JT48"/>
      <x:c r="JU48"/>
      <x:c r="JV48"/>
      <x:c r="JW48"/>
      <x:c r="JX48" t="n">
        <x:v>0</x:v>
      </x:c>
      <x:c r="JY48" t="n">
        <x:v>100</x:v>
      </x:c>
      <x:c r="JZ48" s="127" t="b">
        <x:v>1</x:v>
      </x:c>
      <x:c r="KA48" t="n">
        <x:v>400</x:v>
      </x:c>
      <x:c r="KB48" t="n">
        <x:v>4177400</x:v>
      </x:c>
      <x:c r="KC48" t="n">
        <x:v>0</x:v>
      </x:c>
      <x:c r="KD48" t="n">
        <x:v>0</x:v>
      </x:c>
      <x:c r="KE48" t="n">
        <x:v>0</x:v>
      </x:c>
      <x:c r="KF48" s="127" t="b">
        <x:v>1</x:v>
      </x:c>
      <x:c r="KG48"/>
      <x:c r="KH48"/>
      <x:c r="KI48"/>
      <x:c r="KJ48"/>
      <x:c r="KK48"/>
      <x:c r="KL48"/>
      <x:c r="KM48"/>
      <x:c r="KN48"/>
      <x:c r="KO48"/>
      <x:c r="KP48"/>
      <x:c r="KQ48"/>
      <x:c r="KR48"/>
      <x:c r="KS48"/>
      <x:c r="KT48"/>
      <x:c r="KU48"/>
      <x:c r="KV48"/>
      <x:c r="KW48"/>
      <x:c r="KX48"/>
      <x:c r="KY48"/>
      <x:c r="KZ48"/>
      <x:c r="LA48"/>
      <x:c r="LB48"/>
      <x:c r="LC48"/>
      <x:c r="LD48"/>
      <x:c r="LE48"/>
      <x:c r="LF48"/>
      <x:c r="LG48"/>
      <x:c r="LH48"/>
      <x:c r="LI48"/>
      <x:c r="LJ48"/>
      <x:c r="LK48"/>
      <x:c r="LL48"/>
      <x:c r="LM48"/>
      <x:c r="LN48"/>
      <x:c r="LO48"/>
      <x:c r="LP48"/>
      <x:c r="LQ48"/>
      <x:c r="LR48"/>
      <x:c r="LS48"/>
      <x:c r="LT48"/>
      <x:c r="LU48"/>
      <x:c r="LV48"/>
      <x:c r="LW48"/>
      <x:c r="LX48"/>
      <x:c r="LY48"/>
      <x:c r="LZ48"/>
      <x:c r="MA48"/>
      <x:c r="MB48"/>
      <x:c r="MC48"/>
      <x:c r="MD48"/>
      <x:c r="ME48"/>
      <x:c r="MF48"/>
      <x:c r="MG48"/>
      <x:c r="MH48"/>
      <x:c r="MI48"/>
      <x:c r="MJ48"/>
      <x:c r="MK48"/>
      <x:c r="ML48"/>
      <x:c r="MM48"/>
      <x:c r="MN48"/>
      <x:c r="MO48"/>
      <x:c r="MP48"/>
      <x:c r="MQ48"/>
      <x:c r="MR48"/>
      <x:c r="MS48"/>
      <x:c r="MT48"/>
      <x:c r="MU48"/>
      <x:c r="MV48"/>
      <x:c r="MW48"/>
      <x:c r="MX48"/>
      <x:c r="MY48"/>
      <x:c r="MZ48"/>
      <x:c r="NA48"/>
      <x:c r="NB48"/>
      <x:c r="NC48"/>
      <x:c r="ND48"/>
      <x:c r="NE48"/>
      <x:c r="NF48"/>
      <x:c r="NG48"/>
      <x:c r="NH48"/>
      <x:c r="NI48"/>
      <x:c r="NJ48"/>
      <x:c r="NK48"/>
      <x:c r="NL48"/>
      <x:c r="NM48"/>
      <x:c r="NN48"/>
      <x:c r="NO48"/>
      <x:c r="NP48"/>
      <x:c r="NQ48"/>
      <x:c r="NR48"/>
      <x:c r="NS48"/>
      <x:c r="NT48"/>
      <x:c r="NU48"/>
      <x:c r="NV48"/>
      <x:c r="NW48"/>
      <x:c r="NX48"/>
      <x:c r="NY48"/>
      <x:c r="NZ48"/>
      <x:c r="OA48"/>
      <x:c r="OB48"/>
      <x:c r="OC48"/>
      <x:c r="OD48"/>
      <x:c r="OE48"/>
      <x:c r="OF48"/>
      <x:c r="OG48"/>
      <x:c r="OH48"/>
      <x:c r="OI48"/>
      <x:c r="OJ48"/>
      <x:c r="OK48"/>
      <x:c r="OL48"/>
      <x:c r="OM48"/>
      <x:c r="ON48"/>
      <x:c r="OO48"/>
      <x:c r="OP48"/>
      <x:c r="OQ48"/>
      <x:c r="OR48"/>
      <x:c r="OS48"/>
      <x:c r="OT48"/>
      <x:c r="OU48"/>
      <x:c r="OV48"/>
      <x:c r="OW48"/>
      <x:c r="OX48"/>
      <x:c r="OY48"/>
      <x:c r="OZ48"/>
      <x:c r="PA48"/>
      <x:c r="PB48"/>
      <x:c r="PC48"/>
      <x:c r="PD48"/>
      <x:c r="PE48"/>
      <x:c r="PF48"/>
      <x:c r="PG48"/>
      <x:c r="PH48"/>
      <x:c r="PI48"/>
      <x:c r="PJ48"/>
      <x:c r="PK48"/>
      <x:c r="PL48"/>
      <x:c r="PM48"/>
      <x:c r="PN48"/>
      <x:c r="PO48"/>
      <x:c r="PP48"/>
      <x:c r="PQ48"/>
      <x:c r="PR48"/>
      <x:c r="PS48"/>
      <x:c r="PT48"/>
      <x:c r="PU48"/>
      <x:c r="PV48"/>
      <x:c r="PW48"/>
      <x:c r="PX48"/>
      <x:c r="PY48"/>
      <x:c r="PZ48" t="n">
        <x:v>1000</x:v>
      </x:c>
      <x:c r="QA48" t="n">
        <x:v>900</x:v>
      </x:c>
      <x:c r="QB48" t="n">
        <x:v>100</x:v>
      </x:c>
      <x:c r="QC48" t="n">
        <x:v>0</x:v>
      </x:c>
      <x:c r="QD48" t="n">
        <x:v>0</x:v>
      </x:c>
      <x:c r="QE48" t="n">
        <x:v>0</x:v>
      </x:c>
      <x:c r="QF48" t="n">
        <x:v>0</x:v>
      </x:c>
      <x:c r="QG48" t="str">
        <x:v>PERF-AC-1</x:v>
      </x:c>
      <x:c r="QH48" t="str">
        <x:v>PERF-AC-2</x:v>
      </x:c>
      <x:c r="QI48" t="n">
        <x:v>20</x:v>
      </x:c>
      <x:c r="QJ48" t="n">
        <x:v>30</x:v>
      </x:c>
      <x:c r="QK48" t="n">
        <x:v>60</x:v>
      </x:c>
      <x:c r="QL48" t="n">
        <x:v>300</x:v>
      </x:c>
      <x:c r="QM48" t="n">
        <x:v>13</x:v>
      </x:c>
      <x:c r="QN48" t="n">
        <x:v>1102.5317380117485</x:v>
      </x:c>
      <x:c r="QO48" t="n">
        <x:v>60.76922567401489</x:v>
      </x:c>
      <x:c r="QP48" s="127" t="b">
        <x:v>0</x:v>
      </x:c>
      <x:c r="QQ48" t="n">
        <x:v>100</x:v>
      </x:c>
      <x:c r="QR48" t="n">
        <x:v>25</x:v>
      </x:c>
      <x:c r="QS48" t="str">
        <x:v>PERF-AC-2</x:v>
      </x:c>
      <x:c r="QT48" t="n">
        <x:v>100</x:v>
      </x:c>
      <x:c r="QU48" t="n">
        <x:v>100</x:v>
      </x:c>
      <x:c r="QV48" t="n">
        <x:v>100</x:v>
      </x:c>
      <x:c r="QW48" t="n">
        <x:v>100</x:v>
      </x:c>
      <x:c r="QX48" t="n">
        <x:v>100</x:v>
      </x:c>
      <x:c r="QY48" t="n">
        <x:v>100</x:v>
      </x:c>
      <x:c r="QZ48" t="n">
        <x:v>0</x:v>
      </x:c>
      <x:c r="RA48" t="n">
        <x:v>100</x:v>
      </x:c>
      <x:c r="RB48" t="n">
        <x:v>0</x:v>
      </x:c>
      <x:c r="RC48" t="n">
        <x:v>0</x:v>
      </x:c>
      <x:c r="RD48" t="n">
        <x:v>0</x:v>
      </x:c>
      <x:c r="RE48" t="n">
        <x:v>300</x:v>
      </x:c>
      <x:c r="RF48" t="n">
        <x:v>100</x:v>
      </x:c>
      <x:c r="RG48" t="n">
        <x:v>0</x:v>
      </x:c>
      <x:c r="RH48" t="n">
        <x:v>100</x:v>
      </x:c>
      <x:c r="RI48" t="n">
        <x:v>900</x:v>
      </x:c>
      <x:c r="RJ48" t="n">
        <x:v>900</x:v>
      </x:c>
      <x:c r="RK48" t="n">
        <x:v>1000</x:v>
      </x:c>
      <x:c r="RL48" t="n">
        <x:v>900</x:v>
      </x:c>
      <x:c r="RM48" t="n">
        <x:v>0</x:v>
      </x:c>
      <x:c r="RN48" t="n">
        <x:v>900</x:v>
      </x:c>
      <x:c r="RO48" t="n">
        <x:v>100</x:v>
      </x:c>
      <x:c r="RP48" t="n">
        <x:v>100</x:v>
      </x:c>
      <x:c r="RQ48" t="n">
        <x:v>0</x:v>
      </x:c>
      <x:c r="RR48" t="n">
        <x:v>0</x:v>
      </x:c>
      <x:c r="RS48" t="n">
        <x:v>25600</x:v>
      </x:c>
      <x:c r="RT48" t="n">
        <x:v>25600</x:v>
      </x:c>
      <x:c r="RU48" t="n">
        <x:v>0</x:v>
      </x:c>
      <x:c r="RV48" t="n">
        <x:v>0</x:v>
      </x:c>
      <x:c r="RW48" t="n">
        <x:v>0</x:v>
      </x:c>
      <x:c r="RX48" s="127" t="b">
        <x:v>1</x:v>
      </x:c>
      <x:c r="RY48" t="n">
        <x:v>400</x:v>
      </x:c>
      <x:c r="RZ48" t="n">
        <x:v>400</x:v>
      </x:c>
      <x:c r="SA48" t="n">
        <x:v>4177400</x:v>
      </x:c>
      <x:c r="VW48" s="32"/>
      <x:c r="VX48" s="32"/>
      <x:c r="VY48" s="32"/>
      <x:c r="VZ48" s="32"/>
      <x:c r="WA48" s="32"/>
      <x:c r="WB48" s="32"/>
      <x:c r="WC48" s="32"/>
      <x:c r="WD48" s="32"/>
      <x:c r="WE48" s="32"/>
      <x:c r="WF48" s="32"/>
      <x:c r="WG48" s="32"/>
      <x:c r="WH48" s="32"/>
      <x:c r="WI48" s="32"/>
      <x:c r="WJ48" s="32"/>
      <x:c r="WK48" s="32"/>
      <x:c r="WL48" s="32"/>
      <x:c r="WM48" s="32"/>
      <x:c r="WN48" s="32"/>
      <x:c r="WO48" s="32"/>
      <x:c r="WP48" s="32"/>
      <x:c r="WQ48" s="32"/>
      <x:c r="WR48" s="32"/>
      <x:c r="WS48" s="32"/>
      <x:c r="WT48" s="32"/>
      <x:c r="WU48" s="32"/>
      <x:c r="WV48" s="32"/>
      <x:c r="WW48" s="32"/>
      <x:c r="WX48" s="32"/>
      <x:c r="WY48" s="32"/>
      <x:c r="WZ48" s="32"/>
      <x:c r="XA48" s="32"/>
      <x:c r="XB48" s="32"/>
      <x:c r="XC48" s="32"/>
      <x:c r="XD48" s="32"/>
    </x:row>
    <x:row r="49">
      <x:c r="A49" s="32" t="str">
        <x:v>501e21ca-8230-4335-9267-4ff98f711a76</x:v>
      </x:c>
      <x:c r="B49" s="32" t="str">
        <x:v>E-005</x:v>
      </x:c>
      <x:c r="C49" s="42" t="n">
        <x:v>46263.00818431062</x:v>
      </x:c>
      <x:c r="D49" s="32" t="str">
        <x:v>489b7424f5051f7a276dafe8d5f318ccf1368d87</x:v>
      </x:c>
      <x:c r="E49" s="32" t="str">
        <x:v>GLONBW11</x:v>
      </x:c>
      <x:c r="F49" s="32" t="str">
        <x:v>local-filesystem</x:v>
      </x:c>
      <x:c r="G49" s="32" t="str">
        <x:v>3.14.2</x:v>
      </x:c>
      <x:c r="H49" s="32" t="str">
        <x:v>deterministic</x:v>
      </x:c>
      <x:c r="I49" s="32" t="n">
        <x:v>1000</x:v>
      </x:c>
      <x:c r="J49" s="32" t="n">
        <x:v>3</x:v>
      </x:c>
      <x:c r="K49" s="32" t="n">
        <x:v>3.028228</x:v>
      </x:c>
      <x:c r="L49" s="32" t="n">
        <x:v>38</x:v>
      </x:c>
      <x:c r="M49" s="32" t="n">
        <x:v>5</x:v>
      </x:c>
      <x:c r="N49" s="32" t="n">
        <x:v>10</x:v>
      </x:c>
      <x:c r="O49" s="32" t="n">
        <x:v>918.4475420042872</x:v>
      </x:c>
      <x:c r="P49" s="32" t="n">
        <x:v>970.6848145993717</x:v>
      </x:c>
      <x:c r="Q49" s="32" t="n">
        <x:v>1423.8731781931729</x:v>
      </x:c>
      <x:c r="R49" s="32" t="n">
        <x:v>1687.0162950071972</x:v>
      </x:c>
      <x:c r="S49" s="32" t="n">
        <x:v>0</x:v>
      </x:c>
      <x:c r="T49" s="43" t="n">
        <x:v>0</x:v>
      </x:c>
      <x:c r="U49" s="32" t="n">
        <x:v>96.87967441355245</x:v>
      </x:c>
      <x:c r="V49" s="32" t="n">
        <x:v>101.20108382126571</x:v>
      </x:c>
      <x:c r="W49" s="32" t="n">
        <x:v>139.70600328947367</x:v>
      </x:c>
      <x:c r="X49" s="32" t="n">
        <x:v>139.96484375</x:v>
      </x:c>
      <x:c r="Y49" s="32"/>
      <x:c r="Z49" s="32"/>
      <x:c r="AA49" s="32"/>
      <x:c r="AB49" s="32"/>
      <x:c r="AC49" s="32" t="n">
        <x:v>0</x:v>
      </x:c>
      <x:c r="AD49" s="32" t="n">
        <x:v>0</x:v>
      </x:c>
      <x:c r="AE49" s="32" t="n">
        <x:v>0</x:v>
      </x:c>
      <x:c r="AF49" s="32" t="n">
        <x:v>0</x:v>
      </x:c>
      <x:c r="AG49" s="32" t="n">
        <x:v>0</x:v>
      </x:c>
      <x:c r="AH49" s="32" t="n">
        <x:v>226.88172399648465</x:v>
      </x:c>
      <x:c r="AI49" s="32" t="str">
        <x:v>PASS</x:v>
      </x:c>
      <x:c r="AJ49" s="32" t="str">
        <x:v>GREEN</x:v>
      </x:c>
      <x:c r="AK49" s="32" t="str">
        <x:v>latest-narrow</x:v>
      </x:c>
      <x:c r="AL49" s="32" t="n">
        <x:v>1</x:v>
      </x:c>
      <x:c r="AM49" s="32" t="n">
        <x:v>1</x:v>
      </x:c>
      <x:c r="AN49" s="32" t="n">
        <x:v>1000</x:v>
      </x:c>
      <x:c r="AO49" s="32" t="n">
        <x:v>1</x:v>
      </x:c>
      <x:c r="AP49" s="32" t="n">
        <x:v>8132</x:v>
      </x:c>
      <x:c r="AQ49" s="32" t="n">
        <x:v>4.137687006732449</x:v>
      </x:c>
      <x:c r="AR49" s="32" t="n">
        <x:v>5.265610801870939</x:v>
      </x:c>
      <x:c r="AS49" s="32" t="n">
        <x:v>6.616436405456625</x:v>
      </x:c>
      <x:c r="AT49" s="32" t="n">
        <x:v>36</x:v>
      </x:c>
      <x:c r="AU49" s="32" t="str">
        <x:v>28×28 + 8×27</x:v>
      </x:c>
      <x:c r="AV49" s="32" t="n">
        <x:v>0.3628950071288273</x:v>
      </x:c>
      <x:c r="AW49" s="32" t="n">
        <x:v>0.4372503986814991</x:v>
      </x:c>
      <x:c r="AX49" s="32" t="n">
        <x:v>0.45869231515098363</x:v>
      </x:c>
      <x:c r="AY49" t="str">
        <x:v>balanced</x:v>
      </x:c>
      <x:c r="AZ49" s="32" t="str">
        <x:v>PASS</x:v>
      </x:c>
      <x:c r="BA49" s="32" t="n">
        <x:v>1000</x:v>
      </x:c>
      <x:c r="BB49" s="32" t="n">
        <x:v>0</x:v>
      </x:c>
      <x:c r="BC49" s="115" t="b">
        <x:v>1</x:v>
      </x:c>
      <x:c r="BD49" s="32" t="str">
        <x:v>PASS/GREEN. Independent audit confirms exact five-group structural reset and immediate next-cycle restart. Groups 001..005 have bootstrap/reset/restart records; groups 006..100 remain bootstrap-only. 50 original occurrences and 5 episodes close at reset; exactly the same 50 alarm identities restart with fresh occurrence/episode IDs in iteration 14. WAL=110 / 2,167,095 B, AC1/AC2=100/10, 95 groups×1 + 5 groups×3, no duplicate IDs/chains; final snapshot basis 95 AC1 +5 AC2 and durable==materialized.</x:v>
      </x:c>
      <x:c r="BE49" s="32"/>
      <x:c r="BF49" s="32"/>
      <x:c r="BG49" s="32"/>
      <x:c r="BH49" s="32"/>
      <x:c r="BI49" s="32"/>
      <x:c r="BJ49" s="32" t="n">
        <x:v>1000</x:v>
      </x:c>
      <x:c r="BK49" s="32" t="n">
        <x:v>1000</x:v>
      </x:c>
      <x:c r="BL49" s="32"/>
      <x:c r="BM49" s="32"/>
      <x:c r="BN49" t="n">
        <x:v>100</x:v>
      </x:c>
      <x:c r="BO49" t="n">
        <x:v>10</x:v>
      </x:c>
      <x:c r="BP49"/>
      <x:c r="BQ49" t="n">
        <x:v>100</x:v>
      </x:c>
      <x:c r="BR49"/>
      <x:c r="BS49"/>
      <x:c r="BT49" t="n">
        <x:v>110</x:v>
      </x:c>
      <x:c r="BU49" t="n">
        <x:v>110</x:v>
      </x:c>
      <x:c r="BV49" t="n">
        <x:v>0</x:v>
      </x:c>
      <x:c r="BW49" t="n">
        <x:v>1050</x:v>
      </x:c>
      <x:c r="BX49" t="n">
        <x:v>1050</x:v>
      </x:c>
      <x:c r="BY49" t="n">
        <x:v>50</x:v>
      </x:c>
      <x:c r="BZ49" t="n">
        <x:v>50</x:v>
      </x:c>
      <x:c r="CA49" t="n">
        <x:v>105</x:v>
      </x:c>
      <x:c r="CB49" t="n">
        <x:v>105</x:v>
      </x:c>
      <x:c r="CC49" t="n">
        <x:v>5</x:v>
      </x:c>
      <x:c r="CD49" t="n">
        <x:v>5</x:v>
      </x:c>
      <x:c r="CE49" t="n">
        <x:v>1050</x:v>
      </x:c>
      <x:c r="CF49" t="n">
        <x:v>2150</x:v>
      </x:c>
      <x:c r="CG49" t="n">
        <x:v>1050</x:v>
      </x:c>
      <x:c r="CH49" t="n">
        <x:v>0</x:v>
      </x:c>
      <x:c r="CI49" s="127" t="b">
        <x:v>1</x:v>
      </x:c>
      <x:c r="CJ49"/>
      <x:c r="CK49"/>
      <x:c r="CL49"/>
      <x:c r="CM49"/>
      <x:c r="CN49"/>
      <x:c r="CO49"/>
      <x:c r="CP49"/>
      <x:c r="CQ49" t="n">
        <x:v>0</x:v>
      </x:c>
      <x:c r="CR49"/>
      <x:c r="CS49"/>
      <x:c r="CT49"/>
      <x:c r="CU49"/>
      <x:c r="CV49"/>
      <x:c r="CW49"/>
      <x:c r="CX49"/>
      <x:c r="CY49"/>
      <x:c r="CZ49"/>
      <x:c r="DA49"/>
      <x:c r="DB49"/>
      <x:c r="DC49"/>
      <x:c r="DD49"/>
      <x:c r="DE49"/>
      <x:c r="DF49"/>
      <x:c r="DG49"/>
      <x:c r="DH49" t="str">
        <x:v>baseline</x:v>
      </x:c>
      <x:c r="DI49" t="n">
        <x:v>38</x:v>
      </x:c>
      <x:c r="DJ49" t="n">
        <x:v>0</x:v>
      </x:c>
      <x:c r="DK49" t="n">
        <x:v>0</x:v>
      </x:c>
      <x:c r="DL49" t="n">
        <x:v>0</x:v>
      </x:c>
      <x:c r="DM49" t="n">
        <x:v>0</x:v>
      </x:c>
      <x:c r="DN49" t="n">
        <x:v>0</x:v>
      </x:c>
      <x:c r="DO49" t="n">
        <x:v>0</x:v>
      </x:c>
      <x:c r="DP49" t="n">
        <x:v>0</x:v>
      </x:c>
      <x:c r="DQ49" t="str">
        <x:v>C3</x:v>
      </x:c>
      <x:c r="DR49"/>
      <x:c r="DS49" t="n">
        <x:v>1050</x:v>
      </x:c>
      <x:c r="DT49" t="n">
        <x:v>1050</x:v>
      </x:c>
      <x:c r="DU49"/>
      <x:c r="DV49"/>
      <x:c r="DW49"/>
      <x:c r="DX49" t="n">
        <x:v>1000</x:v>
      </x:c>
      <x:c r="DY49" t="n">
        <x:v>1000</x:v>
      </x:c>
      <x:c r="DZ49" t="n">
        <x:v>0</x:v>
      </x:c>
      <x:c r="EA49" t="n">
        <x:v>0</x:v>
      </x:c>
      <x:c r="EB49"/>
      <x:c r="EC49"/>
      <x:c r="ED49"/>
      <x:c r="EE49"/>
      <x:c r="EF49"/>
      <x:c r="EG49"/>
      <x:c r="EH49"/>
      <x:c r="EI49"/>
      <x:c r="EJ49"/>
      <x:c r="EK49"/>
      <x:c r="EL49"/>
      <x:c r="EM49"/>
      <x:c r="EN49"/>
      <x:c r="EO49"/>
      <x:c r="EP49"/>
      <x:c r="EQ49"/>
      <x:c r="ER49"/>
      <x:c r="ES49"/>
      <x:c r="ET49"/>
      <x:c r="EU49"/>
      <x:c r="EV49"/>
      <x:c r="EW49"/>
      <x:c r="EX49"/>
      <x:c r="EY49"/>
      <x:c r="EZ49"/>
      <x:c r="FA49"/>
      <x:c r="FB49"/>
      <x:c r="FC49"/>
      <x:c r="FD49"/>
      <x:c r="FE49"/>
      <x:c r="FF49"/>
      <x:c r="FG49"/>
      <x:c r="FH49"/>
      <x:c r="FI49"/>
      <x:c r="FJ49"/>
      <x:c r="FK49"/>
      <x:c r="FL49"/>
      <x:c r="FM49"/>
      <x:c r="FN49"/>
      <x:c r="FO49"/>
      <x:c r="FP49"/>
      <x:c r="FQ49"/>
      <x:c r="FR49"/>
      <x:c r="FS49"/>
      <x:c r="FT49"/>
      <x:c r="FU49"/>
      <x:c r="FV49"/>
      <x:c r="FW49"/>
      <x:c r="FX49"/>
      <x:c r="FY49"/>
      <x:c r="FZ49"/>
      <x:c r="GA49"/>
      <x:c r="GB49"/>
      <x:c r="GC49"/>
      <x:c r="GD49"/>
      <x:c r="GE49"/>
      <x:c r="GF49"/>
      <x:c r="GG49"/>
      <x:c r="GH49"/>
      <x:c r="GI49"/>
      <x:c r="GJ49"/>
      <x:c r="GK49"/>
      <x:c r="GL49"/>
      <x:c r="GM49"/>
      <x:c r="GN49"/>
      <x:c r="GO49"/>
      <x:c r="GP49"/>
      <x:c r="GQ49"/>
      <x:c r="GR49"/>
      <x:c r="GS49"/>
      <x:c r="GT49"/>
      <x:c r="GU49"/>
      <x:c r="GV49"/>
      <x:c r="GW49"/>
      <x:c r="GX49"/>
      <x:c r="GY49"/>
      <x:c r="GZ49"/>
      <x:c r="HA49"/>
      <x:c r="HB49"/>
      <x:c r="HC49"/>
      <x:c r="HD49"/>
      <x:c r="HE49"/>
      <x:c r="HF49"/>
      <x:c r="HG49"/>
      <x:c r="HH49"/>
      <x:c r="HI49"/>
      <x:c r="HJ49"/>
      <x:c r="HK49"/>
      <x:c r="HL49"/>
      <x:c r="HM49"/>
      <x:c r="HN49"/>
      <x:c r="HO49"/>
      <x:c r="HP49"/>
      <x:c r="HQ49"/>
      <x:c r="HR49"/>
      <x:c r="HS49"/>
      <x:c r="HT49"/>
      <x:c r="HU49"/>
      <x:c r="HV49"/>
      <x:c r="HW49"/>
      <x:c r="HX49"/>
      <x:c r="HY49"/>
      <x:c r="HZ49"/>
      <x:c r="IA49"/>
      <x:c r="IB49"/>
      <x:c r="IC49"/>
      <x:c r="ID49"/>
      <x:c r="IE49"/>
      <x:c r="IF49"/>
      <x:c r="IG49"/>
      <x:c r="IH49"/>
      <x:c r="II49"/>
      <x:c r="IJ49"/>
      <x:c r="IK49"/>
      <x:c r="IL49"/>
      <x:c r="IM49"/>
      <x:c r="IN49"/>
      <x:c r="IO49"/>
      <x:c r="IP49"/>
      <x:c r="IQ49"/>
      <x:c r="IR49"/>
      <x:c r="IS49"/>
      <x:c r="IT49"/>
      <x:c r="IU49"/>
      <x:c r="IV49"/>
      <x:c r="IW49"/>
      <x:c r="IX49"/>
      <x:c r="IY49"/>
      <x:c r="IZ49"/>
      <x:c r="JA49"/>
      <x:c r="JB49"/>
      <x:c r="JC49"/>
      <x:c r="JD49"/>
      <x:c r="JE49"/>
      <x:c r="JF49"/>
      <x:c r="JG49"/>
      <x:c r="JH49"/>
      <x:c r="JI49"/>
      <x:c r="JJ49"/>
      <x:c r="JK49"/>
      <x:c r="JL49"/>
      <x:c r="JM49"/>
      <x:c r="JN49"/>
      <x:c r="JO49"/>
      <x:c r="JP49"/>
      <x:c r="JQ49"/>
      <x:c r="JR49"/>
      <x:c r="JS49"/>
      <x:c r="JT49"/>
      <x:c r="JU49"/>
      <x:c r="JV49"/>
      <x:c r="JW49"/>
      <x:c r="JX49"/>
      <x:c r="JY49"/>
      <x:c r="JZ49"/>
      <x:c r="KA49" t="n">
        <x:v>110</x:v>
      </x:c>
      <x:c r="KB49" t="n">
        <x:v>2167095</x:v>
      </x:c>
      <x:c r="KC49" t="n">
        <x:v>0</x:v>
      </x:c>
      <x:c r="KD49" t="n">
        <x:v>0</x:v>
      </x:c>
      <x:c r="KE49" t="n">
        <x:v>0</x:v>
      </x:c>
      <x:c r="KF49" s="127" t="b">
        <x:v>1</x:v>
      </x:c>
      <x:c r="KG49"/>
      <x:c r="KH49"/>
      <x:c r="KI49"/>
      <x:c r="KJ49"/>
      <x:c r="KK49"/>
      <x:c r="KL49"/>
      <x:c r="KM49"/>
      <x:c r="KN49"/>
      <x:c r="KO49"/>
      <x:c r="KP49"/>
      <x:c r="KQ49"/>
      <x:c r="KR49"/>
      <x:c r="KS49"/>
      <x:c r="KT49"/>
      <x:c r="KU49"/>
      <x:c r="KV49"/>
      <x:c r="KW49"/>
      <x:c r="KX49"/>
      <x:c r="KY49"/>
      <x:c r="KZ49"/>
      <x:c r="LA49"/>
      <x:c r="LB49"/>
      <x:c r="LC49"/>
      <x:c r="LD49"/>
      <x:c r="LE49"/>
      <x:c r="LF49"/>
      <x:c r="LG49"/>
      <x:c r="LH49"/>
      <x:c r="LI49"/>
      <x:c r="LJ49"/>
      <x:c r="LK49"/>
      <x:c r="LL49"/>
      <x:c r="LM49"/>
      <x:c r="LN49"/>
      <x:c r="LO49"/>
      <x:c r="LP49"/>
      <x:c r="LQ49"/>
      <x:c r="LR49"/>
      <x:c r="LS49"/>
      <x:c r="LT49"/>
      <x:c r="LU49"/>
      <x:c r="LV49"/>
      <x:c r="LW49"/>
      <x:c r="LX49"/>
      <x:c r="LY49"/>
      <x:c r="LZ49"/>
      <x:c r="MA49"/>
      <x:c r="MB49"/>
      <x:c r="MC49"/>
      <x:c r="MD49"/>
      <x:c r="ME49"/>
      <x:c r="MF49"/>
      <x:c r="MG49"/>
      <x:c r="MH49"/>
      <x:c r="MI49"/>
      <x:c r="MJ49"/>
      <x:c r="MK49"/>
      <x:c r="ML49"/>
      <x:c r="MM49"/>
      <x:c r="MN49"/>
      <x:c r="MO49"/>
      <x:c r="MP49"/>
      <x:c r="MQ49"/>
      <x:c r="MR49"/>
      <x:c r="MS49"/>
      <x:c r="MT49"/>
      <x:c r="MU49"/>
      <x:c r="MV49"/>
      <x:c r="MW49"/>
      <x:c r="MX49"/>
      <x:c r="MY49"/>
      <x:c r="MZ49"/>
      <x:c r="NA49"/>
      <x:c r="NB49"/>
      <x:c r="NC49"/>
      <x:c r="ND49"/>
      <x:c r="NE49"/>
      <x:c r="NF49"/>
      <x:c r="NG49"/>
      <x:c r="NH49"/>
      <x:c r="NI49"/>
      <x:c r="NJ49"/>
      <x:c r="NK49"/>
      <x:c r="NL49"/>
      <x:c r="NM49"/>
      <x:c r="NN49"/>
      <x:c r="NO49"/>
      <x:c r="NP49"/>
      <x:c r="NQ49"/>
      <x:c r="NR49"/>
      <x:c r="NS49"/>
      <x:c r="NT49"/>
      <x:c r="NU49"/>
      <x:c r="NV49"/>
      <x:c r="NW49"/>
      <x:c r="NX49"/>
      <x:c r="NY49"/>
      <x:c r="NZ49"/>
      <x:c r="OA49"/>
      <x:c r="OB49"/>
      <x:c r="OC49"/>
      <x:c r="OD49"/>
      <x:c r="OE49"/>
      <x:c r="OF49"/>
      <x:c r="OG49"/>
      <x:c r="OH49"/>
      <x:c r="OI49"/>
      <x:c r="OJ49"/>
      <x:c r="OK49"/>
      <x:c r="OL49"/>
      <x:c r="OM49"/>
      <x:c r="ON49"/>
      <x:c r="OO49"/>
      <x:c r="OP49"/>
      <x:c r="OQ49"/>
      <x:c r="OR49"/>
      <x:c r="OS49"/>
      <x:c r="OT49"/>
      <x:c r="OU49"/>
      <x:c r="OV49"/>
      <x:c r="OW49"/>
      <x:c r="OX49"/>
      <x:c r="OY49"/>
      <x:c r="OZ49"/>
      <x:c r="PA49"/>
      <x:c r="PB49"/>
      <x:c r="PC49"/>
      <x:c r="PD49"/>
      <x:c r="PE49"/>
      <x:c r="PF49"/>
      <x:c r="PG49"/>
      <x:c r="PH49"/>
      <x:c r="PI49"/>
      <x:c r="PJ49"/>
      <x:c r="PK49"/>
      <x:c r="PL49"/>
      <x:c r="PM49"/>
      <x:c r="PN49"/>
      <x:c r="PO49"/>
      <x:c r="PP49"/>
      <x:c r="PQ49"/>
      <x:c r="PR49"/>
      <x:c r="PS49"/>
      <x:c r="PT49"/>
      <x:c r="PU49"/>
      <x:c r="PV49"/>
      <x:c r="PW49"/>
      <x:c r="PX49"/>
      <x:c r="PY49"/>
      <x:c r="PZ49"/>
      <x:c r="QA49"/>
      <x:c r="QB49"/>
      <x:c r="QC49"/>
      <x:c r="QD49"/>
      <x:c r="QE49"/>
      <x:c r="QF49"/>
      <x:c r="QG49"/>
      <x:c r="QH49"/>
      <x:c r="QI49"/>
      <x:c r="QJ49"/>
      <x:c r="QK49"/>
      <x:c r="QL49"/>
      <x:c r="QM49"/>
      <x:c r="QN49"/>
      <x:c r="QO49"/>
      <x:c r="QP49"/>
      <x:c r="QQ49"/>
      <x:c r="QR49"/>
      <x:c r="QS49"/>
      <x:c r="QT49"/>
      <x:c r="QU49"/>
      <x:c r="QV49"/>
      <x:c r="QW49"/>
      <x:c r="QX49"/>
      <x:c r="QY49"/>
      <x:c r="QZ49"/>
      <x:c r="RA49"/>
      <x:c r="RB49"/>
      <x:c r="RC49"/>
      <x:c r="RD49"/>
      <x:c r="RE49"/>
      <x:c r="RF49"/>
      <x:c r="RG49"/>
      <x:c r="RH49"/>
      <x:c r="RI49"/>
      <x:c r="RJ49"/>
      <x:c r="RK49"/>
      <x:c r="RL49"/>
      <x:c r="RM49"/>
      <x:c r="RN49"/>
      <x:c r="RO49"/>
      <x:c r="RP49"/>
      <x:c r="RQ49"/>
      <x:c r="RR49"/>
      <x:c r="RS49"/>
      <x:c r="RT49"/>
      <x:c r="RU49"/>
      <x:c r="RV49"/>
      <x:c r="RW49"/>
      <x:c r="RX49"/>
      <x:c r="RY49"/>
      <x:c r="RZ49"/>
      <x:c r="SA49"/>
      <x:c r="SB49" t="n">
        <x:v>1000</x:v>
      </x:c>
      <x:c r="SC49" t="n">
        <x:v>950</x:v>
      </x:c>
      <x:c r="SD49" t="n">
        <x:v>50</x:v>
      </x:c>
      <x:c r="SE49" t="n">
        <x:v>0</x:v>
      </x:c>
      <x:c r="SF49" t="n">
        <x:v>0</x:v>
      </x:c>
      <x:c r="SG49" t="n">
        <x:v>0</x:v>
      </x:c>
      <x:c r="SH49" t="n">
        <x:v>0</x:v>
      </x:c>
      <x:c r="SI49" t="n">
        <x:v>5</x:v>
      </x:c>
      <x:c r="SJ49" t="str">
        <x:v>PERF-AC-1</x:v>
      </x:c>
      <x:c r="SK49" t="str">
        <x:v>PERF-AC-2</x:v>
      </x:c>
      <x:c r="SL49" t="n">
        <x:v>13</x:v>
      </x:c>
      <x:c r="SM49" t="n">
        <x:v>394.8758960032137</x:v>
      </x:c>
      <x:c r="SN49" t="n">
        <x:v>75.97323691734209</x:v>
      </x:c>
      <x:c r="SO49" s="127" t="b">
        <x:v>0</x:v>
      </x:c>
      <x:c r="SP49" t="n">
        <x:v>5</x:v>
      </x:c>
      <x:c r="SQ49" t="n">
        <x:v>50</x:v>
      </x:c>
      <x:c r="SR49" t="n">
        <x:v>5</x:v>
      </x:c>
      <x:c r="SS49" t="n">
        <x:v>14</x:v>
      </x:c>
      <x:c r="ST49" s="127" t="b">
        <x:v>1</x:v>
      </x:c>
      <x:c r="SU49" s="127" t="b">
        <x:v>1</x:v>
      </x:c>
      <x:c r="SV49" t="n">
        <x:v>396.1078779975651</x:v>
      </x:c>
      <x:c r="SW49" t="n">
        <x:v>975.8186819963157</x:v>
      </x:c>
      <x:c r="SX49" t="n">
        <x:v>5</x:v>
      </x:c>
      <x:c r="SY49" t="n">
        <x:v>50</x:v>
      </x:c>
      <x:c r="SZ49" t="n">
        <x:v>5</x:v>
      </x:c>
      <x:c r="TA49" t="n">
        <x:v>0</x:v>
      </x:c>
      <x:c r="TB49" t="n">
        <x:v>0</x:v>
      </x:c>
      <x:c r="TC49" s="127" t="b">
        <x:v>1</x:v>
      </x:c>
      <x:c r="TD49" s="127" t="b">
        <x:v>1</x:v>
      </x:c>
      <x:c r="TE49" t="n">
        <x:v>100</x:v>
      </x:c>
      <x:c r="TF49" t="n">
        <x:v>10</x:v>
      </x:c>
      <x:c r="TG49" t="n">
        <x:v>95</x:v>
      </x:c>
      <x:c r="TH49" t="n">
        <x:v>5</x:v>
      </x:c>
      <x:c r="TI49" t="n">
        <x:v>95</x:v>
      </x:c>
      <x:c r="TJ49" t="n">
        <x:v>5</x:v>
      </x:c>
      <x:c r="TK49" t="n">
        <x:v>1000</x:v>
      </x:c>
      <x:c r="TL49" t="n">
        <x:v>1000</x:v>
      </x:c>
      <x:c r="TM49" t="n">
        <x:v>1000</x:v>
      </x:c>
      <x:c r="TN49" t="n">
        <x:v>100</x:v>
      </x:c>
      <x:c r="TO49" t="str">
        <x:v>PERF-AC-2</x:v>
      </x:c>
      <x:c r="TP49" t="n">
        <x:v>110</x:v>
      </x:c>
      <x:c r="TQ49" t="n">
        <x:v>110</x:v>
      </x:c>
      <x:c r="TR49" t="n">
        <x:v>2167095</x:v>
      </x:c>
      <x:c r="VW49" s="32"/>
      <x:c r="VX49" s="32"/>
      <x:c r="VY49" s="32"/>
      <x:c r="VZ49" s="32"/>
      <x:c r="WA49" s="32"/>
      <x:c r="WB49" s="32"/>
      <x:c r="WC49" s="32"/>
      <x:c r="WD49" s="32"/>
      <x:c r="WE49" s="32"/>
      <x:c r="WF49" s="32"/>
      <x:c r="WG49" s="32"/>
      <x:c r="WH49" s="32"/>
      <x:c r="WI49" s="32"/>
      <x:c r="WJ49" s="32"/>
      <x:c r="WK49" s="32"/>
      <x:c r="WL49" s="32"/>
      <x:c r="WM49" s="32"/>
      <x:c r="WN49" s="32"/>
      <x:c r="WO49" s="32"/>
      <x:c r="WP49" s="32"/>
      <x:c r="WQ49" s="32"/>
      <x:c r="WR49" s="32"/>
      <x:c r="WS49" s="32"/>
      <x:c r="WT49" s="32"/>
      <x:c r="WU49" s="32"/>
      <x:c r="WV49" s="32"/>
      <x:c r="WW49" s="32"/>
      <x:c r="WX49" s="32"/>
      <x:c r="WY49" s="32"/>
      <x:c r="WZ49" s="32"/>
      <x:c r="XA49" s="32"/>
      <x:c r="XB49" s="32"/>
      <x:c r="XC49" s="32"/>
      <x:c r="XD49" s="32"/>
    </x:row>
    <x:row r="50">
      <x:c r="A50" s="32" t="str">
        <x:v>165f1396-21fe-4770-ac0a-6b7093a917f1</x:v>
      </x:c>
      <x:c r="B50" s="32" t="str">
        <x:v>E-006</x:v>
      </x:c>
      <x:c r="C50" s="42" t="n">
        <x:v>46263.033634245105</x:v>
      </x:c>
      <x:c r="D50" s="32" t="str">
        <x:v>489b7424f5051f7a276dafe8d5f318ccf1368d87</x:v>
      </x:c>
      <x:c r="E50" s="32" t="str">
        <x:v>GLONBW11</x:v>
      </x:c>
      <x:c r="F50" s="32" t="str">
        <x:v>local-filesystem</x:v>
      </x:c>
      <x:c r="G50" s="32" t="str">
        <x:v>3.14.2</x:v>
      </x:c>
      <x:c r="H50" s="32" t="str">
        <x:v>deterministic</x:v>
      </x:c>
      <x:c r="I50" s="32" t="n">
        <x:v>1000</x:v>
      </x:c>
      <x:c r="J50" s="32" t="n">
        <x:v>3</x:v>
      </x:c>
      <x:c r="K50" s="32" t="n">
        <x:v>3.038438483333333</x:v>
      </x:c>
      <x:c r="L50" s="32" t="n">
        <x:v>38</x:v>
      </x:c>
      <x:c r="M50" s="32" t="n">
        <x:v>5</x:v>
      </x:c>
      <x:c r="N50" s="32" t="n">
        <x:v>10</x:v>
      </x:c>
      <x:c r="O50" s="32" t="n">
        <x:v>818.9473984966753</x:v>
      </x:c>
      <x:c r="P50" s="32" t="n">
        <x:v>977.4812751478746</x:v>
      </x:c>
      <x:c r="Q50" s="32" t="n">
        <x:v>1524.7465020620457</x:v>
      </x:c>
      <x:c r="R50" s="32" t="n">
        <x:v>1775.1245260005817</x:v>
      </x:c>
      <x:c r="S50" s="32" t="n">
        <x:v>0</x:v>
      </x:c>
      <x:c r="T50" s="43" t="n">
        <x:v>0</x:v>
      </x:c>
      <x:c r="U50" s="32" t="n">
        <x:v>95.99411231318591</x:v>
      </x:c>
      <x:c r="V50" s="32" t="n">
        <x:v>99.28895736412215</x:v>
      </x:c>
      <x:c r="W50" s="32" t="n">
        <x:v>139.80550986842104</x:v>
      </x:c>
      <x:c r="X50" s="32" t="n">
        <x:v>140.109375</x:v>
      </x:c>
      <x:c r="Y50" s="32"/>
      <x:c r="Z50" s="32"/>
      <x:c r="AA50" s="32"/>
      <x:c r="AB50" s="32"/>
      <x:c r="AC50" s="32" t="n">
        <x:v>0</x:v>
      </x:c>
      <x:c r="AD50" s="32" t="n">
        <x:v>0</x:v>
      </x:c>
      <x:c r="AE50" s="32" t="n">
        <x:v>0</x:v>
      </x:c>
      <x:c r="AF50" s="32" t="n">
        <x:v>0</x:v>
      </x:c>
      <x:c r="AG50" s="32" t="n">
        <x:v>0</x:v>
      </x:c>
      <x:c r="AH50" s="32" t="n">
        <x:v>298.8035900052637</x:v>
      </x:c>
      <x:c r="AI50" s="32" t="str">
        <x:v>PASS</x:v>
      </x:c>
      <x:c r="AJ50" s="32" t="str">
        <x:v>GREEN</x:v>
      </x:c>
      <x:c r="AK50" s="32" t="str">
        <x:v>latest-narrow</x:v>
      </x:c>
      <x:c r="AL50" s="32" t="n">
        <x:v>1</x:v>
      </x:c>
      <x:c r="AM50" s="32" t="n">
        <x:v>1</x:v>
      </x:c>
      <x:c r="AN50" s="32" t="n">
        <x:v>1000</x:v>
      </x:c>
      <x:c r="AO50" s="32" t="n">
        <x:v>1</x:v>
      </x:c>
      <x:c r="AP50" s="32" t="n">
        <x:v>8132</x:v>
      </x:c>
      <x:c r="AQ50" s="32" t="n">
        <x:v>4.565612005535513</x:v>
      </x:c>
      <x:c r="AR50" s="32" t="n">
        <x:v>5.884311205591078</x:v>
      </x:c>
      <x:c r="AS50" s="32" t="n">
        <x:v>7.750880638486707</x:v>
      </x:c>
      <x:c r="AT50" s="32" t="n">
        <x:v>36</x:v>
      </x:c>
      <x:c r="AU50" s="32" t="str">
        <x:v>28×28 + 8×27</x:v>
      </x:c>
      <x:c r="AV50" s="32" t="n">
        <x:v>0.35141500120516866</x:v>
      </x:c>
      <x:c r="AW50" s="32" t="n">
        <x:v>0.47094759647734474</x:v>
      </x:c>
      <x:c r="AX50" s="32" t="n">
        <x:v>0.5887552781496198</x:v>
      </x:c>
      <x:c r="AY50" t="str">
        <x:v>balanced</x:v>
      </x:c>
      <x:c r="AZ50" s="32" t="str">
        <x:v>PASS</x:v>
      </x:c>
      <x:c r="BA50" s="32" t="n">
        <x:v>900</x:v>
      </x:c>
      <x:c r="BB50" s="32" t="n">
        <x:v>100</x:v>
      </x:c>
      <x:c r="BC50" s="115" t="b">
        <x:v>1</x:v>
      </x:c>
      <x:c r="BD50" s="32" t="str">
        <x:v>PASS/GREEN. Independent audit confirms exact mixed-disposition geometry and materialization: reset groups 001..005; disabled groups 006..055; removed groups 051..100; overlap groups 051..055. All 150 closures preserve original occurrence IDs; only reset groups restart with fresh IDs. WAL=205 / 2,750,435 B, AC1/AC2=100/105, 95 groups×2 +5 groups×3, no duplicate IDs/chains; 100 final snapshots are PERF-AC-2 and deep-equal latest WAL, durable==materialized.</x:v>
      </x:c>
      <x:c r="BE50" s="32"/>
      <x:c r="BF50" s="32"/>
      <x:c r="BG50" s="32"/>
      <x:c r="BH50" s="32"/>
      <x:c r="BI50" s="32"/>
      <x:c r="BJ50" s="32" t="n">
        <x:v>1000</x:v>
      </x:c>
      <x:c r="BK50" s="32" t="n">
        <x:v>1000</x:v>
      </x:c>
      <x:c r="BL50" s="32"/>
      <x:c r="BM50" s="32"/>
      <x:c r="BN50" t="n">
        <x:v>100</x:v>
      </x:c>
      <x:c r="BO50" t="n">
        <x:v>10</x:v>
      </x:c>
      <x:c r="BP50"/>
      <x:c r="BQ50" t="n">
        <x:v>100</x:v>
      </x:c>
      <x:c r="BR50"/>
      <x:c r="BS50"/>
      <x:c r="BT50" t="n">
        <x:v>205</x:v>
      </x:c>
      <x:c r="BU50" t="n">
        <x:v>205</x:v>
      </x:c>
      <x:c r="BV50" t="n">
        <x:v>0</x:v>
      </x:c>
      <x:c r="BW50" t="n">
        <x:v>1050</x:v>
      </x:c>
      <x:c r="BX50" t="n">
        <x:v>1050</x:v>
      </x:c>
      <x:c r="BY50" t="n">
        <x:v>150</x:v>
      </x:c>
      <x:c r="BZ50" t="n">
        <x:v>150</x:v>
      </x:c>
      <x:c r="CA50" t="n">
        <x:v>105</x:v>
      </x:c>
      <x:c r="CB50" t="n">
        <x:v>105</x:v>
      </x:c>
      <x:c r="CC50" t="n">
        <x:v>5</x:v>
      </x:c>
      <x:c r="CD50" t="n">
        <x:v>5</x:v>
      </x:c>
      <x:c r="CE50" t="n">
        <x:v>1050</x:v>
      </x:c>
      <x:c r="CF50" t="n">
        <x:v>2300</x:v>
      </x:c>
      <x:c r="CG50" t="n">
        <x:v>1050</x:v>
      </x:c>
      <x:c r="CH50" t="n">
        <x:v>0</x:v>
      </x:c>
      <x:c r="CI50" s="127" t="b">
        <x:v>1</x:v>
      </x:c>
      <x:c r="CJ50"/>
      <x:c r="CK50"/>
      <x:c r="CL50"/>
      <x:c r="CM50"/>
      <x:c r="CN50"/>
      <x:c r="CO50"/>
      <x:c r="CP50"/>
      <x:c r="CQ50" t="n">
        <x:v>0</x:v>
      </x:c>
      <x:c r="CR50"/>
      <x:c r="CS50"/>
      <x:c r="CT50"/>
      <x:c r="CU50"/>
      <x:c r="CV50"/>
      <x:c r="CW50"/>
      <x:c r="CX50"/>
      <x:c r="CY50"/>
      <x:c r="CZ50"/>
      <x:c r="DA50"/>
      <x:c r="DB50"/>
      <x:c r="DC50"/>
      <x:c r="DD50"/>
      <x:c r="DE50"/>
      <x:c r="DF50"/>
      <x:c r="DG50"/>
      <x:c r="DH50" t="str">
        <x:v>baseline</x:v>
      </x:c>
      <x:c r="DI50" t="n">
        <x:v>38</x:v>
      </x:c>
      <x:c r="DJ50" t="n">
        <x:v>0</x:v>
      </x:c>
      <x:c r="DK50" t="n">
        <x:v>0</x:v>
      </x:c>
      <x:c r="DL50" t="n">
        <x:v>0</x:v>
      </x:c>
      <x:c r="DM50" t="n">
        <x:v>0</x:v>
      </x:c>
      <x:c r="DN50" t="n">
        <x:v>0</x:v>
      </x:c>
      <x:c r="DO50" t="n">
        <x:v>0</x:v>
      </x:c>
      <x:c r="DP50" t="n">
        <x:v>0</x:v>
      </x:c>
      <x:c r="DQ50" t="str">
        <x:v>C3</x:v>
      </x:c>
      <x:c r="DR50"/>
      <x:c r="DS50" t="n">
        <x:v>1050</x:v>
      </x:c>
      <x:c r="DT50" t="n">
        <x:v>1050</x:v>
      </x:c>
      <x:c r="DU50"/>
      <x:c r="DV50"/>
      <x:c r="DW50"/>
      <x:c r="DX50" t="n">
        <x:v>900</x:v>
      </x:c>
      <x:c r="DY50" t="n">
        <x:v>900</x:v>
      </x:c>
      <x:c r="DZ50" t="n">
        <x:v>0</x:v>
      </x:c>
      <x:c r="EA50" t="n">
        <x:v>0</x:v>
      </x:c>
      <x:c r="EB50"/>
      <x:c r="EC50"/>
      <x:c r="ED50"/>
      <x:c r="EE50"/>
      <x:c r="EF50"/>
      <x:c r="EG50"/>
      <x:c r="EH50"/>
      <x:c r="EI50"/>
      <x:c r="EJ50"/>
      <x:c r="EK50"/>
      <x:c r="EL50"/>
      <x:c r="EM50"/>
      <x:c r="EN50"/>
      <x:c r="EO50"/>
      <x:c r="EP50"/>
      <x:c r="EQ50"/>
      <x:c r="ER50"/>
      <x:c r="ES50"/>
      <x:c r="ET50"/>
      <x:c r="EU50"/>
      <x:c r="EV50"/>
      <x:c r="EW50"/>
      <x:c r="EX50"/>
      <x:c r="EY50"/>
      <x:c r="EZ50"/>
      <x:c r="FA50"/>
      <x:c r="FB50"/>
      <x:c r="FC50"/>
      <x:c r="FD50"/>
      <x:c r="FE50"/>
      <x:c r="FF50"/>
      <x:c r="FG50"/>
      <x:c r="FH50"/>
      <x:c r="FI50"/>
      <x:c r="FJ50"/>
      <x:c r="FK50"/>
      <x:c r="FL50"/>
      <x:c r="FM50"/>
      <x:c r="FN50"/>
      <x:c r="FO50"/>
      <x:c r="FP50"/>
      <x:c r="FQ50"/>
      <x:c r="FR50"/>
      <x:c r="FS50"/>
      <x:c r="FT50"/>
      <x:c r="FU50"/>
      <x:c r="FV50"/>
      <x:c r="FW50"/>
      <x:c r="FX50"/>
      <x:c r="FY50"/>
      <x:c r="FZ50"/>
      <x:c r="GA50"/>
      <x:c r="GB50"/>
      <x:c r="GC50"/>
      <x:c r="GD50"/>
      <x:c r="GE50"/>
      <x:c r="GF50"/>
      <x:c r="GG50"/>
      <x:c r="GH50"/>
      <x:c r="GI50"/>
      <x:c r="GJ50"/>
      <x:c r="GK50"/>
      <x:c r="GL50"/>
      <x:c r="GM50"/>
      <x:c r="GN50"/>
      <x:c r="GO50"/>
      <x:c r="GP50"/>
      <x:c r="GQ50"/>
      <x:c r="GR50"/>
      <x:c r="GS50"/>
      <x:c r="GT50"/>
      <x:c r="GU50"/>
      <x:c r="GV50"/>
      <x:c r="GW50"/>
      <x:c r="GX50"/>
      <x:c r="GY50"/>
      <x:c r="GZ50"/>
      <x:c r="HA50"/>
      <x:c r="HB50"/>
      <x:c r="HC50"/>
      <x:c r="HD50"/>
      <x:c r="HE50"/>
      <x:c r="HF50"/>
      <x:c r="HG50"/>
      <x:c r="HH50"/>
      <x:c r="HI50"/>
      <x:c r="HJ50"/>
      <x:c r="HK50"/>
      <x:c r="HL50"/>
      <x:c r="HM50"/>
      <x:c r="HN50"/>
      <x:c r="HO50"/>
      <x:c r="HP50"/>
      <x:c r="HQ50"/>
      <x:c r="HR50"/>
      <x:c r="HS50"/>
      <x:c r="HT50"/>
      <x:c r="HU50"/>
      <x:c r="HV50"/>
      <x:c r="HW50"/>
      <x:c r="HX50"/>
      <x:c r="HY50"/>
      <x:c r="HZ50"/>
      <x:c r="IA50"/>
      <x:c r="IB50"/>
      <x:c r="IC50"/>
      <x:c r="ID50"/>
      <x:c r="IE50"/>
      <x:c r="IF50"/>
      <x:c r="IG50"/>
      <x:c r="IH50"/>
      <x:c r="II50"/>
      <x:c r="IJ50"/>
      <x:c r="IK50"/>
      <x:c r="IL50"/>
      <x:c r="IM50"/>
      <x:c r="IN50"/>
      <x:c r="IO50"/>
      <x:c r="IP50"/>
      <x:c r="IQ50"/>
      <x:c r="IR50"/>
      <x:c r="IS50"/>
      <x:c r="IT50"/>
      <x:c r="IU50"/>
      <x:c r="IV50"/>
      <x:c r="IW50"/>
      <x:c r="IX50"/>
      <x:c r="IY50"/>
      <x:c r="IZ50"/>
      <x:c r="JA50"/>
      <x:c r="JB50"/>
      <x:c r="JC50"/>
      <x:c r="JD50"/>
      <x:c r="JE50"/>
      <x:c r="JF50"/>
      <x:c r="JG50"/>
      <x:c r="JH50"/>
      <x:c r="JI50"/>
      <x:c r="JJ50"/>
      <x:c r="JK50"/>
      <x:c r="JL50"/>
      <x:c r="JM50"/>
      <x:c r="JN50"/>
      <x:c r="JO50"/>
      <x:c r="JP50"/>
      <x:c r="JQ50"/>
      <x:c r="JR50"/>
      <x:c r="JS50"/>
      <x:c r="JT50"/>
      <x:c r="JU50"/>
      <x:c r="JV50"/>
      <x:c r="JW50"/>
      <x:c r="JX50"/>
      <x:c r="JY50"/>
      <x:c r="JZ50"/>
      <x:c r="KA50" t="n">
        <x:v>205</x:v>
      </x:c>
      <x:c r="KB50" t="n">
        <x:v>2750435</x:v>
      </x:c>
      <x:c r="KC50" t="n">
        <x:v>0</x:v>
      </x:c>
      <x:c r="KD50" t="n">
        <x:v>0</x:v>
      </x:c>
      <x:c r="KE50" t="n">
        <x:v>0</x:v>
      </x:c>
      <x:c r="KF50" s="127" t="b">
        <x:v>1</x:v>
      </x:c>
      <x:c r="KG50"/>
      <x:c r="KH50"/>
      <x:c r="KI50"/>
      <x:c r="KJ50"/>
      <x:c r="KK50"/>
      <x:c r="KL50"/>
      <x:c r="KM50"/>
      <x:c r="KN50"/>
      <x:c r="KO50"/>
      <x:c r="KP50"/>
      <x:c r="KQ50"/>
      <x:c r="KR50"/>
      <x:c r="KS50"/>
      <x:c r="KT50"/>
      <x:c r="KU50"/>
      <x:c r="KV50"/>
      <x:c r="KW50"/>
      <x:c r="KX50"/>
      <x:c r="KY50"/>
      <x:c r="KZ50"/>
      <x:c r="LA50"/>
      <x:c r="LB50"/>
      <x:c r="LC50"/>
      <x:c r="LD50"/>
      <x:c r="LE50"/>
      <x:c r="LF50"/>
      <x:c r="LG50"/>
      <x:c r="LH50"/>
      <x:c r="LI50"/>
      <x:c r="LJ50"/>
      <x:c r="LK50"/>
      <x:c r="LL50"/>
      <x:c r="LM50"/>
      <x:c r="LN50"/>
      <x:c r="LO50"/>
      <x:c r="LP50"/>
      <x:c r="LQ50"/>
      <x:c r="LR50"/>
      <x:c r="LS50"/>
      <x:c r="LT50"/>
      <x:c r="LU50"/>
      <x:c r="LV50"/>
      <x:c r="LW50"/>
      <x:c r="LX50"/>
      <x:c r="LY50"/>
      <x:c r="LZ50"/>
      <x:c r="MA50"/>
      <x:c r="MB50"/>
      <x:c r="MC50"/>
      <x:c r="MD50"/>
      <x:c r="ME50"/>
      <x:c r="MF50"/>
      <x:c r="MG50"/>
      <x:c r="MH50"/>
      <x:c r="MI50"/>
      <x:c r="MJ50"/>
      <x:c r="MK50"/>
      <x:c r="ML50"/>
      <x:c r="MM50"/>
      <x:c r="MN50"/>
      <x:c r="MO50"/>
      <x:c r="MP50"/>
      <x:c r="MQ50"/>
      <x:c r="MR50"/>
      <x:c r="MS50"/>
      <x:c r="MT50"/>
      <x:c r="MU50"/>
      <x:c r="MV50"/>
      <x:c r="MW50"/>
      <x:c r="MX50"/>
      <x:c r="MY50"/>
      <x:c r="MZ50"/>
      <x:c r="NA50"/>
      <x:c r="NB50"/>
      <x:c r="NC50"/>
      <x:c r="ND50"/>
      <x:c r="NE50"/>
      <x:c r="NF50"/>
      <x:c r="NG50"/>
      <x:c r="NH50"/>
      <x:c r="NI50"/>
      <x:c r="NJ50"/>
      <x:c r="NK50"/>
      <x:c r="NL50"/>
      <x:c r="NM50"/>
      <x:c r="NN50"/>
      <x:c r="NO50"/>
      <x:c r="NP50"/>
      <x:c r="NQ50"/>
      <x:c r="NR50"/>
      <x:c r="NS50"/>
      <x:c r="NT50"/>
      <x:c r="NU50"/>
      <x:c r="NV50"/>
      <x:c r="NW50"/>
      <x:c r="NX50"/>
      <x:c r="NY50"/>
      <x:c r="NZ50"/>
      <x:c r="OA50"/>
      <x:c r="OB50"/>
      <x:c r="OC50"/>
      <x:c r="OD50"/>
      <x:c r="OE50"/>
      <x:c r="OF50"/>
      <x:c r="OG50"/>
      <x:c r="OH50"/>
      <x:c r="OI50"/>
      <x:c r="OJ50"/>
      <x:c r="OK50"/>
      <x:c r="OL50"/>
      <x:c r="OM50"/>
      <x:c r="ON50"/>
      <x:c r="OO50"/>
      <x:c r="OP50"/>
      <x:c r="OQ50"/>
      <x:c r="OR50"/>
      <x:c r="OS50"/>
      <x:c r="OT50"/>
      <x:c r="OU50"/>
      <x:c r="OV50"/>
      <x:c r="OW50"/>
      <x:c r="OX50"/>
      <x:c r="OY50"/>
      <x:c r="OZ50"/>
      <x:c r="PA50"/>
      <x:c r="PB50"/>
      <x:c r="PC50"/>
      <x:c r="PD50"/>
      <x:c r="PE50"/>
      <x:c r="PF50"/>
      <x:c r="PG50"/>
      <x:c r="PH50"/>
      <x:c r="PI50"/>
      <x:c r="PJ50"/>
      <x:c r="PK50"/>
      <x:c r="PL50"/>
      <x:c r="PM50"/>
      <x:c r="PN50"/>
      <x:c r="PO50"/>
      <x:c r="PP50"/>
      <x:c r="PQ50"/>
      <x:c r="PR50"/>
      <x:c r="PS50"/>
      <x:c r="PT50"/>
      <x:c r="PU50"/>
      <x:c r="PV50"/>
      <x:c r="PW50"/>
      <x:c r="PX50"/>
      <x:c r="PY50"/>
      <x:c r="PZ50"/>
      <x:c r="QA50"/>
      <x:c r="QB50"/>
      <x:c r="QC50"/>
      <x:c r="QD50"/>
      <x:c r="QE50"/>
      <x:c r="QF50"/>
      <x:c r="QG50"/>
      <x:c r="QH50"/>
      <x:c r="QI50"/>
      <x:c r="QJ50"/>
      <x:c r="QK50"/>
      <x:c r="QL50"/>
      <x:c r="QM50"/>
      <x:c r="QN50"/>
      <x:c r="QO50"/>
      <x:c r="QP50"/>
      <x:c r="QQ50"/>
      <x:c r="QR50"/>
      <x:c r="QS50"/>
      <x:c r="QT50"/>
      <x:c r="QU50"/>
      <x:c r="QV50"/>
      <x:c r="QW50"/>
      <x:c r="QX50"/>
      <x:c r="QY50"/>
      <x:c r="QZ50"/>
      <x:c r="RA50"/>
      <x:c r="RB50"/>
      <x:c r="RC50"/>
      <x:c r="RD50"/>
      <x:c r="RE50"/>
      <x:c r="RF50"/>
      <x:c r="RG50"/>
      <x:c r="RH50"/>
      <x:c r="RI50"/>
      <x:c r="RJ50"/>
      <x:c r="RK50"/>
      <x:c r="RL50"/>
      <x:c r="RM50"/>
      <x:c r="RN50"/>
      <x:c r="RO50"/>
      <x:c r="RP50"/>
      <x:c r="RQ50"/>
      <x:c r="RR50"/>
      <x:c r="RS50"/>
      <x:c r="RT50"/>
      <x:c r="RU50"/>
      <x:c r="RV50"/>
      <x:c r="RW50"/>
      <x:c r="RX50"/>
      <x:c r="RY50"/>
      <x:c r="RZ50"/>
      <x:c r="SA50"/>
      <x:c r="SB50"/>
      <x:c r="SC50"/>
      <x:c r="SD50"/>
      <x:c r="SE50"/>
      <x:c r="SF50"/>
      <x:c r="SG50"/>
      <x:c r="SH50"/>
      <x:c r="SI50"/>
      <x:c r="SJ50"/>
      <x:c r="SK50"/>
      <x:c r="SL50"/>
      <x:c r="SM50"/>
      <x:c r="SN50"/>
      <x:c r="SO50"/>
      <x:c r="SP50"/>
      <x:c r="SQ50"/>
      <x:c r="SR50"/>
      <x:c r="SS50"/>
      <x:c r="ST50"/>
      <x:c r="SU50"/>
      <x:c r="SV50"/>
      <x:c r="SW50"/>
      <x:c r="SX50"/>
      <x:c r="SY50"/>
      <x:c r="SZ50"/>
      <x:c r="TA50"/>
      <x:c r="TB50"/>
      <x:c r="TC50"/>
      <x:c r="TD50"/>
      <x:c r="TE50"/>
      <x:c r="TF50"/>
      <x:c r="TG50"/>
      <x:c r="TH50"/>
      <x:c r="TI50"/>
      <x:c r="TJ50"/>
      <x:c r="TK50"/>
      <x:c r="TL50"/>
      <x:c r="TM50"/>
      <x:c r="TN50"/>
      <x:c r="TO50"/>
      <x:c r="TP50"/>
      <x:c r="TQ50"/>
      <x:c r="TR50"/>
      <x:c r="TS50" t="n">
        <x:v>1000</x:v>
      </x:c>
      <x:c r="TT50" t="n">
        <x:v>850</x:v>
      </x:c>
      <x:c r="TU50" t="n">
        <x:v>50</x:v>
      </x:c>
      <x:c r="TV50" t="n">
        <x:v>50</x:v>
      </x:c>
      <x:c r="TW50" t="n">
        <x:v>50</x:v>
      </x:c>
      <x:c r="TX50" t="n">
        <x:v>0</x:v>
      </x:c>
      <x:c r="TY50" t="n">
        <x:v>0</x:v>
      </x:c>
      <x:c r="TZ50" t="n">
        <x:v>5</x:v>
      </x:c>
      <x:c r="UA50" t="n">
        <x:v>100</x:v>
      </x:c>
      <x:c r="UB50" t="n">
        <x:v>5</x:v>
      </x:c>
      <x:c r="UC50" t="str">
        <x:v>PERF-AC-1</x:v>
      </x:c>
      <x:c r="UD50" t="str">
        <x:v>PERF-AC-2</x:v>
      </x:c>
      <x:c r="UE50" t="n">
        <x:v>0.5</x:v>
      </x:c>
      <x:c r="UF50" t="n">
        <x:v>0.75</x:v>
      </x:c>
      <x:c r="UG50" t="n">
        <x:v>950</x:v>
      </x:c>
      <x:c r="UH50" t="n">
        <x:v>900</x:v>
      </x:c>
      <x:c r="UI50" t="n">
        <x:v>13</x:v>
      </x:c>
      <x:c r="UJ50" t="n">
        <x:v>1098.4271640045336</x:v>
      </x:c>
      <x:c r="UK50" t="n">
        <x:v>60.085913898363344</x:v>
      </x:c>
      <x:c r="UL50" s="127" t="b">
        <x:v>0</x:v>
      </x:c>
      <x:c r="UM50" t="n">
        <x:v>100</x:v>
      </x:c>
      <x:c r="UN50" t="n">
        <x:v>50</x:v>
      </x:c>
      <x:c r="UO50" t="n">
        <x:v>50</x:v>
      </x:c>
      <x:c r="UP50" t="n">
        <x:v>50</x:v>
      </x:c>
      <x:c r="UQ50" t="n">
        <x:v>5</x:v>
      </x:c>
      <x:c r="UR50" t="n">
        <x:v>14</x:v>
      </x:c>
      <x:c r="US50" s="127" t="b">
        <x:v>1</x:v>
      </x:c>
      <x:c r="UT50" s="127" t="b">
        <x:v>1</x:v>
      </x:c>
      <x:c r="UU50" t="n">
        <x:v>1099.631914999918</x:v>
      </x:c>
      <x:c r="UV50" t="n">
        <x:v>931.7739679972874</x:v>
      </x:c>
      <x:c r="UW50" t="n">
        <x:v>5</x:v>
      </x:c>
      <x:c r="UX50" t="n">
        <x:v>50</x:v>
      </x:c>
      <x:c r="UY50" t="n">
        <x:v>5</x:v>
      </x:c>
      <x:c r="UZ50" t="n">
        <x:v>0</x:v>
      </x:c>
      <x:c r="VA50" t="n">
        <x:v>0</x:v>
      </x:c>
      <x:c r="VB50" t="n">
        <x:v>0</x:v>
      </x:c>
      <x:c r="VC50" s="127" t="b">
        <x:v>1</x:v>
      </x:c>
      <x:c r="VD50" s="127" t="b">
        <x:v>1</x:v>
      </x:c>
      <x:c r="VE50" s="127" t="b">
        <x:v>1</x:v>
      </x:c>
      <x:c r="VF50" s="127" t="b">
        <x:v>1</x:v>
      </x:c>
      <x:c r="VG50" t="n">
        <x:v>100</x:v>
      </x:c>
      <x:c r="VH50" t="n">
        <x:v>105</x:v>
      </x:c>
      <x:c r="VI50" t="n">
        <x:v>95</x:v>
      </x:c>
      <x:c r="VJ50" t="n">
        <x:v>5</x:v>
      </x:c>
      <x:c r="VK50" t="n">
        <x:v>100</x:v>
      </x:c>
      <x:c r="VL50" t="n">
        <x:v>900</x:v>
      </x:c>
      <x:c r="VM50" t="n">
        <x:v>900</x:v>
      </x:c>
      <x:c r="VN50" t="n">
        <x:v>900</x:v>
      </x:c>
      <x:c r="VO50" t="n">
        <x:v>100</x:v>
      </x:c>
      <x:c r="VP50" t="n">
        <x:v>5</x:v>
      </x:c>
      <x:c r="VQ50" t="n">
        <x:v>90</x:v>
      </x:c>
      <x:c r="VR50" t="n">
        <x:v>5</x:v>
      </x:c>
      <x:c r="VS50" t="str">
        <x:v>PERF-AC-2</x:v>
      </x:c>
      <x:c r="VT50" t="n">
        <x:v>205</x:v>
      </x:c>
      <x:c r="VU50" t="n">
        <x:v>205</x:v>
      </x:c>
      <x:c r="VV50" t="n">
        <x:v>2750435</x:v>
      </x:c>
      <x:c r="VW50" s="32"/>
      <x:c r="VX50" s="32"/>
      <x:c r="VY50" s="32"/>
      <x:c r="VZ50" s="32"/>
      <x:c r="WA50" s="32"/>
      <x:c r="WB50" s="32"/>
      <x:c r="WC50" s="32"/>
      <x:c r="WD50" s="32"/>
      <x:c r="WE50" s="32"/>
      <x:c r="WF50" s="32"/>
      <x:c r="WG50" s="32"/>
      <x:c r="WH50" s="32"/>
      <x:c r="WI50" s="32"/>
      <x:c r="WJ50" s="32"/>
      <x:c r="WK50" s="32"/>
      <x:c r="WL50" s="32"/>
      <x:c r="WM50" s="32"/>
      <x:c r="WN50" s="32"/>
      <x:c r="WO50" s="32"/>
      <x:c r="WP50" s="32"/>
      <x:c r="WQ50" s="32"/>
      <x:c r="WR50" s="32"/>
      <x:c r="WS50" s="32"/>
      <x:c r="WT50" s="32"/>
      <x:c r="WU50" s="32"/>
      <x:c r="WV50" s="32"/>
      <x:c r="WW50" s="32"/>
      <x:c r="WX50" s="32"/>
      <x:c r="WY50" s="32"/>
      <x:c r="WZ50" s="32"/>
      <x:c r="XA50" s="32"/>
      <x:c r="XB50" s="32"/>
      <x:c r="XC50" s="32"/>
      <x:c r="XD50" s="32"/>
    </x:row>
    <x:row r="51">
      <x:c r="A51" s="32" t="str">
        <x:v>53342c61-aef8-4302-95f6-ada0c72719d3</x:v>
      </x:c>
      <x:c r="B51" s="32" t="str">
        <x:v>E-007</x:v>
      </x:c>
      <x:c r="C51" s="42" t="n">
        <x:v>46263.920324074075</x:v>
      </x:c>
      <x:c r="D51" s="32" t="str">
        <x:v>489b7424f5051f7a276dafe8d5f318ccf1368d87</x:v>
      </x:c>
      <x:c r="E51" s="32" t="str">
        <x:v>GLONBW11</x:v>
      </x:c>
      <x:c r="F51" s="32" t="str">
        <x:v>local-filesystem</x:v>
      </x:c>
      <x:c r="G51" s="32" t="str">
        <x:v>3.14.2</x:v>
      </x:c>
      <x:c r="H51" s="32" t="str">
        <x:v>deterministic</x:v>
      </x:c>
      <x:c r="I51" s="32" t="n">
        <x:v>1000</x:v>
      </x:c>
      <x:c r="J51" s="32" t="n">
        <x:v>3</x:v>
      </x:c>
      <x:c r="K51" s="32" t="n">
        <x:v>3.0244473833333334</x:v>
      </x:c>
      <x:c r="L51" s="32" t="n">
        <x:v>37</x:v>
      </x:c>
      <x:c r="M51" s="32" t="n">
        <x:v>5</x:v>
      </x:c>
      <x:c r="N51" s="32" t="n">
        <x:v>10</x:v>
      </x:c>
      <x:c r="O51" s="32" t="n">
        <x:v>1173.2551589957438</x:v>
      </x:c>
      <x:c r="P51" s="32" t="n">
        <x:v>1222.580167587148</x:v>
      </x:c>
      <x:c r="Q51" s="32" t="n">
        <x:v>1491.421652567806</x:v>
      </x:c>
      <x:c r="R51" s="32" t="n">
        <x:v>1635.059647000162</x:v>
      </x:c>
      <x:c r="S51" s="32" t="n">
        <x:v>0</x:v>
      </x:c>
      <x:c r="T51" s="43" t="n">
        <x:v>0</x:v>
      </x:c>
      <x:c r="U51" s="32" t="n">
        <x:v>97.69556855262994</x:v>
      </x:c>
      <x:c r="V51" s="32" t="n">
        <x:v>100.57977386639332</x:v>
      </x:c>
      <x:c r="W51" s="32" t="n">
        <x:v>148.76303842905406</x:v>
      </x:c>
      <x:c r="X51" s="32" t="n">
        <x:v>149.0078125</x:v>
      </x:c>
      <x:c r="Y51" s="32"/>
      <x:c r="Z51" s="32"/>
      <x:c r="AA51" s="32"/>
      <x:c r="AB51" s="32"/>
      <x:c r="AC51" s="32" t="n">
        <x:v>0</x:v>
      </x:c>
      <x:c r="AD51" s="32" t="n">
        <x:v>0</x:v>
      </x:c>
      <x:c r="AE51" s="32" t="n">
        <x:v>0</x:v>
      </x:c>
      <x:c r="AF51" s="32" t="n">
        <x:v>0</x:v>
      </x:c>
      <x:c r="AG51" s="32" t="n">
        <x:v>0</x:v>
      </x:c>
      <x:c r="AH51" s="32" t="n">
        <x:v>215.84949400858022</x:v>
      </x:c>
      <x:c r="AI51" s="32" t="str">
        <x:v>PASS</x:v>
      </x:c>
      <x:c r="AJ51" s="32" t="str">
        <x:v>GREEN</x:v>
      </x:c>
      <x:c r="AK51" s="32" t="str">
        <x:v>latest-narrow</x:v>
      </x:c>
      <x:c r="AL51" s="32" t="n">
        <x:v>1</x:v>
      </x:c>
      <x:c r="AM51" s="32" t="n">
        <x:v>1</x:v>
      </x:c>
      <x:c r="AN51" s="32" t="n">
        <x:v>1000</x:v>
      </x:c>
      <x:c r="AO51" s="32" t="n">
        <x:v>1</x:v>
      </x:c>
      <x:c r="AP51" s="32" t="n">
        <x:v>8132</x:v>
      </x:c>
      <x:c r="AQ51" s="32" t="n">
        <x:v>3.7905909994151443</x:v>
      </x:c>
      <x:c r="AR51" s="32" t="n">
        <x:v>6.25114418799058</x:v>
      </x:c>
      <x:c r="AS51" s="32" t="n">
        <x:v>10.58907794998959</x:v>
      </x:c>
      <x:c r="AT51" s="32" t="n">
        <x:v>36</x:v>
      </x:c>
      <x:c r="AU51" s="32" t="str">
        <x:v>28×28 + 8×27</x:v>
      </x:c>
      <x:c r="AV51" s="32" t="n">
        <x:v>0.3403369919396937</x:v>
      </x:c>
      <x:c r="AW51" s="32" t="n">
        <x:v>0.49449399230070434</x:v>
      </x:c>
      <x:c r="AX51" s="32" t="n">
        <x:v>0.5860487243626267</x:v>
      </x:c>
      <x:c r="AY51" t="str">
        <x:v>balanced</x:v>
      </x:c>
      <x:c r="AZ51" s="32" t="str">
        <x:v>PASS</x:v>
      </x:c>
      <x:c r="BA51" s="32" t="n">
        <x:v>1000</x:v>
      </x:c>
      <x:c r="BB51" s="32" t="n">
        <x:v>0</x:v>
      </x:c>
      <x:c r="BC51" s="115" t="b">
        <x:v>1</x:v>
      </x:c>
      <x:c r="BD51" s="32" t="str">
        <x:v>PASS/GREEN. Independent audit confirms exact fail-closed/LKG semantics: 25/25 candidate-era iterations (#13..#37) are SOURCE_CANDIDATE/REJECTED/cycle_executed/degraded; cache remains PERF-AC-1. Durable state is unchanged from bootstrap: 100 groups, 100 WAL records all AC1, 1000 ACTIVE alarms, 1000 assignments, 1000 open occurrences, 100 open episodes, 0 pending assignments, 0 closures/resets/restarts, and no perf-rejected-group materialization. Post-candidate steady median is ~1180.62 ms vs ~911.70 ms before candidate (+29.5%), with 0 overruns.</x:v>
      </x:c>
      <x:c r="BE51" s="32"/>
      <x:c r="BF51" s="32"/>
      <x:c r="BG51" s="32"/>
      <x:c r="BH51" s="32"/>
      <x:c r="BI51" s="32"/>
      <x:c r="BJ51" s="32" t="n">
        <x:v>1000</x:v>
      </x:c>
      <x:c r="BK51" s="32" t="n">
        <x:v>1000</x:v>
      </x:c>
      <x:c r="BL51" s="32"/>
      <x:c r="BM51" s="32"/>
      <x:c r="BN51" t="n">
        <x:v>100</x:v>
      </x:c>
      <x:c r="BO51" t="n">
        <x:v>10</x:v>
      </x:c>
      <x:c r="BP51"/>
      <x:c r="BQ51" t="n">
        <x:v>100</x:v>
      </x:c>
      <x:c r="BR51"/>
      <x:c r="BS51"/>
      <x:c r="BT51" t="n">
        <x:v>100</x:v>
      </x:c>
      <x:c r="BU51" t="n">
        <x:v>100</x:v>
      </x:c>
      <x:c r="BV51" t="n">
        <x:v>0</x:v>
      </x:c>
      <x:c r="BW51" t="n">
        <x:v>1000</x:v>
      </x:c>
      <x:c r="BX51" t="n">
        <x:v>1000</x:v>
      </x:c>
      <x:c r="BY51" t="n">
        <x:v>0</x:v>
      </x:c>
      <x:c r="BZ51" t="n">
        <x:v>0</x:v>
      </x:c>
      <x:c r="CA51" t="n">
        <x:v>100</x:v>
      </x:c>
      <x:c r="CB51" t="n">
        <x:v>100</x:v>
      </x:c>
      <x:c r="CC51" t="n">
        <x:v>0</x:v>
      </x:c>
      <x:c r="CD51" t="n">
        <x:v>0</x:v>
      </x:c>
      <x:c r="CE51" t="n">
        <x:v>1000</x:v>
      </x:c>
      <x:c r="CF51" t="n">
        <x:v>2000</x:v>
      </x:c>
      <x:c r="CG51" t="n">
        <x:v>1000</x:v>
      </x:c>
      <x:c r="CH51" t="n">
        <x:v>0</x:v>
      </x:c>
      <x:c r="CI51" s="127" t="b">
        <x:v>1</x:v>
      </x:c>
      <x:c r="CJ51"/>
      <x:c r="CK51" t="n">
        <x:v>1000</x:v>
      </x:c>
      <x:c r="CL51"/>
      <x:c r="CM51"/>
      <x:c r="CN51"/>
      <x:c r="CO51"/>
      <x:c r="CP51"/>
      <x:c r="CQ51" t="n">
        <x:v>0</x:v>
      </x:c>
      <x:c r="CR51"/>
      <x:c r="CS51"/>
      <x:c r="CT51"/>
      <x:c r="CU51"/>
      <x:c r="CV51"/>
      <x:c r="CW51"/>
      <x:c r="CX51"/>
      <x:c r="CY51" t="n">
        <x:v>0</x:v>
      </x:c>
      <x:c r="CZ51" t="n">
        <x:v>0</x:v>
      </x:c>
      <x:c r="DA51"/>
      <x:c r="DB51"/>
      <x:c r="DC51"/>
      <x:c r="DD51"/>
      <x:c r="DE51"/>
      <x:c r="DF51"/>
      <x:c r="DG51"/>
      <x:c r="DH51" t="str">
        <x:v>baseline</x:v>
      </x:c>
      <x:c r="DI51" t="n">
        <x:v>37</x:v>
      </x:c>
      <x:c r="DJ51" t="n">
        <x:v>0</x:v>
      </x:c>
      <x:c r="DK51" t="n">
        <x:v>0</x:v>
      </x:c>
      <x:c r="DL51" t="n">
        <x:v>0</x:v>
      </x:c>
      <x:c r="DM51" t="n">
        <x:v>0</x:v>
      </x:c>
      <x:c r="DN51" t="n">
        <x:v>0</x:v>
      </x:c>
      <x:c r="DO51" t="n">
        <x:v>0</x:v>
      </x:c>
      <x:c r="DP51" t="n">
        <x:v>0</x:v>
      </x:c>
      <x:c r="DQ51" t="str">
        <x:v>C3</x:v>
      </x:c>
      <x:c r="DR51"/>
      <x:c r="DS51" t="n">
        <x:v>1000</x:v>
      </x:c>
      <x:c r="DT51" t="n">
        <x:v>1000</x:v>
      </x:c>
      <x:c r="DU51" t="n">
        <x:v>0</x:v>
      </x:c>
      <x:c r="DV51" t="n">
        <x:v>0</x:v>
      </x:c>
      <x:c r="DW51" t="n">
        <x:v>0</x:v>
      </x:c>
      <x:c r="DX51" t="n">
        <x:v>1000</x:v>
      </x:c>
      <x:c r="DY51" t="n">
        <x:v>1000</x:v>
      </x:c>
      <x:c r="DZ51" t="n">
        <x:v>0</x:v>
      </x:c>
      <x:c r="EA51" t="n">
        <x:v>0</x:v>
      </x:c>
      <x:c r="EB51"/>
      <x:c r="EC51"/>
      <x:c r="ED51"/>
      <x:c r="EE51"/>
      <x:c r="EF51"/>
      <x:c r="EG51"/>
      <x:c r="EH51"/>
      <x:c r="EI51"/>
      <x:c r="EJ51"/>
      <x:c r="EK51"/>
      <x:c r="EL51"/>
      <x:c r="EM51"/>
      <x:c r="EN51"/>
      <x:c r="EO51"/>
      <x:c r="EP51"/>
      <x:c r="EQ51"/>
      <x:c r="ER51"/>
      <x:c r="ES51"/>
      <x:c r="ET51"/>
      <x:c r="EU51"/>
      <x:c r="EV51"/>
      <x:c r="EW51"/>
      <x:c r="EX51"/>
      <x:c r="EY51"/>
      <x:c r="EZ51"/>
      <x:c r="FA51"/>
      <x:c r="FB51"/>
      <x:c r="FC51"/>
      <x:c r="FD51"/>
      <x:c r="FE51"/>
      <x:c r="FF51"/>
      <x:c r="FG51"/>
      <x:c r="FH51"/>
      <x:c r="FI51"/>
      <x:c r="FJ51"/>
      <x:c r="FK51"/>
      <x:c r="FL51"/>
      <x:c r="FM51"/>
      <x:c r="FN51"/>
      <x:c r="FO51"/>
      <x:c r="FP51"/>
      <x:c r="FQ51"/>
      <x:c r="FR51"/>
      <x:c r="FS51"/>
      <x:c r="FT51"/>
      <x:c r="FU51"/>
      <x:c r="FV51"/>
      <x:c r="FW51"/>
      <x:c r="FX51"/>
      <x:c r="FY51"/>
      <x:c r="FZ51"/>
      <x:c r="GA51"/>
      <x:c r="GB51"/>
      <x:c r="GC51"/>
      <x:c r="GD51"/>
      <x:c r="GE51"/>
      <x:c r="GF51"/>
      <x:c r="GG51"/>
      <x:c r="GH51"/>
      <x:c r="GI51"/>
      <x:c r="GJ51"/>
      <x:c r="GK51"/>
      <x:c r="GL51"/>
      <x:c r="GM51"/>
      <x:c r="GN51"/>
      <x:c r="GO51"/>
      <x:c r="GP51"/>
      <x:c r="GQ51"/>
      <x:c r="GR51"/>
      <x:c r="GS51"/>
      <x:c r="GT51"/>
      <x:c r="GU51"/>
      <x:c r="GV51"/>
      <x:c r="GW51"/>
      <x:c r="GX51"/>
      <x:c r="GY51"/>
      <x:c r="GZ51"/>
      <x:c r="HA51"/>
      <x:c r="HB51"/>
      <x:c r="HC51"/>
      <x:c r="HD51"/>
      <x:c r="HE51"/>
      <x:c r="HF51"/>
      <x:c r="HG51"/>
      <x:c r="HH51"/>
      <x:c r="HI51"/>
      <x:c r="HJ51"/>
      <x:c r="HK51"/>
      <x:c r="HL51"/>
      <x:c r="HM51"/>
      <x:c r="HN51"/>
      <x:c r="HO51"/>
      <x:c r="HP51"/>
      <x:c r="HQ51"/>
      <x:c r="HR51"/>
      <x:c r="HS51"/>
      <x:c r="HT51"/>
      <x:c r="HU51"/>
      <x:c r="HV51"/>
      <x:c r="HW51"/>
      <x:c r="HX51"/>
      <x:c r="HY51"/>
      <x:c r="HZ51"/>
      <x:c r="IA51"/>
      <x:c r="IB51"/>
      <x:c r="IC51"/>
      <x:c r="ID51"/>
      <x:c r="IE51"/>
      <x:c r="IF51"/>
      <x:c r="IG51"/>
      <x:c r="IH51"/>
      <x:c r="II51"/>
      <x:c r="IJ51"/>
      <x:c r="IK51"/>
      <x:c r="IL51"/>
      <x:c r="IM51"/>
      <x:c r="IN51"/>
      <x:c r="IO51"/>
      <x:c r="IP51"/>
      <x:c r="IQ51"/>
      <x:c r="IR51"/>
      <x:c r="IS51"/>
      <x:c r="IT51"/>
      <x:c r="IU51"/>
      <x:c r="IV51"/>
      <x:c r="IW51"/>
      <x:c r="IX51"/>
      <x:c r="IY51"/>
      <x:c r="IZ51"/>
      <x:c r="JA51"/>
      <x:c r="JB51"/>
      <x:c r="JC51"/>
      <x:c r="JD51"/>
      <x:c r="JE51"/>
      <x:c r="JF51"/>
      <x:c r="JG51"/>
      <x:c r="JH51"/>
      <x:c r="JI51"/>
      <x:c r="JJ51"/>
      <x:c r="JK51"/>
      <x:c r="JL51"/>
      <x:c r="JM51"/>
      <x:c r="JN51"/>
      <x:c r="JO51"/>
      <x:c r="JP51"/>
      <x:c r="JQ51"/>
      <x:c r="JR51"/>
      <x:c r="JS51"/>
      <x:c r="JT51"/>
      <x:c r="JU51"/>
      <x:c r="JV51"/>
      <x:c r="JW51"/>
      <x:c r="JX51"/>
      <x:c r="JY51"/>
      <x:c r="JZ51"/>
      <x:c r="KA51"/>
      <x:c r="KB51"/>
      <x:c r="KC51"/>
      <x:c r="KD51"/>
      <x:c r="KE51"/>
      <x:c r="KF51"/>
      <x:c r="KG51"/>
      <x:c r="KH51"/>
      <x:c r="KI51"/>
      <x:c r="KJ51"/>
      <x:c r="KK51"/>
      <x:c r="KL51"/>
      <x:c r="KM51"/>
      <x:c r="KN51"/>
      <x:c r="KO51"/>
      <x:c r="KP51"/>
      <x:c r="KQ51"/>
      <x:c r="KR51"/>
      <x:c r="KS51"/>
      <x:c r="KT51"/>
      <x:c r="KU51"/>
      <x:c r="KV51"/>
      <x:c r="KW51"/>
      <x:c r="KX51"/>
      <x:c r="KY51"/>
      <x:c r="KZ51"/>
      <x:c r="LA51"/>
      <x:c r="LB51"/>
      <x:c r="LC51"/>
      <x:c r="LD51"/>
      <x:c r="LE51"/>
      <x:c r="LF51"/>
      <x:c r="LG51"/>
      <x:c r="LH51"/>
      <x:c r="LI51"/>
      <x:c r="LJ51"/>
      <x:c r="LK51"/>
      <x:c r="LL51"/>
      <x:c r="LM51"/>
      <x:c r="LN51"/>
      <x:c r="LO51"/>
      <x:c r="LP51"/>
      <x:c r="LQ51"/>
      <x:c r="LR51"/>
      <x:c r="LS51"/>
      <x:c r="LT51"/>
      <x:c r="LU51"/>
      <x:c r="LV51"/>
      <x:c r="LW51"/>
      <x:c r="LX51"/>
      <x:c r="LY51"/>
      <x:c r="LZ51"/>
      <x:c r="MA51"/>
      <x:c r="MB51"/>
      <x:c r="MC51"/>
      <x:c r="MD51"/>
      <x:c r="ME51"/>
      <x:c r="MF51"/>
      <x:c r="MG51"/>
      <x:c r="MH51"/>
      <x:c r="MI51"/>
      <x:c r="MJ51"/>
      <x:c r="MK51"/>
      <x:c r="ML51"/>
      <x:c r="MM51"/>
      <x:c r="MN51"/>
      <x:c r="MO51"/>
      <x:c r="MP51"/>
      <x:c r="MQ51"/>
      <x:c r="MR51"/>
      <x:c r="MS51"/>
      <x:c r="MT51"/>
      <x:c r="MU51"/>
      <x:c r="MV51"/>
      <x:c r="MW51"/>
      <x:c r="MX51"/>
      <x:c r="MY51"/>
      <x:c r="MZ51"/>
      <x:c r="NA51"/>
      <x:c r="NB51"/>
      <x:c r="NC51"/>
      <x:c r="ND51"/>
      <x:c r="NE51"/>
      <x:c r="NF51"/>
      <x:c r="NG51"/>
      <x:c r="NH51"/>
      <x:c r="NI51"/>
      <x:c r="NJ51"/>
      <x:c r="NK51"/>
      <x:c r="NL51"/>
      <x:c r="NM51"/>
      <x:c r="NN51"/>
      <x:c r="NO51"/>
      <x:c r="NP51"/>
      <x:c r="NQ51"/>
      <x:c r="NR51"/>
      <x:c r="NS51"/>
      <x:c r="NT51"/>
      <x:c r="NU51"/>
      <x:c r="NV51"/>
      <x:c r="NW51"/>
      <x:c r="NX51"/>
      <x:c r="NY51"/>
      <x:c r="NZ51"/>
      <x:c r="OA51"/>
      <x:c r="OB51"/>
      <x:c r="OC51"/>
      <x:c r="OD51"/>
      <x:c r="OE51"/>
      <x:c r="OF51"/>
      <x:c r="OG51"/>
      <x:c r="OH51"/>
      <x:c r="OI51"/>
      <x:c r="OJ51"/>
      <x:c r="OK51"/>
      <x:c r="OL51"/>
      <x:c r="OM51"/>
      <x:c r="ON51"/>
      <x:c r="OO51"/>
      <x:c r="OP51"/>
      <x:c r="OQ51"/>
      <x:c r="OR51"/>
      <x:c r="OS51"/>
      <x:c r="OT51"/>
      <x:c r="OU51"/>
      <x:c r="OV51"/>
      <x:c r="OW51"/>
      <x:c r="OX51"/>
      <x:c r="OY51"/>
      <x:c r="OZ51"/>
      <x:c r="PA51"/>
      <x:c r="PB51"/>
      <x:c r="PC51"/>
      <x:c r="PD51"/>
      <x:c r="PE51"/>
      <x:c r="PF51"/>
      <x:c r="PG51"/>
      <x:c r="PH51"/>
      <x:c r="PI51"/>
      <x:c r="PJ51"/>
      <x:c r="PK51"/>
      <x:c r="PL51"/>
      <x:c r="PM51"/>
      <x:c r="PN51"/>
      <x:c r="PO51"/>
      <x:c r="PP51"/>
      <x:c r="PQ51"/>
      <x:c r="PR51"/>
      <x:c r="PS51"/>
      <x:c r="PT51"/>
      <x:c r="PU51"/>
      <x:c r="PV51"/>
      <x:c r="PW51"/>
      <x:c r="PX51"/>
      <x:c r="PY51"/>
      <x:c r="PZ51"/>
      <x:c r="QA51"/>
      <x:c r="QB51"/>
      <x:c r="QC51"/>
      <x:c r="QD51"/>
      <x:c r="QE51"/>
      <x:c r="QF51"/>
      <x:c r="QG51"/>
      <x:c r="QH51"/>
      <x:c r="QI51"/>
      <x:c r="QJ51"/>
      <x:c r="QK51"/>
      <x:c r="QL51"/>
      <x:c r="QM51"/>
      <x:c r="QN51"/>
      <x:c r="QO51"/>
      <x:c r="QP51"/>
      <x:c r="QQ51"/>
      <x:c r="QR51"/>
      <x:c r="QS51"/>
      <x:c r="QT51"/>
      <x:c r="QU51"/>
      <x:c r="QV51"/>
      <x:c r="QW51"/>
      <x:c r="QX51"/>
      <x:c r="QY51"/>
      <x:c r="QZ51"/>
      <x:c r="RA51"/>
      <x:c r="RB51"/>
      <x:c r="RC51"/>
      <x:c r="RD51"/>
      <x:c r="RE51"/>
      <x:c r="RF51"/>
      <x:c r="RG51"/>
      <x:c r="RH51"/>
      <x:c r="RI51"/>
      <x:c r="RJ51"/>
      <x:c r="RK51"/>
      <x:c r="RL51"/>
      <x:c r="RM51"/>
      <x:c r="RN51"/>
      <x:c r="RO51"/>
      <x:c r="RP51"/>
      <x:c r="RQ51"/>
      <x:c r="RR51"/>
      <x:c r="RS51"/>
      <x:c r="RT51"/>
      <x:c r="RU51"/>
      <x:c r="RV51"/>
      <x:c r="RW51"/>
      <x:c r="RX51"/>
      <x:c r="RY51"/>
      <x:c r="RZ51"/>
      <x:c r="SA51"/>
      <x:c r="SB51"/>
      <x:c r="SC51"/>
      <x:c r="SD51"/>
      <x:c r="SE51"/>
      <x:c r="SF51"/>
      <x:c r="SG51"/>
      <x:c r="SH51"/>
      <x:c r="SI51"/>
      <x:c r="SJ51"/>
      <x:c r="SK51"/>
      <x:c r="SL51"/>
      <x:c r="SM51"/>
      <x:c r="SN51"/>
      <x:c r="SO51"/>
      <x:c r="SP51"/>
      <x:c r="SQ51"/>
      <x:c r="SR51"/>
      <x:c r="SS51"/>
      <x:c r="ST51"/>
      <x:c r="SU51"/>
      <x:c r="SV51"/>
      <x:c r="SW51"/>
      <x:c r="SX51"/>
      <x:c r="SY51"/>
      <x:c r="SZ51"/>
      <x:c r="TA51"/>
      <x:c r="TB51"/>
      <x:c r="TC51"/>
      <x:c r="TD51"/>
      <x:c r="TE51"/>
      <x:c r="TF51"/>
      <x:c r="TG51"/>
      <x:c r="TH51"/>
      <x:c r="TI51"/>
      <x:c r="TJ51"/>
      <x:c r="TK51"/>
      <x:c r="TL51"/>
      <x:c r="TM51"/>
      <x:c r="TN51"/>
      <x:c r="TO51"/>
      <x:c r="TP51"/>
      <x:c r="TQ51"/>
      <x:c r="TR51"/>
      <x:c r="TS51"/>
      <x:c r="TT51"/>
      <x:c r="TU51"/>
      <x:c r="TV51"/>
      <x:c r="TW51"/>
      <x:c r="TX51"/>
      <x:c r="TY51"/>
      <x:c r="TZ51"/>
      <x:c r="UA51"/>
      <x:c r="UB51"/>
      <x:c r="UC51"/>
      <x:c r="UD51"/>
      <x:c r="UE51"/>
      <x:c r="UF51"/>
      <x:c r="UG51"/>
      <x:c r="UH51"/>
      <x:c r="UI51"/>
      <x:c r="UJ51"/>
      <x:c r="UK51"/>
      <x:c r="UL51"/>
      <x:c r="UM51"/>
      <x:c r="UN51"/>
      <x:c r="UO51"/>
      <x:c r="UP51"/>
      <x:c r="UQ51"/>
      <x:c r="UR51"/>
      <x:c r="US51"/>
      <x:c r="UT51"/>
      <x:c r="UU51"/>
      <x:c r="UV51"/>
      <x:c r="UW51"/>
      <x:c r="UX51"/>
      <x:c r="UY51"/>
      <x:c r="UZ51"/>
      <x:c r="VA51"/>
      <x:c r="VB51"/>
      <x:c r="VC51"/>
      <x:c r="VD51"/>
      <x:c r="VE51"/>
      <x:c r="VF51"/>
      <x:c r="VG51"/>
      <x:c r="VH51"/>
      <x:c r="VI51"/>
      <x:c r="VJ51"/>
      <x:c r="VK51"/>
      <x:c r="VL51"/>
      <x:c r="VM51"/>
      <x:c r="VN51"/>
      <x:c r="VO51"/>
      <x:c r="VP51"/>
      <x:c r="VQ51"/>
      <x:c r="VR51"/>
      <x:c r="VS51"/>
      <x:c r="VT51"/>
      <x:c r="VU51"/>
      <x:c r="VV51"/>
      <x:c r="VW51" s="32" t="n">
        <x:v>1000</x:v>
      </x:c>
      <x:c r="VX51" s="32" t="n">
        <x:v>999</x:v>
      </x:c>
      <x:c r="VY51" s="32" t="n">
        <x:v>1</x:v>
      </x:c>
      <x:c r="VZ51" s="32" t="n">
        <x:v>0</x:v>
      </x:c>
      <x:c r="WA51" s="32" t="n">
        <x:v>0</x:v>
      </x:c>
      <x:c r="WB51" s="32" t="n">
        <x:v>0</x:v>
      </x:c>
      <x:c r="WC51" s="32" t="n">
        <x:v>0</x:v>
      </x:c>
      <x:c r="WD51" s="32" t="n">
        <x:v>1</x:v>
      </x:c>
      <x:c r="WE51" s="32" t="str">
        <x:v>alarm_00001</x:v>
      </x:c>
      <x:c r="WF51" s="32" t="str">
        <x:v>perf-rejected-group</x:v>
      </x:c>
      <x:c r="WG51" s="32" t="str">
        <x:v>PERF-AC-1</x:v>
      </x:c>
      <x:c r="WH51" s="32" t="str">
        <x:v>PERF-AC-2</x:v>
      </x:c>
      <x:c r="WI51" s="115" t="b">
        <x:v>0</x:v>
      </x:c>
      <x:c r="WJ51" s="32" t="n">
        <x:v>13</x:v>
      </x:c>
      <x:c r="WK51" s="32" t="n">
        <x:v>13</x:v>
      </x:c>
      <x:c r="WL51" s="32" t="n">
        <x:v>25</x:v>
      </x:c>
      <x:c r="WM51" s="32" t="n">
        <x:v>25</x:v>
      </x:c>
      <x:c r="WN51" s="32" t="n">
        <x:v>25</x:v>
      </x:c>
      <x:c r="WO51" s="32" t="n">
        <x:v>0</x:v>
      </x:c>
      <x:c r="WP51" s="32" t="str">
        <x:v>PERF-AC-1</x:v>
      </x:c>
      <x:c r="WQ51" s="32" t="n">
        <x:v>100</x:v>
      </x:c>
      <x:c r="WR51" s="32" t="n">
        <x:v>0</x:v>
      </x:c>
      <x:c r="WS51" s="32" t="n">
        <x:v>100</x:v>
      </x:c>
      <x:c r="WT51" s="32" t="n">
        <x:v>0</x:v>
      </x:c>
      <x:c r="WU51" s="32" t="n">
        <x:v>0</x:v>
      </x:c>
      <x:c r="WV51" s="32" t="n">
        <x:v>1000</x:v>
      </x:c>
      <x:c r="WW51" s="32" t="n">
        <x:v>1000</x:v>
      </x:c>
      <x:c r="WX51" s="32" t="n">
        <x:v>1000</x:v>
      </x:c>
      <x:c r="WY51" s="32" t="n">
        <x:v>100</x:v>
      </x:c>
      <x:c r="WZ51" s="32" t="n">
        <x:v>0</x:v>
      </x:c>
      <x:c r="XA51" s="32" t="n">
        <x:v>0</x:v>
      </x:c>
      <x:c r="XB51" s="32" t="n">
        <x:v>0</x:v>
      </x:c>
      <x:c r="XC51" s="32" t="n">
        <x:v>100</x:v>
      </x:c>
      <x:c r="XD51" s="32" t="n">
        <x:v>2030800</x:v>
      </x:c>
    </x:row>
    <x:row r="52">
      <x:c r="A52" s="32" t="str">
        <x:v>5a696b96-41f5-4cbe-8d27-9ed2e66874f1</x:v>
      </x:c>
      <x:c r="B52" s="32" t="str">
        <x:v>E-008</x:v>
      </x:c>
      <x:c r="C52" s="42" t="n">
        <x:v>46263.967569444445</x:v>
      </x:c>
      <x:c r="D52" s="32" t="str">
        <x:v>489b7424f5051f7a276dafe8d5f318ccf1368d87</x:v>
      </x:c>
      <x:c r="E52" s="32" t="str">
        <x:v>GLONBW11</x:v>
      </x:c>
      <x:c r="F52" s="32" t="str">
        <x:v>local-filesystem</x:v>
      </x:c>
      <x:c r="G52" s="32" t="str">
        <x:v>3.14.2</x:v>
      </x:c>
      <x:c r="H52" s="32" t="str">
        <x:v>deterministic</x:v>
      </x:c>
      <x:c r="I52" s="32" t="n">
        <x:v>1000</x:v>
      </x:c>
      <x:c r="J52" s="32" t="n">
        <x:v>10</x:v>
      </x:c>
      <x:c r="K52" s="32" t="n">
        <x:v>10.035842166666667</x:v>
      </x:c>
      <x:c r="L52" s="32" t="n">
        <x:v>121</x:v>
      </x:c>
      <x:c r="M52" s="32" t="n">
        <x:v>5</x:v>
      </x:c>
      <x:c r="N52" s="32" t="n">
        <x:v>10</x:v>
      </x:c>
      <x:c r="O52" s="32" t="n">
        <x:v>927.2286409977823</x:v>
      </x:c>
      <x:c r="P52" s="32" t="n">
        <x:v>1025.7842729915865</x:v>
      </x:c>
      <x:c r="Q52" s="32" t="n">
        <x:v>1039.2534741898999</x:v>
      </x:c>
      <x:c r="R52" s="32" t="n">
        <x:v>1508.4172489878256</x:v>
      </x:c>
      <x:c r="S52" s="32" t="n">
        <x:v>0</x:v>
      </x:c>
      <x:c r="T52" s="43" t="n">
        <x:v>0</x:v>
      </x:c>
      <x:c r="U52" s="32" t="n">
        <x:v>93.58133227455001</x:v>
      </x:c>
      <x:c r="V52" s="32" t="n">
        <x:v>100.48739377081948</x:v>
      </x:c>
      <x:c r="W52" s="32" t="n">
        <x:v>135.7403635072314</x:v>
      </x:c>
      <x:c r="X52" s="32" t="n">
        <x:v>135.8203125</x:v>
      </x:c>
      <x:c r="Y52" s="32"/>
      <x:c r="Z52" s="32"/>
      <x:c r="AA52" s="32"/>
      <x:c r="AB52" s="32"/>
      <x:c r="AC52" s="32" t="n">
        <x:v>0</x:v>
      </x:c>
      <x:c r="AD52" s="32" t="n">
        <x:v>0</x:v>
      </x:c>
      <x:c r="AE52" s="32" t="n">
        <x:v>0</x:v>
      </x:c>
      <x:c r="AF52" s="32" t="n">
        <x:v>0</x:v>
      </x:c>
      <x:c r="AG52" s="32" t="n">
        <x:v>0</x:v>
      </x:c>
      <x:c r="AH52" s="32" t="n">
        <x:v>1059.803310985444</x:v>
      </x:c>
      <x:c r="AI52" s="32" t="str">
        <x:v>PASS</x:v>
      </x:c>
      <x:c r="AJ52" s="32" t="str">
        <x:v>GREEN</x:v>
      </x:c>
      <x:c r="AK52" s="32" t="str">
        <x:v>latest-narrow</x:v>
      </x:c>
      <x:c r="AL52" s="32" t="n">
        <x:v>1</x:v>
      </x:c>
      <x:c r="AM52" s="32" t="n">
        <x:v>1</x:v>
      </x:c>
      <x:c r="AN52" s="32" t="n">
        <x:v>1000</x:v>
      </x:c>
      <x:c r="AO52" s="32" t="n">
        <x:v>1</x:v>
      </x:c>
      <x:c r="AP52" s="32" t="n">
        <x:v>8132</x:v>
      </x:c>
      <x:c r="AQ52" s="32" t="n">
        <x:v>9.95776301715523</x:v>
      </x:c>
      <x:c r="AR52" s="32" t="n">
        <x:v>11.482976988190785</x:v>
      </x:c>
      <x:c r="AS52" s="32" t="n">
        <x:v>12.201234989333896</x:v>
      </x:c>
      <x:c r="AT52" s="32" t="n">
        <x:v>36</x:v>
      </x:c>
      <x:c r="AU52" s="32" t="str">
        <x:v>28×28 + 8×27</x:v>
      </x:c>
      <x:c r="AV52" s="32" t="n">
        <x:v>0.32474801992066205</x:v>
      </x:c>
      <x:c r="AW52" s="32" t="n">
        <x:v>0.4021539934910834</x:v>
      </x:c>
      <x:c r="AX52" s="32" t="n">
        <x:v>0.5040621967054904</x:v>
      </x:c>
      <x:c r="AY52" t="str">
        <x:v>balanced</x:v>
      </x:c>
      <x:c r="AZ52" s="32" t="str">
        <x:v>PASS</x:v>
      </x:c>
      <x:c r="BA52" s="32" t="n">
        <x:v>500</x:v>
      </x:c>
      <x:c r="BB52" s="32" t="n">
        <x:v>500</x:v>
      </x:c>
      <x:c r="BC52" s="115" t="b">
        <x:v>1</x:v>
      </x:c>
      <x:c r="BD52" s="32" t="str">
        <x:v>PASS/GREEN. Source unavailable desde +60 s: iteraciones #13..#121 = 109/109 CACHE_FALLBACK/NOT_REQUIRED/cycle_executed/degraded; 0 escapes. Cache efectivo PERF-AC-1/PERF-TR-1, replace=1 bootstrap y 0 post-failure. Auditoría independiente: 700 WAL records, todos AC1/TR1, 100 grupos × 7 commits, 0 chain mismatches, 0 materialized snapshot mismatches, durable==materialized a byte_offset 10,253,900. Operational churn exacto: 3500 starts + 3000 closes + 3500 assignments, final 500 ACTIVE/assignments/open occurrences +100 episodes y 0 pending. WAL bytes coincide exactamente con C-001 (10,253,900).</x:v>
      </x:c>
      <x:c r="BE52" s="32" t="n">
        <x:v>0</x:v>
      </x:c>
      <x:c r="BF52" s="32" t="n">
        <x:v>0</x:v>
      </x:c>
      <x:c r="BG52" s="32" t="n">
        <x:v>0</x:v>
      </x:c>
      <x:c r="BH52" s="32" t="n">
        <x:v>0</x:v>
      </x:c>
      <x:c r="BI52" s="32" t="n">
        <x:v>0</x:v>
      </x:c>
      <x:c r="BJ52" s="32" t="n">
        <x:v>1000</x:v>
      </x:c>
      <x:c r="BK52" s="32" t="n">
        <x:v>1000</x:v>
      </x:c>
      <x:c r="BL52" s="32" t="n">
        <x:v>0</x:v>
      </x:c>
      <x:c r="BM52" s="32" t="n">
        <x:v>0</x:v>
      </x:c>
      <x:c r="BN52" t="n">
        <x:v>100</x:v>
      </x:c>
      <x:c r="BO52" t="n">
        <x:v>10</x:v>
      </x:c>
      <x:c r="BP52" t="n">
        <x:v>10</x:v>
      </x:c>
      <x:c r="BQ52" t="n">
        <x:v>50</x:v>
      </x:c>
      <x:c r="BR52" t="n">
        <x:v>60</x:v>
      </x:c>
      <x:c r="BS52" t="n">
        <x:v>6000</x:v>
      </x:c>
      <x:c r="BT52" t="n">
        <x:v>700</x:v>
      </x:c>
      <x:c r="BU52" t="n">
        <x:v>700</x:v>
      </x:c>
      <x:c r="BV52" t="n">
        <x:v>0</x:v>
      </x:c>
      <x:c r="BW52" t="n">
        <x:v>3500</x:v>
      </x:c>
      <x:c r="BX52" t="n">
        <x:v>3500</x:v>
      </x:c>
      <x:c r="BY52" t="n">
        <x:v>3000</x:v>
      </x:c>
      <x:c r="BZ52" t="n">
        <x:v>3000</x:v>
      </x:c>
      <x:c r="CA52" t="n">
        <x:v>100</x:v>
      </x:c>
      <x:c r="CB52" t="n">
        <x:v>100</x:v>
      </x:c>
      <x:c r="CC52" t="n">
        <x:v>0</x:v>
      </x:c>
      <x:c r="CD52" t="n">
        <x:v>0</x:v>
      </x:c>
      <x:c r="CE52" t="n">
        <x:v>3500</x:v>
      </x:c>
      <x:c r="CF52" t="n">
        <x:v>10000</x:v>
      </x:c>
      <x:c r="CG52" t="n">
        <x:v>6500</x:v>
      </x:c>
      <x:c r="CH52" t="n">
        <x:v>0</x:v>
      </x:c>
      <x:c r="CI52" s="127" t="b">
        <x:v>1</x:v>
      </x:c>
      <x:c r="CJ52" t="n">
        <x:v>0</x:v>
      </x:c>
      <x:c r="CK52" t="n">
        <x:v>3500</x:v>
      </x:c>
      <x:c r="CL52" t="n">
        <x:v>0</x:v>
      </x:c>
      <x:c r="CM52" t="n">
        <x:v>0</x:v>
      </x:c>
      <x:c r="CN52" t="n">
        <x:v>0</x:v>
      </x:c>
      <x:c r="CO52" t="n">
        <x:v>0</x:v>
      </x:c>
      <x:c r="CP52" t="n">
        <x:v>0</x:v>
      </x:c>
      <x:c r="CQ52" t="n">
        <x:v>0</x:v>
      </x:c>
      <x:c r="CR52" t="n">
        <x:v>0</x:v>
      </x:c>
      <x:c r="CS52" t="n">
        <x:v>0</x:v>
      </x:c>
      <x:c r="CT52" t="n">
        <x:v>0</x:v>
      </x:c>
      <x:c r="CU52" t="n">
        <x:v>0</x:v>
      </x:c>
      <x:c r="CV52" t="n">
        <x:v>0</x:v>
      </x:c>
      <x:c r="CW52" t="n">
        <x:v>0</x:v>
      </x:c>
      <x:c r="CX52" t="n">
        <x:v>0</x:v>
      </x:c>
      <x:c r="CY52" t="n">
        <x:v>0</x:v>
      </x:c>
      <x:c r="CZ52" t="n">
        <x:v>0</x:v>
      </x:c>
      <x:c r="DA52" t="n">
        <x:v>0</x:v>
      </x:c>
      <x:c r="DB52" t="n">
        <x:v>0</x:v>
      </x:c>
      <x:c r="DC52" t="n">
        <x:v>0</x:v>
      </x:c>
      <x:c r="DD52" t="n">
        <x:v>0</x:v>
      </x:c>
      <x:c r="DE52" t="n">
        <x:v>0</x:v>
      </x:c>
      <x:c r="DF52" t="n">
        <x:v>0</x:v>
      </x:c>
      <x:c r="DG52" t="n">
        <x:v>0</x:v>
      </x:c>
      <x:c r="DH52" t="str">
        <x:v>baseline</x:v>
      </x:c>
      <x:c r="DI52" t="n">
        <x:v>121</x:v>
      </x:c>
      <x:c r="DJ52" t="n">
        <x:v>0</x:v>
      </x:c>
      <x:c r="DK52" t="n">
        <x:v>0</x:v>
      </x:c>
      <x:c r="DL52" t="n">
        <x:v>0</x:v>
      </x:c>
      <x:c r="DM52" t="n">
        <x:v>0</x:v>
      </x:c>
      <x:c r="DN52" t="n">
        <x:v>0</x:v>
      </x:c>
      <x:c r="DO52" t="n">
        <x:v>0</x:v>
      </x:c>
      <x:c r="DP52" t="n">
        <x:v>0</x:v>
      </x:c>
      <x:c r="DQ52"/>
      <x:c r="DR52"/>
      <x:c r="DS52"/>
      <x:c r="DT52"/>
      <x:c r="DU52"/>
      <x:c r="DV52"/>
      <x:c r="DW52"/>
      <x:c r="DX52"/>
      <x:c r="DY52"/>
      <x:c r="DZ52"/>
      <x:c r="EA52"/>
      <x:c r="EB52"/>
      <x:c r="EC52"/>
      <x:c r="ED52"/>
      <x:c r="EE52"/>
      <x:c r="EF52"/>
      <x:c r="EG52"/>
      <x:c r="EH52"/>
      <x:c r="EI52"/>
      <x:c r="EJ52"/>
      <x:c r="EK52"/>
      <x:c r="EL52"/>
      <x:c r="EM52"/>
      <x:c r="EN52"/>
      <x:c r="EO52"/>
      <x:c r="EP52"/>
      <x:c r="EQ52"/>
      <x:c r="ER52"/>
      <x:c r="ES52"/>
      <x:c r="ET52"/>
      <x:c r="EU52"/>
      <x:c r="EV52"/>
      <x:c r="EW52"/>
      <x:c r="EX52"/>
      <x:c r="EY52"/>
      <x:c r="EZ52"/>
      <x:c r="FA52"/>
      <x:c r="FB52"/>
      <x:c r="FC52"/>
      <x:c r="FD52"/>
      <x:c r="FE52"/>
      <x:c r="FF52"/>
      <x:c r="FG52"/>
      <x:c r="FH52"/>
      <x:c r="FI52"/>
      <x:c r="FJ52"/>
      <x:c r="FK52"/>
      <x:c r="FL52"/>
      <x:c r="FM52"/>
      <x:c r="FN52"/>
      <x:c r="FO52"/>
      <x:c r="FP52"/>
      <x:c r="FQ52"/>
      <x:c r="FR52"/>
      <x:c r="FS52"/>
      <x:c r="FT52"/>
      <x:c r="FU52"/>
      <x:c r="FV52"/>
      <x:c r="FW52"/>
      <x:c r="FX52"/>
      <x:c r="FY52"/>
      <x:c r="FZ52"/>
      <x:c r="GA52"/>
      <x:c r="GB52"/>
      <x:c r="GC52"/>
      <x:c r="GD52"/>
      <x:c r="GE52"/>
      <x:c r="GF52"/>
      <x:c r="GG52"/>
      <x:c r="GH52"/>
      <x:c r="GI52"/>
      <x:c r="GJ52"/>
      <x:c r="GK52"/>
      <x:c r="GL52"/>
      <x:c r="GM52"/>
      <x:c r="GN52"/>
      <x:c r="GO52"/>
      <x:c r="GP52"/>
      <x:c r="GQ52"/>
      <x:c r="GR52"/>
      <x:c r="GS52"/>
      <x:c r="GT52"/>
      <x:c r="GU52"/>
      <x:c r="GV52"/>
      <x:c r="GW52"/>
      <x:c r="GX52"/>
      <x:c r="GY52"/>
      <x:c r="GZ52"/>
      <x:c r="HA52"/>
      <x:c r="HB52"/>
      <x:c r="HC52"/>
      <x:c r="HD52"/>
      <x:c r="HE52"/>
      <x:c r="HF52"/>
      <x:c r="HG52"/>
      <x:c r="HH52"/>
      <x:c r="HI52"/>
      <x:c r="HJ52"/>
      <x:c r="HK52"/>
      <x:c r="HL52"/>
      <x:c r="HM52"/>
      <x:c r="HN52"/>
      <x:c r="HO52"/>
      <x:c r="HP52"/>
      <x:c r="HQ52"/>
      <x:c r="HR52"/>
      <x:c r="HS52"/>
      <x:c r="HT52"/>
      <x:c r="HU52"/>
      <x:c r="HV52"/>
      <x:c r="HW52"/>
      <x:c r="HX52"/>
      <x:c r="HY52"/>
      <x:c r="HZ52"/>
      <x:c r="IA52"/>
      <x:c r="IB52"/>
      <x:c r="IC52"/>
      <x:c r="ID52"/>
      <x:c r="IE52"/>
      <x:c r="IF52"/>
      <x:c r="IG52"/>
      <x:c r="IH52"/>
      <x:c r="II52"/>
      <x:c r="IJ52"/>
      <x:c r="IK52"/>
      <x:c r="IL52"/>
      <x:c r="IM52"/>
      <x:c r="IN52"/>
      <x:c r="IO52"/>
      <x:c r="IP52"/>
      <x:c r="IQ52"/>
      <x:c r="IR52"/>
      <x:c r="IS52"/>
      <x:c r="IT52"/>
      <x:c r="IU52"/>
      <x:c r="IV52"/>
      <x:c r="IW52"/>
      <x:c r="IX52"/>
      <x:c r="IY52"/>
      <x:c r="IZ52"/>
      <x:c r="JA52"/>
      <x:c r="JB52"/>
      <x:c r="JC52"/>
      <x:c r="JD52"/>
      <x:c r="JE52"/>
      <x:c r="JF52"/>
      <x:c r="JG52"/>
      <x:c r="JH52"/>
      <x:c r="JI52"/>
      <x:c r="JJ52"/>
      <x:c r="JK52"/>
      <x:c r="JL52"/>
      <x:c r="JM52"/>
      <x:c r="JN52"/>
      <x:c r="JO52"/>
      <x:c r="JP52"/>
      <x:c r="JQ52"/>
      <x:c r="JR52"/>
      <x:c r="JS52"/>
      <x:c r="JT52"/>
      <x:c r="JU52"/>
      <x:c r="JV52"/>
      <x:c r="JW52"/>
      <x:c r="JX52"/>
      <x:c r="JY52"/>
      <x:c r="JZ52"/>
      <x:c r="KA52"/>
      <x:c r="KB52"/>
      <x:c r="KC52"/>
      <x:c r="KD52"/>
      <x:c r="KE52"/>
      <x:c r="KF52"/>
      <x:c r="KG52"/>
      <x:c r="KH52"/>
      <x:c r="KI52"/>
      <x:c r="KJ52"/>
      <x:c r="KK52"/>
      <x:c r="KL52"/>
      <x:c r="KM52"/>
      <x:c r="KN52"/>
      <x:c r="KO52"/>
      <x:c r="KP52"/>
      <x:c r="KQ52"/>
      <x:c r="KR52"/>
      <x:c r="KS52"/>
      <x:c r="KT52"/>
      <x:c r="KU52"/>
      <x:c r="KV52"/>
      <x:c r="KW52"/>
      <x:c r="KX52"/>
      <x:c r="KY52"/>
      <x:c r="KZ52"/>
      <x:c r="LA52"/>
      <x:c r="LB52"/>
      <x:c r="LC52"/>
      <x:c r="LD52"/>
      <x:c r="LE52"/>
      <x:c r="LF52"/>
      <x:c r="LG52"/>
      <x:c r="LH52"/>
      <x:c r="LI52"/>
      <x:c r="LJ52"/>
      <x:c r="LK52"/>
      <x:c r="LL52"/>
      <x:c r="LM52"/>
      <x:c r="LN52"/>
      <x:c r="LO52"/>
      <x:c r="LP52"/>
      <x:c r="LQ52"/>
      <x:c r="LR52"/>
      <x:c r="LS52"/>
      <x:c r="LT52"/>
      <x:c r="LU52"/>
      <x:c r="LV52"/>
      <x:c r="LW52"/>
      <x:c r="LX52"/>
      <x:c r="LY52"/>
      <x:c r="LZ52"/>
      <x:c r="MA52"/>
      <x:c r="MB52"/>
      <x:c r="MC52"/>
      <x:c r="MD52"/>
      <x:c r="ME52"/>
      <x:c r="MF52"/>
      <x:c r="MG52"/>
      <x:c r="MH52"/>
      <x:c r="MI52"/>
      <x:c r="MJ52"/>
      <x:c r="MK52"/>
      <x:c r="ML52"/>
      <x:c r="MM52"/>
      <x:c r="MN52"/>
      <x:c r="MO52"/>
      <x:c r="MP52"/>
      <x:c r="MQ52"/>
      <x:c r="MR52"/>
      <x:c r="MS52"/>
      <x:c r="MT52"/>
      <x:c r="MU52"/>
      <x:c r="MV52"/>
      <x:c r="MW52"/>
      <x:c r="MX52"/>
      <x:c r="MY52"/>
      <x:c r="MZ52"/>
      <x:c r="NA52"/>
      <x:c r="NB52"/>
      <x:c r="NC52"/>
      <x:c r="ND52"/>
      <x:c r="NE52"/>
      <x:c r="NF52"/>
      <x:c r="NG52"/>
      <x:c r="NH52"/>
      <x:c r="NI52"/>
      <x:c r="NJ52"/>
      <x:c r="NK52"/>
      <x:c r="NL52"/>
      <x:c r="NM52"/>
      <x:c r="NN52"/>
      <x:c r="NO52"/>
      <x:c r="NP52"/>
      <x:c r="NQ52"/>
      <x:c r="NR52"/>
      <x:c r="NS52"/>
      <x:c r="NT52"/>
      <x:c r="NU52"/>
      <x:c r="NV52"/>
      <x:c r="NW52"/>
      <x:c r="NX52"/>
      <x:c r="NY52"/>
      <x:c r="NZ52"/>
      <x:c r="OA52"/>
      <x:c r="OB52"/>
      <x:c r="OC52"/>
      <x:c r="OD52"/>
      <x:c r="OE52"/>
      <x:c r="OF52"/>
      <x:c r="OG52"/>
      <x:c r="OH52"/>
      <x:c r="OI52"/>
      <x:c r="OJ52"/>
      <x:c r="OK52"/>
      <x:c r="OL52"/>
      <x:c r="OM52"/>
      <x:c r="ON52"/>
      <x:c r="OO52"/>
      <x:c r="OP52"/>
      <x:c r="OQ52"/>
      <x:c r="OR52"/>
      <x:c r="OS52"/>
      <x:c r="OT52"/>
      <x:c r="OU52"/>
      <x:c r="OV52"/>
      <x:c r="OW52"/>
      <x:c r="OX52"/>
      <x:c r="OY52"/>
      <x:c r="OZ52"/>
      <x:c r="PA52"/>
      <x:c r="PB52"/>
      <x:c r="PC52"/>
      <x:c r="PD52"/>
      <x:c r="PE52"/>
      <x:c r="PF52"/>
      <x:c r="PG52"/>
      <x:c r="PH52"/>
      <x:c r="PI52"/>
      <x:c r="PJ52"/>
      <x:c r="PK52"/>
      <x:c r="PL52"/>
      <x:c r="PM52"/>
      <x:c r="PN52"/>
      <x:c r="PO52"/>
      <x:c r="PP52"/>
      <x:c r="PQ52"/>
      <x:c r="PR52"/>
      <x:c r="PS52"/>
      <x:c r="PT52"/>
      <x:c r="PU52"/>
      <x:c r="PV52"/>
      <x:c r="PW52"/>
      <x:c r="PX52"/>
      <x:c r="PY52"/>
      <x:c r="PZ52"/>
      <x:c r="QA52"/>
      <x:c r="QB52"/>
      <x:c r="QC52"/>
      <x:c r="QD52"/>
      <x:c r="QE52"/>
      <x:c r="QF52"/>
      <x:c r="QG52"/>
      <x:c r="QH52"/>
      <x:c r="QI52"/>
      <x:c r="QJ52"/>
      <x:c r="QK52"/>
      <x:c r="QL52"/>
      <x:c r="QM52"/>
      <x:c r="QN52"/>
      <x:c r="QO52"/>
      <x:c r="QP52"/>
      <x:c r="QQ52"/>
      <x:c r="QR52"/>
      <x:c r="QS52"/>
      <x:c r="QT52"/>
      <x:c r="QU52"/>
      <x:c r="QV52"/>
      <x:c r="QW52"/>
      <x:c r="QX52"/>
      <x:c r="QY52"/>
      <x:c r="QZ52"/>
      <x:c r="RA52"/>
      <x:c r="RB52"/>
      <x:c r="RC52"/>
      <x:c r="RD52"/>
      <x:c r="RE52"/>
      <x:c r="RF52"/>
      <x:c r="RG52"/>
      <x:c r="RH52"/>
      <x:c r="RI52"/>
      <x:c r="RJ52"/>
      <x:c r="RK52"/>
      <x:c r="RL52"/>
      <x:c r="RM52"/>
      <x:c r="RN52"/>
      <x:c r="RO52"/>
      <x:c r="RP52"/>
      <x:c r="RQ52"/>
      <x:c r="RR52"/>
      <x:c r="RS52"/>
      <x:c r="RT52"/>
      <x:c r="RU52"/>
      <x:c r="RV52"/>
      <x:c r="RW52"/>
      <x:c r="RX52"/>
      <x:c r="RY52"/>
      <x:c r="RZ52"/>
      <x:c r="SA52"/>
      <x:c r="SB52"/>
      <x:c r="SC52"/>
      <x:c r="SD52"/>
      <x:c r="SE52"/>
      <x:c r="SF52"/>
      <x:c r="SG52"/>
      <x:c r="SH52"/>
      <x:c r="SI52"/>
      <x:c r="SJ52"/>
      <x:c r="SK52"/>
      <x:c r="SL52"/>
      <x:c r="SM52"/>
      <x:c r="SN52"/>
      <x:c r="SO52"/>
      <x:c r="SP52"/>
      <x:c r="SQ52"/>
      <x:c r="SR52"/>
      <x:c r="SS52"/>
      <x:c r="ST52"/>
      <x:c r="SU52"/>
      <x:c r="SV52"/>
      <x:c r="SW52"/>
      <x:c r="SX52"/>
      <x:c r="SY52"/>
      <x:c r="SZ52"/>
      <x:c r="TA52"/>
      <x:c r="TB52"/>
      <x:c r="TC52"/>
      <x:c r="TD52"/>
      <x:c r="TE52"/>
      <x:c r="TF52"/>
      <x:c r="TG52"/>
      <x:c r="TH52"/>
      <x:c r="TI52"/>
      <x:c r="TJ52"/>
      <x:c r="TK52"/>
      <x:c r="TL52"/>
      <x:c r="TM52"/>
      <x:c r="TN52"/>
      <x:c r="TO52"/>
      <x:c r="TP52"/>
      <x:c r="TQ52"/>
      <x:c r="TR52"/>
      <x:c r="TS52"/>
      <x:c r="TT52"/>
      <x:c r="TU52"/>
      <x:c r="TV52"/>
      <x:c r="TW52"/>
      <x:c r="TX52"/>
      <x:c r="TY52"/>
      <x:c r="TZ52"/>
      <x:c r="UA52"/>
      <x:c r="UB52"/>
      <x:c r="UC52"/>
      <x:c r="UD52"/>
      <x:c r="UE52"/>
      <x:c r="UF52"/>
      <x:c r="UG52"/>
      <x:c r="UH52"/>
      <x:c r="UI52"/>
      <x:c r="UJ52"/>
      <x:c r="UK52"/>
      <x:c r="UL52"/>
      <x:c r="UM52"/>
      <x:c r="UN52"/>
      <x:c r="UO52"/>
      <x:c r="UP52"/>
      <x:c r="UQ52"/>
      <x:c r="UR52"/>
      <x:c r="US52"/>
      <x:c r="UT52"/>
      <x:c r="UU52"/>
      <x:c r="UV52"/>
      <x:c r="UW52"/>
      <x:c r="UX52"/>
      <x:c r="UY52"/>
      <x:c r="UZ52"/>
      <x:c r="VA52"/>
      <x:c r="VB52"/>
      <x:c r="VC52"/>
      <x:c r="VD52"/>
      <x:c r="VE52"/>
      <x:c r="VF52"/>
      <x:c r="VG52"/>
      <x:c r="VH52"/>
      <x:c r="VI52"/>
      <x:c r="VJ52"/>
      <x:c r="VK52"/>
      <x:c r="VL52"/>
      <x:c r="VM52"/>
      <x:c r="VN52"/>
      <x:c r="VO52"/>
      <x:c r="VP52"/>
      <x:c r="VQ52"/>
      <x:c r="VR52"/>
      <x:c r="VS52"/>
      <x:c r="VT52"/>
      <x:c r="VU52"/>
      <x:c r="VV52"/>
      <x:c r="VW52"/>
      <x:c r="VX52"/>
      <x:c r="VY52"/>
      <x:c r="VZ52"/>
      <x:c r="WA52"/>
      <x:c r="WB52"/>
      <x:c r="WC52"/>
      <x:c r="WD52"/>
      <x:c r="WE52"/>
      <x:c r="WF52"/>
      <x:c r="WG52"/>
      <x:c r="WH52"/>
      <x:c r="WI52"/>
      <x:c r="WJ52"/>
      <x:c r="WK52"/>
      <x:c r="WL52"/>
      <x:c r="WM52"/>
      <x:c r="WN52"/>
      <x:c r="WO52"/>
      <x:c r="WP52"/>
      <x:c r="WQ52"/>
      <x:c r="WR52"/>
      <x:c r="WS52"/>
      <x:c r="WT52"/>
      <x:c r="WU52"/>
      <x:c r="WV52"/>
      <x:c r="WW52"/>
      <x:c r="WX52"/>
      <x:c r="WY52"/>
      <x:c r="WZ52"/>
      <x:c r="XA52"/>
      <x:c r="XB52"/>
      <x:c r="XC52"/>
      <x:c r="XD52"/>
      <x:c r="XE52" t="n">
        <x:v>60</x:v>
      </x:c>
      <x:c r="XF52" t="n">
        <x:v>13</x:v>
      </x:c>
      <x:c r="XG52" t="n">
        <x:v>13</x:v>
      </x:c>
      <x:c r="XH52" t="n">
        <x:v>109</x:v>
      </x:c>
      <x:c r="XI52" t="n">
        <x:v>109</x:v>
      </x:c>
      <x:c r="XJ52" t="n">
        <x:v>109</x:v>
      </x:c>
      <x:c r="XK52" t="n">
        <x:v>109</x:v>
      </x:c>
      <x:c r="XL52" t="n">
        <x:v>109</x:v>
      </x:c>
      <x:c r="XM52" t="n">
        <x:v>0</x:v>
      </x:c>
      <x:c r="XN52" t="n">
        <x:v>12</x:v>
      </x:c>
      <x:c r="XO52" t="n">
        <x:v>109</x:v>
      </x:c>
      <x:c r="XP52" t="n">
        <x:v>1</x:v>
      </x:c>
      <x:c r="XQ52" t="n">
        <x:v>0</x:v>
      </x:c>
      <x:c r="XR52" t="str">
        <x:v>PERF-AC-1</x:v>
      </x:c>
      <x:c r="XS52" t="str">
        <x:v>PERF-TR-1</x:v>
      </x:c>
      <x:c r="XT52" t="str">
        <x:v>PERF-AC-1</x:v>
      </x:c>
      <x:c r="XU52" t="str">
        <x:v>PERF-TR-1</x:v>
      </x:c>
      <x:c r="XV52" t="n">
        <x:v>700</x:v>
      </x:c>
      <x:c r="XW52" t="n">
        <x:v>0</x:v>
      </x:c>
      <x:c r="XX52" t="n">
        <x:v>100</x:v>
      </x:c>
      <x:c r="XY52" t="n">
        <x:v>0</x:v>
      </x:c>
      <x:c r="XZ52" t="n">
        <x:v>500</x:v>
      </x:c>
      <x:c r="YA52" t="n">
        <x:v>500</x:v>
      </x:c>
      <x:c r="YB52" t="n">
        <x:v>0</x:v>
      </x:c>
      <x:c r="YC52" t="n">
        <x:v>500</x:v>
      </x:c>
      <x:c r="YD52" t="n">
        <x:v>100</x:v>
      </x:c>
      <x:c r="YE52" t="n">
        <x:v>700</x:v>
      </x:c>
      <x:c r="YF52" t="n">
        <x:v>10253900</x:v>
      </x:c>
      <x:c r="YG52" t="n">
        <x:v>0</x:v>
      </x:c>
      <x:c r="YH52" t="n">
        <x:v>0</x:v>
      </x:c>
      <x:c r="YI52" s="127" t="b">
        <x:v>1</x:v>
      </x:c>
      <x:c r="YJ52" s="127" t="b">
        <x:v>1</x:v>
      </x:c>
      <x:c r="YK52" s="127" t="b">
        <x:v>1</x:v>
      </x:c>
    </x:row>
    <x:row r="53">
      <x:c r="A53" s="32" t="str">
        <x:v>a89f6c7b-5d96-47c8-b191-3d66763ad020</x:v>
      </x:c>
      <x:c r="B53" s="32" t="str">
        <x:v>E-009</x:v>
      </x:c>
      <x:c r="C53" s="42" t="n">
        <x:v>46264.00287037037</x:v>
      </x:c>
      <x:c r="D53" s="32" t="str">
        <x:v>489b7424f5051f7a276dafe8d5f318ccf1368d87</x:v>
      </x:c>
      <x:c r="E53" s="32" t="str">
        <x:v>GLONBW11</x:v>
      </x:c>
      <x:c r="F53" s="32" t="str">
        <x:v>local-filesystem</x:v>
      </x:c>
      <x:c r="G53" s="32" t="str">
        <x:v>3.14.2</x:v>
      </x:c>
      <x:c r="H53" s="32" t="str">
        <x:v>deterministic</x:v>
      </x:c>
      <x:c r="I53" s="32" t="n">
        <x:v>1000</x:v>
      </x:c>
      <x:c r="J53" s="32" t="n">
        <x:v>10</x:v>
      </x:c>
      <x:c r="K53" s="32" t="n">
        <x:v>10.035806416666667</x:v>
      </x:c>
      <x:c r="L53" s="32" t="n">
        <x:v>121</x:v>
      </x:c>
      <x:c r="M53" s="32" t="n">
        <x:v>5</x:v>
      </x:c>
      <x:c r="N53" s="32" t="n">
        <x:v>10</x:v>
      </x:c>
      <x:c r="O53" s="32" t="n">
        <x:v>943.7516460020561</x:v>
      </x:c>
      <x:c r="P53" s="32" t="n">
        <x:v>1030.2292199921794</x:v>
      </x:c>
      <x:c r="Q53" s="32" t="n">
        <x:v>1039.8096985998563</x:v>
      </x:c>
      <x:c r="R53" s="32" t="n">
        <x:v>1473.3510760124773</x:v>
      </x:c>
      <x:c r="S53" s="32" t="n">
        <x:v>0</x:v>
      </x:c>
      <x:c r="T53" s="43" t="n">
        <x:v>0</x:v>
      </x:c>
      <x:c r="U53" s="32" t="n">
        <x:v>93.60944812751512</x:v>
      </x:c>
      <x:c r="V53" s="32" t="n">
        <x:v>100.66902232569011</x:v>
      </x:c>
      <x:c r="W53" s="32" t="n">
        <x:v>135.65783186983472</x:v>
      </x:c>
      <x:c r="X53" s="32" t="n">
        <x:v>135.73828125</x:v>
      </x:c>
      <x:c r="Y53" s="32"/>
      <x:c r="Z53" s="32"/>
      <x:c r="AA53" s="32"/>
      <x:c r="AB53" s="32"/>
      <x:c r="AC53" s="32" t="n">
        <x:v>0</x:v>
      </x:c>
      <x:c r="AD53" s="32" t="n">
        <x:v>0</x:v>
      </x:c>
      <x:c r="AE53" s="32" t="n">
        <x:v>0</x:v>
      </x:c>
      <x:c r="AF53" s="32" t="n">
        <x:v>0</x:v>
      </x:c>
      <x:c r="AG53" s="32" t="n">
        <x:v>0</x:v>
      </x:c>
      <x:c r="AH53" s="32" t="n">
        <x:v>1064.321009995183</x:v>
      </x:c>
      <x:c r="AI53" s="32" t="str">
        <x:v>PASS</x:v>
      </x:c>
      <x:c r="AJ53" s="32" t="str">
        <x:v>GREEN</x:v>
      </x:c>
      <x:c r="AK53" s="32" t="str">
        <x:v>latest-narrow</x:v>
      </x:c>
      <x:c r="AL53" s="32" t="n">
        <x:v>1</x:v>
      </x:c>
      <x:c r="AM53" s="32" t="n">
        <x:v>1</x:v>
      </x:c>
      <x:c r="AN53" s="32" t="n">
        <x:v>1000</x:v>
      </x:c>
      <x:c r="AO53" s="32" t="n">
        <x:v>1</x:v>
      </x:c>
      <x:c r="AP53" s="32" t="n">
        <x:v>8132</x:v>
      </x:c>
      <x:c r="AQ53" s="32" t="n">
        <x:v>9.690182021586224</x:v>
      </x:c>
      <x:c r="AR53" s="32" t="n">
        <x:v>10.778209019917995</x:v>
      </x:c>
      <x:c r="AS53" s="32" t="n">
        <x:v>11.831145198084414</x:v>
      </x:c>
      <x:c r="AT53" s="32" t="n">
        <x:v>36</x:v>
      </x:c>
      <x:c r="AU53" s="32" t="str">
        <x:v>28×28 + 8×27</x:v>
      </x:c>
      <x:c r="AV53" s="32" t="n">
        <x:v>0.3282609977759421</x:v>
      </x:c>
      <x:c r="AW53" s="32" t="n">
        <x:v>0.40096999146044254</x:v>
      </x:c>
      <x:c r="AX53" s="32" t="n">
        <x:v>0.4739394003991037</x:v>
      </x:c>
      <x:c r="AY53" t="str">
        <x:v>balanced</x:v>
      </x:c>
      <x:c r="AZ53" s="32" t="str">
        <x:v>PASS</x:v>
      </x:c>
      <x:c r="BA53" s="32" t="n">
        <x:v>500</x:v>
      </x:c>
      <x:c r="BB53" s="32" t="n">
        <x:v>500</x:v>
      </x:c>
      <x:c r="BC53" s="115" t="b">
        <x:v>1</x:v>
      </x:c>
      <x:c r="BD53" s="32" t="str">
        <x:v>PASS/GREEN. Candidate inválido desde +60 s: #13..#121 = 109/109 CACHE_FALLBACK/NOT_REQUIRED/cycle_executed/degraded. Manifest=121 success/0 failure; candidate manifest/config/tool reads=109/109/109 y contract failures=109; post-candidate SOURCE_CANDIDATE/REJECTED/non-fallback=0/0/0. Cache efectivo PERF-AC-1/PERF-TR-1, replace=1 bootstrap y 0 post-candidate. Auditoría independiente: PERF-AC-2.json existe y declara revision=PERF-AC-CORRUPT; 700 WAL records / 10,253,900 B todos AC1/TR1; 100 grupos × 7; 0 duplicate commits, chain errors o snapshot mismatches; durable==materialized. Operational churn exacto y final 500 ACTIVE/assignments/open occurrences +100 episodes, 0 pending.</x:v>
      </x:c>
      <x:c r="BE53" s="32" t="n">
        <x:v>0</x:v>
      </x:c>
      <x:c r="BF53" s="32" t="n">
        <x:v>0</x:v>
      </x:c>
      <x:c r="BG53" s="32" t="n">
        <x:v>0</x:v>
      </x:c>
      <x:c r="BH53" s="32" t="n">
        <x:v>0</x:v>
      </x:c>
      <x:c r="BI53" s="32" t="n">
        <x:v>0</x:v>
      </x:c>
      <x:c r="BJ53" s="32" t="n">
        <x:v>1000</x:v>
      </x:c>
      <x:c r="BK53" s="32" t="n">
        <x:v>1000</x:v>
      </x:c>
      <x:c r="BL53" s="32" t="n">
        <x:v>0</x:v>
      </x:c>
      <x:c r="BM53" s="32" t="n">
        <x:v>0</x:v>
      </x:c>
      <x:c r="BN53" t="n">
        <x:v>100</x:v>
      </x:c>
      <x:c r="BO53" t="n">
        <x:v>10</x:v>
      </x:c>
      <x:c r="BP53" t="n">
        <x:v>10</x:v>
      </x:c>
      <x:c r="BQ53" t="n">
        <x:v>50</x:v>
      </x:c>
      <x:c r="BR53" t="n">
        <x:v>60</x:v>
      </x:c>
      <x:c r="BS53" t="n">
        <x:v>6000</x:v>
      </x:c>
      <x:c r="BT53" t="n">
        <x:v>700</x:v>
      </x:c>
      <x:c r="BU53" t="n">
        <x:v>700</x:v>
      </x:c>
      <x:c r="BV53" t="n">
        <x:v>0</x:v>
      </x:c>
      <x:c r="BW53" t="n">
        <x:v>3500</x:v>
      </x:c>
      <x:c r="BX53" t="n">
        <x:v>3500</x:v>
      </x:c>
      <x:c r="BY53" t="n">
        <x:v>3000</x:v>
      </x:c>
      <x:c r="BZ53" t="n">
        <x:v>3000</x:v>
      </x:c>
      <x:c r="CA53" t="n">
        <x:v>100</x:v>
      </x:c>
      <x:c r="CB53" t="n">
        <x:v>100</x:v>
      </x:c>
      <x:c r="CC53" t="n">
        <x:v>0</x:v>
      </x:c>
      <x:c r="CD53" t="n">
        <x:v>0</x:v>
      </x:c>
      <x:c r="CE53" t="n">
        <x:v>3500</x:v>
      </x:c>
      <x:c r="CF53" t="n">
        <x:v>10000</x:v>
      </x:c>
      <x:c r="CG53" t="n">
        <x:v>6500</x:v>
      </x:c>
      <x:c r="CH53" t="n">
        <x:v>0</x:v>
      </x:c>
      <x:c r="CI53" s="127" t="b">
        <x:v>1</x:v>
      </x:c>
      <x:c r="CJ53" t="n">
        <x:v>0</x:v>
      </x:c>
      <x:c r="CK53" t="n">
        <x:v>3500</x:v>
      </x:c>
      <x:c r="CL53" t="n">
        <x:v>0</x:v>
      </x:c>
      <x:c r="CM53" t="n">
        <x:v>0</x:v>
      </x:c>
      <x:c r="CN53" t="n">
        <x:v>0</x:v>
      </x:c>
      <x:c r="CO53" t="n">
        <x:v>0</x:v>
      </x:c>
      <x:c r="CP53" t="n">
        <x:v>0</x:v>
      </x:c>
      <x:c r="CQ53" t="n">
        <x:v>0</x:v>
      </x:c>
      <x:c r="CR53" t="n">
        <x:v>0</x:v>
      </x:c>
      <x:c r="CS53" t="n">
        <x:v>0</x:v>
      </x:c>
      <x:c r="CT53" t="n">
        <x:v>0</x:v>
      </x:c>
      <x:c r="CU53" t="n">
        <x:v>0</x:v>
      </x:c>
      <x:c r="CV53" t="n">
        <x:v>0</x:v>
      </x:c>
      <x:c r="CW53" t="n">
        <x:v>0</x:v>
      </x:c>
      <x:c r="CX53" t="n">
        <x:v>0</x:v>
      </x:c>
      <x:c r="CY53" t="n">
        <x:v>0</x:v>
      </x:c>
      <x:c r="CZ53" t="n">
        <x:v>0</x:v>
      </x:c>
      <x:c r="DA53" t="n">
        <x:v>0</x:v>
      </x:c>
      <x:c r="DB53" t="n">
        <x:v>0</x:v>
      </x:c>
      <x:c r="DC53" t="n">
        <x:v>0</x:v>
      </x:c>
      <x:c r="DD53" t="n">
        <x:v>0</x:v>
      </x:c>
      <x:c r="DE53" t="n">
        <x:v>0</x:v>
      </x:c>
      <x:c r="DF53" t="n">
        <x:v>0</x:v>
      </x:c>
      <x:c r="DG53" t="n">
        <x:v>0</x:v>
      </x:c>
      <x:c r="DH53" t="str">
        <x:v>baseline</x:v>
      </x:c>
      <x:c r="DI53" t="n">
        <x:v>121</x:v>
      </x:c>
      <x:c r="DJ53" t="n">
        <x:v>0</x:v>
      </x:c>
      <x:c r="DK53" t="n">
        <x:v>0</x:v>
      </x:c>
      <x:c r="DL53" t="n">
        <x:v>0</x:v>
      </x:c>
      <x:c r="DM53" t="n">
        <x:v>0</x:v>
      </x:c>
      <x:c r="DN53" t="n">
        <x:v>0</x:v>
      </x:c>
      <x:c r="DO53" t="n">
        <x:v>0</x:v>
      </x:c>
      <x:c r="DP53" t="n">
        <x:v>0</x:v>
      </x:c>
      <x:c r="DQ53"/>
      <x:c r="DR53"/>
      <x:c r="DS53"/>
      <x:c r="DT53"/>
      <x:c r="DU53"/>
      <x:c r="DV53"/>
      <x:c r="DW53"/>
      <x:c r="DX53"/>
      <x:c r="DY53"/>
      <x:c r="DZ53"/>
      <x:c r="EA53"/>
      <x:c r="EB53"/>
      <x:c r="EC53"/>
      <x:c r="ED53"/>
      <x:c r="EE53"/>
      <x:c r="EF53"/>
      <x:c r="EG53"/>
      <x:c r="EH53"/>
      <x:c r="EI53"/>
      <x:c r="EJ53"/>
      <x:c r="EK53"/>
      <x:c r="EL53"/>
      <x:c r="EM53"/>
      <x:c r="EN53"/>
      <x:c r="EO53"/>
      <x:c r="EP53"/>
      <x:c r="EQ53"/>
      <x:c r="ER53"/>
      <x:c r="ES53"/>
      <x:c r="ET53"/>
      <x:c r="EU53"/>
      <x:c r="EV53"/>
      <x:c r="EW53"/>
      <x:c r="EX53"/>
      <x:c r="EY53"/>
      <x:c r="EZ53"/>
      <x:c r="FA53"/>
      <x:c r="FB53"/>
      <x:c r="FC53"/>
      <x:c r="FD53"/>
      <x:c r="FE53"/>
      <x:c r="FF53"/>
      <x:c r="FG53"/>
      <x:c r="FH53"/>
      <x:c r="FI53"/>
      <x:c r="FJ53"/>
      <x:c r="FK53"/>
      <x:c r="FL53"/>
      <x:c r="FM53"/>
      <x:c r="FN53"/>
      <x:c r="FO53"/>
      <x:c r="FP53"/>
      <x:c r="FQ53"/>
      <x:c r="FR53"/>
      <x:c r="FS53"/>
      <x:c r="FT53"/>
      <x:c r="FU53"/>
      <x:c r="FV53"/>
      <x:c r="FW53"/>
      <x:c r="FX53"/>
      <x:c r="FY53"/>
      <x:c r="FZ53"/>
      <x:c r="GA53"/>
      <x:c r="GB53"/>
      <x:c r="GC53"/>
      <x:c r="GD53"/>
      <x:c r="GE53"/>
      <x:c r="GF53"/>
      <x:c r="GG53"/>
      <x:c r="GH53"/>
      <x:c r="GI53"/>
      <x:c r="GJ53"/>
      <x:c r="GK53"/>
      <x:c r="GL53"/>
      <x:c r="GM53"/>
      <x:c r="GN53"/>
      <x:c r="GO53"/>
      <x:c r="GP53"/>
      <x:c r="GQ53"/>
      <x:c r="GR53"/>
      <x:c r="GS53"/>
      <x:c r="GT53"/>
      <x:c r="GU53"/>
      <x:c r="GV53"/>
      <x:c r="GW53"/>
      <x:c r="GX53"/>
      <x:c r="GY53"/>
      <x:c r="GZ53"/>
      <x:c r="HA53"/>
      <x:c r="HB53"/>
      <x:c r="HC53"/>
      <x:c r="HD53"/>
      <x:c r="HE53"/>
      <x:c r="HF53"/>
      <x:c r="HG53"/>
      <x:c r="HH53"/>
      <x:c r="HI53"/>
      <x:c r="HJ53"/>
      <x:c r="HK53"/>
      <x:c r="HL53"/>
      <x:c r="HM53"/>
      <x:c r="HN53"/>
      <x:c r="HO53"/>
      <x:c r="HP53"/>
      <x:c r="HQ53"/>
      <x:c r="HR53"/>
      <x:c r="HS53"/>
      <x:c r="HT53"/>
      <x:c r="HU53"/>
      <x:c r="HV53"/>
      <x:c r="HW53"/>
      <x:c r="HX53"/>
      <x:c r="HY53"/>
      <x:c r="HZ53"/>
      <x:c r="IA53"/>
      <x:c r="IB53"/>
      <x:c r="IC53"/>
      <x:c r="ID53"/>
      <x:c r="IE53"/>
      <x:c r="IF53"/>
      <x:c r="IG53"/>
      <x:c r="IH53"/>
      <x:c r="II53"/>
      <x:c r="IJ53"/>
      <x:c r="IK53"/>
      <x:c r="IL53"/>
      <x:c r="IM53"/>
      <x:c r="IN53"/>
      <x:c r="IO53"/>
      <x:c r="IP53"/>
      <x:c r="IQ53"/>
      <x:c r="IR53"/>
      <x:c r="IS53"/>
      <x:c r="IT53"/>
      <x:c r="IU53"/>
      <x:c r="IV53"/>
      <x:c r="IW53"/>
      <x:c r="IX53"/>
      <x:c r="IY53"/>
      <x:c r="IZ53"/>
      <x:c r="JA53"/>
      <x:c r="JB53"/>
      <x:c r="JC53"/>
      <x:c r="JD53"/>
      <x:c r="JE53"/>
      <x:c r="JF53"/>
      <x:c r="JG53"/>
      <x:c r="JH53"/>
      <x:c r="JI53"/>
      <x:c r="JJ53"/>
      <x:c r="JK53"/>
      <x:c r="JL53"/>
      <x:c r="JM53"/>
      <x:c r="JN53"/>
      <x:c r="JO53"/>
      <x:c r="JP53"/>
      <x:c r="JQ53"/>
      <x:c r="JR53"/>
      <x:c r="JS53"/>
      <x:c r="JT53"/>
      <x:c r="JU53"/>
      <x:c r="JV53"/>
      <x:c r="JW53"/>
      <x:c r="JX53"/>
      <x:c r="JY53"/>
      <x:c r="JZ53"/>
      <x:c r="KA53"/>
      <x:c r="KB53"/>
      <x:c r="KC53"/>
      <x:c r="KD53"/>
      <x:c r="KE53"/>
      <x:c r="KF53"/>
      <x:c r="KG53"/>
      <x:c r="KH53"/>
      <x:c r="KI53"/>
      <x:c r="KJ53"/>
      <x:c r="KK53"/>
      <x:c r="KL53"/>
      <x:c r="KM53"/>
      <x:c r="KN53"/>
      <x:c r="KO53"/>
      <x:c r="KP53"/>
      <x:c r="KQ53"/>
      <x:c r="KR53"/>
      <x:c r="KS53"/>
      <x:c r="KT53"/>
      <x:c r="KU53"/>
      <x:c r="KV53"/>
      <x:c r="KW53"/>
      <x:c r="KX53"/>
      <x:c r="KY53"/>
      <x:c r="KZ53"/>
      <x:c r="LA53"/>
      <x:c r="LB53"/>
      <x:c r="LC53"/>
      <x:c r="LD53"/>
      <x:c r="LE53"/>
      <x:c r="LF53"/>
      <x:c r="LG53"/>
      <x:c r="LH53"/>
      <x:c r="LI53"/>
      <x:c r="LJ53"/>
      <x:c r="LK53"/>
      <x:c r="LL53"/>
      <x:c r="LM53"/>
      <x:c r="LN53"/>
      <x:c r="LO53"/>
      <x:c r="LP53"/>
      <x:c r="LQ53"/>
      <x:c r="LR53"/>
      <x:c r="LS53"/>
      <x:c r="LT53"/>
      <x:c r="LU53"/>
      <x:c r="LV53"/>
      <x:c r="LW53"/>
      <x:c r="LX53"/>
      <x:c r="LY53"/>
      <x:c r="LZ53"/>
      <x:c r="MA53"/>
      <x:c r="MB53"/>
      <x:c r="MC53"/>
      <x:c r="MD53"/>
      <x:c r="ME53"/>
      <x:c r="MF53"/>
      <x:c r="MG53"/>
      <x:c r="MH53"/>
      <x:c r="MI53"/>
      <x:c r="MJ53"/>
      <x:c r="MK53"/>
      <x:c r="ML53"/>
      <x:c r="MM53"/>
      <x:c r="MN53"/>
      <x:c r="MO53"/>
      <x:c r="MP53"/>
      <x:c r="MQ53"/>
      <x:c r="MR53"/>
      <x:c r="MS53"/>
      <x:c r="MT53"/>
      <x:c r="MU53"/>
      <x:c r="MV53"/>
      <x:c r="MW53"/>
      <x:c r="MX53"/>
      <x:c r="MY53"/>
      <x:c r="MZ53"/>
      <x:c r="NA53"/>
      <x:c r="NB53"/>
      <x:c r="NC53"/>
      <x:c r="ND53"/>
      <x:c r="NE53"/>
      <x:c r="NF53"/>
      <x:c r="NG53"/>
      <x:c r="NH53"/>
      <x:c r="NI53"/>
      <x:c r="NJ53"/>
      <x:c r="NK53"/>
      <x:c r="NL53"/>
      <x:c r="NM53"/>
      <x:c r="NN53"/>
      <x:c r="NO53"/>
      <x:c r="NP53"/>
      <x:c r="NQ53"/>
      <x:c r="NR53"/>
      <x:c r="NS53"/>
      <x:c r="NT53"/>
      <x:c r="NU53"/>
      <x:c r="NV53"/>
      <x:c r="NW53"/>
      <x:c r="NX53"/>
      <x:c r="NY53"/>
      <x:c r="NZ53"/>
      <x:c r="OA53"/>
      <x:c r="OB53"/>
      <x:c r="OC53"/>
      <x:c r="OD53"/>
      <x:c r="OE53"/>
      <x:c r="OF53"/>
      <x:c r="OG53"/>
      <x:c r="OH53"/>
      <x:c r="OI53"/>
      <x:c r="OJ53"/>
      <x:c r="OK53"/>
      <x:c r="OL53"/>
      <x:c r="OM53"/>
      <x:c r="ON53"/>
      <x:c r="OO53"/>
      <x:c r="OP53"/>
      <x:c r="OQ53"/>
      <x:c r="OR53"/>
      <x:c r="OS53"/>
      <x:c r="OT53"/>
      <x:c r="OU53"/>
      <x:c r="OV53"/>
      <x:c r="OW53"/>
      <x:c r="OX53"/>
      <x:c r="OY53"/>
      <x:c r="OZ53"/>
      <x:c r="PA53"/>
      <x:c r="PB53"/>
      <x:c r="PC53"/>
      <x:c r="PD53"/>
      <x:c r="PE53"/>
      <x:c r="PF53"/>
      <x:c r="PG53"/>
      <x:c r="PH53"/>
      <x:c r="PI53"/>
      <x:c r="PJ53"/>
      <x:c r="PK53"/>
      <x:c r="PL53"/>
      <x:c r="PM53"/>
      <x:c r="PN53"/>
      <x:c r="PO53"/>
      <x:c r="PP53"/>
      <x:c r="PQ53"/>
      <x:c r="PR53"/>
      <x:c r="PS53"/>
      <x:c r="PT53"/>
      <x:c r="PU53"/>
      <x:c r="PV53"/>
      <x:c r="PW53"/>
      <x:c r="PX53"/>
      <x:c r="PY53"/>
      <x:c r="PZ53"/>
      <x:c r="QA53"/>
      <x:c r="QB53"/>
      <x:c r="QC53"/>
      <x:c r="QD53"/>
      <x:c r="QE53"/>
      <x:c r="QF53"/>
      <x:c r="QG53"/>
      <x:c r="QH53"/>
      <x:c r="QI53"/>
      <x:c r="QJ53"/>
      <x:c r="QK53"/>
      <x:c r="QL53"/>
      <x:c r="QM53"/>
      <x:c r="QN53"/>
      <x:c r="QO53"/>
      <x:c r="QP53"/>
      <x:c r="QQ53"/>
      <x:c r="QR53"/>
      <x:c r="QS53"/>
      <x:c r="QT53"/>
      <x:c r="QU53"/>
      <x:c r="QV53"/>
      <x:c r="QW53"/>
      <x:c r="QX53"/>
      <x:c r="QY53"/>
      <x:c r="QZ53"/>
      <x:c r="RA53"/>
      <x:c r="RB53"/>
      <x:c r="RC53"/>
      <x:c r="RD53"/>
      <x:c r="RE53"/>
      <x:c r="RF53"/>
      <x:c r="RG53"/>
      <x:c r="RH53"/>
      <x:c r="RI53"/>
      <x:c r="RJ53"/>
      <x:c r="RK53"/>
      <x:c r="RL53"/>
      <x:c r="RM53"/>
      <x:c r="RN53"/>
      <x:c r="RO53"/>
      <x:c r="RP53"/>
      <x:c r="RQ53"/>
      <x:c r="RR53"/>
      <x:c r="RS53"/>
      <x:c r="RT53"/>
      <x:c r="RU53"/>
      <x:c r="RV53"/>
      <x:c r="RW53"/>
      <x:c r="RX53"/>
      <x:c r="RY53"/>
      <x:c r="RZ53"/>
      <x:c r="SA53"/>
      <x:c r="SB53"/>
      <x:c r="SC53"/>
      <x:c r="SD53"/>
      <x:c r="SE53"/>
      <x:c r="SF53"/>
      <x:c r="SG53"/>
      <x:c r="SH53"/>
      <x:c r="SI53"/>
      <x:c r="SJ53"/>
      <x:c r="SK53"/>
      <x:c r="SL53"/>
      <x:c r="SM53"/>
      <x:c r="SN53"/>
      <x:c r="SO53"/>
      <x:c r="SP53"/>
      <x:c r="SQ53"/>
      <x:c r="SR53"/>
      <x:c r="SS53"/>
      <x:c r="ST53"/>
      <x:c r="SU53"/>
      <x:c r="SV53"/>
      <x:c r="SW53"/>
      <x:c r="SX53"/>
      <x:c r="SY53"/>
      <x:c r="SZ53"/>
      <x:c r="TA53"/>
      <x:c r="TB53"/>
      <x:c r="TC53"/>
      <x:c r="TD53"/>
      <x:c r="TE53"/>
      <x:c r="TF53"/>
      <x:c r="TG53"/>
      <x:c r="TH53"/>
      <x:c r="TI53"/>
      <x:c r="TJ53"/>
      <x:c r="TK53"/>
      <x:c r="TL53"/>
      <x:c r="TM53"/>
      <x:c r="TN53"/>
      <x:c r="TO53"/>
      <x:c r="TP53"/>
      <x:c r="TQ53"/>
      <x:c r="TR53"/>
      <x:c r="TS53"/>
      <x:c r="TT53"/>
      <x:c r="TU53"/>
      <x:c r="TV53"/>
      <x:c r="TW53"/>
      <x:c r="TX53"/>
      <x:c r="TY53"/>
      <x:c r="TZ53"/>
      <x:c r="UA53"/>
      <x:c r="UB53"/>
      <x:c r="UC53"/>
      <x:c r="UD53"/>
      <x:c r="UE53"/>
      <x:c r="UF53"/>
      <x:c r="UG53"/>
      <x:c r="UH53"/>
      <x:c r="UI53"/>
      <x:c r="UJ53"/>
      <x:c r="UK53"/>
      <x:c r="UL53"/>
      <x:c r="UM53"/>
      <x:c r="UN53"/>
      <x:c r="UO53"/>
      <x:c r="UP53"/>
      <x:c r="UQ53"/>
      <x:c r="UR53"/>
      <x:c r="US53"/>
      <x:c r="UT53"/>
      <x:c r="UU53"/>
      <x:c r="UV53"/>
      <x:c r="UW53"/>
      <x:c r="UX53"/>
      <x:c r="UY53"/>
      <x:c r="UZ53"/>
      <x:c r="VA53"/>
      <x:c r="VB53"/>
      <x:c r="VC53"/>
      <x:c r="VD53"/>
      <x:c r="VE53"/>
      <x:c r="VF53"/>
      <x:c r="VG53"/>
      <x:c r="VH53"/>
      <x:c r="VI53"/>
      <x:c r="VJ53"/>
      <x:c r="VK53"/>
      <x:c r="VL53"/>
      <x:c r="VM53"/>
      <x:c r="VN53"/>
      <x:c r="VO53"/>
      <x:c r="VP53"/>
      <x:c r="VQ53"/>
      <x:c r="VR53"/>
      <x:c r="VS53"/>
      <x:c r="VT53"/>
      <x:c r="VU53"/>
      <x:c r="VV53"/>
      <x:c r="VW53"/>
      <x:c r="VX53"/>
      <x:c r="VY53"/>
      <x:c r="VZ53"/>
      <x:c r="WA53"/>
      <x:c r="WB53"/>
      <x:c r="WC53"/>
      <x:c r="WD53"/>
      <x:c r="WE53"/>
      <x:c r="WF53"/>
      <x:c r="WG53"/>
      <x:c r="WH53"/>
      <x:c r="WI53"/>
      <x:c r="WJ53"/>
      <x:c r="WK53"/>
      <x:c r="WL53"/>
      <x:c r="WM53"/>
      <x:c r="WN53"/>
      <x:c r="WO53"/>
      <x:c r="WP53"/>
      <x:c r="WQ53"/>
      <x:c r="WR53"/>
      <x:c r="WS53"/>
      <x:c r="WT53"/>
      <x:c r="WU53"/>
      <x:c r="WV53"/>
      <x:c r="WW53"/>
      <x:c r="WX53"/>
      <x:c r="WY53"/>
      <x:c r="WZ53"/>
      <x:c r="XA53"/>
      <x:c r="XB53"/>
      <x:c r="XC53"/>
      <x:c r="XD53"/>
      <x:c r="XE53"/>
      <x:c r="XF53"/>
      <x:c r="XG53"/>
      <x:c r="XH53"/>
      <x:c r="XI53"/>
      <x:c r="XJ53"/>
      <x:c r="XK53"/>
      <x:c r="XL53"/>
      <x:c r="XM53"/>
      <x:c r="XN53"/>
      <x:c r="XO53"/>
      <x:c r="XP53"/>
      <x:c r="XQ53"/>
      <x:c r="XR53"/>
      <x:c r="XS53"/>
      <x:c r="XT53"/>
      <x:c r="XU53"/>
      <x:c r="XV53"/>
      <x:c r="XW53"/>
      <x:c r="XX53"/>
      <x:c r="XY53"/>
      <x:c r="XZ53"/>
      <x:c r="YA53"/>
      <x:c r="YB53"/>
      <x:c r="YC53"/>
      <x:c r="YD53"/>
      <x:c r="YE53"/>
      <x:c r="YF53"/>
      <x:c r="YG53"/>
      <x:c r="YH53"/>
      <x:c r="YI53"/>
      <x:c r="YJ53"/>
      <x:c r="YK53"/>
      <x:c r="YL53" t="n">
        <x:v>60</x:v>
      </x:c>
      <x:c r="YM53" t="n">
        <x:v>13</x:v>
      </x:c>
      <x:c r="YN53" t="n">
        <x:v>13</x:v>
      </x:c>
      <x:c r="YO53" t="n">
        <x:v>109</x:v>
      </x:c>
      <x:c r="YP53" t="n">
        <x:v>109</x:v>
      </x:c>
      <x:c r="YQ53" t="n">
        <x:v>109</x:v>
      </x:c>
      <x:c r="YR53" t="n">
        <x:v>109</x:v>
      </x:c>
      <x:c r="YS53" t="n">
        <x:v>109</x:v>
      </x:c>
      <x:c r="YT53" t="n">
        <x:v>0</x:v>
      </x:c>
      <x:c r="YU53" t="n">
        <x:v>0</x:v>
      </x:c>
      <x:c r="YV53" t="n">
        <x:v>0</x:v>
      </x:c>
      <x:c r="YW53" t="n">
        <x:v>121</x:v>
      </x:c>
      <x:c r="YX53" t="n">
        <x:v>0</x:v>
      </x:c>
      <x:c r="YY53" t="n">
        <x:v>109</x:v>
      </x:c>
      <x:c r="YZ53" t="n">
        <x:v>109</x:v>
      </x:c>
      <x:c r="ZA53" t="n">
        <x:v>109</x:v>
      </x:c>
      <x:c r="ZB53" t="n">
        <x:v>109</x:v>
      </x:c>
      <x:c r="ZC53" t="n">
        <x:v>1</x:v>
      </x:c>
      <x:c r="ZD53" t="n">
        <x:v>0</x:v>
      </x:c>
      <x:c r="ZE53" t="str">
        <x:v>PERF-AC-1</x:v>
      </x:c>
      <x:c r="ZF53" t="str">
        <x:v>PERF-TR-1</x:v>
      </x:c>
      <x:c r="ZG53" t="str">
        <x:v>PERF-AC-1</x:v>
      </x:c>
      <x:c r="ZH53" t="str">
        <x:v>PERF-TR-1</x:v>
      </x:c>
      <x:c r="ZI53" t="str">
        <x:v>PERF-AC-2</x:v>
      </x:c>
      <x:c r="ZJ53" t="str">
        <x:v>PERF-TR-1</x:v>
      </x:c>
      <x:c r="ZK53" t="str">
        <x:v>PERF-AC-CORRUPT</x:v>
      </x:c>
      <x:c r="ZL53" t="n">
        <x:v>700</x:v>
      </x:c>
      <x:c r="ZM53" t="n">
        <x:v>0</x:v>
      </x:c>
      <x:c r="ZN53" t="n">
        <x:v>0</x:v>
      </x:c>
      <x:c r="ZO53" t="n">
        <x:v>100</x:v>
      </x:c>
      <x:c r="ZP53" t="n">
        <x:v>0</x:v>
      </x:c>
      <x:c r="ZQ53" t="n">
        <x:v>0</x:v>
      </x:c>
      <x:c r="ZR53" t="n">
        <x:v>500</x:v>
      </x:c>
      <x:c r="ZS53" t="n">
        <x:v>500</x:v>
      </x:c>
      <x:c r="ZT53" t="n">
        <x:v>0</x:v>
      </x:c>
      <x:c r="ZU53" t="n">
        <x:v>500</x:v>
      </x:c>
      <x:c r="ZV53" t="n">
        <x:v>100</x:v>
      </x:c>
      <x:c r="ZW53" t="n">
        <x:v>700</x:v>
      </x:c>
      <x:c r="ZX53" t="n">
        <x:v>10253900</x:v>
      </x:c>
      <x:c r="ZY53" t="n">
        <x:v>0</x:v>
      </x:c>
      <x:c r="ZZ53" t="n">
        <x:v>0</x:v>
      </x:c>
      <x:c r="AAA53" t="n">
        <x:v>0</x:v>
      </x:c>
      <x:c r="AAB53" s="127" t="b">
        <x:v>1</x:v>
      </x:c>
      <x:c r="AAC53" s="127" t="b">
        <x:v>1</x:v>
      </x:c>
      <x:c r="AAD53" s="127" t="b">
        <x:v>1</x:v>
      </x:c>
      <x:c r="AAE53" s="127" t="b">
        <x:v>1</x:v>
      </x:c>
      <x:c r="AAF53" s="127" t="b">
        <x:v>1</x:v>
      </x:c>
    </x:row>
    <x:row r="54">
      <x:c r="A54" s="32"/>
      <x:c r="B54" s="32"/>
      <x:c r="C54" s="42"/>
      <x:c r="D54" s="32"/>
      <x:c r="E54" s="32"/>
      <x:c r="F54" s="32"/>
      <x:c r="G54" s="32"/>
      <x:c r="H54" s="32"/>
      <x:c r="I54" s="32"/>
      <x:c r="J54" s="32"/>
      <x:c r="K54" s="32"/>
      <x:c r="L54" s="32"/>
      <x:c r="M54" s="32"/>
      <x:c r="N54" s="32"/>
      <x:c r="O54" s="32"/>
      <x:c r="P54" s="32"/>
      <x:c r="Q54" s="32"/>
      <x:c r="R54" s="32"/>
      <x:c r="S54" s="32"/>
      <x:c r="T54" s="43" t="str">
        <x:f>IFERROR(S54/L54,"")</x:f>
      </x:c>
      <x:c r="U54" s="32"/>
      <x:c r="V54" s="32"/>
      <x:c r="W54" s="32"/>
      <x:c r="X54" s="32"/>
      <x:c r="Y54" s="32"/>
      <x:c r="Z54" s="32"/>
      <x:c r="AA54" s="32"/>
      <x:c r="AB54" s="32"/>
      <x:c r="AC54" s="32"/>
      <x:c r="AD54" s="32"/>
      <x:c r="AE54" s="32"/>
      <x:c r="AF54" s="32"/>
      <x:c r="AG54" s="32"/>
      <x:c r="AH54" s="32"/>
      <x:c r="AI54" s="32"/>
      <x:c r="AJ54" s="32"/>
      <x:c r="AK54" s="32"/>
      <x:c r="AL54" s="32"/>
      <x:c r="AM54" s="32"/>
      <x:c r="AN54" s="32"/>
      <x:c r="AO54" s="32"/>
      <x:c r="AP54" s="32"/>
      <x:c r="AQ54" s="32"/>
      <x:c r="AR54" s="32"/>
      <x:c r="AS54" s="32"/>
      <x:c r="AT54" s="32"/>
      <x:c r="AU54" s="32"/>
      <x:c r="AV54" s="32"/>
      <x:c r="AW54" s="32"/>
      <x:c r="AX54" s="32"/>
      <x:c r="AZ54" s="32"/>
      <x:c r="BA54" s="32"/>
      <x:c r="BB54" s="32"/>
      <x:c r="BC54" s="32"/>
      <x:c r="BD54" s="32"/>
      <x:c r="BE54" s="32"/>
      <x:c r="BF54" s="32"/>
      <x:c r="BG54" s="32"/>
      <x:c r="BH54" s="32"/>
      <x:c r="BI54" s="32"/>
      <x:c r="BJ54" s="32"/>
      <x:c r="BK54" s="32"/>
      <x:c r="BL54" s="32"/>
      <x:c r="BM54" s="32"/>
    </x:row>
    <x:row r="55">
      <x:c r="A55" s="32"/>
      <x:c r="B55" s="32"/>
      <x:c r="C55" s="42"/>
      <x:c r="D55" s="32"/>
      <x:c r="E55" s="32"/>
      <x:c r="F55" s="32"/>
      <x:c r="G55" s="32"/>
      <x:c r="H55" s="32"/>
      <x:c r="I55" s="32"/>
      <x:c r="J55" s="32"/>
      <x:c r="K55" s="32"/>
      <x:c r="L55" s="32"/>
      <x:c r="M55" s="32"/>
      <x:c r="N55" s="32"/>
      <x:c r="O55" s="32"/>
      <x:c r="P55" s="32"/>
      <x:c r="Q55" s="32"/>
      <x:c r="R55" s="32"/>
      <x:c r="S55" s="32"/>
      <x:c r="T55" s="43" t="str">
        <x:f>IFERROR(S55/L55,"")</x:f>
      </x:c>
      <x:c r="U55" s="32"/>
      <x:c r="V55" s="32"/>
      <x:c r="W55" s="32"/>
      <x:c r="X55" s="32"/>
      <x:c r="Y55" s="32"/>
      <x:c r="Z55" s="32"/>
      <x:c r="AA55" s="32"/>
      <x:c r="AB55" s="32"/>
      <x:c r="AC55" s="32"/>
      <x:c r="AD55" s="32"/>
      <x:c r="AE55" s="32"/>
      <x:c r="AF55" s="32"/>
      <x:c r="AG55" s="32"/>
      <x:c r="AH55" s="32"/>
      <x:c r="AI55" s="32"/>
      <x:c r="AJ55" s="32"/>
      <x:c r="AK55" s="32"/>
      <x:c r="AL55" s="32"/>
      <x:c r="AM55" s="32"/>
      <x:c r="AN55" s="32"/>
      <x:c r="AO55" s="32"/>
      <x:c r="AP55" s="32"/>
      <x:c r="AQ55" s="32"/>
      <x:c r="AR55" s="32"/>
      <x:c r="AS55" s="32"/>
      <x:c r="AT55" s="32"/>
      <x:c r="AU55" s="32"/>
      <x:c r="AV55" s="32"/>
      <x:c r="AW55" s="32"/>
      <x:c r="AX55" s="32"/>
      <x:c r="AZ55" s="32"/>
      <x:c r="BA55" s="32"/>
      <x:c r="BB55" s="32"/>
      <x:c r="BC55" s="32"/>
      <x:c r="BD55" s="32"/>
      <x:c r="BE55" s="32"/>
      <x:c r="BF55" s="32"/>
      <x:c r="BG55" s="32"/>
      <x:c r="BH55" s="32"/>
      <x:c r="BI55" s="32"/>
      <x:c r="BJ55" s="32"/>
      <x:c r="BK55" s="32"/>
      <x:c r="BL55" s="32"/>
      <x:c r="BM55" s="32"/>
    </x:row>
    <x:row r="56">
      <x:c r="A56" s="32"/>
      <x:c r="B56" s="32"/>
      <x:c r="C56" s="42"/>
      <x:c r="D56" s="32"/>
      <x:c r="E56" s="32"/>
      <x:c r="F56" s="32"/>
      <x:c r="G56" s="32"/>
      <x:c r="H56" s="32"/>
      <x:c r="I56" s="32"/>
      <x:c r="J56" s="32"/>
      <x:c r="K56" s="32"/>
      <x:c r="L56" s="32"/>
      <x:c r="M56" s="32"/>
      <x:c r="N56" s="32"/>
      <x:c r="O56" s="32"/>
      <x:c r="P56" s="32"/>
      <x:c r="Q56" s="32"/>
      <x:c r="R56" s="32"/>
      <x:c r="S56" s="32"/>
      <x:c r="T56" s="43" t="str">
        <x:f>IFERROR(S56/L56,"")</x:f>
      </x:c>
      <x:c r="U56" s="32"/>
      <x:c r="V56" s="32"/>
      <x:c r="W56" s="32"/>
      <x:c r="X56" s="32"/>
      <x:c r="Y56" s="32"/>
      <x:c r="Z56" s="32"/>
      <x:c r="AA56" s="32"/>
      <x:c r="AB56" s="32"/>
      <x:c r="AC56" s="32"/>
      <x:c r="AD56" s="32"/>
      <x:c r="AE56" s="32"/>
      <x:c r="AF56" s="32"/>
      <x:c r="AG56" s="32"/>
      <x:c r="AH56" s="32"/>
      <x:c r="AI56" s="32"/>
      <x:c r="AJ56" s="32"/>
      <x:c r="AK56" s="32"/>
      <x:c r="AL56" s="32"/>
      <x:c r="AM56" s="32"/>
      <x:c r="AN56" s="32"/>
      <x:c r="AO56" s="32"/>
      <x:c r="AP56" s="32"/>
      <x:c r="AQ56" s="32"/>
      <x:c r="AR56" s="32"/>
      <x:c r="AS56" s="32"/>
      <x:c r="AT56" s="32"/>
      <x:c r="AU56" s="32"/>
      <x:c r="AV56" s="32"/>
      <x:c r="AW56" s="32"/>
      <x:c r="AX56" s="32"/>
      <x:c r="AZ56" s="32"/>
      <x:c r="BA56" s="32"/>
      <x:c r="BB56" s="32"/>
      <x:c r="BC56" s="32"/>
      <x:c r="BD56" s="32"/>
      <x:c r="BE56" s="32"/>
      <x:c r="BF56" s="32"/>
      <x:c r="BG56" s="32"/>
      <x:c r="BH56" s="32"/>
      <x:c r="BI56" s="32"/>
      <x:c r="BJ56" s="32"/>
      <x:c r="BK56" s="32"/>
      <x:c r="BL56" s="32"/>
      <x:c r="BM56" s="32"/>
    </x:row>
    <x:row r="57">
      <x:c r="A57" s="32"/>
      <x:c r="B57" s="32"/>
      <x:c r="C57" s="42"/>
      <x:c r="D57" s="32"/>
      <x:c r="E57" s="32"/>
      <x:c r="F57" s="32"/>
      <x:c r="G57" s="32"/>
      <x:c r="H57" s="32"/>
      <x:c r="I57" s="32"/>
      <x:c r="J57" s="32"/>
      <x:c r="K57" s="32"/>
      <x:c r="L57" s="32"/>
      <x:c r="M57" s="32"/>
      <x:c r="N57" s="32"/>
      <x:c r="O57" s="32"/>
      <x:c r="P57" s="32"/>
      <x:c r="Q57" s="32"/>
      <x:c r="R57" s="32"/>
      <x:c r="S57" s="32"/>
      <x:c r="T57" s="43" t="str">
        <x:f>IFERROR(S57/L57,"")</x:f>
      </x:c>
      <x:c r="U57" s="32"/>
      <x:c r="V57" s="32"/>
      <x:c r="W57" s="32"/>
      <x:c r="X57" s="32"/>
      <x:c r="Y57" s="32"/>
      <x:c r="Z57" s="32"/>
      <x:c r="AA57" s="32"/>
      <x:c r="AB57" s="32"/>
      <x:c r="AC57" s="32"/>
      <x:c r="AD57" s="32"/>
      <x:c r="AE57" s="32"/>
      <x:c r="AF57" s="32"/>
      <x:c r="AG57" s="32"/>
      <x:c r="AH57" s="32"/>
      <x:c r="AI57" s="32"/>
      <x:c r="AJ57" s="32"/>
      <x:c r="AK57" s="32"/>
      <x:c r="AL57" s="32"/>
      <x:c r="AM57" s="32"/>
      <x:c r="AN57" s="32"/>
      <x:c r="AO57" s="32"/>
      <x:c r="AP57" s="32"/>
      <x:c r="AQ57" s="32"/>
      <x:c r="AR57" s="32"/>
      <x:c r="AS57" s="32"/>
      <x:c r="AT57" s="32"/>
      <x:c r="AU57" s="32"/>
      <x:c r="AV57" s="32"/>
      <x:c r="AW57" s="32"/>
      <x:c r="AX57" s="32"/>
      <x:c r="AZ57" s="32"/>
      <x:c r="BA57" s="32"/>
      <x:c r="BB57" s="32"/>
      <x:c r="BC57" s="32"/>
      <x:c r="BD57" s="32"/>
      <x:c r="BE57" s="32"/>
      <x:c r="BF57" s="32"/>
      <x:c r="BG57" s="32"/>
      <x:c r="BH57" s="32"/>
      <x:c r="BI57" s="32"/>
      <x:c r="BJ57" s="32"/>
      <x:c r="BK57" s="32"/>
      <x:c r="BL57" s="32"/>
      <x:c r="BM57" s="32"/>
    </x:row>
    <x:row r="58">
      <x:c r="A58" s="32"/>
      <x:c r="B58" s="32"/>
      <x:c r="C58" s="42"/>
      <x:c r="D58" s="32"/>
      <x:c r="E58" s="32"/>
      <x:c r="F58" s="32"/>
      <x:c r="G58" s="32"/>
      <x:c r="H58" s="32"/>
      <x:c r="I58" s="32"/>
      <x:c r="J58" s="32"/>
      <x:c r="K58" s="32"/>
      <x:c r="L58" s="32"/>
      <x:c r="M58" s="32"/>
      <x:c r="N58" s="32"/>
      <x:c r="O58" s="32"/>
      <x:c r="P58" s="32"/>
      <x:c r="Q58" s="32"/>
      <x:c r="R58" s="32"/>
      <x:c r="S58" s="32"/>
      <x:c r="T58" s="43" t="str">
        <x:f>IFERROR(S58/L58,"")</x:f>
      </x:c>
      <x:c r="U58" s="32"/>
      <x:c r="V58" s="32"/>
      <x:c r="W58" s="32"/>
      <x:c r="X58" s="32"/>
      <x:c r="Y58" s="32"/>
      <x:c r="Z58" s="32"/>
      <x:c r="AA58" s="32"/>
      <x:c r="AB58" s="32"/>
      <x:c r="AC58" s="32"/>
      <x:c r="AD58" s="32"/>
      <x:c r="AE58" s="32"/>
      <x:c r="AF58" s="32"/>
      <x:c r="AG58" s="32"/>
      <x:c r="AH58" s="32"/>
      <x:c r="AI58" s="32"/>
      <x:c r="AJ58" s="32"/>
      <x:c r="AK58" s="32"/>
      <x:c r="AL58" s="32"/>
      <x:c r="AM58" s="32"/>
      <x:c r="AN58" s="32"/>
      <x:c r="AO58" s="32"/>
      <x:c r="AP58" s="32"/>
      <x:c r="AQ58" s="32"/>
      <x:c r="AR58" s="32"/>
      <x:c r="AS58" s="32"/>
      <x:c r="AT58" s="32"/>
      <x:c r="AU58" s="32"/>
      <x:c r="AV58" s="32"/>
      <x:c r="AW58" s="32"/>
      <x:c r="AX58" s="32"/>
      <x:c r="AZ58" s="32"/>
      <x:c r="BA58" s="32"/>
      <x:c r="BB58" s="32"/>
      <x:c r="BC58" s="32"/>
      <x:c r="BD58" s="32"/>
      <x:c r="BE58" s="32"/>
      <x:c r="BF58" s="32"/>
      <x:c r="BG58" s="32"/>
      <x:c r="BH58" s="32"/>
      <x:c r="BI58" s="32"/>
      <x:c r="BJ58" s="32"/>
      <x:c r="BK58" s="32"/>
      <x:c r="BL58" s="32"/>
      <x:c r="BM58" s="32"/>
    </x:row>
    <x:row r="59">
      <x:c r="A59" s="32"/>
      <x:c r="B59" s="32"/>
      <x:c r="C59" s="42"/>
      <x:c r="D59" s="32"/>
      <x:c r="E59" s="32"/>
      <x:c r="F59" s="32"/>
      <x:c r="G59" s="32"/>
      <x:c r="H59" s="32"/>
      <x:c r="I59" s="32"/>
      <x:c r="J59" s="32"/>
      <x:c r="K59" s="32"/>
      <x:c r="L59" s="32"/>
      <x:c r="M59" s="32"/>
      <x:c r="N59" s="32"/>
      <x:c r="O59" s="32"/>
      <x:c r="P59" s="32"/>
      <x:c r="Q59" s="32"/>
      <x:c r="R59" s="32"/>
      <x:c r="S59" s="32"/>
      <x:c r="T59" s="43" t="str">
        <x:f>IFERROR(S59/L59,"")</x:f>
      </x:c>
      <x:c r="U59" s="32"/>
      <x:c r="V59" s="32"/>
      <x:c r="W59" s="32"/>
      <x:c r="X59" s="32"/>
      <x:c r="Y59" s="32"/>
      <x:c r="Z59" s="32"/>
      <x:c r="AA59" s="32"/>
      <x:c r="AB59" s="32"/>
      <x:c r="AC59" s="32"/>
      <x:c r="AD59" s="32"/>
      <x:c r="AE59" s="32"/>
      <x:c r="AF59" s="32"/>
      <x:c r="AG59" s="32"/>
      <x:c r="AH59" s="32"/>
      <x:c r="AI59" s="32"/>
      <x:c r="AJ59" s="32"/>
      <x:c r="AK59" s="32"/>
      <x:c r="AL59" s="32"/>
      <x:c r="AM59" s="32"/>
      <x:c r="AN59" s="32"/>
      <x:c r="AO59" s="32"/>
      <x:c r="AP59" s="32"/>
      <x:c r="AQ59" s="32"/>
      <x:c r="AR59" s="32"/>
      <x:c r="AS59" s="32"/>
      <x:c r="AT59" s="32"/>
      <x:c r="AU59" s="32"/>
      <x:c r="AV59" s="32"/>
      <x:c r="AW59" s="32"/>
      <x:c r="AX59" s="32"/>
      <x:c r="AZ59" s="32"/>
      <x:c r="BA59" s="32"/>
      <x:c r="BB59" s="32"/>
      <x:c r="BC59" s="32"/>
      <x:c r="BD59" s="32"/>
      <x:c r="BE59" s="32"/>
      <x:c r="BF59" s="32"/>
      <x:c r="BG59" s="32"/>
      <x:c r="BH59" s="32"/>
      <x:c r="BI59" s="32"/>
      <x:c r="BJ59" s="32"/>
      <x:c r="BK59" s="32"/>
      <x:c r="BL59" s="32"/>
      <x:c r="BM59" s="32"/>
    </x:row>
    <x:row r="60">
      <x:c r="A60" s="32"/>
      <x:c r="B60" s="32"/>
      <x:c r="C60" s="42"/>
      <x:c r="D60" s="32"/>
      <x:c r="E60" s="32"/>
      <x:c r="F60" s="32"/>
      <x:c r="G60" s="32"/>
      <x:c r="H60" s="32"/>
      <x:c r="I60" s="32"/>
      <x:c r="J60" s="32"/>
      <x:c r="K60" s="32"/>
      <x:c r="L60" s="32"/>
      <x:c r="M60" s="32"/>
      <x:c r="N60" s="32"/>
      <x:c r="O60" s="32"/>
      <x:c r="P60" s="32"/>
      <x:c r="Q60" s="32"/>
      <x:c r="R60" s="32"/>
      <x:c r="S60" s="32"/>
      <x:c r="T60" s="43" t="str">
        <x:f>IFERROR(S60/L60,"")</x:f>
      </x:c>
      <x:c r="U60" s="32"/>
      <x:c r="V60" s="32"/>
      <x:c r="W60" s="32"/>
      <x:c r="X60" s="32"/>
      <x:c r="Y60" s="32"/>
      <x:c r="Z60" s="32"/>
      <x:c r="AA60" s="32"/>
      <x:c r="AB60" s="32"/>
      <x:c r="AC60" s="32"/>
      <x:c r="AD60" s="32"/>
      <x:c r="AE60" s="32"/>
      <x:c r="AF60" s="32"/>
      <x:c r="AG60" s="32"/>
      <x:c r="AH60" s="32"/>
      <x:c r="AI60" s="32"/>
      <x:c r="AJ60" s="32"/>
      <x:c r="AK60" s="32"/>
      <x:c r="AL60" s="32"/>
      <x:c r="AM60" s="32"/>
      <x:c r="AN60" s="32"/>
      <x:c r="AO60" s="32"/>
      <x:c r="AP60" s="32"/>
      <x:c r="AQ60" s="32"/>
      <x:c r="AR60" s="32"/>
      <x:c r="AS60" s="32"/>
      <x:c r="AT60" s="32"/>
      <x:c r="AU60" s="32"/>
      <x:c r="AV60" s="32"/>
      <x:c r="AW60" s="32"/>
      <x:c r="AX60" s="32"/>
      <x:c r="AZ60" s="32"/>
      <x:c r="BA60" s="32"/>
      <x:c r="BB60" s="32"/>
      <x:c r="BC60" s="32"/>
      <x:c r="BD60" s="32"/>
      <x:c r="BE60" s="32"/>
      <x:c r="BF60" s="32"/>
      <x:c r="BG60" s="32"/>
      <x:c r="BH60" s="32"/>
      <x:c r="BI60" s="32"/>
      <x:c r="BJ60" s="32"/>
      <x:c r="BK60" s="32"/>
      <x:c r="BL60" s="32"/>
      <x:c r="BM60" s="32"/>
    </x:row>
    <x:row r="61">
      <x:c r="A61" s="32"/>
      <x:c r="B61" s="32"/>
      <x:c r="C61" s="42"/>
      <x:c r="D61" s="32"/>
      <x:c r="E61" s="32"/>
      <x:c r="F61" s="32"/>
      <x:c r="G61" s="32"/>
      <x:c r="H61" s="32"/>
      <x:c r="I61" s="32"/>
      <x:c r="J61" s="32"/>
      <x:c r="K61" s="32"/>
      <x:c r="L61" s="32"/>
      <x:c r="M61" s="32"/>
      <x:c r="N61" s="32"/>
      <x:c r="O61" s="32"/>
      <x:c r="P61" s="32"/>
      <x:c r="Q61" s="32"/>
      <x:c r="R61" s="32"/>
      <x:c r="S61" s="32"/>
      <x:c r="T61" s="43" t="str">
        <x:f>IFERROR(S61/L61,"")</x:f>
      </x:c>
      <x:c r="U61" s="32"/>
      <x:c r="V61" s="32"/>
      <x:c r="W61" s="32"/>
      <x:c r="X61" s="32"/>
      <x:c r="Y61" s="32"/>
      <x:c r="Z61" s="32"/>
      <x:c r="AA61" s="32"/>
      <x:c r="AB61" s="32"/>
      <x:c r="AC61" s="32"/>
      <x:c r="AD61" s="32"/>
      <x:c r="AE61" s="32"/>
      <x:c r="AF61" s="32"/>
      <x:c r="AG61" s="32"/>
      <x:c r="AH61" s="32"/>
      <x:c r="AI61" s="32"/>
      <x:c r="AJ61" s="32"/>
      <x:c r="AK61" s="32"/>
      <x:c r="AL61" s="32"/>
      <x:c r="AM61" s="32"/>
      <x:c r="AN61" s="32"/>
      <x:c r="AO61" s="32"/>
      <x:c r="AP61" s="32"/>
      <x:c r="AQ61" s="32"/>
      <x:c r="AR61" s="32"/>
      <x:c r="AS61" s="32"/>
      <x:c r="AT61" s="32"/>
      <x:c r="AU61" s="32"/>
      <x:c r="AV61" s="32"/>
      <x:c r="AW61" s="32"/>
      <x:c r="AX61" s="32"/>
      <x:c r="AZ61" s="32"/>
      <x:c r="BA61" s="32"/>
      <x:c r="BB61" s="32"/>
      <x:c r="BC61" s="32"/>
      <x:c r="BD61" s="32"/>
      <x:c r="BE61" s="32"/>
      <x:c r="BF61" s="32"/>
      <x:c r="BG61" s="32"/>
      <x:c r="BH61" s="32"/>
      <x:c r="BI61" s="32"/>
      <x:c r="BJ61" s="32"/>
      <x:c r="BK61" s="32"/>
      <x:c r="BL61" s="32"/>
      <x:c r="BM61" s="32"/>
    </x:row>
    <x:row r="62">
      <x:c r="A62" s="32"/>
      <x:c r="B62" s="32"/>
      <x:c r="C62" s="42"/>
      <x:c r="D62" s="32"/>
      <x:c r="E62" s="32"/>
      <x:c r="F62" s="32"/>
      <x:c r="G62" s="32"/>
      <x:c r="H62" s="32"/>
      <x:c r="I62" s="32"/>
      <x:c r="J62" s="32"/>
      <x:c r="K62" s="32"/>
      <x:c r="L62" s="32"/>
      <x:c r="M62" s="32"/>
      <x:c r="N62" s="32"/>
      <x:c r="O62" s="32"/>
      <x:c r="P62" s="32"/>
      <x:c r="Q62" s="32"/>
      <x:c r="R62" s="32"/>
      <x:c r="S62" s="32"/>
      <x:c r="T62" s="43" t="str">
        <x:f>IFERROR(S62/L62,"")</x:f>
      </x:c>
      <x:c r="U62" s="32"/>
      <x:c r="V62" s="32"/>
      <x:c r="W62" s="32"/>
      <x:c r="X62" s="32"/>
      <x:c r="Y62" s="32"/>
      <x:c r="Z62" s="32"/>
      <x:c r="AA62" s="32"/>
      <x:c r="AB62" s="32"/>
      <x:c r="AC62" s="32"/>
      <x:c r="AD62" s="32"/>
      <x:c r="AE62" s="32"/>
      <x:c r="AF62" s="32"/>
      <x:c r="AG62" s="32"/>
      <x:c r="AH62" s="32"/>
      <x:c r="AI62" s="32"/>
      <x:c r="AJ62" s="32"/>
      <x:c r="AK62" s="32"/>
      <x:c r="AL62" s="32"/>
      <x:c r="AM62" s="32"/>
      <x:c r="AN62" s="32"/>
      <x:c r="AO62" s="32"/>
      <x:c r="AP62" s="32"/>
      <x:c r="AQ62" s="32"/>
      <x:c r="AR62" s="32"/>
      <x:c r="AS62" s="32"/>
      <x:c r="AT62" s="32"/>
      <x:c r="AU62" s="32"/>
      <x:c r="AV62" s="32"/>
      <x:c r="AW62" s="32"/>
      <x:c r="AX62" s="32"/>
      <x:c r="AZ62" s="32"/>
      <x:c r="BA62" s="32"/>
      <x:c r="BB62" s="32"/>
      <x:c r="BC62" s="32"/>
      <x:c r="BD62" s="32"/>
      <x:c r="BE62" s="32"/>
      <x:c r="BF62" s="32"/>
      <x:c r="BG62" s="32"/>
      <x:c r="BH62" s="32"/>
      <x:c r="BI62" s="32"/>
      <x:c r="BJ62" s="32"/>
      <x:c r="BK62" s="32"/>
      <x:c r="BL62" s="32"/>
      <x:c r="BM62" s="32"/>
    </x:row>
    <x:row r="63">
      <x:c r="A63" s="32"/>
      <x:c r="B63" s="32"/>
      <x:c r="C63" s="42"/>
      <x:c r="D63" s="32"/>
      <x:c r="E63" s="32"/>
      <x:c r="F63" s="32"/>
      <x:c r="G63" s="32"/>
      <x:c r="H63" s="32"/>
      <x:c r="I63" s="32"/>
      <x:c r="J63" s="32"/>
      <x:c r="K63" s="32"/>
      <x:c r="L63" s="32"/>
      <x:c r="M63" s="32"/>
      <x:c r="N63" s="32"/>
      <x:c r="O63" s="32"/>
      <x:c r="P63" s="32"/>
      <x:c r="Q63" s="32"/>
      <x:c r="R63" s="32"/>
      <x:c r="S63" s="32"/>
      <x:c r="T63" s="43" t="str">
        <x:f>IFERROR(S63/L63,"")</x:f>
      </x:c>
      <x:c r="U63" s="32"/>
      <x:c r="V63" s="32"/>
      <x:c r="W63" s="32"/>
      <x:c r="X63" s="32"/>
      <x:c r="Y63" s="32"/>
      <x:c r="Z63" s="32"/>
      <x:c r="AA63" s="32"/>
      <x:c r="AB63" s="32"/>
      <x:c r="AC63" s="32"/>
      <x:c r="AD63" s="32"/>
      <x:c r="AE63" s="32"/>
      <x:c r="AF63" s="32"/>
      <x:c r="AG63" s="32"/>
      <x:c r="AH63" s="32"/>
      <x:c r="AI63" s="32"/>
      <x:c r="AJ63" s="32"/>
      <x:c r="AK63" s="32"/>
      <x:c r="AL63" s="32"/>
      <x:c r="AM63" s="32"/>
      <x:c r="AN63" s="32"/>
      <x:c r="AO63" s="32"/>
      <x:c r="AP63" s="32"/>
      <x:c r="AQ63" s="32"/>
      <x:c r="AR63" s="32"/>
      <x:c r="AS63" s="32"/>
      <x:c r="AT63" s="32"/>
      <x:c r="AU63" s="32"/>
      <x:c r="AV63" s="32"/>
      <x:c r="AW63" s="32"/>
      <x:c r="AX63" s="32"/>
      <x:c r="AZ63" s="32"/>
      <x:c r="BA63" s="32"/>
      <x:c r="BB63" s="32"/>
      <x:c r="BC63" s="32"/>
      <x:c r="BD63" s="32"/>
      <x:c r="BE63" s="32"/>
      <x:c r="BF63" s="32"/>
      <x:c r="BG63" s="32"/>
      <x:c r="BH63" s="32"/>
      <x:c r="BI63" s="32"/>
      <x:c r="BJ63" s="32"/>
      <x:c r="BK63" s="32"/>
      <x:c r="BL63" s="32"/>
      <x:c r="BM63" s="32"/>
    </x:row>
    <x:row r="64">
      <x:c r="A64" s="32"/>
      <x:c r="B64" s="32"/>
      <x:c r="C64" s="42"/>
      <x:c r="D64" s="32"/>
      <x:c r="E64" s="32"/>
      <x:c r="F64" s="32"/>
      <x:c r="G64" s="32"/>
      <x:c r="H64" s="32"/>
      <x:c r="I64" s="32"/>
      <x:c r="J64" s="32"/>
      <x:c r="K64" s="32"/>
      <x:c r="L64" s="32"/>
      <x:c r="M64" s="32"/>
      <x:c r="N64" s="32"/>
      <x:c r="O64" s="32"/>
      <x:c r="P64" s="32"/>
      <x:c r="Q64" s="32"/>
      <x:c r="R64" s="32"/>
      <x:c r="S64" s="32"/>
      <x:c r="T64" s="43" t="str">
        <x:f>IFERROR(S64/L64,"")</x:f>
      </x:c>
      <x:c r="U64" s="32"/>
      <x:c r="V64" s="32"/>
      <x:c r="W64" s="32"/>
      <x:c r="X64" s="32"/>
      <x:c r="Y64" s="32"/>
      <x:c r="Z64" s="32"/>
      <x:c r="AA64" s="32"/>
      <x:c r="AB64" s="32"/>
      <x:c r="AC64" s="32"/>
      <x:c r="AD64" s="32"/>
      <x:c r="AE64" s="32"/>
      <x:c r="AF64" s="32"/>
      <x:c r="AG64" s="32"/>
      <x:c r="AH64" s="32"/>
      <x:c r="AI64" s="32"/>
      <x:c r="AJ64" s="32"/>
      <x:c r="AK64" s="32"/>
      <x:c r="AL64" s="32"/>
      <x:c r="AM64" s="32"/>
      <x:c r="AN64" s="32"/>
      <x:c r="AO64" s="32"/>
      <x:c r="AP64" s="32"/>
      <x:c r="AQ64" s="32"/>
      <x:c r="AR64" s="32"/>
      <x:c r="AS64" s="32"/>
      <x:c r="AT64" s="32"/>
      <x:c r="AU64" s="32"/>
      <x:c r="AV64" s="32"/>
      <x:c r="AW64" s="32"/>
      <x:c r="AX64" s="32"/>
      <x:c r="AZ64" s="32"/>
      <x:c r="BA64" s="32"/>
      <x:c r="BB64" s="32"/>
      <x:c r="BC64" s="32"/>
      <x:c r="BD64" s="32"/>
      <x:c r="BE64" s="32"/>
      <x:c r="BF64" s="32"/>
      <x:c r="BG64" s="32"/>
      <x:c r="BH64" s="32"/>
      <x:c r="BI64" s="32"/>
      <x:c r="BJ64" s="32"/>
      <x:c r="BK64" s="32"/>
      <x:c r="BL64" s="32"/>
      <x:c r="BM64" s="32"/>
    </x:row>
    <x:row r="65">
      <x:c r="A65" s="32"/>
      <x:c r="B65" s="32"/>
      <x:c r="C65" s="42"/>
      <x:c r="D65" s="32"/>
      <x:c r="E65" s="32"/>
      <x:c r="F65" s="32"/>
      <x:c r="G65" s="32"/>
      <x:c r="H65" s="32"/>
      <x:c r="I65" s="32"/>
      <x:c r="J65" s="32"/>
      <x:c r="K65" s="32"/>
      <x:c r="L65" s="32"/>
      <x:c r="M65" s="32"/>
      <x:c r="N65" s="32"/>
      <x:c r="O65" s="32"/>
      <x:c r="P65" s="32"/>
      <x:c r="Q65" s="32"/>
      <x:c r="R65" s="32"/>
      <x:c r="S65" s="32"/>
      <x:c r="T65" s="43" t="str">
        <x:f>IFERROR(S65/L65,"")</x:f>
      </x:c>
      <x:c r="U65" s="32"/>
      <x:c r="V65" s="32"/>
      <x:c r="W65" s="32"/>
      <x:c r="X65" s="32"/>
      <x:c r="Y65" s="32"/>
      <x:c r="Z65" s="32"/>
      <x:c r="AA65" s="32"/>
      <x:c r="AB65" s="32"/>
      <x:c r="AC65" s="32"/>
      <x:c r="AD65" s="32"/>
      <x:c r="AE65" s="32"/>
      <x:c r="AF65" s="32"/>
      <x:c r="AG65" s="32"/>
      <x:c r="AH65" s="32"/>
      <x:c r="AI65" s="32"/>
      <x:c r="AJ65" s="32"/>
      <x:c r="AK65" s="32"/>
      <x:c r="AL65" s="32"/>
      <x:c r="AM65" s="32"/>
      <x:c r="AN65" s="32"/>
      <x:c r="AO65" s="32"/>
      <x:c r="AP65" s="32"/>
      <x:c r="AQ65" s="32"/>
      <x:c r="AR65" s="32"/>
      <x:c r="AS65" s="32"/>
      <x:c r="AT65" s="32"/>
      <x:c r="AU65" s="32"/>
      <x:c r="AV65" s="32"/>
      <x:c r="AW65" s="32"/>
      <x:c r="AX65" s="32"/>
      <x:c r="AZ65" s="32"/>
      <x:c r="BA65" s="32"/>
      <x:c r="BB65" s="32"/>
      <x:c r="BC65" s="32"/>
      <x:c r="BD65" s="32"/>
      <x:c r="BE65" s="32"/>
      <x:c r="BF65" s="32"/>
      <x:c r="BG65" s="32"/>
      <x:c r="BH65" s="32"/>
      <x:c r="BI65" s="32"/>
      <x:c r="BJ65" s="32"/>
      <x:c r="BK65" s="32"/>
      <x:c r="BL65" s="32"/>
      <x:c r="BM65" s="32"/>
    </x:row>
    <x:row r="66">
      <x:c r="A66" s="32"/>
      <x:c r="B66" s="32"/>
      <x:c r="C66" s="42"/>
      <x:c r="D66" s="32"/>
      <x:c r="E66" s="32"/>
      <x:c r="F66" s="32"/>
      <x:c r="G66" s="32"/>
      <x:c r="H66" s="32"/>
      <x:c r="I66" s="32"/>
      <x:c r="J66" s="32"/>
      <x:c r="K66" s="32"/>
      <x:c r="L66" s="32"/>
      <x:c r="M66" s="32"/>
      <x:c r="N66" s="32"/>
      <x:c r="O66" s="32"/>
      <x:c r="P66" s="32"/>
      <x:c r="Q66" s="32"/>
      <x:c r="R66" s="32"/>
      <x:c r="S66" s="32"/>
      <x:c r="T66" s="43" t="str">
        <x:f>IFERROR(S66/L66,"")</x:f>
      </x:c>
      <x:c r="U66" s="32"/>
      <x:c r="V66" s="32"/>
      <x:c r="W66" s="32"/>
      <x:c r="X66" s="32"/>
      <x:c r="Y66" s="32"/>
      <x:c r="Z66" s="32"/>
      <x:c r="AA66" s="32"/>
      <x:c r="AB66" s="32"/>
      <x:c r="AC66" s="32"/>
      <x:c r="AD66" s="32"/>
      <x:c r="AE66" s="32"/>
      <x:c r="AF66" s="32"/>
      <x:c r="AG66" s="32"/>
      <x:c r="AH66" s="32"/>
      <x:c r="AI66" s="32"/>
      <x:c r="AJ66" s="32"/>
      <x:c r="AK66" s="32"/>
      <x:c r="AL66" s="32"/>
      <x:c r="AM66" s="32"/>
      <x:c r="AN66" s="32"/>
      <x:c r="AO66" s="32"/>
      <x:c r="AP66" s="32"/>
      <x:c r="AQ66" s="32"/>
      <x:c r="AR66" s="32"/>
      <x:c r="AS66" s="32"/>
      <x:c r="AT66" s="32"/>
      <x:c r="AU66" s="32"/>
      <x:c r="AV66" s="32"/>
      <x:c r="AW66" s="32"/>
      <x:c r="AX66" s="32"/>
      <x:c r="AZ66" s="32"/>
      <x:c r="BA66" s="32"/>
      <x:c r="BB66" s="32"/>
      <x:c r="BC66" s="32"/>
      <x:c r="BD66" s="32"/>
      <x:c r="BE66" s="32"/>
      <x:c r="BF66" s="32"/>
      <x:c r="BG66" s="32"/>
      <x:c r="BH66" s="32"/>
      <x:c r="BI66" s="32"/>
      <x:c r="BJ66" s="32"/>
      <x:c r="BK66" s="32"/>
      <x:c r="BL66" s="32"/>
      <x:c r="BM66" s="32"/>
    </x:row>
    <x:row r="67">
      <x:c r="A67" s="32"/>
      <x:c r="B67" s="32"/>
      <x:c r="C67" s="42"/>
      <x:c r="D67" s="32"/>
      <x:c r="E67" s="32"/>
      <x:c r="F67" s="32"/>
      <x:c r="G67" s="32"/>
      <x:c r="H67" s="32"/>
      <x:c r="I67" s="32"/>
      <x:c r="J67" s="32"/>
      <x:c r="K67" s="32"/>
      <x:c r="L67" s="32"/>
      <x:c r="M67" s="32"/>
      <x:c r="N67" s="32"/>
      <x:c r="O67" s="32"/>
      <x:c r="P67" s="32"/>
      <x:c r="Q67" s="32"/>
      <x:c r="R67" s="32"/>
      <x:c r="S67" s="32"/>
      <x:c r="T67" s="43" t="str">
        <x:f>IFERROR(S67/L67,"")</x:f>
      </x:c>
      <x:c r="U67" s="32"/>
      <x:c r="V67" s="32"/>
      <x:c r="W67" s="32"/>
      <x:c r="X67" s="32"/>
      <x:c r="Y67" s="32"/>
      <x:c r="Z67" s="32"/>
      <x:c r="AA67" s="32"/>
      <x:c r="AB67" s="32"/>
      <x:c r="AC67" s="32"/>
      <x:c r="AD67" s="32"/>
      <x:c r="AE67" s="32"/>
      <x:c r="AF67" s="32"/>
      <x:c r="AG67" s="32"/>
      <x:c r="AH67" s="32"/>
      <x:c r="AI67" s="32"/>
      <x:c r="AJ67" s="32"/>
      <x:c r="AK67" s="32"/>
      <x:c r="AL67" s="32"/>
      <x:c r="AM67" s="32"/>
      <x:c r="AN67" s="32"/>
      <x:c r="AO67" s="32"/>
      <x:c r="AP67" s="32"/>
      <x:c r="AQ67" s="32"/>
      <x:c r="AR67" s="32"/>
      <x:c r="AS67" s="32"/>
      <x:c r="AT67" s="32"/>
      <x:c r="AU67" s="32"/>
      <x:c r="AV67" s="32"/>
      <x:c r="AW67" s="32"/>
      <x:c r="AX67" s="32"/>
      <x:c r="AZ67" s="32"/>
      <x:c r="BA67" s="32"/>
      <x:c r="BB67" s="32"/>
      <x:c r="BC67" s="32"/>
      <x:c r="BD67" s="32"/>
      <x:c r="BE67" s="32"/>
      <x:c r="BF67" s="32"/>
      <x:c r="BG67" s="32"/>
      <x:c r="BH67" s="32"/>
      <x:c r="BI67" s="32"/>
      <x:c r="BJ67" s="32"/>
      <x:c r="BK67" s="32"/>
      <x:c r="BL67" s="32"/>
      <x:c r="BM67" s="32"/>
    </x:row>
    <x:row r="68">
      <x:c r="A68" s="32"/>
      <x:c r="B68" s="32"/>
      <x:c r="C68" s="42"/>
      <x:c r="D68" s="32"/>
      <x:c r="E68" s="32"/>
      <x:c r="F68" s="32"/>
      <x:c r="G68" s="32"/>
      <x:c r="H68" s="32"/>
      <x:c r="I68" s="32"/>
      <x:c r="J68" s="32"/>
      <x:c r="K68" s="32"/>
      <x:c r="L68" s="32"/>
      <x:c r="M68" s="32"/>
      <x:c r="N68" s="32"/>
      <x:c r="O68" s="32"/>
      <x:c r="P68" s="32"/>
      <x:c r="Q68" s="32"/>
      <x:c r="R68" s="32"/>
      <x:c r="S68" s="32"/>
      <x:c r="T68" s="43" t="str">
        <x:f>IFERROR(S68/L68,"")</x:f>
      </x:c>
      <x:c r="U68" s="32"/>
      <x:c r="V68" s="32"/>
      <x:c r="W68" s="32"/>
      <x:c r="X68" s="32"/>
      <x:c r="Y68" s="32"/>
      <x:c r="Z68" s="32"/>
      <x:c r="AA68" s="32"/>
      <x:c r="AB68" s="32"/>
      <x:c r="AC68" s="32"/>
      <x:c r="AD68" s="32"/>
      <x:c r="AE68" s="32"/>
      <x:c r="AF68" s="32"/>
      <x:c r="AG68" s="32"/>
      <x:c r="AH68" s="32"/>
      <x:c r="AI68" s="32"/>
      <x:c r="AJ68" s="32"/>
      <x:c r="AK68" s="32"/>
      <x:c r="AL68" s="32"/>
      <x:c r="AM68" s="32"/>
      <x:c r="AN68" s="32"/>
      <x:c r="AO68" s="32"/>
      <x:c r="AP68" s="32"/>
      <x:c r="AQ68" s="32"/>
      <x:c r="AR68" s="32"/>
      <x:c r="AS68" s="32"/>
      <x:c r="AT68" s="32"/>
      <x:c r="AU68" s="32"/>
      <x:c r="AV68" s="32"/>
      <x:c r="AW68" s="32"/>
      <x:c r="AX68" s="32"/>
      <x:c r="AZ68" s="32"/>
      <x:c r="BA68" s="32"/>
      <x:c r="BB68" s="32"/>
      <x:c r="BC68" s="32"/>
      <x:c r="BD68" s="32"/>
      <x:c r="BE68" s="32"/>
      <x:c r="BF68" s="32"/>
      <x:c r="BG68" s="32"/>
      <x:c r="BH68" s="32"/>
      <x:c r="BI68" s="32"/>
      <x:c r="BJ68" s="32"/>
      <x:c r="BK68" s="32"/>
      <x:c r="BL68" s="32"/>
      <x:c r="BM68" s="32"/>
    </x:row>
    <x:row r="69">
      <x:c r="A69" s="32"/>
      <x:c r="B69" s="32"/>
      <x:c r="C69" s="42"/>
      <x:c r="D69" s="32"/>
      <x:c r="E69" s="32"/>
      <x:c r="F69" s="32"/>
      <x:c r="G69" s="32"/>
      <x:c r="H69" s="32"/>
      <x:c r="I69" s="32"/>
      <x:c r="J69" s="32"/>
      <x:c r="K69" s="32"/>
      <x:c r="L69" s="32"/>
      <x:c r="M69" s="32"/>
      <x:c r="N69" s="32"/>
      <x:c r="O69" s="32"/>
      <x:c r="P69" s="32"/>
      <x:c r="Q69" s="32"/>
      <x:c r="R69" s="32"/>
      <x:c r="S69" s="32"/>
      <x:c r="T69" s="43" t="str">
        <x:f>IFERROR(S69/L69,"")</x:f>
      </x:c>
      <x:c r="U69" s="32"/>
      <x:c r="V69" s="32"/>
      <x:c r="W69" s="32"/>
      <x:c r="X69" s="32"/>
      <x:c r="Y69" s="32"/>
      <x:c r="Z69" s="32"/>
      <x:c r="AA69" s="32"/>
      <x:c r="AB69" s="32"/>
      <x:c r="AC69" s="32"/>
      <x:c r="AD69" s="32"/>
      <x:c r="AE69" s="32"/>
      <x:c r="AF69" s="32"/>
      <x:c r="AG69" s="32"/>
      <x:c r="AH69" s="32"/>
      <x:c r="AI69" s="32"/>
      <x:c r="AJ69" s="32"/>
      <x:c r="AK69" s="32"/>
      <x:c r="AL69" s="32"/>
      <x:c r="AM69" s="32"/>
      <x:c r="AN69" s="32"/>
      <x:c r="AO69" s="32"/>
      <x:c r="AP69" s="32"/>
      <x:c r="AQ69" s="32"/>
      <x:c r="AR69" s="32"/>
      <x:c r="AS69" s="32"/>
      <x:c r="AT69" s="32"/>
      <x:c r="AU69" s="32"/>
      <x:c r="AV69" s="32"/>
      <x:c r="AW69" s="32"/>
      <x:c r="AX69" s="32"/>
      <x:c r="AZ69" s="32"/>
      <x:c r="BA69" s="32"/>
      <x:c r="BB69" s="32"/>
      <x:c r="BC69" s="32"/>
      <x:c r="BD69" s="32"/>
      <x:c r="BE69" s="32"/>
      <x:c r="BF69" s="32"/>
      <x:c r="BG69" s="32"/>
      <x:c r="BH69" s="32"/>
      <x:c r="BI69" s="32"/>
      <x:c r="BJ69" s="32"/>
      <x:c r="BK69" s="32"/>
      <x:c r="BL69" s="32"/>
      <x:c r="BM69" s="32"/>
    </x:row>
    <x:row r="70">
      <x:c r="A70" s="32"/>
      <x:c r="B70" s="32"/>
      <x:c r="C70" s="42"/>
      <x:c r="D70" s="32"/>
      <x:c r="E70" s="32"/>
      <x:c r="F70" s="32"/>
      <x:c r="G70" s="32"/>
      <x:c r="H70" s="32"/>
      <x:c r="I70" s="32"/>
      <x:c r="J70" s="32"/>
      <x:c r="K70" s="32"/>
      <x:c r="L70" s="32"/>
      <x:c r="M70" s="32"/>
      <x:c r="N70" s="32"/>
      <x:c r="O70" s="32"/>
      <x:c r="P70" s="32"/>
      <x:c r="Q70" s="32"/>
      <x:c r="R70" s="32"/>
      <x:c r="S70" s="32"/>
      <x:c r="T70" s="43" t="str">
        <x:f>IFERROR(S70/L70,"")</x:f>
      </x:c>
      <x:c r="U70" s="32"/>
      <x:c r="V70" s="32"/>
      <x:c r="W70" s="32"/>
      <x:c r="X70" s="32"/>
      <x:c r="Y70" s="32"/>
      <x:c r="Z70" s="32"/>
      <x:c r="AA70" s="32"/>
      <x:c r="AB70" s="32"/>
      <x:c r="AC70" s="32"/>
      <x:c r="AD70" s="32"/>
      <x:c r="AE70" s="32"/>
      <x:c r="AF70" s="32"/>
      <x:c r="AG70" s="32"/>
      <x:c r="AH70" s="32"/>
      <x:c r="AI70" s="32"/>
      <x:c r="AJ70" s="32"/>
      <x:c r="AK70" s="32"/>
      <x:c r="AL70" s="32"/>
      <x:c r="AM70" s="32"/>
      <x:c r="AN70" s="32"/>
      <x:c r="AO70" s="32"/>
      <x:c r="AP70" s="32"/>
      <x:c r="AQ70" s="32"/>
      <x:c r="AR70" s="32"/>
      <x:c r="AS70" s="32"/>
      <x:c r="AT70" s="32"/>
      <x:c r="AU70" s="32"/>
      <x:c r="AV70" s="32"/>
      <x:c r="AW70" s="32"/>
      <x:c r="AX70" s="32"/>
      <x:c r="AZ70" s="32"/>
      <x:c r="BA70" s="32"/>
      <x:c r="BB70" s="32"/>
      <x:c r="BC70" s="32"/>
      <x:c r="BD70" s="32"/>
      <x:c r="BE70" s="32"/>
      <x:c r="BF70" s="32"/>
      <x:c r="BG70" s="32"/>
      <x:c r="BH70" s="32"/>
      <x:c r="BI70" s="32"/>
      <x:c r="BJ70" s="32"/>
      <x:c r="BK70" s="32"/>
      <x:c r="BL70" s="32"/>
      <x:c r="BM70" s="32"/>
    </x:row>
    <x:row r="71">
      <x:c r="A71" s="32"/>
      <x:c r="B71" s="32"/>
      <x:c r="C71" s="42"/>
      <x:c r="D71" s="32"/>
      <x:c r="E71" s="32"/>
      <x:c r="F71" s="32"/>
      <x:c r="G71" s="32"/>
      <x:c r="H71" s="32"/>
      <x:c r="I71" s="32"/>
      <x:c r="J71" s="32"/>
      <x:c r="K71" s="32"/>
      <x:c r="L71" s="32"/>
      <x:c r="M71" s="32"/>
      <x:c r="N71" s="32"/>
      <x:c r="O71" s="32"/>
      <x:c r="P71" s="32"/>
      <x:c r="Q71" s="32"/>
      <x:c r="R71" s="32"/>
      <x:c r="S71" s="32"/>
      <x:c r="T71" s="43" t="str">
        <x:f>IFERROR(S71/L71,"")</x:f>
      </x:c>
      <x:c r="U71" s="32"/>
      <x:c r="V71" s="32"/>
      <x:c r="W71" s="32"/>
      <x:c r="X71" s="32"/>
      <x:c r="Y71" s="32"/>
      <x:c r="Z71" s="32"/>
      <x:c r="AA71" s="32"/>
      <x:c r="AB71" s="32"/>
      <x:c r="AC71" s="32"/>
      <x:c r="AD71" s="32"/>
      <x:c r="AE71" s="32"/>
      <x:c r="AF71" s="32"/>
      <x:c r="AG71" s="32"/>
      <x:c r="AH71" s="32"/>
      <x:c r="AI71" s="32"/>
      <x:c r="AJ71" s="32"/>
      <x:c r="AK71" s="32"/>
      <x:c r="AL71" s="32"/>
      <x:c r="AM71" s="32"/>
      <x:c r="AN71" s="32"/>
      <x:c r="AO71" s="32"/>
      <x:c r="AP71" s="32"/>
      <x:c r="AQ71" s="32"/>
      <x:c r="AR71" s="32"/>
      <x:c r="AS71" s="32"/>
      <x:c r="AT71" s="32"/>
      <x:c r="AU71" s="32"/>
      <x:c r="AV71" s="32"/>
      <x:c r="AW71" s="32"/>
      <x:c r="AX71" s="32"/>
      <x:c r="AZ71" s="32"/>
      <x:c r="BA71" s="32"/>
      <x:c r="BB71" s="32"/>
      <x:c r="BC71" s="32"/>
      <x:c r="BD71" s="32"/>
      <x:c r="BE71" s="32"/>
      <x:c r="BF71" s="32"/>
      <x:c r="BG71" s="32"/>
      <x:c r="BH71" s="32"/>
      <x:c r="BI71" s="32"/>
      <x:c r="BJ71" s="32"/>
      <x:c r="BK71" s="32"/>
      <x:c r="BL71" s="32"/>
      <x:c r="BM71" s="32"/>
    </x:row>
    <x:row r="72">
      <x:c r="A72" s="32"/>
      <x:c r="B72" s="32"/>
      <x:c r="C72" s="42"/>
      <x:c r="D72" s="32"/>
      <x:c r="E72" s="32"/>
      <x:c r="F72" s="32"/>
      <x:c r="G72" s="32"/>
      <x:c r="H72" s="32"/>
      <x:c r="I72" s="32"/>
      <x:c r="J72" s="32"/>
      <x:c r="K72" s="32"/>
      <x:c r="L72" s="32"/>
      <x:c r="M72" s="32"/>
      <x:c r="N72" s="32"/>
      <x:c r="O72" s="32"/>
      <x:c r="P72" s="32"/>
      <x:c r="Q72" s="32"/>
      <x:c r="R72" s="32"/>
      <x:c r="S72" s="32"/>
      <x:c r="T72" s="43" t="str">
        <x:f>IFERROR(S72/L72,"")</x:f>
      </x:c>
      <x:c r="U72" s="32"/>
      <x:c r="V72" s="32"/>
      <x:c r="W72" s="32"/>
      <x:c r="X72" s="32"/>
      <x:c r="Y72" s="32"/>
      <x:c r="Z72" s="32"/>
      <x:c r="AA72" s="32"/>
      <x:c r="AB72" s="32"/>
      <x:c r="AC72" s="32"/>
      <x:c r="AD72" s="32"/>
      <x:c r="AE72" s="32"/>
      <x:c r="AF72" s="32"/>
      <x:c r="AG72" s="32"/>
      <x:c r="AH72" s="32"/>
      <x:c r="AI72" s="32"/>
      <x:c r="AJ72" s="32"/>
      <x:c r="AK72" s="32"/>
      <x:c r="AL72" s="32"/>
      <x:c r="AM72" s="32"/>
      <x:c r="AN72" s="32"/>
      <x:c r="AO72" s="32"/>
      <x:c r="AP72" s="32"/>
      <x:c r="AQ72" s="32"/>
      <x:c r="AR72" s="32"/>
      <x:c r="AS72" s="32"/>
      <x:c r="AT72" s="32"/>
      <x:c r="AU72" s="32"/>
      <x:c r="AV72" s="32"/>
      <x:c r="AW72" s="32"/>
      <x:c r="AX72" s="32"/>
      <x:c r="AZ72" s="32"/>
      <x:c r="BA72" s="32"/>
      <x:c r="BB72" s="32"/>
      <x:c r="BC72" s="32"/>
      <x:c r="BD72" s="32"/>
      <x:c r="BE72" s="32"/>
      <x:c r="BF72" s="32"/>
      <x:c r="BG72" s="32"/>
      <x:c r="BH72" s="32"/>
      <x:c r="BI72" s="32"/>
      <x:c r="BJ72" s="32"/>
      <x:c r="BK72" s="32"/>
      <x:c r="BL72" s="32"/>
      <x:c r="BM72" s="32"/>
    </x:row>
    <x:row r="73">
      <x:c r="A73" s="32"/>
      <x:c r="B73" s="32"/>
      <x:c r="C73" s="42"/>
      <x:c r="D73" s="32"/>
      <x:c r="E73" s="32"/>
      <x:c r="F73" s="32"/>
      <x:c r="G73" s="32"/>
      <x:c r="H73" s="32"/>
      <x:c r="I73" s="32"/>
      <x:c r="J73" s="32"/>
      <x:c r="K73" s="32"/>
      <x:c r="L73" s="32"/>
      <x:c r="M73" s="32"/>
      <x:c r="N73" s="32"/>
      <x:c r="O73" s="32"/>
      <x:c r="P73" s="32"/>
      <x:c r="Q73" s="32"/>
      <x:c r="R73" s="32"/>
      <x:c r="S73" s="32"/>
      <x:c r="T73" s="43" t="str">
        <x:f>IFERROR(S73/L73,"")</x:f>
      </x:c>
      <x:c r="U73" s="32"/>
      <x:c r="V73" s="32"/>
      <x:c r="W73" s="32"/>
      <x:c r="X73" s="32"/>
      <x:c r="Y73" s="32"/>
      <x:c r="Z73" s="32"/>
      <x:c r="AA73" s="32"/>
      <x:c r="AB73" s="32"/>
      <x:c r="AC73" s="32"/>
      <x:c r="AD73" s="32"/>
      <x:c r="AE73" s="32"/>
      <x:c r="AF73" s="32"/>
      <x:c r="AG73" s="32"/>
      <x:c r="AH73" s="32"/>
      <x:c r="AI73" s="32"/>
      <x:c r="AJ73" s="32"/>
      <x:c r="AK73" s="32"/>
      <x:c r="AL73" s="32"/>
      <x:c r="AM73" s="32"/>
      <x:c r="AN73" s="32"/>
      <x:c r="AO73" s="32"/>
      <x:c r="AP73" s="32"/>
      <x:c r="AQ73" s="32"/>
      <x:c r="AR73" s="32"/>
      <x:c r="AS73" s="32"/>
      <x:c r="AT73" s="32"/>
      <x:c r="AU73" s="32"/>
      <x:c r="AV73" s="32"/>
      <x:c r="AW73" s="32"/>
      <x:c r="AX73" s="32"/>
      <x:c r="AZ73" s="32"/>
      <x:c r="BA73" s="32"/>
      <x:c r="BB73" s="32"/>
      <x:c r="BC73" s="32"/>
      <x:c r="BD73" s="32"/>
      <x:c r="BE73" s="32"/>
      <x:c r="BF73" s="32"/>
      <x:c r="BG73" s="32"/>
      <x:c r="BH73" s="32"/>
      <x:c r="BI73" s="32"/>
      <x:c r="BJ73" s="32"/>
      <x:c r="BK73" s="32"/>
      <x:c r="BL73" s="32"/>
      <x:c r="BM73" s="32"/>
    </x:row>
    <x:row r="74">
      <x:c r="A74" s="32"/>
      <x:c r="B74" s="32"/>
      <x:c r="C74" s="42"/>
      <x:c r="D74" s="32"/>
      <x:c r="E74" s="32"/>
      <x:c r="F74" s="32"/>
      <x:c r="G74" s="32"/>
      <x:c r="H74" s="32"/>
      <x:c r="I74" s="32"/>
      <x:c r="J74" s="32"/>
      <x:c r="K74" s="32"/>
      <x:c r="L74" s="32"/>
      <x:c r="M74" s="32"/>
      <x:c r="N74" s="32"/>
      <x:c r="O74" s="32"/>
      <x:c r="P74" s="32"/>
      <x:c r="Q74" s="32"/>
      <x:c r="R74" s="32"/>
      <x:c r="S74" s="32"/>
      <x:c r="T74" s="43" t="str">
        <x:f>IFERROR(S74/L74,"")</x:f>
      </x:c>
      <x:c r="U74" s="32"/>
      <x:c r="V74" s="32"/>
      <x:c r="W74" s="32"/>
      <x:c r="X74" s="32"/>
      <x:c r="Y74" s="32"/>
      <x:c r="Z74" s="32"/>
      <x:c r="AA74" s="32"/>
      <x:c r="AB74" s="32"/>
      <x:c r="AC74" s="32"/>
      <x:c r="AD74" s="32"/>
      <x:c r="AE74" s="32"/>
      <x:c r="AF74" s="32"/>
      <x:c r="AG74" s="32"/>
      <x:c r="AH74" s="32"/>
      <x:c r="AI74" s="32"/>
      <x:c r="AJ74" s="32"/>
      <x:c r="AK74" s="32"/>
      <x:c r="AL74" s="32"/>
      <x:c r="AM74" s="32"/>
      <x:c r="AN74" s="32"/>
      <x:c r="AO74" s="32"/>
      <x:c r="AP74" s="32"/>
      <x:c r="AQ74" s="32"/>
      <x:c r="AR74" s="32"/>
      <x:c r="AS74" s="32"/>
      <x:c r="AT74" s="32"/>
      <x:c r="AU74" s="32"/>
      <x:c r="AV74" s="32"/>
      <x:c r="AW74" s="32"/>
      <x:c r="AX74" s="32"/>
      <x:c r="AZ74" s="32"/>
      <x:c r="BA74" s="32"/>
      <x:c r="BB74" s="32"/>
      <x:c r="BC74" s="32"/>
      <x:c r="BD74" s="32"/>
      <x:c r="BE74" s="32"/>
      <x:c r="BF74" s="32"/>
      <x:c r="BG74" s="32"/>
      <x:c r="BH74" s="32"/>
      <x:c r="BI74" s="32"/>
      <x:c r="BJ74" s="32"/>
      <x:c r="BK74" s="32"/>
      <x:c r="BL74" s="32"/>
      <x:c r="BM74" s="32"/>
    </x:row>
    <x:row r="75">
      <x:c r="A75" s="32"/>
      <x:c r="B75" s="32"/>
      <x:c r="C75" s="42"/>
      <x:c r="D75" s="32"/>
      <x:c r="E75" s="32"/>
      <x:c r="F75" s="32"/>
      <x:c r="G75" s="32"/>
      <x:c r="H75" s="32"/>
      <x:c r="I75" s="32"/>
      <x:c r="J75" s="32"/>
      <x:c r="K75" s="32"/>
      <x:c r="L75" s="32"/>
      <x:c r="M75" s="32"/>
      <x:c r="N75" s="32"/>
      <x:c r="O75" s="32"/>
      <x:c r="P75" s="32"/>
      <x:c r="Q75" s="32"/>
      <x:c r="R75" s="32"/>
      <x:c r="S75" s="32"/>
      <x:c r="T75" s="43" t="str">
        <x:f>IFERROR(S75/L75,"")</x:f>
      </x:c>
      <x:c r="U75" s="32"/>
      <x:c r="V75" s="32"/>
      <x:c r="W75" s="32"/>
      <x:c r="X75" s="32"/>
      <x:c r="Y75" s="32"/>
      <x:c r="Z75" s="32"/>
      <x:c r="AA75" s="32"/>
      <x:c r="AB75" s="32"/>
      <x:c r="AC75" s="32"/>
      <x:c r="AD75" s="32"/>
      <x:c r="AE75" s="32"/>
      <x:c r="AF75" s="32"/>
      <x:c r="AG75" s="32"/>
      <x:c r="AH75" s="32"/>
      <x:c r="AI75" s="32"/>
      <x:c r="AJ75" s="32"/>
      <x:c r="AK75" s="32"/>
      <x:c r="AL75" s="32"/>
      <x:c r="AM75" s="32"/>
      <x:c r="AN75" s="32"/>
      <x:c r="AO75" s="32"/>
      <x:c r="AP75" s="32"/>
      <x:c r="AQ75" s="32"/>
      <x:c r="AR75" s="32"/>
      <x:c r="AS75" s="32"/>
      <x:c r="AT75" s="32"/>
      <x:c r="AU75" s="32"/>
      <x:c r="AV75" s="32"/>
      <x:c r="AW75" s="32"/>
      <x:c r="AX75" s="32"/>
      <x:c r="AZ75" s="32"/>
      <x:c r="BA75" s="32"/>
      <x:c r="BB75" s="32"/>
      <x:c r="BC75" s="32"/>
      <x:c r="BD75" s="32"/>
      <x:c r="BE75" s="32"/>
      <x:c r="BF75" s="32"/>
      <x:c r="BG75" s="32"/>
      <x:c r="BH75" s="32"/>
      <x:c r="BI75" s="32"/>
      <x:c r="BJ75" s="32"/>
      <x:c r="BK75" s="32"/>
      <x:c r="BL75" s="32"/>
      <x:c r="BM75" s="32"/>
    </x:row>
    <x:row r="76">
      <x:c r="A76" s="32"/>
      <x:c r="B76" s="32"/>
      <x:c r="C76" s="42"/>
      <x:c r="D76" s="32"/>
      <x:c r="E76" s="32"/>
      <x:c r="F76" s="32"/>
      <x:c r="G76" s="32"/>
      <x:c r="H76" s="32"/>
      <x:c r="I76" s="32"/>
      <x:c r="J76" s="32"/>
      <x:c r="K76" s="32"/>
      <x:c r="L76" s="32"/>
      <x:c r="M76" s="32"/>
      <x:c r="N76" s="32"/>
      <x:c r="O76" s="32"/>
      <x:c r="P76" s="32"/>
      <x:c r="Q76" s="32"/>
      <x:c r="R76" s="32"/>
      <x:c r="S76" s="32"/>
      <x:c r="T76" s="43" t="str">
        <x:f>IFERROR(S76/L76,"")</x:f>
      </x:c>
      <x:c r="U76" s="32"/>
      <x:c r="V76" s="32"/>
      <x:c r="W76" s="32"/>
      <x:c r="X76" s="32"/>
      <x:c r="Y76" s="32"/>
      <x:c r="Z76" s="32"/>
      <x:c r="AA76" s="32"/>
      <x:c r="AB76" s="32"/>
      <x:c r="AC76" s="32"/>
      <x:c r="AD76" s="32"/>
      <x:c r="AE76" s="32"/>
      <x:c r="AF76" s="32"/>
      <x:c r="AG76" s="32"/>
      <x:c r="AH76" s="32"/>
      <x:c r="AI76" s="32"/>
      <x:c r="AJ76" s="32"/>
      <x:c r="AK76" s="32"/>
      <x:c r="AL76" s="32"/>
      <x:c r="AM76" s="32"/>
      <x:c r="AN76" s="32"/>
      <x:c r="AO76" s="32"/>
      <x:c r="AP76" s="32"/>
      <x:c r="AQ76" s="32"/>
      <x:c r="AR76" s="32"/>
      <x:c r="AS76" s="32"/>
      <x:c r="AT76" s="32"/>
      <x:c r="AU76" s="32"/>
      <x:c r="AV76" s="32"/>
      <x:c r="AW76" s="32"/>
      <x:c r="AX76" s="32"/>
      <x:c r="AZ76" s="32"/>
      <x:c r="BA76" s="32"/>
      <x:c r="BB76" s="32"/>
      <x:c r="BC76" s="32"/>
      <x:c r="BD76" s="32"/>
      <x:c r="BE76" s="32"/>
      <x:c r="BF76" s="32"/>
      <x:c r="BG76" s="32"/>
      <x:c r="BH76" s="32"/>
      <x:c r="BI76" s="32"/>
      <x:c r="BJ76" s="32"/>
      <x:c r="BK76" s="32"/>
      <x:c r="BL76" s="32"/>
      <x:c r="BM76" s="32"/>
    </x:row>
    <x:row r="77">
      <x:c r="A77" s="32"/>
      <x:c r="B77" s="32"/>
      <x:c r="C77" s="42"/>
      <x:c r="D77" s="32"/>
      <x:c r="E77" s="32"/>
      <x:c r="F77" s="32"/>
      <x:c r="G77" s="32"/>
      <x:c r="H77" s="32"/>
      <x:c r="I77" s="32"/>
      <x:c r="J77" s="32"/>
      <x:c r="K77" s="32"/>
      <x:c r="L77" s="32"/>
      <x:c r="M77" s="32"/>
      <x:c r="N77" s="32"/>
      <x:c r="O77" s="32"/>
      <x:c r="P77" s="32"/>
      <x:c r="Q77" s="32"/>
      <x:c r="R77" s="32"/>
      <x:c r="S77" s="32"/>
      <x:c r="T77" s="43" t="str">
        <x:f>IFERROR(S77/L77,"")</x:f>
      </x:c>
      <x:c r="U77" s="32"/>
      <x:c r="V77" s="32"/>
      <x:c r="W77" s="32"/>
      <x:c r="X77" s="32"/>
      <x:c r="Y77" s="32"/>
      <x:c r="Z77" s="32"/>
      <x:c r="AA77" s="32"/>
      <x:c r="AB77" s="32"/>
      <x:c r="AC77" s="32"/>
      <x:c r="AD77" s="32"/>
      <x:c r="AE77" s="32"/>
      <x:c r="AF77" s="32"/>
      <x:c r="AG77" s="32"/>
      <x:c r="AH77" s="32"/>
      <x:c r="AI77" s="32"/>
      <x:c r="AJ77" s="32"/>
      <x:c r="AK77" s="32"/>
      <x:c r="AL77" s="32"/>
      <x:c r="AM77" s="32"/>
      <x:c r="AN77" s="32"/>
      <x:c r="AO77" s="32"/>
      <x:c r="AP77" s="32"/>
      <x:c r="AQ77" s="32"/>
      <x:c r="AR77" s="32"/>
      <x:c r="AS77" s="32"/>
      <x:c r="AT77" s="32"/>
      <x:c r="AU77" s="32"/>
      <x:c r="AV77" s="32"/>
      <x:c r="AW77" s="32"/>
      <x:c r="AX77" s="32"/>
      <x:c r="AZ77" s="32"/>
      <x:c r="BA77" s="32"/>
      <x:c r="BB77" s="32"/>
      <x:c r="BC77" s="32"/>
      <x:c r="BD77" s="32"/>
      <x:c r="BE77" s="32"/>
      <x:c r="BF77" s="32"/>
      <x:c r="BG77" s="32"/>
      <x:c r="BH77" s="32"/>
      <x:c r="BI77" s="32"/>
      <x:c r="BJ77" s="32"/>
      <x:c r="BK77" s="32"/>
      <x:c r="BL77" s="32"/>
      <x:c r="BM77" s="32"/>
    </x:row>
    <x:row r="78">
      <x:c r="A78" s="32"/>
      <x:c r="B78" s="32"/>
      <x:c r="C78" s="42"/>
      <x:c r="D78" s="32"/>
      <x:c r="E78" s="32"/>
      <x:c r="F78" s="32"/>
      <x:c r="G78" s="32"/>
      <x:c r="H78" s="32"/>
      <x:c r="I78" s="32"/>
      <x:c r="J78" s="32"/>
      <x:c r="K78" s="32"/>
      <x:c r="L78" s="32"/>
      <x:c r="M78" s="32"/>
      <x:c r="N78" s="32"/>
      <x:c r="O78" s="32"/>
      <x:c r="P78" s="32"/>
      <x:c r="Q78" s="32"/>
      <x:c r="R78" s="32"/>
      <x:c r="S78" s="32"/>
      <x:c r="T78" s="43" t="str">
        <x:f>IFERROR(S78/L78,"")</x:f>
      </x:c>
      <x:c r="U78" s="32"/>
      <x:c r="V78" s="32"/>
      <x:c r="W78" s="32"/>
      <x:c r="X78" s="32"/>
      <x:c r="Y78" s="32"/>
      <x:c r="Z78" s="32"/>
      <x:c r="AA78" s="32"/>
      <x:c r="AB78" s="32"/>
      <x:c r="AC78" s="32"/>
      <x:c r="AD78" s="32"/>
      <x:c r="AE78" s="32"/>
      <x:c r="AF78" s="32"/>
      <x:c r="AG78" s="32"/>
      <x:c r="AH78" s="32"/>
      <x:c r="AI78" s="32"/>
      <x:c r="AJ78" s="32"/>
      <x:c r="AK78" s="32"/>
      <x:c r="AL78" s="32"/>
      <x:c r="AM78" s="32"/>
      <x:c r="AN78" s="32"/>
      <x:c r="AO78" s="32"/>
      <x:c r="AP78" s="32"/>
      <x:c r="AQ78" s="32"/>
      <x:c r="AR78" s="32"/>
      <x:c r="AS78" s="32"/>
      <x:c r="AT78" s="32"/>
      <x:c r="AU78" s="32"/>
      <x:c r="AV78" s="32"/>
      <x:c r="AW78" s="32"/>
      <x:c r="AX78" s="32"/>
      <x:c r="AZ78" s="32"/>
      <x:c r="BA78" s="32"/>
      <x:c r="BB78" s="32"/>
      <x:c r="BC78" s="32"/>
      <x:c r="BD78" s="32"/>
      <x:c r="BE78" s="32"/>
      <x:c r="BF78" s="32"/>
      <x:c r="BG78" s="32"/>
      <x:c r="BH78" s="32"/>
      <x:c r="BI78" s="32"/>
      <x:c r="BJ78" s="32"/>
      <x:c r="BK78" s="32"/>
      <x:c r="BL78" s="32"/>
      <x:c r="BM78" s="32"/>
    </x:row>
    <x:row r="79">
      <x:c r="A79" s="32"/>
      <x:c r="B79" s="32"/>
      <x:c r="C79" s="42"/>
      <x:c r="D79" s="32"/>
      <x:c r="E79" s="32"/>
      <x:c r="F79" s="32"/>
      <x:c r="G79" s="32"/>
      <x:c r="H79" s="32"/>
      <x:c r="I79" s="32"/>
      <x:c r="J79" s="32"/>
      <x:c r="K79" s="32"/>
      <x:c r="L79" s="32"/>
      <x:c r="M79" s="32"/>
      <x:c r="N79" s="32"/>
      <x:c r="O79" s="32"/>
      <x:c r="P79" s="32"/>
      <x:c r="Q79" s="32"/>
      <x:c r="R79" s="32"/>
      <x:c r="S79" s="32"/>
      <x:c r="T79" s="43" t="str">
        <x:f>IFERROR(S79/L79,"")</x:f>
      </x:c>
      <x:c r="U79" s="32"/>
      <x:c r="V79" s="32"/>
      <x:c r="W79" s="32"/>
      <x:c r="X79" s="32"/>
      <x:c r="Y79" s="32"/>
      <x:c r="Z79" s="32"/>
      <x:c r="AA79" s="32"/>
      <x:c r="AB79" s="32"/>
      <x:c r="AC79" s="32"/>
      <x:c r="AD79" s="32"/>
      <x:c r="AE79" s="32"/>
      <x:c r="AF79" s="32"/>
      <x:c r="AG79" s="32"/>
      <x:c r="AH79" s="32"/>
      <x:c r="AI79" s="32"/>
      <x:c r="AJ79" s="32"/>
      <x:c r="AK79" s="32"/>
      <x:c r="AL79" s="32"/>
      <x:c r="AM79" s="32"/>
      <x:c r="AN79" s="32"/>
      <x:c r="AO79" s="32"/>
      <x:c r="AP79" s="32"/>
      <x:c r="AQ79" s="32"/>
      <x:c r="AR79" s="32"/>
      <x:c r="AS79" s="32"/>
      <x:c r="AT79" s="32"/>
      <x:c r="AU79" s="32"/>
      <x:c r="AV79" s="32"/>
      <x:c r="AW79" s="32"/>
      <x:c r="AX79" s="32"/>
      <x:c r="AZ79" s="32"/>
      <x:c r="BA79" s="32"/>
      <x:c r="BB79" s="32"/>
      <x:c r="BC79" s="32"/>
      <x:c r="BD79" s="32"/>
      <x:c r="BE79" s="32"/>
      <x:c r="BF79" s="32"/>
      <x:c r="BG79" s="32"/>
      <x:c r="BH79" s="32"/>
      <x:c r="BI79" s="32"/>
      <x:c r="BJ79" s="32"/>
      <x:c r="BK79" s="32"/>
      <x:c r="BL79" s="32"/>
      <x:c r="BM79" s="32"/>
    </x:row>
    <x:row r="80">
      <x:c r="A80" s="32"/>
      <x:c r="B80" s="32"/>
      <x:c r="C80" s="42"/>
      <x:c r="D80" s="32"/>
      <x:c r="E80" s="32"/>
      <x:c r="F80" s="32"/>
      <x:c r="G80" s="32"/>
      <x:c r="H80" s="32"/>
      <x:c r="I80" s="32"/>
      <x:c r="J80" s="32"/>
      <x:c r="K80" s="32"/>
      <x:c r="L80" s="32"/>
      <x:c r="M80" s="32"/>
      <x:c r="N80" s="32"/>
      <x:c r="O80" s="32"/>
      <x:c r="P80" s="32"/>
      <x:c r="Q80" s="32"/>
      <x:c r="R80" s="32"/>
      <x:c r="S80" s="32"/>
      <x:c r="T80" s="43" t="str">
        <x:f>IFERROR(S80/L80,"")</x:f>
      </x:c>
      <x:c r="U80" s="32"/>
      <x:c r="V80" s="32"/>
      <x:c r="W80" s="32"/>
      <x:c r="X80" s="32"/>
      <x:c r="Y80" s="32"/>
      <x:c r="Z80" s="32"/>
      <x:c r="AA80" s="32"/>
      <x:c r="AB80" s="32"/>
      <x:c r="AC80" s="32"/>
      <x:c r="AD80" s="32"/>
      <x:c r="AE80" s="32"/>
      <x:c r="AF80" s="32"/>
      <x:c r="AG80" s="32"/>
      <x:c r="AH80" s="32"/>
      <x:c r="AI80" s="32"/>
      <x:c r="AJ80" s="32"/>
      <x:c r="AK80" s="32"/>
      <x:c r="AL80" s="32"/>
      <x:c r="AM80" s="32"/>
      <x:c r="AN80" s="32"/>
      <x:c r="AO80" s="32"/>
      <x:c r="AP80" s="32"/>
      <x:c r="AQ80" s="32"/>
      <x:c r="AR80" s="32"/>
      <x:c r="AS80" s="32"/>
      <x:c r="AT80" s="32"/>
      <x:c r="AU80" s="32"/>
      <x:c r="AV80" s="32"/>
      <x:c r="AW80" s="32"/>
      <x:c r="AX80" s="32"/>
      <x:c r="AZ80" s="32"/>
      <x:c r="BA80" s="32"/>
      <x:c r="BB80" s="32"/>
      <x:c r="BC80" s="32"/>
      <x:c r="BD80" s="32"/>
      <x:c r="BE80" s="32"/>
      <x:c r="BF80" s="32"/>
      <x:c r="BG80" s="32"/>
      <x:c r="BH80" s="32"/>
      <x:c r="BI80" s="32"/>
      <x:c r="BJ80" s="32"/>
      <x:c r="BK80" s="32"/>
      <x:c r="BL80" s="32"/>
      <x:c r="BM80" s="32"/>
    </x:row>
    <x:row r="81">
      <x:c r="A81" s="32"/>
      <x:c r="B81" s="32"/>
      <x:c r="C81" s="42"/>
      <x:c r="D81" s="32"/>
      <x:c r="E81" s="32"/>
      <x:c r="F81" s="32"/>
      <x:c r="G81" s="32"/>
      <x:c r="H81" s="32"/>
      <x:c r="I81" s="32"/>
      <x:c r="J81" s="32"/>
      <x:c r="K81" s="32"/>
      <x:c r="L81" s="32"/>
      <x:c r="M81" s="32"/>
      <x:c r="N81" s="32"/>
      <x:c r="O81" s="32"/>
      <x:c r="P81" s="32"/>
      <x:c r="Q81" s="32"/>
      <x:c r="R81" s="32"/>
      <x:c r="S81" s="32"/>
      <x:c r="T81" s="43" t="str">
        <x:f>IFERROR(S81/L81,"")</x:f>
      </x:c>
      <x:c r="U81" s="32"/>
      <x:c r="V81" s="32"/>
      <x:c r="W81" s="32"/>
      <x:c r="X81" s="32"/>
      <x:c r="Y81" s="32"/>
      <x:c r="Z81" s="32"/>
      <x:c r="AA81" s="32"/>
      <x:c r="AB81" s="32"/>
      <x:c r="AC81" s="32"/>
      <x:c r="AD81" s="32"/>
      <x:c r="AE81" s="32"/>
      <x:c r="AF81" s="32"/>
      <x:c r="AG81" s="32"/>
      <x:c r="AH81" s="32"/>
      <x:c r="AI81" s="32"/>
      <x:c r="AJ81" s="32"/>
      <x:c r="AK81" s="32"/>
      <x:c r="AL81" s="32"/>
      <x:c r="AM81" s="32"/>
      <x:c r="AN81" s="32"/>
      <x:c r="AO81" s="32"/>
      <x:c r="AP81" s="32"/>
      <x:c r="AQ81" s="32"/>
      <x:c r="AR81" s="32"/>
      <x:c r="AS81" s="32"/>
      <x:c r="AT81" s="32"/>
      <x:c r="AU81" s="32"/>
      <x:c r="AV81" s="32"/>
      <x:c r="AW81" s="32"/>
      <x:c r="AX81" s="32"/>
      <x:c r="AZ81" s="32"/>
      <x:c r="BA81" s="32"/>
      <x:c r="BB81" s="32"/>
      <x:c r="BC81" s="32"/>
      <x:c r="BD81" s="32"/>
      <x:c r="BE81" s="32"/>
      <x:c r="BF81" s="32"/>
      <x:c r="BG81" s="32"/>
      <x:c r="BH81" s="32"/>
      <x:c r="BI81" s="32"/>
      <x:c r="BJ81" s="32"/>
      <x:c r="BK81" s="32"/>
      <x:c r="BL81" s="32"/>
      <x:c r="BM81" s="32"/>
    </x:row>
    <x:row r="82">
      <x:c r="A82" s="32"/>
      <x:c r="B82" s="32"/>
      <x:c r="C82" s="42"/>
      <x:c r="D82" s="32"/>
      <x:c r="E82" s="32"/>
      <x:c r="F82" s="32"/>
      <x:c r="G82" s="32"/>
      <x:c r="H82" s="32"/>
      <x:c r="I82" s="32"/>
      <x:c r="J82" s="32"/>
      <x:c r="K82" s="32"/>
      <x:c r="L82" s="32"/>
      <x:c r="M82" s="32"/>
      <x:c r="N82" s="32"/>
      <x:c r="O82" s="32"/>
      <x:c r="P82" s="32"/>
      <x:c r="Q82" s="32"/>
      <x:c r="R82" s="32"/>
      <x:c r="S82" s="32"/>
      <x:c r="T82" s="43" t="str">
        <x:f>IFERROR(S82/L82,"")</x:f>
      </x:c>
      <x:c r="U82" s="32"/>
      <x:c r="V82" s="32"/>
      <x:c r="W82" s="32"/>
      <x:c r="X82" s="32"/>
      <x:c r="Y82" s="32"/>
      <x:c r="Z82" s="32"/>
      <x:c r="AA82" s="32"/>
      <x:c r="AB82" s="32"/>
      <x:c r="AC82" s="32"/>
      <x:c r="AD82" s="32"/>
      <x:c r="AE82" s="32"/>
      <x:c r="AF82" s="32"/>
      <x:c r="AG82" s="32"/>
      <x:c r="AH82" s="32"/>
      <x:c r="AI82" s="32"/>
      <x:c r="AJ82" s="32"/>
      <x:c r="AK82" s="32"/>
      <x:c r="AL82" s="32"/>
      <x:c r="AM82" s="32"/>
      <x:c r="AN82" s="32"/>
      <x:c r="AO82" s="32"/>
      <x:c r="AP82" s="32"/>
      <x:c r="AQ82" s="32"/>
      <x:c r="AR82" s="32"/>
      <x:c r="AS82" s="32"/>
      <x:c r="AT82" s="32"/>
      <x:c r="AU82" s="32"/>
      <x:c r="AV82" s="32"/>
      <x:c r="AW82" s="32"/>
      <x:c r="AX82" s="32"/>
      <x:c r="AZ82" s="32"/>
      <x:c r="BA82" s="32"/>
      <x:c r="BB82" s="32"/>
      <x:c r="BC82" s="32"/>
      <x:c r="BD82" s="32"/>
      <x:c r="BE82" s="32"/>
      <x:c r="BF82" s="32"/>
      <x:c r="BG82" s="32"/>
      <x:c r="BH82" s="32"/>
      <x:c r="BI82" s="32"/>
      <x:c r="BJ82" s="32"/>
      <x:c r="BK82" s="32"/>
      <x:c r="BL82" s="32"/>
      <x:c r="BM82" s="32"/>
    </x:row>
    <x:row r="83">
      <x:c r="A83" s="32"/>
      <x:c r="B83" s="32"/>
      <x:c r="C83" s="42"/>
      <x:c r="D83" s="32"/>
      <x:c r="E83" s="32"/>
      <x:c r="F83" s="32"/>
      <x:c r="G83" s="32"/>
      <x:c r="H83" s="32"/>
      <x:c r="I83" s="32"/>
      <x:c r="J83" s="32"/>
      <x:c r="K83" s="32"/>
      <x:c r="L83" s="32"/>
      <x:c r="M83" s="32"/>
      <x:c r="N83" s="32"/>
      <x:c r="O83" s="32"/>
      <x:c r="P83" s="32"/>
      <x:c r="Q83" s="32"/>
      <x:c r="R83" s="32"/>
      <x:c r="S83" s="32"/>
      <x:c r="T83" s="43" t="str">
        <x:f>IFERROR(S83/L83,"")</x:f>
      </x:c>
      <x:c r="U83" s="32"/>
      <x:c r="V83" s="32"/>
      <x:c r="W83" s="32"/>
      <x:c r="X83" s="32"/>
      <x:c r="Y83" s="32"/>
      <x:c r="Z83" s="32"/>
      <x:c r="AA83" s="32"/>
      <x:c r="AB83" s="32"/>
      <x:c r="AC83" s="32"/>
      <x:c r="AD83" s="32"/>
      <x:c r="AE83" s="32"/>
      <x:c r="AF83" s="32"/>
      <x:c r="AG83" s="32"/>
      <x:c r="AH83" s="32"/>
      <x:c r="AI83" s="32"/>
      <x:c r="AJ83" s="32"/>
      <x:c r="AK83" s="32"/>
      <x:c r="AL83" s="32"/>
      <x:c r="AM83" s="32"/>
      <x:c r="AN83" s="32"/>
      <x:c r="AO83" s="32"/>
      <x:c r="AP83" s="32"/>
      <x:c r="AQ83" s="32"/>
      <x:c r="AR83" s="32"/>
      <x:c r="AS83" s="32"/>
      <x:c r="AT83" s="32"/>
      <x:c r="AU83" s="32"/>
      <x:c r="AV83" s="32"/>
      <x:c r="AW83" s="32"/>
      <x:c r="AX83" s="32"/>
      <x:c r="AZ83" s="32"/>
      <x:c r="BA83" s="32"/>
      <x:c r="BB83" s="32"/>
      <x:c r="BC83" s="32"/>
      <x:c r="BD83" s="32"/>
      <x:c r="BE83" s="32"/>
      <x:c r="BF83" s="32"/>
      <x:c r="BG83" s="32"/>
      <x:c r="BH83" s="32"/>
      <x:c r="BI83" s="32"/>
      <x:c r="BJ83" s="32"/>
      <x:c r="BK83" s="32"/>
      <x:c r="BL83" s="32"/>
      <x:c r="BM83" s="32"/>
    </x:row>
    <x:row r="84">
      <x:c r="A84" s="32"/>
      <x:c r="B84" s="32"/>
      <x:c r="C84" s="42"/>
      <x:c r="D84" s="32"/>
      <x:c r="E84" s="32"/>
      <x:c r="F84" s="32"/>
      <x:c r="G84" s="32"/>
      <x:c r="H84" s="32"/>
      <x:c r="I84" s="32"/>
      <x:c r="J84" s="32"/>
      <x:c r="K84" s="32"/>
      <x:c r="L84" s="32"/>
      <x:c r="M84" s="32"/>
      <x:c r="N84" s="32"/>
      <x:c r="O84" s="32"/>
      <x:c r="P84" s="32"/>
      <x:c r="Q84" s="32"/>
      <x:c r="R84" s="32"/>
      <x:c r="S84" s="32"/>
      <x:c r="T84" s="43" t="str">
        <x:f>IFERROR(S84/L84,"")</x:f>
      </x:c>
      <x:c r="U84" s="32"/>
      <x:c r="V84" s="32"/>
      <x:c r="W84" s="32"/>
      <x:c r="X84" s="32"/>
      <x:c r="Y84" s="32"/>
      <x:c r="Z84" s="32"/>
      <x:c r="AA84" s="32"/>
      <x:c r="AB84" s="32"/>
      <x:c r="AC84" s="32"/>
      <x:c r="AD84" s="32"/>
      <x:c r="AE84" s="32"/>
      <x:c r="AF84" s="32"/>
      <x:c r="AG84" s="32"/>
      <x:c r="AH84" s="32"/>
      <x:c r="AI84" s="32"/>
      <x:c r="AJ84" s="32"/>
      <x:c r="AK84" s="32"/>
      <x:c r="AL84" s="32"/>
      <x:c r="AM84" s="32"/>
      <x:c r="AN84" s="32"/>
      <x:c r="AO84" s="32"/>
      <x:c r="AP84" s="32"/>
      <x:c r="AQ84" s="32"/>
      <x:c r="AR84" s="32"/>
      <x:c r="AS84" s="32"/>
      <x:c r="AT84" s="32"/>
      <x:c r="AU84" s="32"/>
      <x:c r="AV84" s="32"/>
      <x:c r="AW84" s="32"/>
      <x:c r="AX84" s="32"/>
      <x:c r="AZ84" s="32"/>
      <x:c r="BA84" s="32"/>
      <x:c r="BB84" s="32"/>
      <x:c r="BC84" s="32"/>
      <x:c r="BD84" s="32"/>
      <x:c r="BE84" s="32"/>
      <x:c r="BF84" s="32"/>
      <x:c r="BG84" s="32"/>
      <x:c r="BH84" s="32"/>
      <x:c r="BI84" s="32"/>
      <x:c r="BJ84" s="32"/>
      <x:c r="BK84" s="32"/>
      <x:c r="BL84" s="32"/>
      <x:c r="BM84" s="32"/>
    </x:row>
    <x:row r="85">
      <x:c r="A85" s="32"/>
      <x:c r="B85" s="32"/>
      <x:c r="C85" s="42"/>
      <x:c r="D85" s="32"/>
      <x:c r="E85" s="32"/>
      <x:c r="F85" s="32"/>
      <x:c r="G85" s="32"/>
      <x:c r="H85" s="32"/>
      <x:c r="I85" s="32"/>
      <x:c r="J85" s="32"/>
      <x:c r="K85" s="32"/>
      <x:c r="L85" s="32"/>
      <x:c r="M85" s="32"/>
      <x:c r="N85" s="32"/>
      <x:c r="O85" s="32"/>
      <x:c r="P85" s="32"/>
      <x:c r="Q85" s="32"/>
      <x:c r="R85" s="32"/>
      <x:c r="S85" s="32"/>
      <x:c r="T85" s="43" t="str">
        <x:f>IFERROR(S85/L85,"")</x:f>
      </x:c>
      <x:c r="U85" s="32"/>
      <x:c r="V85" s="32"/>
      <x:c r="W85" s="32"/>
      <x:c r="X85" s="32"/>
      <x:c r="Y85" s="32"/>
      <x:c r="Z85" s="32"/>
      <x:c r="AA85" s="32"/>
      <x:c r="AB85" s="32"/>
      <x:c r="AC85" s="32"/>
      <x:c r="AD85" s="32"/>
      <x:c r="AE85" s="32"/>
      <x:c r="AF85" s="32"/>
      <x:c r="AG85" s="32"/>
      <x:c r="AH85" s="32"/>
      <x:c r="AI85" s="32"/>
      <x:c r="AJ85" s="32"/>
      <x:c r="AK85" s="32"/>
      <x:c r="AL85" s="32"/>
      <x:c r="AM85" s="32"/>
      <x:c r="AN85" s="32"/>
      <x:c r="AO85" s="32"/>
      <x:c r="AP85" s="32"/>
      <x:c r="AQ85" s="32"/>
      <x:c r="AR85" s="32"/>
      <x:c r="AS85" s="32"/>
      <x:c r="AT85" s="32"/>
      <x:c r="AU85" s="32"/>
      <x:c r="AV85" s="32"/>
      <x:c r="AW85" s="32"/>
      <x:c r="AX85" s="32"/>
      <x:c r="AZ85" s="32"/>
      <x:c r="BA85" s="32"/>
      <x:c r="BB85" s="32"/>
      <x:c r="BC85" s="32"/>
      <x:c r="BD85" s="32"/>
      <x:c r="BE85" s="32"/>
      <x:c r="BF85" s="32"/>
      <x:c r="BG85" s="32"/>
      <x:c r="BH85" s="32"/>
      <x:c r="BI85" s="32"/>
      <x:c r="BJ85" s="32"/>
      <x:c r="BK85" s="32"/>
      <x:c r="BL85" s="32"/>
      <x:c r="BM85" s="32"/>
    </x:row>
    <x:row r="86">
      <x:c r="A86" s="32"/>
      <x:c r="B86" s="32"/>
      <x:c r="C86" s="42"/>
      <x:c r="D86" s="32"/>
      <x:c r="E86" s="32"/>
      <x:c r="F86" s="32"/>
      <x:c r="G86" s="32"/>
      <x:c r="H86" s="32"/>
      <x:c r="I86" s="32"/>
      <x:c r="J86" s="32"/>
      <x:c r="K86" s="32"/>
      <x:c r="L86" s="32"/>
      <x:c r="M86" s="32"/>
      <x:c r="N86" s="32"/>
      <x:c r="O86" s="32"/>
      <x:c r="P86" s="32"/>
      <x:c r="Q86" s="32"/>
      <x:c r="R86" s="32"/>
      <x:c r="S86" s="32"/>
      <x:c r="T86" s="43" t="str">
        <x:f>IFERROR(S86/L86,"")</x:f>
      </x:c>
      <x:c r="U86" s="32"/>
      <x:c r="V86" s="32"/>
      <x:c r="W86" s="32"/>
      <x:c r="X86" s="32"/>
      <x:c r="Y86" s="32"/>
      <x:c r="Z86" s="32"/>
      <x:c r="AA86" s="32"/>
      <x:c r="AB86" s="32"/>
      <x:c r="AC86" s="32"/>
      <x:c r="AD86" s="32"/>
      <x:c r="AE86" s="32"/>
      <x:c r="AF86" s="32"/>
      <x:c r="AG86" s="32"/>
      <x:c r="AH86" s="32"/>
      <x:c r="AI86" s="32"/>
      <x:c r="AJ86" s="32"/>
      <x:c r="AK86" s="32"/>
      <x:c r="AL86" s="32"/>
      <x:c r="AM86" s="32"/>
      <x:c r="AN86" s="32"/>
      <x:c r="AO86" s="32"/>
      <x:c r="AP86" s="32"/>
      <x:c r="AQ86" s="32"/>
      <x:c r="AR86" s="32"/>
      <x:c r="AS86" s="32"/>
      <x:c r="AT86" s="32"/>
      <x:c r="AU86" s="32"/>
      <x:c r="AV86" s="32"/>
      <x:c r="AW86" s="32"/>
      <x:c r="AX86" s="32"/>
      <x:c r="AZ86" s="32"/>
      <x:c r="BA86" s="32"/>
      <x:c r="BB86" s="32"/>
      <x:c r="BC86" s="32"/>
      <x:c r="BD86" s="32"/>
      <x:c r="BE86" s="32"/>
      <x:c r="BF86" s="32"/>
      <x:c r="BG86" s="32"/>
      <x:c r="BH86" s="32"/>
      <x:c r="BI86" s="32"/>
      <x:c r="BJ86" s="32"/>
      <x:c r="BK86" s="32"/>
      <x:c r="BL86" s="32"/>
      <x:c r="BM86" s="32"/>
    </x:row>
    <x:row r="87">
      <x:c r="A87" s="32"/>
      <x:c r="B87" s="32"/>
      <x:c r="C87" s="42"/>
      <x:c r="D87" s="32"/>
      <x:c r="E87" s="32"/>
      <x:c r="F87" s="32"/>
      <x:c r="G87" s="32"/>
      <x:c r="H87" s="32"/>
      <x:c r="I87" s="32"/>
      <x:c r="J87" s="32"/>
      <x:c r="K87" s="32"/>
      <x:c r="L87" s="32"/>
      <x:c r="M87" s="32"/>
      <x:c r="N87" s="32"/>
      <x:c r="O87" s="32"/>
      <x:c r="P87" s="32"/>
      <x:c r="Q87" s="32"/>
      <x:c r="R87" s="32"/>
      <x:c r="S87" s="32"/>
      <x:c r="T87" s="43" t="str">
        <x:f>IFERROR(S87/L87,"")</x:f>
      </x:c>
      <x:c r="U87" s="32"/>
      <x:c r="V87" s="32"/>
      <x:c r="W87" s="32"/>
      <x:c r="X87" s="32"/>
      <x:c r="Y87" s="32"/>
      <x:c r="Z87" s="32"/>
      <x:c r="AA87" s="32"/>
      <x:c r="AB87" s="32"/>
      <x:c r="AC87" s="32"/>
      <x:c r="AD87" s="32"/>
      <x:c r="AE87" s="32"/>
      <x:c r="AF87" s="32"/>
      <x:c r="AG87" s="32"/>
      <x:c r="AH87" s="32"/>
      <x:c r="AI87" s="32"/>
      <x:c r="AJ87" s="32"/>
      <x:c r="AK87" s="32"/>
      <x:c r="AL87" s="32"/>
      <x:c r="AM87" s="32"/>
      <x:c r="AN87" s="32"/>
      <x:c r="AO87" s="32"/>
      <x:c r="AP87" s="32"/>
      <x:c r="AQ87" s="32"/>
      <x:c r="AR87" s="32"/>
      <x:c r="AS87" s="32"/>
      <x:c r="AT87" s="32"/>
      <x:c r="AU87" s="32"/>
      <x:c r="AV87" s="32"/>
      <x:c r="AW87" s="32"/>
      <x:c r="AX87" s="32"/>
      <x:c r="AZ87" s="32"/>
      <x:c r="BA87" s="32"/>
      <x:c r="BB87" s="32"/>
      <x:c r="BC87" s="32"/>
      <x:c r="BD87" s="32"/>
      <x:c r="BE87" s="32"/>
      <x:c r="BF87" s="32"/>
      <x:c r="BG87" s="32"/>
      <x:c r="BH87" s="32"/>
      <x:c r="BI87" s="32"/>
      <x:c r="BJ87" s="32"/>
      <x:c r="BK87" s="32"/>
      <x:c r="BL87" s="32"/>
      <x:c r="BM87" s="32"/>
    </x:row>
    <x:row r="88">
      <x:c r="A88" s="32"/>
      <x:c r="B88" s="32"/>
      <x:c r="C88" s="42"/>
      <x:c r="D88" s="32"/>
      <x:c r="E88" s="32"/>
      <x:c r="F88" s="32"/>
      <x:c r="G88" s="32"/>
      <x:c r="H88" s="32"/>
      <x:c r="I88" s="32"/>
      <x:c r="J88" s="32"/>
      <x:c r="K88" s="32"/>
      <x:c r="L88" s="32"/>
      <x:c r="M88" s="32"/>
      <x:c r="N88" s="32"/>
      <x:c r="O88" s="32"/>
      <x:c r="P88" s="32"/>
      <x:c r="Q88" s="32"/>
      <x:c r="R88" s="32"/>
      <x:c r="S88" s="32"/>
      <x:c r="T88" s="43" t="str">
        <x:f>IFERROR(S88/L88,"")</x:f>
      </x:c>
      <x:c r="U88" s="32"/>
      <x:c r="V88" s="32"/>
      <x:c r="W88" s="32"/>
      <x:c r="X88" s="32"/>
      <x:c r="Y88" s="32"/>
      <x:c r="Z88" s="32"/>
      <x:c r="AA88" s="32"/>
      <x:c r="AB88" s="32"/>
      <x:c r="AC88" s="32"/>
      <x:c r="AD88" s="32"/>
      <x:c r="AE88" s="32"/>
      <x:c r="AF88" s="32"/>
      <x:c r="AG88" s="32"/>
      <x:c r="AH88" s="32"/>
      <x:c r="AI88" s="32"/>
      <x:c r="AJ88" s="32"/>
      <x:c r="AK88" s="32"/>
      <x:c r="AL88" s="32"/>
      <x:c r="AM88" s="32"/>
      <x:c r="AN88" s="32"/>
      <x:c r="AO88" s="32"/>
      <x:c r="AP88" s="32"/>
      <x:c r="AQ88" s="32"/>
      <x:c r="AR88" s="32"/>
      <x:c r="AS88" s="32"/>
      <x:c r="AT88" s="32"/>
      <x:c r="AU88" s="32"/>
      <x:c r="AV88" s="32"/>
      <x:c r="AW88" s="32"/>
      <x:c r="AX88" s="32"/>
      <x:c r="AZ88" s="32"/>
      <x:c r="BA88" s="32"/>
      <x:c r="BB88" s="32"/>
      <x:c r="BC88" s="32"/>
      <x:c r="BD88" s="32"/>
      <x:c r="BE88" s="32"/>
      <x:c r="BF88" s="32"/>
      <x:c r="BG88" s="32"/>
      <x:c r="BH88" s="32"/>
      <x:c r="BI88" s="32"/>
      <x:c r="BJ88" s="32"/>
      <x:c r="BK88" s="32"/>
      <x:c r="BL88" s="32"/>
      <x:c r="BM88" s="32"/>
    </x:row>
    <x:row r="89">
      <x:c r="A89" s="32"/>
      <x:c r="B89" s="32"/>
      <x:c r="C89" s="42"/>
      <x:c r="D89" s="32"/>
      <x:c r="E89" s="32"/>
      <x:c r="F89" s="32"/>
      <x:c r="G89" s="32"/>
      <x:c r="H89" s="32"/>
      <x:c r="I89" s="32"/>
      <x:c r="J89" s="32"/>
      <x:c r="K89" s="32"/>
      <x:c r="L89" s="32"/>
      <x:c r="M89" s="32"/>
      <x:c r="N89" s="32"/>
      <x:c r="O89" s="32"/>
      <x:c r="P89" s="32"/>
      <x:c r="Q89" s="32"/>
      <x:c r="R89" s="32"/>
      <x:c r="S89" s="32"/>
      <x:c r="T89" s="43" t="str">
        <x:f>IFERROR(S89/L89,"")</x:f>
      </x:c>
      <x:c r="U89" s="32"/>
      <x:c r="V89" s="32"/>
      <x:c r="W89" s="32"/>
      <x:c r="X89" s="32"/>
      <x:c r="Y89" s="32"/>
      <x:c r="Z89" s="32"/>
      <x:c r="AA89" s="32"/>
      <x:c r="AB89" s="32"/>
      <x:c r="AC89" s="32"/>
      <x:c r="AD89" s="32"/>
      <x:c r="AE89" s="32"/>
      <x:c r="AF89" s="32"/>
      <x:c r="AG89" s="32"/>
      <x:c r="AH89" s="32"/>
      <x:c r="AI89" s="32"/>
      <x:c r="AJ89" s="32"/>
      <x:c r="AK89" s="32"/>
      <x:c r="AL89" s="32"/>
      <x:c r="AM89" s="32"/>
      <x:c r="AN89" s="32"/>
      <x:c r="AO89" s="32"/>
      <x:c r="AP89" s="32"/>
      <x:c r="AQ89" s="32"/>
      <x:c r="AR89" s="32"/>
      <x:c r="AS89" s="32"/>
      <x:c r="AT89" s="32"/>
      <x:c r="AU89" s="32"/>
      <x:c r="AV89" s="32"/>
      <x:c r="AW89" s="32"/>
      <x:c r="AX89" s="32"/>
      <x:c r="AZ89" s="32"/>
      <x:c r="BA89" s="32"/>
      <x:c r="BB89" s="32"/>
      <x:c r="BC89" s="32"/>
      <x:c r="BD89" s="32"/>
      <x:c r="BE89" s="32"/>
      <x:c r="BF89" s="32"/>
      <x:c r="BG89" s="32"/>
      <x:c r="BH89" s="32"/>
      <x:c r="BI89" s="32"/>
      <x:c r="BJ89" s="32"/>
      <x:c r="BK89" s="32"/>
      <x:c r="BL89" s="32"/>
      <x:c r="BM89" s="32"/>
    </x:row>
    <x:row r="90">
      <x:c r="A90" s="32"/>
      <x:c r="B90" s="32"/>
      <x:c r="C90" s="42"/>
      <x:c r="D90" s="32"/>
      <x:c r="E90" s="32"/>
      <x:c r="F90" s="32"/>
      <x:c r="G90" s="32"/>
      <x:c r="H90" s="32"/>
      <x:c r="I90" s="32"/>
      <x:c r="J90" s="32"/>
      <x:c r="K90" s="32"/>
      <x:c r="L90" s="32"/>
      <x:c r="M90" s="32"/>
      <x:c r="N90" s="32"/>
      <x:c r="O90" s="32"/>
      <x:c r="P90" s="32"/>
      <x:c r="Q90" s="32"/>
      <x:c r="R90" s="32"/>
      <x:c r="S90" s="32"/>
      <x:c r="T90" s="43" t="str">
        <x:f>IFERROR(S90/L90,"")</x:f>
      </x:c>
      <x:c r="U90" s="32"/>
      <x:c r="V90" s="32"/>
      <x:c r="W90" s="32"/>
      <x:c r="X90" s="32"/>
      <x:c r="Y90" s="32"/>
      <x:c r="Z90" s="32"/>
      <x:c r="AA90" s="32"/>
      <x:c r="AB90" s="32"/>
      <x:c r="AC90" s="32"/>
      <x:c r="AD90" s="32"/>
      <x:c r="AE90" s="32"/>
      <x:c r="AF90" s="32"/>
      <x:c r="AG90" s="32"/>
      <x:c r="AH90" s="32"/>
      <x:c r="AI90" s="32"/>
      <x:c r="AJ90" s="32"/>
      <x:c r="AK90" s="32"/>
      <x:c r="AL90" s="32"/>
      <x:c r="AM90" s="32"/>
      <x:c r="AN90" s="32"/>
      <x:c r="AO90" s="32"/>
      <x:c r="AP90" s="32"/>
      <x:c r="AQ90" s="32"/>
      <x:c r="AR90" s="32"/>
      <x:c r="AS90" s="32"/>
      <x:c r="AT90" s="32"/>
      <x:c r="AU90" s="32"/>
      <x:c r="AV90" s="32"/>
      <x:c r="AW90" s="32"/>
      <x:c r="AX90" s="32"/>
      <x:c r="AZ90" s="32"/>
      <x:c r="BA90" s="32"/>
      <x:c r="BB90" s="32"/>
      <x:c r="BC90" s="32"/>
      <x:c r="BD90" s="32"/>
      <x:c r="BE90" s="32"/>
      <x:c r="BF90" s="32"/>
      <x:c r="BG90" s="32"/>
      <x:c r="BH90" s="32"/>
      <x:c r="BI90" s="32"/>
      <x:c r="BJ90" s="32"/>
      <x:c r="BK90" s="32"/>
      <x:c r="BL90" s="32"/>
      <x:c r="BM90" s="32"/>
    </x:row>
    <x:row r="91">
      <x:c r="A91" s="32"/>
      <x:c r="B91" s="32"/>
      <x:c r="C91" s="42"/>
      <x:c r="D91" s="32"/>
      <x:c r="E91" s="32"/>
      <x:c r="F91" s="32"/>
      <x:c r="G91" s="32"/>
      <x:c r="H91" s="32"/>
      <x:c r="I91" s="32"/>
      <x:c r="J91" s="32"/>
      <x:c r="K91" s="32"/>
      <x:c r="L91" s="32"/>
      <x:c r="M91" s="32"/>
      <x:c r="N91" s="32"/>
      <x:c r="O91" s="32"/>
      <x:c r="P91" s="32"/>
      <x:c r="Q91" s="32"/>
      <x:c r="R91" s="32"/>
      <x:c r="S91" s="32"/>
      <x:c r="T91" s="43" t="str">
        <x:f>IFERROR(S91/L91,"")</x:f>
      </x:c>
      <x:c r="U91" s="32"/>
      <x:c r="V91" s="32"/>
      <x:c r="W91" s="32"/>
      <x:c r="X91" s="32"/>
      <x:c r="Y91" s="32"/>
      <x:c r="Z91" s="32"/>
      <x:c r="AA91" s="32"/>
      <x:c r="AB91" s="32"/>
      <x:c r="AC91" s="32"/>
      <x:c r="AD91" s="32"/>
      <x:c r="AE91" s="32"/>
      <x:c r="AF91" s="32"/>
      <x:c r="AG91" s="32"/>
      <x:c r="AH91" s="32"/>
      <x:c r="AI91" s="32"/>
      <x:c r="AJ91" s="32"/>
      <x:c r="AK91" s="32"/>
      <x:c r="AL91" s="32"/>
      <x:c r="AM91" s="32"/>
      <x:c r="AN91" s="32"/>
      <x:c r="AO91" s="32"/>
      <x:c r="AP91" s="32"/>
      <x:c r="AQ91" s="32"/>
      <x:c r="AR91" s="32"/>
      <x:c r="AS91" s="32"/>
      <x:c r="AT91" s="32"/>
      <x:c r="AU91" s="32"/>
      <x:c r="AV91" s="32"/>
      <x:c r="AW91" s="32"/>
      <x:c r="AX91" s="32"/>
      <x:c r="AZ91" s="32"/>
      <x:c r="BA91" s="32"/>
      <x:c r="BB91" s="32"/>
      <x:c r="BC91" s="32"/>
      <x:c r="BD91" s="32"/>
      <x:c r="BE91" s="32"/>
      <x:c r="BF91" s="32"/>
      <x:c r="BG91" s="32"/>
      <x:c r="BH91" s="32"/>
      <x:c r="BI91" s="32"/>
      <x:c r="BJ91" s="32"/>
      <x:c r="BK91" s="32"/>
      <x:c r="BL91" s="32"/>
      <x:c r="BM91" s="32"/>
    </x:row>
    <x:row r="92">
      <x:c r="A92" s="32"/>
      <x:c r="B92" s="32"/>
      <x:c r="C92" s="42"/>
      <x:c r="D92" s="32"/>
      <x:c r="E92" s="32"/>
      <x:c r="F92" s="32"/>
      <x:c r="G92" s="32"/>
      <x:c r="H92" s="32"/>
      <x:c r="I92" s="32"/>
      <x:c r="J92" s="32"/>
      <x:c r="K92" s="32"/>
      <x:c r="L92" s="32"/>
      <x:c r="M92" s="32"/>
      <x:c r="N92" s="32"/>
      <x:c r="O92" s="32"/>
      <x:c r="P92" s="32"/>
      <x:c r="Q92" s="32"/>
      <x:c r="R92" s="32"/>
      <x:c r="S92" s="32"/>
      <x:c r="T92" s="43" t="str">
        <x:f>IFERROR(S92/L92,"")</x:f>
      </x:c>
      <x:c r="U92" s="32"/>
      <x:c r="V92" s="32"/>
      <x:c r="W92" s="32"/>
      <x:c r="X92" s="32"/>
      <x:c r="Y92" s="32"/>
      <x:c r="Z92" s="32"/>
      <x:c r="AA92" s="32"/>
      <x:c r="AB92" s="32"/>
      <x:c r="AC92" s="32"/>
      <x:c r="AD92" s="32"/>
      <x:c r="AE92" s="32"/>
      <x:c r="AF92" s="32"/>
      <x:c r="AG92" s="32"/>
      <x:c r="AH92" s="32"/>
      <x:c r="AI92" s="32"/>
      <x:c r="AJ92" s="32"/>
      <x:c r="AK92" s="32"/>
      <x:c r="AL92" s="32"/>
      <x:c r="AM92" s="32"/>
      <x:c r="AN92" s="32"/>
      <x:c r="AO92" s="32"/>
      <x:c r="AP92" s="32"/>
      <x:c r="AQ92" s="32"/>
      <x:c r="AR92" s="32"/>
      <x:c r="AS92" s="32"/>
      <x:c r="AT92" s="32"/>
      <x:c r="AU92" s="32"/>
      <x:c r="AV92" s="32"/>
      <x:c r="AW92" s="32"/>
      <x:c r="AX92" s="32"/>
      <x:c r="AZ92" s="32"/>
      <x:c r="BA92" s="32"/>
      <x:c r="BB92" s="32"/>
      <x:c r="BC92" s="32"/>
      <x:c r="BD92" s="32"/>
      <x:c r="BE92" s="32"/>
      <x:c r="BF92" s="32"/>
      <x:c r="BG92" s="32"/>
      <x:c r="BH92" s="32"/>
      <x:c r="BI92" s="32"/>
      <x:c r="BJ92" s="32"/>
      <x:c r="BK92" s="32"/>
      <x:c r="BL92" s="32"/>
      <x:c r="BM92" s="32"/>
    </x:row>
    <x:row r="93">
      <x:c r="A93" s="32"/>
      <x:c r="B93" s="32"/>
      <x:c r="C93" s="42"/>
      <x:c r="D93" s="32"/>
      <x:c r="E93" s="32"/>
      <x:c r="F93" s="32"/>
      <x:c r="G93" s="32"/>
      <x:c r="H93" s="32"/>
      <x:c r="I93" s="32"/>
      <x:c r="J93" s="32"/>
      <x:c r="K93" s="32"/>
      <x:c r="L93" s="32"/>
      <x:c r="M93" s="32"/>
      <x:c r="N93" s="32"/>
      <x:c r="O93" s="32"/>
      <x:c r="P93" s="32"/>
      <x:c r="Q93" s="32"/>
      <x:c r="R93" s="32"/>
      <x:c r="S93" s="32"/>
      <x:c r="T93" s="43" t="str">
        <x:f>IFERROR(S93/L93,"")</x:f>
      </x:c>
      <x:c r="U93" s="32"/>
      <x:c r="V93" s="32"/>
      <x:c r="W93" s="32"/>
      <x:c r="X93" s="32"/>
      <x:c r="Y93" s="32"/>
      <x:c r="Z93" s="32"/>
      <x:c r="AA93" s="32"/>
      <x:c r="AB93" s="32"/>
      <x:c r="AC93" s="32"/>
      <x:c r="AD93" s="32"/>
      <x:c r="AE93" s="32"/>
      <x:c r="AF93" s="32"/>
      <x:c r="AG93" s="32"/>
      <x:c r="AH93" s="32"/>
      <x:c r="AI93" s="32"/>
      <x:c r="AJ93" s="32"/>
      <x:c r="AK93" s="32"/>
      <x:c r="AL93" s="32"/>
      <x:c r="AM93" s="32"/>
      <x:c r="AN93" s="32"/>
      <x:c r="AO93" s="32"/>
      <x:c r="AP93" s="32"/>
      <x:c r="AQ93" s="32"/>
      <x:c r="AR93" s="32"/>
      <x:c r="AS93" s="32"/>
      <x:c r="AT93" s="32"/>
      <x:c r="AU93" s="32"/>
      <x:c r="AV93" s="32"/>
      <x:c r="AW93" s="32"/>
      <x:c r="AX93" s="32"/>
      <x:c r="AZ93" s="32"/>
      <x:c r="BA93" s="32"/>
      <x:c r="BB93" s="32"/>
      <x:c r="BC93" s="32"/>
      <x:c r="BD93" s="32"/>
      <x:c r="BE93" s="32"/>
      <x:c r="BF93" s="32"/>
      <x:c r="BG93" s="32"/>
      <x:c r="BH93" s="32"/>
      <x:c r="BI93" s="32"/>
      <x:c r="BJ93" s="32"/>
      <x:c r="BK93" s="32"/>
      <x:c r="BL93" s="32"/>
      <x:c r="BM93" s="32"/>
    </x:row>
    <x:row r="94">
      <x:c r="A94" s="32"/>
      <x:c r="B94" s="32"/>
      <x:c r="C94" s="42"/>
      <x:c r="D94" s="32"/>
      <x:c r="E94" s="32"/>
      <x:c r="F94" s="32"/>
      <x:c r="G94" s="32"/>
      <x:c r="H94" s="32"/>
      <x:c r="I94" s="32"/>
      <x:c r="J94" s="32"/>
      <x:c r="K94" s="32"/>
      <x:c r="L94" s="32"/>
      <x:c r="M94" s="32"/>
      <x:c r="N94" s="32"/>
      <x:c r="O94" s="32"/>
      <x:c r="P94" s="32"/>
      <x:c r="Q94" s="32"/>
      <x:c r="R94" s="32"/>
      <x:c r="S94" s="32"/>
      <x:c r="T94" s="43" t="str">
        <x:f>IFERROR(S94/L94,"")</x:f>
      </x:c>
      <x:c r="U94" s="32"/>
      <x:c r="V94" s="32"/>
      <x:c r="W94" s="32"/>
      <x:c r="X94" s="32"/>
      <x:c r="Y94" s="32"/>
      <x:c r="Z94" s="32"/>
      <x:c r="AA94" s="32"/>
      <x:c r="AB94" s="32"/>
      <x:c r="AC94" s="32"/>
      <x:c r="AD94" s="32"/>
      <x:c r="AE94" s="32"/>
      <x:c r="AF94" s="32"/>
      <x:c r="AG94" s="32"/>
      <x:c r="AH94" s="32"/>
      <x:c r="AI94" s="32"/>
      <x:c r="AJ94" s="32"/>
      <x:c r="AK94" s="32"/>
      <x:c r="AL94" s="32"/>
      <x:c r="AM94" s="32"/>
      <x:c r="AN94" s="32"/>
      <x:c r="AO94" s="32"/>
      <x:c r="AP94" s="32"/>
      <x:c r="AQ94" s="32"/>
      <x:c r="AR94" s="32"/>
      <x:c r="AS94" s="32"/>
      <x:c r="AT94" s="32"/>
      <x:c r="AU94" s="32"/>
      <x:c r="AV94" s="32"/>
      <x:c r="AW94" s="32"/>
      <x:c r="AX94" s="32"/>
      <x:c r="AZ94" s="32"/>
      <x:c r="BA94" s="32"/>
      <x:c r="BB94" s="32"/>
      <x:c r="BC94" s="32"/>
      <x:c r="BD94" s="32"/>
      <x:c r="BE94" s="32"/>
      <x:c r="BF94" s="32"/>
      <x:c r="BG94" s="32"/>
      <x:c r="BH94" s="32"/>
      <x:c r="BI94" s="32"/>
      <x:c r="BJ94" s="32"/>
      <x:c r="BK94" s="32"/>
      <x:c r="BL94" s="32"/>
      <x:c r="BM94" s="32"/>
    </x:row>
    <x:row r="95">
      <x:c r="A95" s="32"/>
      <x:c r="B95" s="32"/>
      <x:c r="C95" s="42"/>
      <x:c r="D95" s="32"/>
      <x:c r="E95" s="32"/>
      <x:c r="F95" s="32"/>
      <x:c r="G95" s="32"/>
      <x:c r="H95" s="32"/>
      <x:c r="I95" s="32"/>
      <x:c r="J95" s="32"/>
      <x:c r="K95" s="32"/>
      <x:c r="L95" s="32"/>
      <x:c r="M95" s="32"/>
      <x:c r="N95" s="32"/>
      <x:c r="O95" s="32"/>
      <x:c r="P95" s="32"/>
      <x:c r="Q95" s="32"/>
      <x:c r="R95" s="32"/>
      <x:c r="S95" s="32"/>
      <x:c r="T95" s="43" t="str">
        <x:f>IFERROR(S95/L95,"")</x:f>
      </x:c>
      <x:c r="U95" s="32"/>
      <x:c r="V95" s="32"/>
      <x:c r="W95" s="32"/>
      <x:c r="X95" s="32"/>
      <x:c r="Y95" s="32"/>
      <x:c r="Z95" s="32"/>
      <x:c r="AA95" s="32"/>
      <x:c r="AB95" s="32"/>
      <x:c r="AC95" s="32"/>
      <x:c r="AD95" s="32"/>
      <x:c r="AE95" s="32"/>
      <x:c r="AF95" s="32"/>
      <x:c r="AG95" s="32"/>
      <x:c r="AH95" s="32"/>
      <x:c r="AI95" s="32"/>
      <x:c r="AJ95" s="32"/>
      <x:c r="AK95" s="32"/>
      <x:c r="AL95" s="32"/>
      <x:c r="AM95" s="32"/>
      <x:c r="AN95" s="32"/>
      <x:c r="AO95" s="32"/>
      <x:c r="AP95" s="32"/>
      <x:c r="AQ95" s="32"/>
      <x:c r="AR95" s="32"/>
      <x:c r="AS95" s="32"/>
      <x:c r="AT95" s="32"/>
      <x:c r="AU95" s="32"/>
      <x:c r="AV95" s="32"/>
      <x:c r="AW95" s="32"/>
      <x:c r="AX95" s="32"/>
      <x:c r="AZ95" s="32"/>
      <x:c r="BA95" s="32"/>
      <x:c r="BB95" s="32"/>
      <x:c r="BC95" s="32"/>
      <x:c r="BD95" s="32"/>
      <x:c r="BE95" s="32"/>
      <x:c r="BF95" s="32"/>
      <x:c r="BG95" s="32"/>
      <x:c r="BH95" s="32"/>
      <x:c r="BI95" s="32"/>
      <x:c r="BJ95" s="32"/>
      <x:c r="BK95" s="32"/>
      <x:c r="BL95" s="32"/>
      <x:c r="BM95" s="32"/>
    </x:row>
    <x:row r="96">
      <x:c r="A96" s="32"/>
      <x:c r="B96" s="32"/>
      <x:c r="C96" s="42"/>
      <x:c r="D96" s="32"/>
      <x:c r="E96" s="32"/>
      <x:c r="F96" s="32"/>
      <x:c r="G96" s="32"/>
      <x:c r="H96" s="32"/>
      <x:c r="I96" s="32"/>
      <x:c r="J96" s="32"/>
      <x:c r="K96" s="32"/>
      <x:c r="L96" s="32"/>
      <x:c r="M96" s="32"/>
      <x:c r="N96" s="32"/>
      <x:c r="O96" s="32"/>
      <x:c r="P96" s="32"/>
      <x:c r="Q96" s="32"/>
      <x:c r="R96" s="32"/>
      <x:c r="S96" s="32"/>
      <x:c r="T96" s="43" t="str">
        <x:f>IFERROR(S96/L96,"")</x:f>
      </x:c>
      <x:c r="U96" s="32"/>
      <x:c r="V96" s="32"/>
      <x:c r="W96" s="32"/>
      <x:c r="X96" s="32"/>
      <x:c r="Y96" s="32"/>
      <x:c r="Z96" s="32"/>
      <x:c r="AA96" s="32"/>
      <x:c r="AB96" s="32"/>
      <x:c r="AC96" s="32"/>
      <x:c r="AD96" s="32"/>
      <x:c r="AE96" s="32"/>
      <x:c r="AF96" s="32"/>
      <x:c r="AG96" s="32"/>
      <x:c r="AH96" s="32"/>
      <x:c r="AI96" s="32"/>
      <x:c r="AJ96" s="32"/>
      <x:c r="AK96" s="32"/>
      <x:c r="AL96" s="32"/>
      <x:c r="AM96" s="32"/>
      <x:c r="AN96" s="32"/>
      <x:c r="AO96" s="32"/>
      <x:c r="AP96" s="32"/>
      <x:c r="AQ96" s="32"/>
      <x:c r="AR96" s="32"/>
      <x:c r="AS96" s="32"/>
      <x:c r="AT96" s="32"/>
      <x:c r="AU96" s="32"/>
      <x:c r="AV96" s="32"/>
      <x:c r="AW96" s="32"/>
      <x:c r="AX96" s="32"/>
      <x:c r="AZ96" s="32"/>
      <x:c r="BA96" s="32"/>
      <x:c r="BB96" s="32"/>
      <x:c r="BC96" s="32"/>
      <x:c r="BD96" s="32"/>
      <x:c r="BE96" s="32"/>
      <x:c r="BF96" s="32"/>
      <x:c r="BG96" s="32"/>
      <x:c r="BH96" s="32"/>
      <x:c r="BI96" s="32"/>
      <x:c r="BJ96" s="32"/>
      <x:c r="BK96" s="32"/>
      <x:c r="BL96" s="32"/>
      <x:c r="BM96" s="32"/>
    </x:row>
    <x:row r="97">
      <x:c r="A97" s="32"/>
      <x:c r="B97" s="32"/>
      <x:c r="C97" s="42"/>
      <x:c r="D97" s="32"/>
      <x:c r="E97" s="32"/>
      <x:c r="F97" s="32"/>
      <x:c r="G97" s="32"/>
      <x:c r="H97" s="32"/>
      <x:c r="I97" s="32"/>
      <x:c r="J97" s="32"/>
      <x:c r="K97" s="32"/>
      <x:c r="L97" s="32"/>
      <x:c r="M97" s="32"/>
      <x:c r="N97" s="32"/>
      <x:c r="O97" s="32"/>
      <x:c r="P97" s="32"/>
      <x:c r="Q97" s="32"/>
      <x:c r="R97" s="32"/>
      <x:c r="S97" s="32"/>
      <x:c r="T97" s="43" t="str">
        <x:f>IFERROR(S97/L97,"")</x:f>
      </x:c>
      <x:c r="U97" s="32"/>
      <x:c r="V97" s="32"/>
      <x:c r="W97" s="32"/>
      <x:c r="X97" s="32"/>
      <x:c r="Y97" s="32"/>
      <x:c r="Z97" s="32"/>
      <x:c r="AA97" s="32"/>
      <x:c r="AB97" s="32"/>
      <x:c r="AC97" s="32"/>
      <x:c r="AD97" s="32"/>
      <x:c r="AE97" s="32"/>
      <x:c r="AF97" s="32"/>
      <x:c r="AG97" s="32"/>
      <x:c r="AH97" s="32"/>
      <x:c r="AI97" s="32"/>
      <x:c r="AJ97" s="32"/>
      <x:c r="AK97" s="32"/>
      <x:c r="AL97" s="32"/>
      <x:c r="AM97" s="32"/>
      <x:c r="AN97" s="32"/>
      <x:c r="AO97" s="32"/>
      <x:c r="AP97" s="32"/>
      <x:c r="AQ97" s="32"/>
      <x:c r="AR97" s="32"/>
      <x:c r="AS97" s="32"/>
      <x:c r="AT97" s="32"/>
      <x:c r="AU97" s="32"/>
      <x:c r="AV97" s="32"/>
      <x:c r="AW97" s="32"/>
      <x:c r="AX97" s="32"/>
      <x:c r="AZ97" s="32"/>
      <x:c r="BA97" s="32"/>
      <x:c r="BB97" s="32"/>
      <x:c r="BC97" s="32"/>
      <x:c r="BD97" s="32"/>
      <x:c r="BE97" s="32"/>
      <x:c r="BF97" s="32"/>
      <x:c r="BG97" s="32"/>
      <x:c r="BH97" s="32"/>
      <x:c r="BI97" s="32"/>
      <x:c r="BJ97" s="32"/>
      <x:c r="BK97" s="32"/>
      <x:c r="BL97" s="32"/>
      <x:c r="BM97" s="32"/>
    </x:row>
    <x:row r="98">
      <x:c r="A98" s="32"/>
      <x:c r="B98" s="32"/>
      <x:c r="C98" s="42"/>
      <x:c r="D98" s="32"/>
      <x:c r="E98" s="32"/>
      <x:c r="F98" s="32"/>
      <x:c r="G98" s="32"/>
      <x:c r="H98" s="32"/>
      <x:c r="I98" s="32"/>
      <x:c r="J98" s="32"/>
      <x:c r="K98" s="32"/>
      <x:c r="L98" s="32"/>
      <x:c r="M98" s="32"/>
      <x:c r="N98" s="32"/>
      <x:c r="O98" s="32"/>
      <x:c r="P98" s="32"/>
      <x:c r="Q98" s="32"/>
      <x:c r="R98" s="32"/>
      <x:c r="S98" s="32"/>
      <x:c r="T98" s="43" t="str">
        <x:f>IFERROR(S98/L98,"")</x:f>
      </x:c>
      <x:c r="U98" s="32"/>
      <x:c r="V98" s="32"/>
      <x:c r="W98" s="32"/>
      <x:c r="X98" s="32"/>
      <x:c r="Y98" s="32"/>
      <x:c r="Z98" s="32"/>
      <x:c r="AA98" s="32"/>
      <x:c r="AB98" s="32"/>
      <x:c r="AC98" s="32"/>
      <x:c r="AD98" s="32"/>
      <x:c r="AE98" s="32"/>
      <x:c r="AF98" s="32"/>
      <x:c r="AG98" s="32"/>
      <x:c r="AH98" s="32"/>
      <x:c r="AI98" s="32"/>
      <x:c r="AJ98" s="32"/>
      <x:c r="AK98" s="32"/>
      <x:c r="AL98" s="32"/>
      <x:c r="AM98" s="32"/>
      <x:c r="AN98" s="32"/>
      <x:c r="AO98" s="32"/>
      <x:c r="AP98" s="32"/>
      <x:c r="AQ98" s="32"/>
      <x:c r="AR98" s="32"/>
      <x:c r="AS98" s="32"/>
      <x:c r="AT98" s="32"/>
      <x:c r="AU98" s="32"/>
      <x:c r="AV98" s="32"/>
      <x:c r="AW98" s="32"/>
      <x:c r="AX98" s="32"/>
      <x:c r="AZ98" s="32"/>
      <x:c r="BA98" s="32"/>
      <x:c r="BB98" s="32"/>
      <x:c r="BC98" s="32"/>
      <x:c r="BD98" s="32"/>
      <x:c r="BE98" s="32"/>
      <x:c r="BF98" s="32"/>
      <x:c r="BG98" s="32"/>
      <x:c r="BH98" s="32"/>
      <x:c r="BI98" s="32"/>
      <x:c r="BJ98" s="32"/>
      <x:c r="BK98" s="32"/>
      <x:c r="BL98" s="32"/>
      <x:c r="BM98" s="32"/>
    </x:row>
    <x:row r="99">
      <x:c r="A99" s="32"/>
      <x:c r="B99" s="32"/>
      <x:c r="C99" s="42"/>
      <x:c r="D99" s="32"/>
      <x:c r="E99" s="32"/>
      <x:c r="F99" s="32"/>
      <x:c r="G99" s="32"/>
      <x:c r="H99" s="32"/>
      <x:c r="I99" s="32"/>
      <x:c r="J99" s="32"/>
      <x:c r="K99" s="32"/>
      <x:c r="L99" s="32"/>
      <x:c r="M99" s="32"/>
      <x:c r="N99" s="32"/>
      <x:c r="O99" s="32"/>
      <x:c r="P99" s="32"/>
      <x:c r="Q99" s="32"/>
      <x:c r="R99" s="32"/>
      <x:c r="S99" s="32"/>
      <x:c r="T99" s="43" t="str">
        <x:f>IFERROR(S99/L99,"")</x:f>
      </x:c>
      <x:c r="U99" s="32"/>
      <x:c r="V99" s="32"/>
      <x:c r="W99" s="32"/>
      <x:c r="X99" s="32"/>
      <x:c r="Y99" s="32"/>
      <x:c r="Z99" s="32"/>
      <x:c r="AA99" s="32"/>
      <x:c r="AB99" s="32"/>
      <x:c r="AC99" s="32"/>
      <x:c r="AD99" s="32"/>
      <x:c r="AE99" s="32"/>
      <x:c r="AF99" s="32"/>
      <x:c r="AG99" s="32"/>
      <x:c r="AH99" s="32"/>
      <x:c r="AI99" s="32"/>
      <x:c r="AJ99" s="32"/>
      <x:c r="AK99" s="32"/>
      <x:c r="AL99" s="32"/>
      <x:c r="AM99" s="32"/>
      <x:c r="AN99" s="32"/>
      <x:c r="AO99" s="32"/>
      <x:c r="AP99" s="32"/>
      <x:c r="AQ99" s="32"/>
      <x:c r="AR99" s="32"/>
      <x:c r="AS99" s="32"/>
      <x:c r="AT99" s="32"/>
      <x:c r="AU99" s="32"/>
      <x:c r="AV99" s="32"/>
      <x:c r="AW99" s="32"/>
      <x:c r="AX99" s="32"/>
      <x:c r="AZ99" s="32"/>
      <x:c r="BA99" s="32"/>
      <x:c r="BB99" s="32"/>
      <x:c r="BC99" s="32"/>
      <x:c r="BD99" s="32"/>
      <x:c r="BE99" s="32"/>
      <x:c r="BF99" s="32"/>
      <x:c r="BG99" s="32"/>
      <x:c r="BH99" s="32"/>
      <x:c r="BI99" s="32"/>
      <x:c r="BJ99" s="32"/>
      <x:c r="BK99" s="32"/>
      <x:c r="BL99" s="32"/>
      <x:c r="BM99" s="32"/>
    </x:row>
    <x:row r="100">
      <x:c r="A100" s="32"/>
      <x:c r="B100" s="32"/>
      <x:c r="C100" s="42"/>
      <x:c r="D100" s="32"/>
      <x:c r="E100" s="32"/>
      <x:c r="F100" s="32"/>
      <x:c r="G100" s="32"/>
      <x:c r="H100" s="32"/>
      <x:c r="I100" s="32"/>
      <x:c r="J100" s="32"/>
      <x:c r="K100" s="32"/>
      <x:c r="L100" s="32"/>
      <x:c r="M100" s="32"/>
      <x:c r="N100" s="32"/>
      <x:c r="O100" s="32"/>
      <x:c r="P100" s="32"/>
      <x:c r="Q100" s="32"/>
      <x:c r="R100" s="32"/>
      <x:c r="S100" s="32"/>
      <x:c r="T100" s="43" t="str">
        <x:f>IFERROR(S100/L100,"")</x:f>
      </x:c>
      <x:c r="U100" s="32"/>
      <x:c r="V100" s="32"/>
      <x:c r="W100" s="32"/>
      <x:c r="X100" s="32"/>
      <x:c r="Y100" s="32"/>
      <x:c r="Z100" s="32"/>
      <x:c r="AA100" s="32"/>
      <x:c r="AB100" s="32"/>
      <x:c r="AC100" s="32"/>
      <x:c r="AD100" s="32"/>
      <x:c r="AE100" s="32"/>
      <x:c r="AF100" s="32"/>
      <x:c r="AG100" s="32"/>
      <x:c r="AH100" s="32"/>
      <x:c r="AI100" s="32"/>
      <x:c r="AJ100" s="32"/>
      <x:c r="AK100" s="32"/>
      <x:c r="AL100" s="32"/>
      <x:c r="AM100" s="32"/>
      <x:c r="AN100" s="32"/>
      <x:c r="AO100" s="32"/>
      <x:c r="AP100" s="32"/>
      <x:c r="AQ100" s="32"/>
      <x:c r="AR100" s="32"/>
      <x:c r="AS100" s="32"/>
      <x:c r="AT100" s="32"/>
      <x:c r="AU100" s="32"/>
      <x:c r="AV100" s="32"/>
      <x:c r="AW100" s="32"/>
      <x:c r="AX100" s="32"/>
      <x:c r="AZ100" s="32"/>
      <x:c r="BA100" s="32"/>
      <x:c r="BB100" s="32"/>
      <x:c r="BC100" s="32"/>
      <x:c r="BD100" s="32"/>
      <x:c r="BE100" s="32"/>
      <x:c r="BF100" s="32"/>
      <x:c r="BG100" s="32"/>
      <x:c r="BH100" s="32"/>
      <x:c r="BI100" s="32"/>
      <x:c r="BJ100" s="32"/>
      <x:c r="BK100" s="32"/>
      <x:c r="BL100" s="32"/>
      <x:c r="BM100" s="32"/>
    </x:row>
    <x:row r="101">
      <x:c r="A101" s="32"/>
      <x:c r="B101" s="32"/>
      <x:c r="C101" s="42"/>
      <x:c r="D101" s="32"/>
      <x:c r="E101" s="32"/>
      <x:c r="F101" s="32"/>
      <x:c r="G101" s="32"/>
      <x:c r="H101" s="32"/>
      <x:c r="I101" s="32"/>
      <x:c r="J101" s="32"/>
      <x:c r="K101" s="32"/>
      <x:c r="L101" s="32"/>
      <x:c r="M101" s="32"/>
      <x:c r="N101" s="32"/>
      <x:c r="O101" s="32"/>
      <x:c r="P101" s="32"/>
      <x:c r="Q101" s="32"/>
      <x:c r="R101" s="32"/>
      <x:c r="S101" s="32"/>
      <x:c r="T101" s="43" t="str">
        <x:f>IFERROR(S101/L101,"")</x:f>
      </x:c>
      <x:c r="U101" s="32"/>
      <x:c r="V101" s="32"/>
      <x:c r="W101" s="32"/>
      <x:c r="X101" s="32"/>
      <x:c r="Y101" s="32"/>
      <x:c r="Z101" s="32"/>
      <x:c r="AA101" s="32"/>
      <x:c r="AB101" s="32"/>
      <x:c r="AC101" s="32"/>
      <x:c r="AD101" s="32"/>
      <x:c r="AE101" s="32"/>
      <x:c r="AF101" s="32"/>
      <x:c r="AG101" s="32"/>
      <x:c r="AH101" s="32"/>
      <x:c r="AI101" s="32"/>
      <x:c r="AJ101" s="32"/>
      <x:c r="AK101" s="32"/>
      <x:c r="AL101" s="32"/>
      <x:c r="AM101" s="32"/>
      <x:c r="AN101" s="32"/>
      <x:c r="AO101" s="32"/>
      <x:c r="AP101" s="32"/>
      <x:c r="AQ101" s="32"/>
      <x:c r="AR101" s="32"/>
      <x:c r="AS101" s="32"/>
      <x:c r="AT101" s="32"/>
      <x:c r="AU101" s="32"/>
      <x:c r="AV101" s="32"/>
      <x:c r="AW101" s="32"/>
      <x:c r="AX101" s="32"/>
      <x:c r="AZ101" s="32"/>
      <x:c r="BA101" s="32"/>
      <x:c r="BB101" s="32"/>
      <x:c r="BC101" s="32"/>
      <x:c r="BD101" s="32"/>
      <x:c r="BE101" s="32"/>
      <x:c r="BF101" s="32"/>
      <x:c r="BG101" s="32"/>
      <x:c r="BH101" s="32"/>
      <x:c r="BI101" s="32"/>
      <x:c r="BJ101" s="32"/>
      <x:c r="BK101" s="32"/>
      <x:c r="BL101" s="32"/>
      <x:c r="BM101" s="32"/>
    </x:row>
    <x:row r="102">
      <x:c r="A102" s="32"/>
      <x:c r="B102" s="32"/>
      <x:c r="C102" s="42"/>
      <x:c r="D102" s="32"/>
      <x:c r="E102" s="32"/>
      <x:c r="F102" s="32"/>
      <x:c r="G102" s="32"/>
      <x:c r="H102" s="32"/>
      <x:c r="I102" s="32"/>
      <x:c r="J102" s="32"/>
      <x:c r="K102" s="32"/>
      <x:c r="L102" s="32"/>
      <x:c r="M102" s="32"/>
      <x:c r="N102" s="32"/>
      <x:c r="O102" s="32"/>
      <x:c r="P102" s="32"/>
      <x:c r="Q102" s="32"/>
      <x:c r="R102" s="32"/>
      <x:c r="S102" s="32"/>
      <x:c r="T102" s="43" t="str">
        <x:f>IFERROR(S102/L102,"")</x:f>
      </x:c>
      <x:c r="U102" s="32"/>
      <x:c r="V102" s="32"/>
      <x:c r="W102" s="32"/>
      <x:c r="X102" s="32"/>
      <x:c r="Y102" s="32"/>
      <x:c r="Z102" s="32"/>
      <x:c r="AA102" s="32"/>
      <x:c r="AB102" s="32"/>
      <x:c r="AC102" s="32"/>
      <x:c r="AD102" s="32"/>
      <x:c r="AE102" s="32"/>
      <x:c r="AF102" s="32"/>
      <x:c r="AG102" s="32"/>
      <x:c r="AH102" s="32"/>
      <x:c r="AI102" s="32"/>
      <x:c r="AJ102" s="32"/>
      <x:c r="AK102" s="32"/>
      <x:c r="AL102" s="32"/>
      <x:c r="AM102" s="32"/>
      <x:c r="AN102" s="32"/>
      <x:c r="AO102" s="32"/>
      <x:c r="AP102" s="32"/>
      <x:c r="AQ102" s="32"/>
      <x:c r="AR102" s="32"/>
      <x:c r="AS102" s="32"/>
      <x:c r="AT102" s="32"/>
      <x:c r="AU102" s="32"/>
      <x:c r="AV102" s="32"/>
      <x:c r="AW102" s="32"/>
      <x:c r="AX102" s="32"/>
      <x:c r="AZ102" s="32"/>
      <x:c r="BA102" s="32"/>
      <x:c r="BB102" s="32"/>
      <x:c r="BC102" s="32"/>
      <x:c r="BD102" s="32"/>
      <x:c r="BE102" s="32"/>
      <x:c r="BF102" s="32"/>
      <x:c r="BG102" s="32"/>
      <x:c r="BH102" s="32"/>
      <x:c r="BI102" s="32"/>
      <x:c r="BJ102" s="32"/>
      <x:c r="BK102" s="32"/>
      <x:c r="BL102" s="32"/>
      <x:c r="BM102" s="32"/>
    </x:row>
    <x:row r="103">
      <x:c r="A103" s="32"/>
      <x:c r="B103" s="32"/>
      <x:c r="C103" s="42"/>
      <x:c r="D103" s="32"/>
      <x:c r="E103" s="32"/>
      <x:c r="F103" s="32"/>
      <x:c r="G103" s="32"/>
      <x:c r="H103" s="32"/>
      <x:c r="I103" s="32"/>
      <x:c r="J103" s="32"/>
      <x:c r="K103" s="32"/>
      <x:c r="L103" s="32"/>
      <x:c r="M103" s="32"/>
      <x:c r="N103" s="32"/>
      <x:c r="O103" s="32"/>
      <x:c r="P103" s="32"/>
      <x:c r="Q103" s="32"/>
      <x:c r="R103" s="32"/>
      <x:c r="S103" s="32"/>
      <x:c r="T103" s="43" t="str">
        <x:f>IFERROR(S103/L103,"")</x:f>
      </x:c>
      <x:c r="U103" s="32"/>
      <x:c r="V103" s="32"/>
      <x:c r="W103" s="32"/>
      <x:c r="X103" s="32"/>
      <x:c r="Y103" s="32"/>
      <x:c r="Z103" s="32"/>
      <x:c r="AA103" s="32"/>
      <x:c r="AB103" s="32"/>
      <x:c r="AC103" s="32"/>
      <x:c r="AD103" s="32"/>
      <x:c r="AE103" s="32"/>
      <x:c r="AF103" s="32"/>
      <x:c r="AG103" s="32"/>
      <x:c r="AH103" s="32"/>
      <x:c r="AI103" s="32"/>
      <x:c r="AJ103" s="32"/>
      <x:c r="AK103" s="32"/>
      <x:c r="AL103" s="32"/>
      <x:c r="AM103" s="32"/>
      <x:c r="AN103" s="32"/>
      <x:c r="AO103" s="32"/>
      <x:c r="AP103" s="32"/>
      <x:c r="AQ103" s="32"/>
      <x:c r="AR103" s="32"/>
      <x:c r="AS103" s="32"/>
      <x:c r="AT103" s="32"/>
      <x:c r="AU103" s="32"/>
      <x:c r="AV103" s="32"/>
      <x:c r="AW103" s="32"/>
      <x:c r="AX103" s="32"/>
      <x:c r="AZ103" s="32"/>
      <x:c r="BA103" s="32"/>
      <x:c r="BB103" s="32"/>
      <x:c r="BC103" s="32"/>
      <x:c r="BD103" s="32"/>
      <x:c r="BE103" s="32"/>
      <x:c r="BF103" s="32"/>
      <x:c r="BG103" s="32"/>
      <x:c r="BH103" s="32"/>
      <x:c r="BI103" s="32"/>
      <x:c r="BJ103" s="32"/>
      <x:c r="BK103" s="32"/>
      <x:c r="BL103" s="32"/>
      <x:c r="BM103" s="32"/>
    </x:row>
    <x:row r="104">
      <x:c r="A104" s="32"/>
      <x:c r="B104" s="32"/>
      <x:c r="C104" s="42"/>
      <x:c r="D104" s="32"/>
      <x:c r="E104" s="32"/>
      <x:c r="F104" s="32"/>
      <x:c r="G104" s="32"/>
      <x:c r="H104" s="32"/>
      <x:c r="I104" s="32"/>
      <x:c r="J104" s="32"/>
      <x:c r="K104" s="32"/>
      <x:c r="L104" s="32"/>
      <x:c r="M104" s="32"/>
      <x:c r="N104" s="32"/>
      <x:c r="O104" s="32"/>
      <x:c r="P104" s="32"/>
      <x:c r="Q104" s="32"/>
      <x:c r="R104" s="32"/>
      <x:c r="S104" s="32"/>
      <x:c r="T104" s="43" t="str">
        <x:f>IFERROR(S104/L104,"")</x:f>
      </x:c>
      <x:c r="U104" s="32"/>
      <x:c r="V104" s="32"/>
      <x:c r="W104" s="32"/>
      <x:c r="X104" s="32"/>
      <x:c r="Y104" s="32"/>
      <x:c r="Z104" s="32"/>
      <x:c r="AA104" s="32"/>
      <x:c r="AB104" s="32"/>
      <x:c r="AC104" s="32"/>
      <x:c r="AD104" s="32"/>
      <x:c r="AE104" s="32"/>
      <x:c r="AF104" s="32"/>
      <x:c r="AG104" s="32"/>
      <x:c r="AH104" s="32"/>
      <x:c r="AI104" s="32"/>
      <x:c r="AJ104" s="32"/>
      <x:c r="AK104" s="32"/>
      <x:c r="AL104" s="32"/>
      <x:c r="AM104" s="32"/>
      <x:c r="AN104" s="32"/>
      <x:c r="AO104" s="32"/>
      <x:c r="AP104" s="32"/>
      <x:c r="AQ104" s="32"/>
      <x:c r="AR104" s="32"/>
      <x:c r="AS104" s="32"/>
      <x:c r="AT104" s="32"/>
      <x:c r="AU104" s="32"/>
      <x:c r="AV104" s="32"/>
      <x:c r="AW104" s="32"/>
      <x:c r="AX104" s="32"/>
      <x:c r="AZ104" s="32"/>
      <x:c r="BA104" s="32"/>
      <x:c r="BB104" s="32"/>
      <x:c r="BC104" s="32"/>
      <x:c r="BD104" s="32"/>
      <x:c r="BE104" s="32"/>
      <x:c r="BF104" s="32"/>
      <x:c r="BG104" s="32"/>
      <x:c r="BH104" s="32"/>
      <x:c r="BI104" s="32"/>
      <x:c r="BJ104" s="32"/>
      <x:c r="BK104" s="32"/>
      <x:c r="BL104" s="32"/>
      <x:c r="BM104" s="32"/>
    </x:row>
    <x:row r="105">
      <x:c r="A105" s="32"/>
      <x:c r="B105" s="32"/>
      <x:c r="C105" s="42"/>
      <x:c r="D105" s="32"/>
      <x:c r="E105" s="32"/>
      <x:c r="F105" s="32"/>
      <x:c r="G105" s="32"/>
      <x:c r="H105" s="32"/>
      <x:c r="I105" s="32"/>
      <x:c r="J105" s="32"/>
      <x:c r="K105" s="32"/>
      <x:c r="L105" s="32"/>
      <x:c r="M105" s="32"/>
      <x:c r="N105" s="32"/>
      <x:c r="O105" s="32"/>
      <x:c r="P105" s="32"/>
      <x:c r="Q105" s="32"/>
      <x:c r="R105" s="32"/>
      <x:c r="S105" s="32"/>
      <x:c r="T105" s="43" t="str">
        <x:f>IFERROR(S105/L105,"")</x:f>
      </x:c>
      <x:c r="U105" s="32"/>
      <x:c r="V105" s="32"/>
      <x:c r="W105" s="32"/>
      <x:c r="X105" s="32"/>
      <x:c r="Y105" s="32"/>
      <x:c r="Z105" s="32"/>
      <x:c r="AA105" s="32"/>
      <x:c r="AB105" s="32"/>
      <x:c r="AC105" s="32"/>
      <x:c r="AD105" s="32"/>
      <x:c r="AE105" s="32"/>
      <x:c r="AF105" s="32"/>
      <x:c r="AG105" s="32"/>
      <x:c r="AH105" s="32"/>
      <x:c r="AI105" s="32"/>
      <x:c r="AJ105" s="32"/>
      <x:c r="AK105" s="32"/>
      <x:c r="AL105" s="32"/>
      <x:c r="AM105" s="32"/>
      <x:c r="AN105" s="32"/>
      <x:c r="AO105" s="32"/>
      <x:c r="AP105" s="32"/>
      <x:c r="AQ105" s="32"/>
      <x:c r="AR105" s="32"/>
      <x:c r="AS105" s="32"/>
      <x:c r="AT105" s="32"/>
      <x:c r="AU105" s="32"/>
      <x:c r="AV105" s="32"/>
      <x:c r="AW105" s="32"/>
      <x:c r="AX105" s="32"/>
      <x:c r="AZ105" s="32"/>
      <x:c r="BA105" s="32"/>
      <x:c r="BB105" s="32"/>
      <x:c r="BC105" s="32"/>
      <x:c r="BD105" s="32"/>
      <x:c r="BE105" s="32"/>
      <x:c r="BF105" s="32"/>
      <x:c r="BG105" s="32"/>
      <x:c r="BH105" s="32"/>
      <x:c r="BI105" s="32"/>
      <x:c r="BJ105" s="32"/>
      <x:c r="BK105" s="32"/>
      <x:c r="BL105" s="32"/>
      <x:c r="BM105" s="32"/>
    </x:row>
    <x:row r="106">
      <x:c r="A106" s="32"/>
      <x:c r="B106" s="32"/>
      <x:c r="C106" s="42"/>
      <x:c r="D106" s="32"/>
      <x:c r="E106" s="32"/>
      <x:c r="F106" s="32"/>
      <x:c r="G106" s="32"/>
      <x:c r="H106" s="32"/>
      <x:c r="I106" s="32"/>
      <x:c r="J106" s="32"/>
      <x:c r="K106" s="32"/>
      <x:c r="L106" s="32"/>
      <x:c r="M106" s="32"/>
      <x:c r="N106" s="32"/>
      <x:c r="O106" s="32"/>
      <x:c r="P106" s="32"/>
      <x:c r="Q106" s="32"/>
      <x:c r="R106" s="32"/>
      <x:c r="S106" s="32"/>
      <x:c r="T106" s="43" t="str">
        <x:f>IFERROR(S106/L106,"")</x:f>
      </x:c>
      <x:c r="U106" s="32"/>
      <x:c r="V106" s="32"/>
      <x:c r="W106" s="32"/>
      <x:c r="X106" s="32"/>
      <x:c r="Y106" s="32"/>
      <x:c r="Z106" s="32"/>
      <x:c r="AA106" s="32"/>
      <x:c r="AB106" s="32"/>
      <x:c r="AC106" s="32"/>
      <x:c r="AD106" s="32"/>
      <x:c r="AE106" s="32"/>
      <x:c r="AF106" s="32"/>
      <x:c r="AG106" s="32"/>
      <x:c r="AH106" s="32"/>
      <x:c r="AI106" s="32"/>
      <x:c r="AJ106" s="32"/>
      <x:c r="AK106" s="32"/>
      <x:c r="AL106" s="32"/>
      <x:c r="AM106" s="32"/>
      <x:c r="AN106" s="32"/>
      <x:c r="AO106" s="32"/>
      <x:c r="AP106" s="32"/>
      <x:c r="AQ106" s="32"/>
      <x:c r="AR106" s="32"/>
      <x:c r="AS106" s="32"/>
      <x:c r="AT106" s="32"/>
      <x:c r="AU106" s="32"/>
      <x:c r="AV106" s="32"/>
      <x:c r="AW106" s="32"/>
      <x:c r="AX106" s="32"/>
      <x:c r="AZ106" s="32"/>
      <x:c r="BA106" s="32"/>
      <x:c r="BB106" s="32"/>
      <x:c r="BC106" s="32"/>
      <x:c r="BD106" s="32"/>
      <x:c r="BE106" s="32"/>
      <x:c r="BF106" s="32"/>
      <x:c r="BG106" s="32"/>
      <x:c r="BH106" s="32"/>
      <x:c r="BI106" s="32"/>
      <x:c r="BJ106" s="32"/>
      <x:c r="BK106" s="32"/>
      <x:c r="BL106" s="32"/>
      <x:c r="BM106" s="32"/>
    </x:row>
    <x:row r="107">
      <x:c r="A107" s="32"/>
      <x:c r="B107" s="32"/>
      <x:c r="C107" s="42"/>
      <x:c r="D107" s="32"/>
      <x:c r="E107" s="32"/>
      <x:c r="F107" s="32"/>
      <x:c r="G107" s="32"/>
      <x:c r="H107" s="32"/>
      <x:c r="I107" s="32"/>
      <x:c r="J107" s="32"/>
      <x:c r="K107" s="32"/>
      <x:c r="L107" s="32"/>
      <x:c r="M107" s="32"/>
      <x:c r="N107" s="32"/>
      <x:c r="O107" s="32"/>
      <x:c r="P107" s="32"/>
      <x:c r="Q107" s="32"/>
      <x:c r="R107" s="32"/>
      <x:c r="S107" s="32"/>
      <x:c r="T107" s="43" t="str">
        <x:f>IFERROR(S107/L107,"")</x:f>
      </x:c>
      <x:c r="U107" s="32"/>
      <x:c r="V107" s="32"/>
      <x:c r="W107" s="32"/>
      <x:c r="X107" s="32"/>
      <x:c r="Y107" s="32"/>
      <x:c r="Z107" s="32"/>
      <x:c r="AA107" s="32"/>
      <x:c r="AB107" s="32"/>
      <x:c r="AC107" s="32"/>
      <x:c r="AD107" s="32"/>
      <x:c r="AE107" s="32"/>
      <x:c r="AF107" s="32"/>
      <x:c r="AG107" s="32"/>
      <x:c r="AH107" s="32"/>
      <x:c r="AI107" s="32"/>
      <x:c r="AJ107" s="32"/>
      <x:c r="AK107" s="32"/>
      <x:c r="AL107" s="32"/>
      <x:c r="AM107" s="32"/>
      <x:c r="AN107" s="32"/>
      <x:c r="AO107" s="32"/>
      <x:c r="AP107" s="32"/>
      <x:c r="AQ107" s="32"/>
      <x:c r="AR107" s="32"/>
      <x:c r="AS107" s="32"/>
      <x:c r="AT107" s="32"/>
      <x:c r="AU107" s="32"/>
      <x:c r="AV107" s="32"/>
      <x:c r="AW107" s="32"/>
      <x:c r="AX107" s="32"/>
      <x:c r="AZ107" s="32"/>
      <x:c r="BA107" s="32"/>
      <x:c r="BB107" s="32"/>
      <x:c r="BC107" s="32"/>
      <x:c r="BD107" s="32"/>
      <x:c r="BE107" s="32"/>
      <x:c r="BF107" s="32"/>
      <x:c r="BG107" s="32"/>
      <x:c r="BH107" s="32"/>
      <x:c r="BI107" s="32"/>
      <x:c r="BJ107" s="32"/>
      <x:c r="BK107" s="32"/>
      <x:c r="BL107" s="32"/>
      <x:c r="BM107" s="32"/>
    </x:row>
    <x:row r="108">
      <x:c r="A108" s="32"/>
      <x:c r="B108" s="32"/>
      <x:c r="C108" s="42"/>
      <x:c r="D108" s="32"/>
      <x:c r="E108" s="32"/>
      <x:c r="F108" s="32"/>
      <x:c r="G108" s="32"/>
      <x:c r="H108" s="32"/>
      <x:c r="I108" s="32"/>
      <x:c r="J108" s="32"/>
      <x:c r="K108" s="32"/>
      <x:c r="L108" s="32"/>
      <x:c r="M108" s="32"/>
      <x:c r="N108" s="32"/>
      <x:c r="O108" s="32"/>
      <x:c r="P108" s="32"/>
      <x:c r="Q108" s="32"/>
      <x:c r="R108" s="32"/>
      <x:c r="S108" s="32"/>
      <x:c r="T108" s="43" t="str">
        <x:f>IFERROR(S108/L108,"")</x:f>
      </x:c>
      <x:c r="U108" s="32"/>
      <x:c r="V108" s="32"/>
      <x:c r="W108" s="32"/>
      <x:c r="X108" s="32"/>
      <x:c r="Y108" s="32"/>
      <x:c r="Z108" s="32"/>
      <x:c r="AA108" s="32"/>
      <x:c r="AB108" s="32"/>
      <x:c r="AC108" s="32"/>
      <x:c r="AD108" s="32"/>
      <x:c r="AE108" s="32"/>
      <x:c r="AF108" s="32"/>
      <x:c r="AG108" s="32"/>
      <x:c r="AH108" s="32"/>
      <x:c r="AI108" s="32"/>
      <x:c r="AJ108" s="32"/>
      <x:c r="AK108" s="32"/>
      <x:c r="AL108" s="32"/>
      <x:c r="AM108" s="32"/>
      <x:c r="AN108" s="32"/>
      <x:c r="AO108" s="32"/>
      <x:c r="AP108" s="32"/>
      <x:c r="AQ108" s="32"/>
      <x:c r="AR108" s="32"/>
      <x:c r="AS108" s="32"/>
      <x:c r="AT108" s="32"/>
      <x:c r="AU108" s="32"/>
      <x:c r="AV108" s="32"/>
      <x:c r="AW108" s="32"/>
      <x:c r="AX108" s="32"/>
      <x:c r="AZ108" s="32"/>
      <x:c r="BA108" s="32"/>
      <x:c r="BB108" s="32"/>
      <x:c r="BC108" s="32"/>
      <x:c r="BD108" s="32"/>
      <x:c r="BE108" s="32"/>
      <x:c r="BF108" s="32"/>
      <x:c r="BG108" s="32"/>
      <x:c r="BH108" s="32"/>
      <x:c r="BI108" s="32"/>
      <x:c r="BJ108" s="32"/>
      <x:c r="BK108" s="32"/>
      <x:c r="BL108" s="32"/>
      <x:c r="BM108" s="32"/>
    </x:row>
    <x:row r="109">
      <x:c r="A109" s="32"/>
      <x:c r="B109" s="32"/>
      <x:c r="C109" s="42"/>
      <x:c r="D109" s="32"/>
      <x:c r="E109" s="32"/>
      <x:c r="F109" s="32"/>
      <x:c r="G109" s="32"/>
      <x:c r="H109" s="32"/>
      <x:c r="I109" s="32"/>
      <x:c r="J109" s="32"/>
      <x:c r="K109" s="32"/>
      <x:c r="L109" s="32"/>
      <x:c r="M109" s="32"/>
      <x:c r="N109" s="32"/>
      <x:c r="O109" s="32"/>
      <x:c r="P109" s="32"/>
      <x:c r="Q109" s="32"/>
      <x:c r="R109" s="32"/>
      <x:c r="S109" s="32"/>
      <x:c r="T109" s="43" t="str">
        <x:f>IFERROR(S109/L109,"")</x:f>
      </x:c>
      <x:c r="U109" s="32"/>
      <x:c r="V109" s="32"/>
      <x:c r="W109" s="32"/>
      <x:c r="X109" s="32"/>
      <x:c r="Y109" s="32"/>
      <x:c r="Z109" s="32"/>
      <x:c r="AA109" s="32"/>
      <x:c r="AB109" s="32"/>
      <x:c r="AC109" s="32"/>
      <x:c r="AD109" s="32"/>
      <x:c r="AE109" s="32"/>
      <x:c r="AF109" s="32"/>
      <x:c r="AG109" s="32"/>
      <x:c r="AH109" s="32"/>
      <x:c r="AI109" s="32"/>
      <x:c r="AJ109" s="32"/>
      <x:c r="AK109" s="32"/>
      <x:c r="AL109" s="32"/>
      <x:c r="AM109" s="32"/>
      <x:c r="AN109" s="32"/>
      <x:c r="AO109" s="32"/>
      <x:c r="AP109" s="32"/>
      <x:c r="AQ109" s="32"/>
      <x:c r="AR109" s="32"/>
      <x:c r="AS109" s="32"/>
      <x:c r="AT109" s="32"/>
      <x:c r="AU109" s="32"/>
      <x:c r="AV109" s="32"/>
      <x:c r="AW109" s="32"/>
      <x:c r="AX109" s="32"/>
      <x:c r="AZ109" s="32"/>
      <x:c r="BA109" s="32"/>
      <x:c r="BB109" s="32"/>
      <x:c r="BC109" s="32"/>
      <x:c r="BD109" s="32"/>
      <x:c r="BE109" s="32"/>
      <x:c r="BF109" s="32"/>
      <x:c r="BG109" s="32"/>
      <x:c r="BH109" s="32"/>
      <x:c r="BI109" s="32"/>
      <x:c r="BJ109" s="32"/>
      <x:c r="BK109" s="32"/>
      <x:c r="BL109" s="32"/>
      <x:c r="BM109" s="32"/>
    </x:row>
    <x:row r="110">
      <x:c r="A110" s="32"/>
      <x:c r="B110" s="32"/>
      <x:c r="C110" s="42"/>
      <x:c r="D110" s="32"/>
      <x:c r="E110" s="32"/>
      <x:c r="F110" s="32"/>
      <x:c r="G110" s="32"/>
      <x:c r="H110" s="32"/>
      <x:c r="I110" s="32"/>
      <x:c r="J110" s="32"/>
      <x:c r="K110" s="32"/>
      <x:c r="L110" s="32"/>
      <x:c r="M110" s="32"/>
      <x:c r="N110" s="32"/>
      <x:c r="O110" s="32"/>
      <x:c r="P110" s="32"/>
      <x:c r="Q110" s="32"/>
      <x:c r="R110" s="32"/>
      <x:c r="S110" s="32"/>
      <x:c r="T110" s="43" t="str">
        <x:f>IFERROR(S110/L110,"")</x:f>
      </x:c>
      <x:c r="U110" s="32"/>
      <x:c r="V110" s="32"/>
      <x:c r="W110" s="32"/>
      <x:c r="X110" s="32"/>
      <x:c r="Y110" s="32"/>
      <x:c r="Z110" s="32"/>
      <x:c r="AA110" s="32"/>
      <x:c r="AB110" s="32"/>
      <x:c r="AC110" s="32"/>
      <x:c r="AD110" s="32"/>
      <x:c r="AE110" s="32"/>
      <x:c r="AF110" s="32"/>
      <x:c r="AG110" s="32"/>
      <x:c r="AH110" s="32"/>
      <x:c r="AI110" s="32"/>
      <x:c r="AJ110" s="32"/>
      <x:c r="AK110" s="32"/>
      <x:c r="AL110" s="32"/>
      <x:c r="AM110" s="32"/>
      <x:c r="AN110" s="32"/>
      <x:c r="AO110" s="32"/>
      <x:c r="AP110" s="32"/>
      <x:c r="AQ110" s="32"/>
      <x:c r="AR110" s="32"/>
      <x:c r="AS110" s="32"/>
      <x:c r="AT110" s="32"/>
      <x:c r="AU110" s="32"/>
      <x:c r="AV110" s="32"/>
      <x:c r="AW110" s="32"/>
      <x:c r="AX110" s="32"/>
      <x:c r="AZ110" s="32"/>
      <x:c r="BA110" s="32"/>
      <x:c r="BB110" s="32"/>
      <x:c r="BC110" s="32"/>
      <x:c r="BD110" s="32"/>
      <x:c r="BE110" s="32"/>
      <x:c r="BF110" s="32"/>
      <x:c r="BG110" s="32"/>
      <x:c r="BH110" s="32"/>
      <x:c r="BI110" s="32"/>
      <x:c r="BJ110" s="32"/>
      <x:c r="BK110" s="32"/>
      <x:c r="BL110" s="32"/>
      <x:c r="BM110" s="32"/>
    </x:row>
    <x:row r="111">
      <x:c r="A111" s="32"/>
      <x:c r="B111" s="32"/>
      <x:c r="C111" s="42"/>
      <x:c r="D111" s="32"/>
      <x:c r="E111" s="32"/>
      <x:c r="F111" s="32"/>
      <x:c r="G111" s="32"/>
      <x:c r="H111" s="32"/>
      <x:c r="I111" s="32"/>
      <x:c r="J111" s="32"/>
      <x:c r="K111" s="32"/>
      <x:c r="L111" s="32"/>
      <x:c r="M111" s="32"/>
      <x:c r="N111" s="32"/>
      <x:c r="O111" s="32"/>
      <x:c r="P111" s="32"/>
      <x:c r="Q111" s="32"/>
      <x:c r="R111" s="32"/>
      <x:c r="S111" s="32"/>
      <x:c r="T111" s="43" t="str">
        <x:f>IFERROR(S111/L111,"")</x:f>
      </x:c>
      <x:c r="U111" s="32"/>
      <x:c r="V111" s="32"/>
      <x:c r="W111" s="32"/>
      <x:c r="X111" s="32"/>
      <x:c r="Y111" s="32"/>
      <x:c r="Z111" s="32"/>
      <x:c r="AA111" s="32"/>
      <x:c r="AB111" s="32"/>
      <x:c r="AC111" s="32"/>
      <x:c r="AD111" s="32"/>
      <x:c r="AE111" s="32"/>
      <x:c r="AF111" s="32"/>
      <x:c r="AG111" s="32"/>
      <x:c r="AH111" s="32"/>
      <x:c r="AI111" s="32"/>
      <x:c r="AJ111" s="32"/>
      <x:c r="AK111" s="32"/>
      <x:c r="AL111" s="32"/>
      <x:c r="AM111" s="32"/>
      <x:c r="AN111" s="32"/>
      <x:c r="AO111" s="32"/>
      <x:c r="AP111" s="32"/>
      <x:c r="AQ111" s="32"/>
      <x:c r="AR111" s="32"/>
      <x:c r="AS111" s="32"/>
      <x:c r="AT111" s="32"/>
      <x:c r="AU111" s="32"/>
      <x:c r="AV111" s="32"/>
      <x:c r="AW111" s="32"/>
      <x:c r="AX111" s="32"/>
      <x:c r="AZ111" s="32"/>
      <x:c r="BA111" s="32"/>
      <x:c r="BB111" s="32"/>
      <x:c r="BC111" s="32"/>
      <x:c r="BD111" s="32"/>
      <x:c r="BE111" s="32"/>
      <x:c r="BF111" s="32"/>
      <x:c r="BG111" s="32"/>
      <x:c r="BH111" s="32"/>
      <x:c r="BI111" s="32"/>
      <x:c r="BJ111" s="32"/>
      <x:c r="BK111" s="32"/>
      <x:c r="BL111" s="32"/>
      <x:c r="BM111" s="32"/>
    </x:row>
    <x:row r="112">
      <x:c r="A112" s="32"/>
      <x:c r="B112" s="32"/>
      <x:c r="C112" s="42"/>
      <x:c r="D112" s="32"/>
      <x:c r="E112" s="32"/>
      <x:c r="F112" s="32"/>
      <x:c r="G112" s="32"/>
      <x:c r="H112" s="32"/>
      <x:c r="I112" s="32"/>
      <x:c r="J112" s="32"/>
      <x:c r="K112" s="32"/>
      <x:c r="L112" s="32"/>
      <x:c r="M112" s="32"/>
      <x:c r="N112" s="32"/>
      <x:c r="O112" s="32"/>
      <x:c r="P112" s="32"/>
      <x:c r="Q112" s="32"/>
      <x:c r="R112" s="32"/>
      <x:c r="S112" s="32"/>
      <x:c r="T112" s="43" t="str">
        <x:f>IFERROR(S112/L112,"")</x:f>
      </x:c>
      <x:c r="U112" s="32"/>
      <x:c r="V112" s="32"/>
      <x:c r="W112" s="32"/>
      <x:c r="X112" s="32"/>
      <x:c r="Y112" s="32"/>
      <x:c r="Z112" s="32"/>
      <x:c r="AA112" s="32"/>
      <x:c r="AB112" s="32"/>
      <x:c r="AC112" s="32"/>
      <x:c r="AD112" s="32"/>
      <x:c r="AE112" s="32"/>
      <x:c r="AF112" s="32"/>
      <x:c r="AG112" s="32"/>
      <x:c r="AH112" s="32"/>
      <x:c r="AI112" s="32"/>
      <x:c r="AJ112" s="32"/>
      <x:c r="AK112" s="32"/>
      <x:c r="AL112" s="32"/>
      <x:c r="AM112" s="32"/>
      <x:c r="AN112" s="32"/>
      <x:c r="AO112" s="32"/>
      <x:c r="AP112" s="32"/>
      <x:c r="AQ112" s="32"/>
      <x:c r="AR112" s="32"/>
      <x:c r="AS112" s="32"/>
      <x:c r="AT112" s="32"/>
      <x:c r="AU112" s="32"/>
      <x:c r="AV112" s="32"/>
      <x:c r="AW112" s="32"/>
      <x:c r="AX112" s="32"/>
      <x:c r="AZ112" s="32"/>
      <x:c r="BA112" s="32"/>
      <x:c r="BB112" s="32"/>
      <x:c r="BC112" s="32"/>
      <x:c r="BD112" s="32"/>
      <x:c r="BE112" s="32"/>
      <x:c r="BF112" s="32"/>
      <x:c r="BG112" s="32"/>
      <x:c r="BH112" s="32"/>
      <x:c r="BI112" s="32"/>
      <x:c r="BJ112" s="32"/>
      <x:c r="BK112" s="32"/>
      <x:c r="BL112" s="32"/>
      <x:c r="BM112" s="32"/>
    </x:row>
    <x:row r="113">
      <x:c r="A113" s="32"/>
      <x:c r="B113" s="32"/>
      <x:c r="C113" s="42"/>
      <x:c r="D113" s="32"/>
      <x:c r="E113" s="32"/>
      <x:c r="F113" s="32"/>
      <x:c r="G113" s="32"/>
      <x:c r="H113" s="32"/>
      <x:c r="I113" s="32"/>
      <x:c r="J113" s="32"/>
      <x:c r="K113" s="32"/>
      <x:c r="L113" s="32"/>
      <x:c r="M113" s="32"/>
      <x:c r="N113" s="32"/>
      <x:c r="O113" s="32"/>
      <x:c r="P113" s="32"/>
      <x:c r="Q113" s="32"/>
      <x:c r="R113" s="32"/>
      <x:c r="S113" s="32"/>
      <x:c r="T113" s="43" t="str">
        <x:f>IFERROR(S113/L113,"")</x:f>
      </x:c>
      <x:c r="U113" s="32"/>
      <x:c r="V113" s="32"/>
      <x:c r="W113" s="32"/>
      <x:c r="X113" s="32"/>
      <x:c r="Y113" s="32"/>
      <x:c r="Z113" s="32"/>
      <x:c r="AA113" s="32"/>
      <x:c r="AB113" s="32"/>
      <x:c r="AC113" s="32"/>
      <x:c r="AD113" s="32"/>
      <x:c r="AE113" s="32"/>
      <x:c r="AF113" s="32"/>
      <x:c r="AG113" s="32"/>
      <x:c r="AH113" s="32"/>
      <x:c r="AI113" s="32"/>
      <x:c r="AJ113" s="32"/>
      <x:c r="AK113" s="32"/>
      <x:c r="AL113" s="32"/>
      <x:c r="AM113" s="32"/>
      <x:c r="AN113" s="32"/>
      <x:c r="AO113" s="32"/>
      <x:c r="AP113" s="32"/>
      <x:c r="AQ113" s="32"/>
      <x:c r="AR113" s="32"/>
      <x:c r="AS113" s="32"/>
      <x:c r="AT113" s="32"/>
      <x:c r="AU113" s="32"/>
      <x:c r="AV113" s="32"/>
      <x:c r="AW113" s="32"/>
      <x:c r="AX113" s="32"/>
      <x:c r="AZ113" s="32"/>
      <x:c r="BA113" s="32"/>
      <x:c r="BB113" s="32"/>
      <x:c r="BC113" s="32"/>
      <x:c r="BD113" s="32"/>
      <x:c r="BE113" s="32"/>
      <x:c r="BF113" s="32"/>
      <x:c r="BG113" s="32"/>
      <x:c r="BH113" s="32"/>
      <x:c r="BI113" s="32"/>
      <x:c r="BJ113" s="32"/>
      <x:c r="BK113" s="32"/>
      <x:c r="BL113" s="32"/>
      <x:c r="BM113" s="32"/>
    </x:row>
    <x:row r="114">
      <x:c r="A114" s="32"/>
      <x:c r="B114" s="32"/>
      <x:c r="C114" s="42"/>
      <x:c r="D114" s="32"/>
      <x:c r="E114" s="32"/>
      <x:c r="F114" s="32"/>
      <x:c r="G114" s="32"/>
      <x:c r="H114" s="32"/>
      <x:c r="I114" s="32"/>
      <x:c r="J114" s="32"/>
      <x:c r="K114" s="32"/>
      <x:c r="L114" s="32"/>
      <x:c r="M114" s="32"/>
      <x:c r="N114" s="32"/>
      <x:c r="O114" s="32"/>
      <x:c r="P114" s="32"/>
      <x:c r="Q114" s="32"/>
      <x:c r="R114" s="32"/>
      <x:c r="S114" s="32"/>
      <x:c r="T114" s="43" t="str">
        <x:f>IFERROR(S114/L114,"")</x:f>
      </x:c>
      <x:c r="U114" s="32"/>
      <x:c r="V114" s="32"/>
      <x:c r="W114" s="32"/>
      <x:c r="X114" s="32"/>
      <x:c r="Y114" s="32"/>
      <x:c r="Z114" s="32"/>
      <x:c r="AA114" s="32"/>
      <x:c r="AB114" s="32"/>
      <x:c r="AC114" s="32"/>
      <x:c r="AD114" s="32"/>
      <x:c r="AE114" s="32"/>
      <x:c r="AF114" s="32"/>
      <x:c r="AG114" s="32"/>
      <x:c r="AH114" s="32"/>
      <x:c r="AI114" s="32"/>
      <x:c r="AJ114" s="32"/>
      <x:c r="AK114" s="32"/>
      <x:c r="AL114" s="32"/>
      <x:c r="AM114" s="32"/>
      <x:c r="AN114" s="32"/>
      <x:c r="AO114" s="32"/>
      <x:c r="AP114" s="32"/>
      <x:c r="AQ114" s="32"/>
      <x:c r="AR114" s="32"/>
      <x:c r="AS114" s="32"/>
      <x:c r="AT114" s="32"/>
      <x:c r="AU114" s="32"/>
      <x:c r="AV114" s="32"/>
      <x:c r="AW114" s="32"/>
      <x:c r="AX114" s="32"/>
      <x:c r="AZ114" s="32"/>
      <x:c r="BA114" s="32"/>
      <x:c r="BB114" s="32"/>
      <x:c r="BC114" s="32"/>
      <x:c r="BD114" s="32"/>
      <x:c r="BE114" s="32"/>
      <x:c r="BF114" s="32"/>
      <x:c r="BG114" s="32"/>
      <x:c r="BH114" s="32"/>
      <x:c r="BI114" s="32"/>
      <x:c r="BJ114" s="32"/>
      <x:c r="BK114" s="32"/>
      <x:c r="BL114" s="32"/>
      <x:c r="BM114" s="32"/>
    </x:row>
    <x:row r="115">
      <x:c r="A115" s="32"/>
      <x:c r="B115" s="32"/>
      <x:c r="C115" s="42"/>
      <x:c r="D115" s="32"/>
      <x:c r="E115" s="32"/>
      <x:c r="F115" s="32"/>
      <x:c r="G115" s="32"/>
      <x:c r="H115" s="32"/>
      <x:c r="I115" s="32"/>
      <x:c r="J115" s="32"/>
      <x:c r="K115" s="32"/>
      <x:c r="L115" s="32"/>
      <x:c r="M115" s="32"/>
      <x:c r="N115" s="32"/>
      <x:c r="O115" s="32"/>
      <x:c r="P115" s="32"/>
      <x:c r="Q115" s="32"/>
      <x:c r="R115" s="32"/>
      <x:c r="S115" s="32"/>
      <x:c r="T115" s="43" t="str">
        <x:f>IFERROR(S115/L115,"")</x:f>
      </x:c>
      <x:c r="U115" s="32"/>
      <x:c r="V115" s="32"/>
      <x:c r="W115" s="32"/>
      <x:c r="X115" s="32"/>
      <x:c r="Y115" s="32"/>
      <x:c r="Z115" s="32"/>
      <x:c r="AA115" s="32"/>
      <x:c r="AB115" s="32"/>
      <x:c r="AC115" s="32"/>
      <x:c r="AD115" s="32"/>
      <x:c r="AE115" s="32"/>
      <x:c r="AF115" s="32"/>
      <x:c r="AG115" s="32"/>
      <x:c r="AH115" s="32"/>
      <x:c r="AI115" s="32"/>
      <x:c r="AJ115" s="32"/>
      <x:c r="AK115" s="32"/>
      <x:c r="AL115" s="32"/>
      <x:c r="AM115" s="32"/>
      <x:c r="AN115" s="32"/>
      <x:c r="AO115" s="32"/>
      <x:c r="AP115" s="32"/>
      <x:c r="AQ115" s="32"/>
      <x:c r="AR115" s="32"/>
      <x:c r="AS115" s="32"/>
      <x:c r="AT115" s="32"/>
      <x:c r="AU115" s="32"/>
      <x:c r="AV115" s="32"/>
      <x:c r="AW115" s="32"/>
      <x:c r="AX115" s="32"/>
      <x:c r="AZ115" s="32"/>
      <x:c r="BA115" s="32"/>
      <x:c r="BB115" s="32"/>
      <x:c r="BC115" s="32"/>
      <x:c r="BD115" s="32"/>
      <x:c r="BE115" s="32"/>
      <x:c r="BF115" s="32"/>
      <x:c r="BG115" s="32"/>
      <x:c r="BH115" s="32"/>
      <x:c r="BI115" s="32"/>
      <x:c r="BJ115" s="32"/>
      <x:c r="BK115" s="32"/>
      <x:c r="BL115" s="32"/>
      <x:c r="BM115" s="32"/>
    </x:row>
    <x:row r="116">
      <x:c r="A116" s="32"/>
      <x:c r="B116" s="32"/>
      <x:c r="C116" s="42"/>
      <x:c r="D116" s="32"/>
      <x:c r="E116" s="32"/>
      <x:c r="F116" s="32"/>
      <x:c r="G116" s="32"/>
      <x:c r="H116" s="32"/>
      <x:c r="I116" s="32"/>
      <x:c r="J116" s="32"/>
      <x:c r="K116" s="32"/>
      <x:c r="L116" s="32"/>
      <x:c r="M116" s="32"/>
      <x:c r="N116" s="32"/>
      <x:c r="O116" s="32"/>
      <x:c r="P116" s="32"/>
      <x:c r="Q116" s="32"/>
      <x:c r="R116" s="32"/>
      <x:c r="S116" s="32"/>
      <x:c r="T116" s="43" t="str">
        <x:f>IFERROR(S116/L116,"")</x:f>
      </x:c>
      <x:c r="U116" s="32"/>
      <x:c r="V116" s="32"/>
      <x:c r="W116" s="32"/>
      <x:c r="X116" s="32"/>
      <x:c r="Y116" s="32"/>
      <x:c r="Z116" s="32"/>
      <x:c r="AA116" s="32"/>
      <x:c r="AB116" s="32"/>
      <x:c r="AC116" s="32"/>
      <x:c r="AD116" s="32"/>
      <x:c r="AE116" s="32"/>
      <x:c r="AF116" s="32"/>
      <x:c r="AG116" s="32"/>
      <x:c r="AH116" s="32"/>
      <x:c r="AI116" s="32"/>
      <x:c r="AJ116" s="32"/>
      <x:c r="AK116" s="32"/>
      <x:c r="AL116" s="32"/>
      <x:c r="AM116" s="32"/>
      <x:c r="AN116" s="32"/>
      <x:c r="AO116" s="32"/>
      <x:c r="AP116" s="32"/>
      <x:c r="AQ116" s="32"/>
      <x:c r="AR116" s="32"/>
      <x:c r="AS116" s="32"/>
      <x:c r="AT116" s="32"/>
      <x:c r="AU116" s="32"/>
      <x:c r="AV116" s="32"/>
      <x:c r="AW116" s="32"/>
      <x:c r="AX116" s="32"/>
      <x:c r="AZ116" s="32"/>
      <x:c r="BA116" s="32"/>
      <x:c r="BB116" s="32"/>
      <x:c r="BC116" s="32"/>
      <x:c r="BD116" s="32"/>
      <x:c r="BE116" s="32"/>
      <x:c r="BF116" s="32"/>
      <x:c r="BG116" s="32"/>
      <x:c r="BH116" s="32"/>
      <x:c r="BI116" s="32"/>
      <x:c r="BJ116" s="32"/>
      <x:c r="BK116" s="32"/>
      <x:c r="BL116" s="32"/>
      <x:c r="BM116" s="32"/>
    </x:row>
    <x:row r="117">
      <x:c r="A117" s="32"/>
      <x:c r="B117" s="32"/>
      <x:c r="C117" s="42"/>
      <x:c r="D117" s="32"/>
      <x:c r="E117" s="32"/>
      <x:c r="F117" s="32"/>
      <x:c r="G117" s="32"/>
      <x:c r="H117" s="32"/>
      <x:c r="I117" s="32"/>
      <x:c r="J117" s="32"/>
      <x:c r="K117" s="32"/>
      <x:c r="L117" s="32"/>
      <x:c r="M117" s="32"/>
      <x:c r="N117" s="32"/>
      <x:c r="O117" s="32"/>
      <x:c r="P117" s="32"/>
      <x:c r="Q117" s="32"/>
      <x:c r="R117" s="32"/>
      <x:c r="S117" s="32"/>
      <x:c r="T117" s="43" t="str">
        <x:f>IFERROR(S117/L117,"")</x:f>
      </x:c>
      <x:c r="U117" s="32"/>
      <x:c r="V117" s="32"/>
      <x:c r="W117" s="32"/>
      <x:c r="X117" s="32"/>
      <x:c r="Y117" s="32"/>
      <x:c r="Z117" s="32"/>
      <x:c r="AA117" s="32"/>
      <x:c r="AB117" s="32"/>
      <x:c r="AC117" s="32"/>
      <x:c r="AD117" s="32"/>
      <x:c r="AE117" s="32"/>
      <x:c r="AF117" s="32"/>
      <x:c r="AG117" s="32"/>
      <x:c r="AH117" s="32"/>
      <x:c r="AI117" s="32"/>
      <x:c r="AJ117" s="32"/>
      <x:c r="AK117" s="32"/>
      <x:c r="AL117" s="32"/>
      <x:c r="AM117" s="32"/>
      <x:c r="AN117" s="32"/>
      <x:c r="AO117" s="32"/>
      <x:c r="AP117" s="32"/>
      <x:c r="AQ117" s="32"/>
      <x:c r="AR117" s="32"/>
      <x:c r="AS117" s="32"/>
      <x:c r="AT117" s="32"/>
      <x:c r="AU117" s="32"/>
      <x:c r="AV117" s="32"/>
      <x:c r="AW117" s="32"/>
      <x:c r="AX117" s="32"/>
      <x:c r="AZ117" s="32"/>
      <x:c r="BA117" s="32"/>
      <x:c r="BB117" s="32"/>
      <x:c r="BC117" s="32"/>
      <x:c r="BD117" s="32"/>
      <x:c r="BE117" s="32"/>
      <x:c r="BF117" s="32"/>
      <x:c r="BG117" s="32"/>
      <x:c r="BH117" s="32"/>
      <x:c r="BI117" s="32"/>
      <x:c r="BJ117" s="32"/>
      <x:c r="BK117" s="32"/>
      <x:c r="BL117" s="32"/>
      <x:c r="BM117" s="32"/>
    </x:row>
    <x:row r="118">
      <x:c r="A118" s="32"/>
      <x:c r="B118" s="32"/>
      <x:c r="C118" s="42"/>
      <x:c r="D118" s="32"/>
      <x:c r="E118" s="32"/>
      <x:c r="F118" s="32"/>
      <x:c r="G118" s="32"/>
      <x:c r="H118" s="32"/>
      <x:c r="I118" s="32"/>
      <x:c r="J118" s="32"/>
      <x:c r="K118" s="32"/>
      <x:c r="L118" s="32"/>
      <x:c r="M118" s="32"/>
      <x:c r="N118" s="32"/>
      <x:c r="O118" s="32"/>
      <x:c r="P118" s="32"/>
      <x:c r="Q118" s="32"/>
      <x:c r="R118" s="32"/>
      <x:c r="S118" s="32"/>
      <x:c r="T118" s="43" t="str">
        <x:f>IFERROR(S118/L118,"")</x:f>
      </x:c>
      <x:c r="U118" s="32"/>
      <x:c r="V118" s="32"/>
      <x:c r="W118" s="32"/>
      <x:c r="X118" s="32"/>
      <x:c r="Y118" s="32"/>
      <x:c r="Z118" s="32"/>
      <x:c r="AA118" s="32"/>
      <x:c r="AB118" s="32"/>
      <x:c r="AC118" s="32"/>
      <x:c r="AD118" s="32"/>
      <x:c r="AE118" s="32"/>
      <x:c r="AF118" s="32"/>
      <x:c r="AG118" s="32"/>
      <x:c r="AH118" s="32"/>
      <x:c r="AI118" s="32"/>
      <x:c r="AJ118" s="32"/>
      <x:c r="AK118" s="32"/>
      <x:c r="AL118" s="32"/>
      <x:c r="AM118" s="32"/>
      <x:c r="AN118" s="32"/>
      <x:c r="AO118" s="32"/>
      <x:c r="AP118" s="32"/>
      <x:c r="AQ118" s="32"/>
      <x:c r="AR118" s="32"/>
      <x:c r="AS118" s="32"/>
      <x:c r="AT118" s="32"/>
      <x:c r="AU118" s="32"/>
      <x:c r="AV118" s="32"/>
      <x:c r="AW118" s="32"/>
      <x:c r="AX118" s="32"/>
      <x:c r="AZ118" s="32"/>
      <x:c r="BA118" s="32"/>
      <x:c r="BB118" s="32"/>
      <x:c r="BC118" s="32"/>
      <x:c r="BD118" s="32"/>
      <x:c r="BE118" s="32"/>
      <x:c r="BF118" s="32"/>
      <x:c r="BG118" s="32"/>
      <x:c r="BH118" s="32"/>
      <x:c r="BI118" s="32"/>
      <x:c r="BJ118" s="32"/>
      <x:c r="BK118" s="32"/>
      <x:c r="BL118" s="32"/>
      <x:c r="BM118" s="32"/>
    </x:row>
    <x:row r="119">
      <x:c r="A119" s="32"/>
      <x:c r="B119" s="32"/>
      <x:c r="C119" s="42"/>
      <x:c r="D119" s="32"/>
      <x:c r="E119" s="32"/>
      <x:c r="F119" s="32"/>
      <x:c r="G119" s="32"/>
      <x:c r="H119" s="32"/>
      <x:c r="I119" s="32"/>
      <x:c r="J119" s="32"/>
      <x:c r="K119" s="32"/>
      <x:c r="L119" s="32"/>
      <x:c r="M119" s="32"/>
      <x:c r="N119" s="32"/>
      <x:c r="O119" s="32"/>
      <x:c r="P119" s="32"/>
      <x:c r="Q119" s="32"/>
      <x:c r="R119" s="32"/>
      <x:c r="S119" s="32"/>
      <x:c r="T119" s="43" t="str">
        <x:f>IFERROR(S119/L119,"")</x:f>
      </x:c>
      <x:c r="U119" s="32"/>
      <x:c r="V119" s="32"/>
      <x:c r="W119" s="32"/>
      <x:c r="X119" s="32"/>
      <x:c r="Y119" s="32"/>
      <x:c r="Z119" s="32"/>
      <x:c r="AA119" s="32"/>
      <x:c r="AB119" s="32"/>
      <x:c r="AC119" s="32"/>
      <x:c r="AD119" s="32"/>
      <x:c r="AE119" s="32"/>
      <x:c r="AF119" s="32"/>
      <x:c r="AG119" s="32"/>
      <x:c r="AH119" s="32"/>
      <x:c r="AI119" s="32"/>
      <x:c r="AJ119" s="32"/>
      <x:c r="AK119" s="32"/>
      <x:c r="AL119" s="32"/>
      <x:c r="AM119" s="32"/>
      <x:c r="AN119" s="32"/>
      <x:c r="AO119" s="32"/>
      <x:c r="AP119" s="32"/>
      <x:c r="AQ119" s="32"/>
      <x:c r="AR119" s="32"/>
      <x:c r="AS119" s="32"/>
      <x:c r="AT119" s="32"/>
      <x:c r="AU119" s="32"/>
      <x:c r="AV119" s="32"/>
      <x:c r="AW119" s="32"/>
      <x:c r="AX119" s="32"/>
      <x:c r="AZ119" s="32"/>
      <x:c r="BA119" s="32"/>
      <x:c r="BB119" s="32"/>
      <x:c r="BC119" s="32"/>
      <x:c r="BD119" s="32"/>
      <x:c r="BE119" s="32"/>
      <x:c r="BF119" s="32"/>
      <x:c r="BG119" s="32"/>
      <x:c r="BH119" s="32"/>
      <x:c r="BI119" s="32"/>
      <x:c r="BJ119" s="32"/>
      <x:c r="BK119" s="32"/>
      <x:c r="BL119" s="32"/>
      <x:c r="BM119" s="32"/>
    </x:row>
    <x:row r="120">
      <x:c r="A120" s="32"/>
      <x:c r="B120" s="32"/>
      <x:c r="C120" s="42"/>
      <x:c r="D120" s="32"/>
      <x:c r="E120" s="32"/>
      <x:c r="F120" s="32"/>
      <x:c r="G120" s="32"/>
      <x:c r="H120" s="32"/>
      <x:c r="I120" s="32"/>
      <x:c r="J120" s="32"/>
      <x:c r="K120" s="32"/>
      <x:c r="L120" s="32"/>
      <x:c r="M120" s="32"/>
      <x:c r="N120" s="32"/>
      <x:c r="O120" s="32"/>
      <x:c r="P120" s="32"/>
      <x:c r="Q120" s="32"/>
      <x:c r="R120" s="32"/>
      <x:c r="S120" s="32"/>
      <x:c r="T120" s="43" t="str">
        <x:f>IFERROR(S120/L120,"")</x:f>
      </x:c>
      <x:c r="U120" s="32"/>
      <x:c r="V120" s="32"/>
      <x:c r="W120" s="32"/>
      <x:c r="X120" s="32"/>
      <x:c r="Y120" s="32"/>
      <x:c r="Z120" s="32"/>
      <x:c r="AA120" s="32"/>
      <x:c r="AB120" s="32"/>
      <x:c r="AC120" s="32"/>
      <x:c r="AD120" s="32"/>
      <x:c r="AE120" s="32"/>
      <x:c r="AF120" s="32"/>
      <x:c r="AG120" s="32"/>
      <x:c r="AH120" s="32"/>
      <x:c r="AI120" s="32"/>
      <x:c r="AJ120" s="32"/>
      <x:c r="AK120" s="32"/>
      <x:c r="AL120" s="32"/>
      <x:c r="AM120" s="32"/>
      <x:c r="AN120" s="32"/>
      <x:c r="AO120" s="32"/>
      <x:c r="AP120" s="32"/>
      <x:c r="AQ120" s="32"/>
      <x:c r="AR120" s="32"/>
      <x:c r="AS120" s="32"/>
      <x:c r="AT120" s="32"/>
      <x:c r="AU120" s="32"/>
      <x:c r="AV120" s="32"/>
      <x:c r="AW120" s="32"/>
      <x:c r="AX120" s="32"/>
      <x:c r="AZ120" s="32"/>
      <x:c r="BA120" s="32"/>
      <x:c r="BB120" s="32"/>
      <x:c r="BC120" s="32"/>
      <x:c r="BD120" s="32"/>
      <x:c r="BE120" s="32"/>
      <x:c r="BF120" s="32"/>
      <x:c r="BG120" s="32"/>
      <x:c r="BH120" s="32"/>
      <x:c r="BI120" s="32"/>
      <x:c r="BJ120" s="32"/>
      <x:c r="BK120" s="32"/>
      <x:c r="BL120" s="32"/>
      <x:c r="BM120" s="32"/>
    </x:row>
    <x:row r="121">
      <x:c r="A121" s="32"/>
      <x:c r="B121" s="32"/>
      <x:c r="C121" s="42"/>
      <x:c r="D121" s="32"/>
      <x:c r="E121" s="32"/>
      <x:c r="F121" s="32"/>
      <x:c r="G121" s="32"/>
      <x:c r="H121" s="32"/>
      <x:c r="I121" s="32"/>
      <x:c r="J121" s="32"/>
      <x:c r="K121" s="32"/>
      <x:c r="L121" s="32"/>
      <x:c r="M121" s="32"/>
      <x:c r="N121" s="32"/>
      <x:c r="O121" s="32"/>
      <x:c r="P121" s="32"/>
      <x:c r="Q121" s="32"/>
      <x:c r="R121" s="32"/>
      <x:c r="S121" s="32"/>
      <x:c r="T121" s="43" t="str">
        <x:f>IFERROR(S121/L121,"")</x:f>
      </x:c>
      <x:c r="U121" s="32"/>
      <x:c r="V121" s="32"/>
      <x:c r="W121" s="32"/>
      <x:c r="X121" s="32"/>
      <x:c r="Y121" s="32"/>
      <x:c r="Z121" s="32"/>
      <x:c r="AA121" s="32"/>
      <x:c r="AB121" s="32"/>
      <x:c r="AC121" s="32"/>
      <x:c r="AD121" s="32"/>
      <x:c r="AE121" s="32"/>
      <x:c r="AF121" s="32"/>
      <x:c r="AG121" s="32"/>
      <x:c r="AH121" s="32"/>
      <x:c r="AI121" s="32"/>
      <x:c r="AJ121" s="32"/>
      <x:c r="AK121" s="32"/>
      <x:c r="AL121" s="32"/>
      <x:c r="AM121" s="32"/>
      <x:c r="AN121" s="32"/>
      <x:c r="AO121" s="32"/>
      <x:c r="AP121" s="32"/>
      <x:c r="AQ121" s="32"/>
      <x:c r="AR121" s="32"/>
      <x:c r="AS121" s="32"/>
      <x:c r="AT121" s="32"/>
      <x:c r="AU121" s="32"/>
      <x:c r="AV121" s="32"/>
      <x:c r="AW121" s="32"/>
      <x:c r="AX121" s="32"/>
      <x:c r="AZ121" s="32"/>
      <x:c r="BA121" s="32"/>
      <x:c r="BB121" s="32"/>
      <x:c r="BC121" s="32"/>
      <x:c r="BD121" s="32"/>
      <x:c r="BE121" s="32"/>
      <x:c r="BF121" s="32"/>
      <x:c r="BG121" s="32"/>
      <x:c r="BH121" s="32"/>
      <x:c r="BI121" s="32"/>
      <x:c r="BJ121" s="32"/>
      <x:c r="BK121" s="32"/>
      <x:c r="BL121" s="32"/>
      <x:c r="BM121" s="32"/>
    </x:row>
    <x:row r="122">
      <x:c r="A122" s="32"/>
      <x:c r="B122" s="32"/>
      <x:c r="C122" s="42"/>
      <x:c r="D122" s="32"/>
      <x:c r="E122" s="32"/>
      <x:c r="F122" s="32"/>
      <x:c r="G122" s="32"/>
      <x:c r="H122" s="32"/>
      <x:c r="I122" s="32"/>
      <x:c r="J122" s="32"/>
      <x:c r="K122" s="32"/>
      <x:c r="L122" s="32"/>
      <x:c r="M122" s="32"/>
      <x:c r="N122" s="32"/>
      <x:c r="O122" s="32"/>
      <x:c r="P122" s="32"/>
      <x:c r="Q122" s="32"/>
      <x:c r="R122" s="32"/>
      <x:c r="S122" s="32"/>
      <x:c r="T122" s="43" t="str">
        <x:f>IFERROR(S122/L122,"")</x:f>
      </x:c>
      <x:c r="U122" s="32"/>
      <x:c r="V122" s="32"/>
      <x:c r="W122" s="32"/>
      <x:c r="X122" s="32"/>
      <x:c r="Y122" s="32"/>
      <x:c r="Z122" s="32"/>
      <x:c r="AA122" s="32"/>
      <x:c r="AB122" s="32"/>
      <x:c r="AC122" s="32"/>
      <x:c r="AD122" s="32"/>
      <x:c r="AE122" s="32"/>
      <x:c r="AF122" s="32"/>
      <x:c r="AG122" s="32"/>
      <x:c r="AH122" s="32"/>
      <x:c r="AI122" s="32"/>
      <x:c r="AJ122" s="32"/>
      <x:c r="AK122" s="32"/>
      <x:c r="AL122" s="32"/>
      <x:c r="AM122" s="32"/>
      <x:c r="AN122" s="32"/>
      <x:c r="AO122" s="32"/>
      <x:c r="AP122" s="32"/>
      <x:c r="AQ122" s="32"/>
      <x:c r="AR122" s="32"/>
      <x:c r="AS122" s="32"/>
      <x:c r="AT122" s="32"/>
      <x:c r="AU122" s="32"/>
      <x:c r="AV122" s="32"/>
      <x:c r="AW122" s="32"/>
      <x:c r="AX122" s="32"/>
      <x:c r="AZ122" s="32"/>
      <x:c r="BA122" s="32"/>
      <x:c r="BB122" s="32"/>
      <x:c r="BC122" s="32"/>
      <x:c r="BD122" s="32"/>
      <x:c r="BE122" s="32"/>
      <x:c r="BF122" s="32"/>
      <x:c r="BG122" s="32"/>
      <x:c r="BH122" s="32"/>
      <x:c r="BI122" s="32"/>
      <x:c r="BJ122" s="32"/>
      <x:c r="BK122" s="32"/>
      <x:c r="BL122" s="32"/>
      <x:c r="BM122" s="32"/>
    </x:row>
    <x:row r="123">
      <x:c r="A123" s="32"/>
      <x:c r="B123" s="32"/>
      <x:c r="C123" s="42"/>
      <x:c r="D123" s="32"/>
      <x:c r="E123" s="32"/>
      <x:c r="F123" s="32"/>
      <x:c r="G123" s="32"/>
      <x:c r="H123" s="32"/>
      <x:c r="I123" s="32"/>
      <x:c r="J123" s="32"/>
      <x:c r="K123" s="32"/>
      <x:c r="L123" s="32"/>
      <x:c r="M123" s="32"/>
      <x:c r="N123" s="32"/>
      <x:c r="O123" s="32"/>
      <x:c r="P123" s="32"/>
      <x:c r="Q123" s="32"/>
      <x:c r="R123" s="32"/>
      <x:c r="S123" s="32"/>
      <x:c r="T123" s="43" t="str">
        <x:f>IFERROR(S123/L123,"")</x:f>
      </x:c>
      <x:c r="U123" s="32"/>
      <x:c r="V123" s="32"/>
      <x:c r="W123" s="32"/>
      <x:c r="X123" s="32"/>
      <x:c r="Y123" s="32"/>
      <x:c r="Z123" s="32"/>
      <x:c r="AA123" s="32"/>
      <x:c r="AB123" s="32"/>
      <x:c r="AC123" s="32"/>
      <x:c r="AD123" s="32"/>
      <x:c r="AE123" s="32"/>
      <x:c r="AF123" s="32"/>
      <x:c r="AG123" s="32"/>
      <x:c r="AH123" s="32"/>
      <x:c r="AI123" s="32"/>
      <x:c r="AJ123" s="32"/>
      <x:c r="AK123" s="32"/>
      <x:c r="AL123" s="32"/>
      <x:c r="AM123" s="32"/>
      <x:c r="AN123" s="32"/>
      <x:c r="AO123" s="32"/>
      <x:c r="AP123" s="32"/>
      <x:c r="AQ123" s="32"/>
      <x:c r="AR123" s="32"/>
      <x:c r="AS123" s="32"/>
      <x:c r="AT123" s="32"/>
      <x:c r="AU123" s="32"/>
      <x:c r="AV123" s="32"/>
      <x:c r="AW123" s="32"/>
      <x:c r="AX123" s="32"/>
      <x:c r="AZ123" s="32"/>
      <x:c r="BA123" s="32"/>
      <x:c r="BB123" s="32"/>
      <x:c r="BC123" s="32"/>
      <x:c r="BD123" s="32"/>
      <x:c r="BE123" s="32"/>
      <x:c r="BF123" s="32"/>
      <x:c r="BG123" s="32"/>
      <x:c r="BH123" s="32"/>
      <x:c r="BI123" s="32"/>
      <x:c r="BJ123" s="32"/>
      <x:c r="BK123" s="32"/>
      <x:c r="BL123" s="32"/>
      <x:c r="BM123" s="32"/>
    </x:row>
    <x:row r="124">
      <x:c r="A124" s="32"/>
      <x:c r="B124" s="32"/>
      <x:c r="C124" s="42"/>
      <x:c r="D124" s="32"/>
      <x:c r="E124" s="32"/>
      <x:c r="F124" s="32"/>
      <x:c r="G124" s="32"/>
      <x:c r="H124" s="32"/>
      <x:c r="I124" s="32"/>
      <x:c r="J124" s="32"/>
      <x:c r="K124" s="32"/>
      <x:c r="L124" s="32"/>
      <x:c r="M124" s="32"/>
      <x:c r="N124" s="32"/>
      <x:c r="O124" s="32"/>
      <x:c r="P124" s="32"/>
      <x:c r="Q124" s="32"/>
      <x:c r="R124" s="32"/>
      <x:c r="S124" s="32"/>
      <x:c r="T124" s="43" t="str">
        <x:f>IFERROR(S124/L124,"")</x:f>
      </x:c>
      <x:c r="U124" s="32"/>
      <x:c r="V124" s="32"/>
      <x:c r="W124" s="32"/>
      <x:c r="X124" s="32"/>
      <x:c r="Y124" s="32"/>
      <x:c r="Z124" s="32"/>
      <x:c r="AA124" s="32"/>
      <x:c r="AB124" s="32"/>
      <x:c r="AC124" s="32"/>
      <x:c r="AD124" s="32"/>
      <x:c r="AE124" s="32"/>
      <x:c r="AF124" s="32"/>
      <x:c r="AG124" s="32"/>
      <x:c r="AH124" s="32"/>
      <x:c r="AI124" s="32"/>
      <x:c r="AJ124" s="32"/>
      <x:c r="AK124" s="32"/>
      <x:c r="AL124" s="32"/>
      <x:c r="AM124" s="32"/>
      <x:c r="AN124" s="32"/>
      <x:c r="AO124" s="32"/>
      <x:c r="AP124" s="32"/>
      <x:c r="AQ124" s="32"/>
      <x:c r="AR124" s="32"/>
      <x:c r="AS124" s="32"/>
      <x:c r="AT124" s="32"/>
      <x:c r="AU124" s="32"/>
      <x:c r="AV124" s="32"/>
      <x:c r="AW124" s="32"/>
      <x:c r="AX124" s="32"/>
      <x:c r="AZ124" s="32"/>
      <x:c r="BA124" s="32"/>
      <x:c r="BB124" s="32"/>
      <x:c r="BC124" s="32"/>
      <x:c r="BD124" s="32"/>
      <x:c r="BE124" s="32"/>
      <x:c r="BF124" s="32"/>
      <x:c r="BG124" s="32"/>
      <x:c r="BH124" s="32"/>
      <x:c r="BI124" s="32"/>
      <x:c r="BJ124" s="32"/>
      <x:c r="BK124" s="32"/>
      <x:c r="BL124" s="32"/>
      <x:c r="BM124" s="32"/>
    </x:row>
    <x:row r="125">
      <x:c r="A125" s="32"/>
      <x:c r="B125" s="32"/>
      <x:c r="C125" s="42"/>
      <x:c r="D125" s="32"/>
      <x:c r="E125" s="32"/>
      <x:c r="F125" s="32"/>
      <x:c r="G125" s="32"/>
      <x:c r="H125" s="32"/>
      <x:c r="I125" s="32"/>
      <x:c r="J125" s="32"/>
      <x:c r="K125" s="32"/>
      <x:c r="L125" s="32"/>
      <x:c r="M125" s="32"/>
      <x:c r="N125" s="32"/>
      <x:c r="O125" s="32"/>
      <x:c r="P125" s="32"/>
      <x:c r="Q125" s="32"/>
      <x:c r="R125" s="32"/>
      <x:c r="S125" s="32"/>
      <x:c r="T125" s="43" t="str">
        <x:f>IFERROR(S125/L125,"")</x:f>
      </x:c>
      <x:c r="U125" s="32"/>
      <x:c r="V125" s="32"/>
      <x:c r="W125" s="32"/>
      <x:c r="X125" s="32"/>
      <x:c r="Y125" s="32"/>
      <x:c r="Z125" s="32"/>
      <x:c r="AA125" s="32"/>
      <x:c r="AB125" s="32"/>
      <x:c r="AC125" s="32"/>
      <x:c r="AD125" s="32"/>
      <x:c r="AE125" s="32"/>
      <x:c r="AF125" s="32"/>
      <x:c r="AG125" s="32"/>
      <x:c r="AH125" s="32"/>
      <x:c r="AI125" s="32"/>
      <x:c r="AJ125" s="32"/>
      <x:c r="AK125" s="32"/>
      <x:c r="AL125" s="32"/>
      <x:c r="AM125" s="32"/>
      <x:c r="AN125" s="32"/>
      <x:c r="AO125" s="32"/>
      <x:c r="AP125" s="32"/>
      <x:c r="AQ125" s="32"/>
      <x:c r="AR125" s="32"/>
      <x:c r="AS125" s="32"/>
      <x:c r="AT125" s="32"/>
      <x:c r="AU125" s="32"/>
      <x:c r="AV125" s="32"/>
      <x:c r="AW125" s="32"/>
      <x:c r="AX125" s="32"/>
      <x:c r="AZ125" s="32"/>
      <x:c r="BA125" s="32"/>
      <x:c r="BB125" s="32"/>
      <x:c r="BC125" s="32"/>
      <x:c r="BD125" s="32"/>
      <x:c r="BE125" s="32"/>
      <x:c r="BF125" s="32"/>
      <x:c r="BG125" s="32"/>
      <x:c r="BH125" s="32"/>
      <x:c r="BI125" s="32"/>
      <x:c r="BJ125" s="32"/>
      <x:c r="BK125" s="32"/>
      <x:c r="BL125" s="32"/>
      <x:c r="BM125" s="32"/>
    </x:row>
    <x:row r="126">
      <x:c r="A126" s="32"/>
      <x:c r="B126" s="32"/>
      <x:c r="C126" s="42"/>
      <x:c r="D126" s="32"/>
      <x:c r="E126" s="32"/>
      <x:c r="F126" s="32"/>
      <x:c r="G126" s="32"/>
      <x:c r="H126" s="32"/>
      <x:c r="I126" s="32"/>
      <x:c r="J126" s="32"/>
      <x:c r="K126" s="32"/>
      <x:c r="L126" s="32"/>
      <x:c r="M126" s="32"/>
      <x:c r="N126" s="32"/>
      <x:c r="O126" s="32"/>
      <x:c r="P126" s="32"/>
      <x:c r="Q126" s="32"/>
      <x:c r="R126" s="32"/>
      <x:c r="S126" s="32"/>
      <x:c r="T126" s="43" t="str">
        <x:f>IFERROR(S126/L126,"")</x:f>
      </x:c>
      <x:c r="U126" s="32"/>
      <x:c r="V126" s="32"/>
      <x:c r="W126" s="32"/>
      <x:c r="X126" s="32"/>
      <x:c r="Y126" s="32"/>
      <x:c r="Z126" s="32"/>
      <x:c r="AA126" s="32"/>
      <x:c r="AB126" s="32"/>
      <x:c r="AC126" s="32"/>
      <x:c r="AD126" s="32"/>
      <x:c r="AE126" s="32"/>
      <x:c r="AF126" s="32"/>
      <x:c r="AG126" s="32"/>
      <x:c r="AH126" s="32"/>
      <x:c r="AI126" s="32"/>
      <x:c r="AJ126" s="32"/>
      <x:c r="AK126" s="32"/>
      <x:c r="AL126" s="32"/>
      <x:c r="AM126" s="32"/>
      <x:c r="AN126" s="32"/>
      <x:c r="AO126" s="32"/>
      <x:c r="AP126" s="32"/>
      <x:c r="AQ126" s="32"/>
      <x:c r="AR126" s="32"/>
      <x:c r="AS126" s="32"/>
      <x:c r="AT126" s="32"/>
      <x:c r="AU126" s="32"/>
      <x:c r="AV126" s="32"/>
      <x:c r="AW126" s="32"/>
      <x:c r="AX126" s="32"/>
      <x:c r="AZ126" s="32"/>
      <x:c r="BA126" s="32"/>
      <x:c r="BB126" s="32"/>
      <x:c r="BC126" s="32"/>
      <x:c r="BD126" s="32"/>
      <x:c r="BE126" s="32"/>
      <x:c r="BF126" s="32"/>
      <x:c r="BG126" s="32"/>
      <x:c r="BH126" s="32"/>
      <x:c r="BI126" s="32"/>
      <x:c r="BJ126" s="32"/>
      <x:c r="BK126" s="32"/>
      <x:c r="BL126" s="32"/>
      <x:c r="BM126" s="32"/>
    </x:row>
    <x:row r="127">
      <x:c r="A127" s="32"/>
      <x:c r="B127" s="32"/>
      <x:c r="C127" s="42"/>
      <x:c r="D127" s="32"/>
      <x:c r="E127" s="32"/>
      <x:c r="F127" s="32"/>
      <x:c r="G127" s="32"/>
      <x:c r="H127" s="32"/>
      <x:c r="I127" s="32"/>
      <x:c r="J127" s="32"/>
      <x:c r="K127" s="32"/>
      <x:c r="L127" s="32"/>
      <x:c r="M127" s="32"/>
      <x:c r="N127" s="32"/>
      <x:c r="O127" s="32"/>
      <x:c r="P127" s="32"/>
      <x:c r="Q127" s="32"/>
      <x:c r="R127" s="32"/>
      <x:c r="S127" s="32"/>
      <x:c r="T127" s="43" t="str">
        <x:f>IFERROR(S127/L127,"")</x:f>
      </x:c>
      <x:c r="U127" s="32"/>
      <x:c r="V127" s="32"/>
      <x:c r="W127" s="32"/>
      <x:c r="X127" s="32"/>
      <x:c r="Y127" s="32"/>
      <x:c r="Z127" s="32"/>
      <x:c r="AA127" s="32"/>
      <x:c r="AB127" s="32"/>
      <x:c r="AC127" s="32"/>
      <x:c r="AD127" s="32"/>
      <x:c r="AE127" s="32"/>
      <x:c r="AF127" s="32"/>
      <x:c r="AG127" s="32"/>
      <x:c r="AH127" s="32"/>
      <x:c r="AI127" s="32"/>
      <x:c r="AJ127" s="32"/>
      <x:c r="AK127" s="32"/>
      <x:c r="AL127" s="32"/>
      <x:c r="AM127" s="32"/>
      <x:c r="AN127" s="32"/>
      <x:c r="AO127" s="32"/>
      <x:c r="AP127" s="32"/>
      <x:c r="AQ127" s="32"/>
      <x:c r="AR127" s="32"/>
      <x:c r="AS127" s="32"/>
      <x:c r="AT127" s="32"/>
      <x:c r="AU127" s="32"/>
      <x:c r="AV127" s="32"/>
      <x:c r="AW127" s="32"/>
      <x:c r="AX127" s="32"/>
      <x:c r="AZ127" s="32"/>
      <x:c r="BA127" s="32"/>
      <x:c r="BB127" s="32"/>
      <x:c r="BC127" s="32"/>
      <x:c r="BD127" s="32"/>
      <x:c r="BE127" s="32"/>
      <x:c r="BF127" s="32"/>
      <x:c r="BG127" s="32"/>
      <x:c r="BH127" s="32"/>
      <x:c r="BI127" s="32"/>
      <x:c r="BJ127" s="32"/>
      <x:c r="BK127" s="32"/>
      <x:c r="BL127" s="32"/>
      <x:c r="BM127" s="32"/>
    </x:row>
    <x:row r="128">
      <x:c r="A128" s="32"/>
      <x:c r="B128" s="32"/>
      <x:c r="C128" s="42"/>
      <x:c r="D128" s="32"/>
      <x:c r="E128" s="32"/>
      <x:c r="F128" s="32"/>
      <x:c r="G128" s="32"/>
      <x:c r="H128" s="32"/>
      <x:c r="I128" s="32"/>
      <x:c r="J128" s="32"/>
      <x:c r="K128" s="32"/>
      <x:c r="L128" s="32"/>
      <x:c r="M128" s="32"/>
      <x:c r="N128" s="32"/>
      <x:c r="O128" s="32"/>
      <x:c r="P128" s="32"/>
      <x:c r="Q128" s="32"/>
      <x:c r="R128" s="32"/>
      <x:c r="S128" s="32"/>
      <x:c r="T128" s="43" t="str">
        <x:f>IFERROR(S128/L128,"")</x:f>
      </x:c>
      <x:c r="U128" s="32"/>
      <x:c r="V128" s="32"/>
      <x:c r="W128" s="32"/>
      <x:c r="X128" s="32"/>
      <x:c r="Y128" s="32"/>
      <x:c r="Z128" s="32"/>
      <x:c r="AA128" s="32"/>
      <x:c r="AB128" s="32"/>
      <x:c r="AC128" s="32"/>
      <x:c r="AD128" s="32"/>
      <x:c r="AE128" s="32"/>
      <x:c r="AF128" s="32"/>
      <x:c r="AG128" s="32"/>
      <x:c r="AH128" s="32"/>
      <x:c r="AI128" s="32"/>
      <x:c r="AJ128" s="32"/>
      <x:c r="AK128" s="32"/>
      <x:c r="AL128" s="32"/>
      <x:c r="AM128" s="32"/>
      <x:c r="AN128" s="32"/>
      <x:c r="AO128" s="32"/>
      <x:c r="AP128" s="32"/>
      <x:c r="AQ128" s="32"/>
      <x:c r="AR128" s="32"/>
      <x:c r="AS128" s="32"/>
      <x:c r="AT128" s="32"/>
      <x:c r="AU128" s="32"/>
      <x:c r="AV128" s="32"/>
      <x:c r="AW128" s="32"/>
      <x:c r="AX128" s="32"/>
      <x:c r="AZ128" s="32"/>
      <x:c r="BA128" s="32"/>
      <x:c r="BB128" s="32"/>
      <x:c r="BC128" s="32"/>
      <x:c r="BD128" s="32"/>
      <x:c r="BE128" s="32"/>
      <x:c r="BF128" s="32"/>
      <x:c r="BG128" s="32"/>
      <x:c r="BH128" s="32"/>
      <x:c r="BI128" s="32"/>
      <x:c r="BJ128" s="32"/>
      <x:c r="BK128" s="32"/>
      <x:c r="BL128" s="32"/>
      <x:c r="BM128" s="32"/>
    </x:row>
    <x:row r="129">
      <x:c r="A129" s="32"/>
      <x:c r="B129" s="32"/>
      <x:c r="C129" s="42"/>
      <x:c r="D129" s="32"/>
      <x:c r="E129" s="32"/>
      <x:c r="F129" s="32"/>
      <x:c r="G129" s="32"/>
      <x:c r="H129" s="32"/>
      <x:c r="I129" s="32"/>
      <x:c r="J129" s="32"/>
      <x:c r="K129" s="32"/>
      <x:c r="L129" s="32"/>
      <x:c r="M129" s="32"/>
      <x:c r="N129" s="32"/>
      <x:c r="O129" s="32"/>
      <x:c r="P129" s="32"/>
      <x:c r="Q129" s="32"/>
      <x:c r="R129" s="32"/>
      <x:c r="S129" s="32"/>
      <x:c r="T129" s="43" t="str">
        <x:f>IFERROR(S129/L129,"")</x:f>
      </x:c>
      <x:c r="U129" s="32"/>
      <x:c r="V129" s="32"/>
      <x:c r="W129" s="32"/>
      <x:c r="X129" s="32"/>
      <x:c r="Y129" s="32"/>
      <x:c r="Z129" s="32"/>
      <x:c r="AA129" s="32"/>
      <x:c r="AB129" s="32"/>
      <x:c r="AC129" s="32"/>
      <x:c r="AD129" s="32"/>
      <x:c r="AE129" s="32"/>
      <x:c r="AF129" s="32"/>
      <x:c r="AG129" s="32"/>
      <x:c r="AH129" s="32"/>
      <x:c r="AI129" s="32"/>
      <x:c r="AJ129" s="32"/>
      <x:c r="AK129" s="32"/>
      <x:c r="AL129" s="32"/>
      <x:c r="AM129" s="32"/>
      <x:c r="AN129" s="32"/>
      <x:c r="AO129" s="32"/>
      <x:c r="AP129" s="32"/>
      <x:c r="AQ129" s="32"/>
      <x:c r="AR129" s="32"/>
      <x:c r="AS129" s="32"/>
      <x:c r="AT129" s="32"/>
      <x:c r="AU129" s="32"/>
      <x:c r="AV129" s="32"/>
      <x:c r="AW129" s="32"/>
      <x:c r="AX129" s="32"/>
      <x:c r="AZ129" s="32"/>
      <x:c r="BA129" s="32"/>
      <x:c r="BB129" s="32"/>
      <x:c r="BC129" s="32"/>
      <x:c r="BD129" s="32"/>
      <x:c r="BE129" s="32"/>
      <x:c r="BF129" s="32"/>
      <x:c r="BG129" s="32"/>
      <x:c r="BH129" s="32"/>
      <x:c r="BI129" s="32"/>
      <x:c r="BJ129" s="32"/>
      <x:c r="BK129" s="32"/>
      <x:c r="BL129" s="32"/>
      <x:c r="BM129" s="32"/>
    </x:row>
    <x:row r="130">
      <x:c r="A130" s="32"/>
      <x:c r="B130" s="32"/>
      <x:c r="C130" s="42"/>
      <x:c r="D130" s="32"/>
      <x:c r="E130" s="32"/>
      <x:c r="F130" s="32"/>
      <x:c r="G130" s="32"/>
      <x:c r="H130" s="32"/>
      <x:c r="I130" s="32"/>
      <x:c r="J130" s="32"/>
      <x:c r="K130" s="32"/>
      <x:c r="L130" s="32"/>
      <x:c r="M130" s="32"/>
      <x:c r="N130" s="32"/>
      <x:c r="O130" s="32"/>
      <x:c r="P130" s="32"/>
      <x:c r="Q130" s="32"/>
      <x:c r="R130" s="32"/>
      <x:c r="S130" s="32"/>
      <x:c r="T130" s="43" t="str">
        <x:f>IFERROR(S130/L130,"")</x:f>
      </x:c>
      <x:c r="U130" s="32"/>
      <x:c r="V130" s="32"/>
      <x:c r="W130" s="32"/>
      <x:c r="X130" s="32"/>
      <x:c r="Y130" s="32"/>
      <x:c r="Z130" s="32"/>
      <x:c r="AA130" s="32"/>
      <x:c r="AB130" s="32"/>
      <x:c r="AC130" s="32"/>
      <x:c r="AD130" s="32"/>
      <x:c r="AE130" s="32"/>
      <x:c r="AF130" s="32"/>
      <x:c r="AG130" s="32"/>
      <x:c r="AH130" s="32"/>
      <x:c r="AI130" s="32"/>
      <x:c r="AJ130" s="32"/>
      <x:c r="AK130" s="32"/>
      <x:c r="AL130" s="32"/>
      <x:c r="AM130" s="32"/>
      <x:c r="AN130" s="32"/>
      <x:c r="AO130" s="32"/>
      <x:c r="AP130" s="32"/>
      <x:c r="AQ130" s="32"/>
      <x:c r="AR130" s="32"/>
      <x:c r="AS130" s="32"/>
      <x:c r="AT130" s="32"/>
      <x:c r="AU130" s="32"/>
      <x:c r="AV130" s="32"/>
      <x:c r="AW130" s="32"/>
      <x:c r="AX130" s="32"/>
      <x:c r="AZ130" s="32"/>
      <x:c r="BA130" s="32"/>
      <x:c r="BB130" s="32"/>
      <x:c r="BC130" s="32"/>
      <x:c r="BD130" s="32"/>
      <x:c r="BE130" s="32"/>
      <x:c r="BF130" s="32"/>
      <x:c r="BG130" s="32"/>
      <x:c r="BH130" s="32"/>
      <x:c r="BI130" s="32"/>
      <x:c r="BJ130" s="32"/>
      <x:c r="BK130" s="32"/>
      <x:c r="BL130" s="32"/>
      <x:c r="BM130" s="32"/>
    </x:row>
    <x:row r="131">
      <x:c r="A131" s="32"/>
      <x:c r="B131" s="32"/>
      <x:c r="C131" s="42"/>
      <x:c r="D131" s="32"/>
      <x:c r="E131" s="32"/>
      <x:c r="F131" s="32"/>
      <x:c r="G131" s="32"/>
      <x:c r="H131" s="32"/>
      <x:c r="I131" s="32"/>
      <x:c r="J131" s="32"/>
      <x:c r="K131" s="32"/>
      <x:c r="L131" s="32"/>
      <x:c r="M131" s="32"/>
      <x:c r="N131" s="32"/>
      <x:c r="O131" s="32"/>
      <x:c r="P131" s="32"/>
      <x:c r="Q131" s="32"/>
      <x:c r="R131" s="32"/>
      <x:c r="S131" s="32"/>
      <x:c r="T131" s="43" t="str">
        <x:f>IFERROR(S131/L131,"")</x:f>
      </x:c>
      <x:c r="U131" s="32"/>
      <x:c r="V131" s="32"/>
      <x:c r="W131" s="32"/>
      <x:c r="X131" s="32"/>
      <x:c r="Y131" s="32"/>
      <x:c r="Z131" s="32"/>
      <x:c r="AA131" s="32"/>
      <x:c r="AB131" s="32"/>
      <x:c r="AC131" s="32"/>
      <x:c r="AD131" s="32"/>
      <x:c r="AE131" s="32"/>
      <x:c r="AF131" s="32"/>
      <x:c r="AG131" s="32"/>
      <x:c r="AH131" s="32"/>
      <x:c r="AI131" s="32"/>
      <x:c r="AJ131" s="32"/>
      <x:c r="AK131" s="32"/>
      <x:c r="AL131" s="32"/>
      <x:c r="AM131" s="32"/>
      <x:c r="AN131" s="32"/>
      <x:c r="AO131" s="32"/>
      <x:c r="AP131" s="32"/>
      <x:c r="AQ131" s="32"/>
      <x:c r="AR131" s="32"/>
      <x:c r="AS131" s="32"/>
      <x:c r="AT131" s="32"/>
      <x:c r="AU131" s="32"/>
      <x:c r="AV131" s="32"/>
      <x:c r="AW131" s="32"/>
      <x:c r="AX131" s="32"/>
      <x:c r="AZ131" s="32"/>
      <x:c r="BA131" s="32"/>
      <x:c r="BB131" s="32"/>
      <x:c r="BC131" s="32"/>
      <x:c r="BD131" s="32"/>
      <x:c r="BE131" s="32"/>
      <x:c r="BF131" s="32"/>
      <x:c r="BG131" s="32"/>
      <x:c r="BH131" s="32"/>
      <x:c r="BI131" s="32"/>
      <x:c r="BJ131" s="32"/>
      <x:c r="BK131" s="32"/>
      <x:c r="BL131" s="32"/>
      <x:c r="BM131" s="32"/>
    </x:row>
    <x:row r="132">
      <x:c r="A132" s="32"/>
      <x:c r="B132" s="32"/>
      <x:c r="C132" s="42"/>
      <x:c r="D132" s="32"/>
      <x:c r="E132" s="32"/>
      <x:c r="F132" s="32"/>
      <x:c r="G132" s="32"/>
      <x:c r="H132" s="32"/>
      <x:c r="I132" s="32"/>
      <x:c r="J132" s="32"/>
      <x:c r="K132" s="32"/>
      <x:c r="L132" s="32"/>
      <x:c r="M132" s="32"/>
      <x:c r="N132" s="32"/>
      <x:c r="O132" s="32"/>
      <x:c r="P132" s="32"/>
      <x:c r="Q132" s="32"/>
      <x:c r="R132" s="32"/>
      <x:c r="S132" s="32"/>
      <x:c r="T132" s="43" t="str">
        <x:f>IFERROR(S132/L132,"")</x:f>
      </x:c>
      <x:c r="U132" s="32"/>
      <x:c r="V132" s="32"/>
      <x:c r="W132" s="32"/>
      <x:c r="X132" s="32"/>
      <x:c r="Y132" s="32"/>
      <x:c r="Z132" s="32"/>
      <x:c r="AA132" s="32"/>
      <x:c r="AB132" s="32"/>
      <x:c r="AC132" s="32"/>
      <x:c r="AD132" s="32"/>
      <x:c r="AE132" s="32"/>
      <x:c r="AF132" s="32"/>
      <x:c r="AG132" s="32"/>
      <x:c r="AH132" s="32"/>
      <x:c r="AI132" s="32"/>
      <x:c r="AJ132" s="32"/>
      <x:c r="AK132" s="32"/>
      <x:c r="AL132" s="32"/>
      <x:c r="AM132" s="32"/>
      <x:c r="AN132" s="32"/>
      <x:c r="AO132" s="32"/>
      <x:c r="AP132" s="32"/>
      <x:c r="AQ132" s="32"/>
      <x:c r="AR132" s="32"/>
      <x:c r="AS132" s="32"/>
      <x:c r="AT132" s="32"/>
      <x:c r="AU132" s="32"/>
      <x:c r="AV132" s="32"/>
      <x:c r="AW132" s="32"/>
      <x:c r="AX132" s="32"/>
      <x:c r="AZ132" s="32"/>
      <x:c r="BA132" s="32"/>
      <x:c r="BB132" s="32"/>
      <x:c r="BC132" s="32"/>
      <x:c r="BD132" s="32"/>
      <x:c r="BE132" s="32"/>
      <x:c r="BF132" s="32"/>
      <x:c r="BG132" s="32"/>
      <x:c r="BH132" s="32"/>
      <x:c r="BI132" s="32"/>
      <x:c r="BJ132" s="32"/>
      <x:c r="BK132" s="32"/>
      <x:c r="BL132" s="32"/>
      <x:c r="BM132" s="32"/>
    </x:row>
    <x:row r="133">
      <x:c r="A133" s="32"/>
      <x:c r="B133" s="32"/>
      <x:c r="C133" s="42"/>
      <x:c r="D133" s="32"/>
      <x:c r="E133" s="32"/>
      <x:c r="F133" s="32"/>
      <x:c r="G133" s="32"/>
      <x:c r="H133" s="32"/>
      <x:c r="I133" s="32"/>
      <x:c r="J133" s="32"/>
      <x:c r="K133" s="32"/>
      <x:c r="L133" s="32"/>
      <x:c r="M133" s="32"/>
      <x:c r="N133" s="32"/>
      <x:c r="O133" s="32"/>
      <x:c r="P133" s="32"/>
      <x:c r="Q133" s="32"/>
      <x:c r="R133" s="32"/>
      <x:c r="S133" s="32"/>
      <x:c r="T133" s="43" t="str">
        <x:f>IFERROR(S133/L133,"")</x:f>
      </x:c>
      <x:c r="U133" s="32"/>
      <x:c r="V133" s="32"/>
      <x:c r="W133" s="32"/>
      <x:c r="X133" s="32"/>
      <x:c r="Y133" s="32"/>
      <x:c r="Z133" s="32"/>
      <x:c r="AA133" s="32"/>
      <x:c r="AB133" s="32"/>
      <x:c r="AC133" s="32"/>
      <x:c r="AD133" s="32"/>
      <x:c r="AE133" s="32"/>
      <x:c r="AF133" s="32"/>
      <x:c r="AG133" s="32"/>
      <x:c r="AH133" s="32"/>
      <x:c r="AI133" s="32"/>
      <x:c r="AJ133" s="32"/>
      <x:c r="AK133" s="32"/>
      <x:c r="AL133" s="32"/>
      <x:c r="AM133" s="32"/>
      <x:c r="AN133" s="32"/>
      <x:c r="AO133" s="32"/>
      <x:c r="AP133" s="32"/>
      <x:c r="AQ133" s="32"/>
      <x:c r="AR133" s="32"/>
      <x:c r="AS133" s="32"/>
      <x:c r="AT133" s="32"/>
      <x:c r="AU133" s="32"/>
      <x:c r="AV133" s="32"/>
      <x:c r="AW133" s="32"/>
      <x:c r="AX133" s="32"/>
      <x:c r="AZ133" s="32"/>
      <x:c r="BA133" s="32"/>
      <x:c r="BB133" s="32"/>
      <x:c r="BC133" s="32"/>
      <x:c r="BD133" s="32"/>
      <x:c r="BE133" s="32"/>
      <x:c r="BF133" s="32"/>
      <x:c r="BG133" s="32"/>
      <x:c r="BH133" s="32"/>
      <x:c r="BI133" s="32"/>
      <x:c r="BJ133" s="32"/>
      <x:c r="BK133" s="32"/>
      <x:c r="BL133" s="32"/>
      <x:c r="BM133" s="32"/>
    </x:row>
    <x:row r="134">
      <x:c r="A134" s="32"/>
      <x:c r="B134" s="32"/>
      <x:c r="C134" s="42"/>
      <x:c r="D134" s="32"/>
      <x:c r="E134" s="32"/>
      <x:c r="F134" s="32"/>
      <x:c r="G134" s="32"/>
      <x:c r="H134" s="32"/>
      <x:c r="I134" s="32"/>
      <x:c r="J134" s="32"/>
      <x:c r="K134" s="32"/>
      <x:c r="L134" s="32"/>
      <x:c r="M134" s="32"/>
      <x:c r="N134" s="32"/>
      <x:c r="O134" s="32"/>
      <x:c r="P134" s="32"/>
      <x:c r="Q134" s="32"/>
      <x:c r="R134" s="32"/>
      <x:c r="S134" s="32"/>
      <x:c r="T134" s="43" t="str">
        <x:f>IFERROR(S134/L134,"")</x:f>
      </x:c>
      <x:c r="U134" s="32"/>
      <x:c r="V134" s="32"/>
      <x:c r="W134" s="32"/>
      <x:c r="X134" s="32"/>
      <x:c r="Y134" s="32"/>
      <x:c r="Z134" s="32"/>
      <x:c r="AA134" s="32"/>
      <x:c r="AB134" s="32"/>
      <x:c r="AC134" s="32"/>
      <x:c r="AD134" s="32"/>
      <x:c r="AE134" s="32"/>
      <x:c r="AF134" s="32"/>
      <x:c r="AG134" s="32"/>
      <x:c r="AH134" s="32"/>
      <x:c r="AI134" s="32"/>
      <x:c r="AJ134" s="32"/>
      <x:c r="AK134" s="32"/>
      <x:c r="AL134" s="32"/>
      <x:c r="AM134" s="32"/>
      <x:c r="AN134" s="32"/>
      <x:c r="AO134" s="32"/>
      <x:c r="AP134" s="32"/>
      <x:c r="AQ134" s="32"/>
      <x:c r="AR134" s="32"/>
      <x:c r="AS134" s="32"/>
      <x:c r="AT134" s="32"/>
      <x:c r="AU134" s="32"/>
      <x:c r="AV134" s="32"/>
      <x:c r="AW134" s="32"/>
      <x:c r="AX134" s="32"/>
      <x:c r="AZ134" s="32"/>
      <x:c r="BA134" s="32"/>
      <x:c r="BB134" s="32"/>
      <x:c r="BC134" s="32"/>
      <x:c r="BD134" s="32"/>
      <x:c r="BE134" s="32"/>
      <x:c r="BF134" s="32"/>
      <x:c r="BG134" s="32"/>
      <x:c r="BH134" s="32"/>
      <x:c r="BI134" s="32"/>
      <x:c r="BJ134" s="32"/>
      <x:c r="BK134" s="32"/>
      <x:c r="BL134" s="32"/>
      <x:c r="BM134" s="32"/>
    </x:row>
    <x:row r="135">
      <x:c r="A135" s="32"/>
      <x:c r="B135" s="32"/>
      <x:c r="C135" s="42"/>
      <x:c r="D135" s="32"/>
      <x:c r="E135" s="32"/>
      <x:c r="F135" s="32"/>
      <x:c r="G135" s="32"/>
      <x:c r="H135" s="32"/>
      <x:c r="I135" s="32"/>
      <x:c r="J135" s="32"/>
      <x:c r="K135" s="32"/>
      <x:c r="L135" s="32"/>
      <x:c r="M135" s="32"/>
      <x:c r="N135" s="32"/>
      <x:c r="O135" s="32"/>
      <x:c r="P135" s="32"/>
      <x:c r="Q135" s="32"/>
      <x:c r="R135" s="32"/>
      <x:c r="S135" s="32"/>
      <x:c r="T135" s="43" t="str">
        <x:f>IFERROR(S135/L135,"")</x:f>
      </x:c>
      <x:c r="U135" s="32"/>
      <x:c r="V135" s="32"/>
      <x:c r="W135" s="32"/>
      <x:c r="X135" s="32"/>
      <x:c r="Y135" s="32"/>
      <x:c r="Z135" s="32"/>
      <x:c r="AA135" s="32"/>
      <x:c r="AB135" s="32"/>
      <x:c r="AC135" s="32"/>
      <x:c r="AD135" s="32"/>
      <x:c r="AE135" s="32"/>
      <x:c r="AF135" s="32"/>
      <x:c r="AG135" s="32"/>
      <x:c r="AH135" s="32"/>
      <x:c r="AI135" s="32"/>
      <x:c r="AJ135" s="32"/>
      <x:c r="AK135" s="32"/>
      <x:c r="AL135" s="32"/>
      <x:c r="AM135" s="32"/>
      <x:c r="AN135" s="32"/>
      <x:c r="AO135" s="32"/>
      <x:c r="AP135" s="32"/>
      <x:c r="AQ135" s="32"/>
      <x:c r="AR135" s="32"/>
      <x:c r="AS135" s="32"/>
      <x:c r="AT135" s="32"/>
      <x:c r="AU135" s="32"/>
      <x:c r="AV135" s="32"/>
      <x:c r="AW135" s="32"/>
      <x:c r="AX135" s="32"/>
      <x:c r="AZ135" s="32"/>
      <x:c r="BA135" s="32"/>
      <x:c r="BB135" s="32"/>
      <x:c r="BC135" s="32"/>
      <x:c r="BD135" s="32"/>
      <x:c r="BE135" s="32"/>
      <x:c r="BF135" s="32"/>
      <x:c r="BG135" s="32"/>
      <x:c r="BH135" s="32"/>
      <x:c r="BI135" s="32"/>
      <x:c r="BJ135" s="32"/>
      <x:c r="BK135" s="32"/>
      <x:c r="BL135" s="32"/>
      <x:c r="BM135" s="32"/>
    </x:row>
    <x:row r="136">
      <x:c r="A136" s="32"/>
      <x:c r="B136" s="32"/>
      <x:c r="C136" s="42"/>
      <x:c r="D136" s="32"/>
      <x:c r="E136" s="32"/>
      <x:c r="F136" s="32"/>
      <x:c r="G136" s="32"/>
      <x:c r="H136" s="32"/>
      <x:c r="I136" s="32"/>
      <x:c r="J136" s="32"/>
      <x:c r="K136" s="32"/>
      <x:c r="L136" s="32"/>
      <x:c r="M136" s="32"/>
      <x:c r="N136" s="32"/>
      <x:c r="O136" s="32"/>
      <x:c r="P136" s="32"/>
      <x:c r="Q136" s="32"/>
      <x:c r="R136" s="32"/>
      <x:c r="S136" s="32"/>
      <x:c r="T136" s="43" t="str">
        <x:f>IFERROR(S136/L136,"")</x:f>
      </x:c>
      <x:c r="U136" s="32"/>
      <x:c r="V136" s="32"/>
      <x:c r="W136" s="32"/>
      <x:c r="X136" s="32"/>
      <x:c r="Y136" s="32"/>
      <x:c r="Z136" s="32"/>
      <x:c r="AA136" s="32"/>
      <x:c r="AB136" s="32"/>
      <x:c r="AC136" s="32"/>
      <x:c r="AD136" s="32"/>
      <x:c r="AE136" s="32"/>
      <x:c r="AF136" s="32"/>
      <x:c r="AG136" s="32"/>
      <x:c r="AH136" s="32"/>
      <x:c r="AI136" s="32"/>
      <x:c r="AJ136" s="32"/>
      <x:c r="AK136" s="32"/>
      <x:c r="AL136" s="32"/>
      <x:c r="AM136" s="32"/>
      <x:c r="AN136" s="32"/>
      <x:c r="AO136" s="32"/>
      <x:c r="AP136" s="32"/>
      <x:c r="AQ136" s="32"/>
      <x:c r="AR136" s="32"/>
      <x:c r="AS136" s="32"/>
      <x:c r="AT136" s="32"/>
      <x:c r="AU136" s="32"/>
      <x:c r="AV136" s="32"/>
      <x:c r="AW136" s="32"/>
      <x:c r="AX136" s="32"/>
      <x:c r="AZ136" s="32"/>
      <x:c r="BA136" s="32"/>
      <x:c r="BB136" s="32"/>
      <x:c r="BC136" s="32"/>
      <x:c r="BD136" s="32"/>
      <x:c r="BE136" s="32"/>
      <x:c r="BF136" s="32"/>
      <x:c r="BG136" s="32"/>
      <x:c r="BH136" s="32"/>
      <x:c r="BI136" s="32"/>
      <x:c r="BJ136" s="32"/>
      <x:c r="BK136" s="32"/>
      <x:c r="BL136" s="32"/>
      <x:c r="BM136" s="32"/>
    </x:row>
    <x:row r="137">
      <x:c r="A137" s="32"/>
      <x:c r="B137" s="32"/>
      <x:c r="C137" s="42"/>
      <x:c r="D137" s="32"/>
      <x:c r="E137" s="32"/>
      <x:c r="F137" s="32"/>
      <x:c r="G137" s="32"/>
      <x:c r="H137" s="32"/>
      <x:c r="I137" s="32"/>
      <x:c r="J137" s="32"/>
      <x:c r="K137" s="32"/>
      <x:c r="L137" s="32"/>
      <x:c r="M137" s="32"/>
      <x:c r="N137" s="32"/>
      <x:c r="O137" s="32"/>
      <x:c r="P137" s="32"/>
      <x:c r="Q137" s="32"/>
      <x:c r="R137" s="32"/>
      <x:c r="S137" s="32"/>
      <x:c r="T137" s="43" t="str">
        <x:f>IFERROR(S137/L137,"")</x:f>
      </x:c>
      <x:c r="U137" s="32"/>
      <x:c r="V137" s="32"/>
      <x:c r="W137" s="32"/>
      <x:c r="X137" s="32"/>
      <x:c r="Y137" s="32"/>
      <x:c r="Z137" s="32"/>
      <x:c r="AA137" s="32"/>
      <x:c r="AB137" s="32"/>
      <x:c r="AC137" s="32"/>
      <x:c r="AD137" s="32"/>
      <x:c r="AE137" s="32"/>
      <x:c r="AF137" s="32"/>
      <x:c r="AG137" s="32"/>
      <x:c r="AH137" s="32"/>
      <x:c r="AI137" s="32"/>
      <x:c r="AJ137" s="32"/>
      <x:c r="AK137" s="32"/>
      <x:c r="AL137" s="32"/>
      <x:c r="AM137" s="32"/>
      <x:c r="AN137" s="32"/>
      <x:c r="AO137" s="32"/>
      <x:c r="AP137" s="32"/>
      <x:c r="AQ137" s="32"/>
      <x:c r="AR137" s="32"/>
      <x:c r="AS137" s="32"/>
      <x:c r="AT137" s="32"/>
      <x:c r="AU137" s="32"/>
      <x:c r="AV137" s="32"/>
      <x:c r="AW137" s="32"/>
      <x:c r="AX137" s="32"/>
      <x:c r="AZ137" s="32"/>
      <x:c r="BA137" s="32"/>
      <x:c r="BB137" s="32"/>
      <x:c r="BC137" s="32"/>
      <x:c r="BD137" s="32"/>
      <x:c r="BE137" s="32"/>
      <x:c r="BF137" s="32"/>
      <x:c r="BG137" s="32"/>
      <x:c r="BH137" s="32"/>
      <x:c r="BI137" s="32"/>
      <x:c r="BJ137" s="32"/>
      <x:c r="BK137" s="32"/>
      <x:c r="BL137" s="32"/>
      <x:c r="BM137" s="32"/>
    </x:row>
    <x:row r="138">
      <x:c r="A138" s="32"/>
      <x:c r="B138" s="32"/>
      <x:c r="C138" s="42"/>
      <x:c r="D138" s="32"/>
      <x:c r="E138" s="32"/>
      <x:c r="F138" s="32"/>
      <x:c r="G138" s="32"/>
      <x:c r="H138" s="32"/>
      <x:c r="I138" s="32"/>
      <x:c r="J138" s="32"/>
      <x:c r="K138" s="32"/>
      <x:c r="L138" s="32"/>
      <x:c r="M138" s="32"/>
      <x:c r="N138" s="32"/>
      <x:c r="O138" s="32"/>
      <x:c r="P138" s="32"/>
      <x:c r="Q138" s="32"/>
      <x:c r="R138" s="32"/>
      <x:c r="S138" s="32"/>
      <x:c r="T138" s="43" t="str">
        <x:f>IFERROR(S138/L138,"")</x:f>
      </x:c>
      <x:c r="U138" s="32"/>
      <x:c r="V138" s="32"/>
      <x:c r="W138" s="32"/>
      <x:c r="X138" s="32"/>
      <x:c r="Y138" s="32"/>
      <x:c r="Z138" s="32"/>
      <x:c r="AA138" s="32"/>
      <x:c r="AB138" s="32"/>
      <x:c r="AC138" s="32"/>
      <x:c r="AD138" s="32"/>
      <x:c r="AE138" s="32"/>
      <x:c r="AF138" s="32"/>
      <x:c r="AG138" s="32"/>
      <x:c r="AH138" s="32"/>
      <x:c r="AI138" s="32"/>
      <x:c r="AJ138" s="32"/>
      <x:c r="AK138" s="32"/>
      <x:c r="AL138" s="32"/>
      <x:c r="AM138" s="32"/>
      <x:c r="AN138" s="32"/>
      <x:c r="AO138" s="32"/>
      <x:c r="AP138" s="32"/>
      <x:c r="AQ138" s="32"/>
      <x:c r="AR138" s="32"/>
      <x:c r="AS138" s="32"/>
      <x:c r="AT138" s="32"/>
      <x:c r="AU138" s="32"/>
      <x:c r="AV138" s="32"/>
      <x:c r="AW138" s="32"/>
      <x:c r="AX138" s="32"/>
      <x:c r="AZ138" s="32"/>
      <x:c r="BA138" s="32"/>
      <x:c r="BB138" s="32"/>
      <x:c r="BC138" s="32"/>
      <x:c r="BD138" s="32"/>
      <x:c r="BE138" s="32"/>
      <x:c r="BF138" s="32"/>
      <x:c r="BG138" s="32"/>
      <x:c r="BH138" s="32"/>
      <x:c r="BI138" s="32"/>
      <x:c r="BJ138" s="32"/>
      <x:c r="BK138" s="32"/>
      <x:c r="BL138" s="32"/>
      <x:c r="BM138" s="32"/>
    </x:row>
    <x:row r="139">
      <x:c r="A139" s="32"/>
      <x:c r="B139" s="32"/>
      <x:c r="C139" s="42"/>
      <x:c r="D139" s="32"/>
      <x:c r="E139" s="32"/>
      <x:c r="F139" s="32"/>
      <x:c r="G139" s="32"/>
      <x:c r="H139" s="32"/>
      <x:c r="I139" s="32"/>
      <x:c r="J139" s="32"/>
      <x:c r="K139" s="32"/>
      <x:c r="L139" s="32"/>
      <x:c r="M139" s="32"/>
      <x:c r="N139" s="32"/>
      <x:c r="O139" s="32"/>
      <x:c r="P139" s="32"/>
      <x:c r="Q139" s="32"/>
      <x:c r="R139" s="32"/>
      <x:c r="S139" s="32"/>
      <x:c r="T139" s="43" t="str">
        <x:f>IFERROR(S139/L139,"")</x:f>
      </x:c>
      <x:c r="U139" s="32"/>
      <x:c r="V139" s="32"/>
      <x:c r="W139" s="32"/>
      <x:c r="X139" s="32"/>
      <x:c r="Y139" s="32"/>
      <x:c r="Z139" s="32"/>
      <x:c r="AA139" s="32"/>
      <x:c r="AB139" s="32"/>
      <x:c r="AC139" s="32"/>
      <x:c r="AD139" s="32"/>
      <x:c r="AE139" s="32"/>
      <x:c r="AF139" s="32"/>
      <x:c r="AG139" s="32"/>
      <x:c r="AH139" s="32"/>
      <x:c r="AI139" s="32"/>
      <x:c r="AJ139" s="32"/>
      <x:c r="AK139" s="32"/>
      <x:c r="AL139" s="32"/>
      <x:c r="AM139" s="32"/>
      <x:c r="AN139" s="32"/>
      <x:c r="AO139" s="32"/>
      <x:c r="AP139" s="32"/>
      <x:c r="AQ139" s="32"/>
      <x:c r="AR139" s="32"/>
      <x:c r="AS139" s="32"/>
      <x:c r="AT139" s="32"/>
      <x:c r="AU139" s="32"/>
      <x:c r="AV139" s="32"/>
      <x:c r="AW139" s="32"/>
      <x:c r="AX139" s="32"/>
      <x:c r="AZ139" s="32"/>
      <x:c r="BA139" s="32"/>
      <x:c r="BB139" s="32"/>
      <x:c r="BC139" s="32"/>
      <x:c r="BD139" s="32"/>
      <x:c r="BE139" s="32"/>
      <x:c r="BF139" s="32"/>
      <x:c r="BG139" s="32"/>
      <x:c r="BH139" s="32"/>
      <x:c r="BI139" s="32"/>
      <x:c r="BJ139" s="32"/>
      <x:c r="BK139" s="32"/>
      <x:c r="BL139" s="32"/>
      <x:c r="BM139" s="32"/>
    </x:row>
    <x:row r="140">
      <x:c r="A140" s="32"/>
      <x:c r="B140" s="32"/>
      <x:c r="C140" s="42"/>
      <x:c r="D140" s="32"/>
      <x:c r="E140" s="32"/>
      <x:c r="F140" s="32"/>
      <x:c r="G140" s="32"/>
      <x:c r="H140" s="32"/>
      <x:c r="I140" s="32"/>
      <x:c r="J140" s="32"/>
      <x:c r="K140" s="32"/>
      <x:c r="L140" s="32"/>
      <x:c r="M140" s="32"/>
      <x:c r="N140" s="32"/>
      <x:c r="O140" s="32"/>
      <x:c r="P140" s="32"/>
      <x:c r="Q140" s="32"/>
      <x:c r="R140" s="32"/>
      <x:c r="S140" s="32"/>
      <x:c r="T140" s="43" t="str">
        <x:f>IFERROR(S140/L140,"")</x:f>
      </x:c>
      <x:c r="U140" s="32"/>
      <x:c r="V140" s="32"/>
      <x:c r="W140" s="32"/>
      <x:c r="X140" s="32"/>
      <x:c r="Y140" s="32"/>
      <x:c r="Z140" s="32"/>
      <x:c r="AA140" s="32"/>
      <x:c r="AB140" s="32"/>
      <x:c r="AC140" s="32"/>
      <x:c r="AD140" s="32"/>
      <x:c r="AE140" s="32"/>
      <x:c r="AF140" s="32"/>
      <x:c r="AG140" s="32"/>
      <x:c r="AH140" s="32"/>
      <x:c r="AI140" s="32"/>
      <x:c r="AJ140" s="32"/>
      <x:c r="AK140" s="32"/>
      <x:c r="AL140" s="32"/>
      <x:c r="AM140" s="32"/>
      <x:c r="AN140" s="32"/>
      <x:c r="AO140" s="32"/>
      <x:c r="AP140" s="32"/>
      <x:c r="AQ140" s="32"/>
      <x:c r="AR140" s="32"/>
      <x:c r="AS140" s="32"/>
      <x:c r="AT140" s="32"/>
      <x:c r="AU140" s="32"/>
      <x:c r="AV140" s="32"/>
      <x:c r="AW140" s="32"/>
      <x:c r="AX140" s="32"/>
      <x:c r="AZ140" s="32"/>
      <x:c r="BA140" s="32"/>
      <x:c r="BB140" s="32"/>
      <x:c r="BC140" s="32"/>
      <x:c r="BD140" s="32"/>
      <x:c r="BE140" s="32"/>
      <x:c r="BF140" s="32"/>
      <x:c r="BG140" s="32"/>
      <x:c r="BH140" s="32"/>
      <x:c r="BI140" s="32"/>
      <x:c r="BJ140" s="32"/>
      <x:c r="BK140" s="32"/>
      <x:c r="BL140" s="32"/>
      <x:c r="BM140" s="32"/>
    </x:row>
    <x:row r="141">
      <x:c r="A141" s="32"/>
      <x:c r="B141" s="32"/>
      <x:c r="C141" s="42"/>
      <x:c r="D141" s="32"/>
      <x:c r="E141" s="32"/>
      <x:c r="F141" s="32"/>
      <x:c r="G141" s="32"/>
      <x:c r="H141" s="32"/>
      <x:c r="I141" s="32"/>
      <x:c r="J141" s="32"/>
      <x:c r="K141" s="32"/>
      <x:c r="L141" s="32"/>
      <x:c r="M141" s="32"/>
      <x:c r="N141" s="32"/>
      <x:c r="O141" s="32"/>
      <x:c r="P141" s="32"/>
      <x:c r="Q141" s="32"/>
      <x:c r="R141" s="32"/>
      <x:c r="S141" s="32"/>
      <x:c r="T141" s="43" t="str">
        <x:f>IFERROR(S141/L141,"")</x:f>
      </x:c>
      <x:c r="U141" s="32"/>
      <x:c r="V141" s="32"/>
      <x:c r="W141" s="32"/>
      <x:c r="X141" s="32"/>
      <x:c r="Y141" s="32"/>
      <x:c r="Z141" s="32"/>
      <x:c r="AA141" s="32"/>
      <x:c r="AB141" s="32"/>
      <x:c r="AC141" s="32"/>
      <x:c r="AD141" s="32"/>
      <x:c r="AE141" s="32"/>
      <x:c r="AF141" s="32"/>
      <x:c r="AG141" s="32"/>
      <x:c r="AH141" s="32"/>
      <x:c r="AI141" s="32"/>
      <x:c r="AJ141" s="32"/>
      <x:c r="AK141" s="32"/>
      <x:c r="AL141" s="32"/>
      <x:c r="AM141" s="32"/>
      <x:c r="AN141" s="32"/>
      <x:c r="AO141" s="32"/>
      <x:c r="AP141" s="32"/>
      <x:c r="AQ141" s="32"/>
      <x:c r="AR141" s="32"/>
      <x:c r="AS141" s="32"/>
      <x:c r="AT141" s="32"/>
      <x:c r="AU141" s="32"/>
      <x:c r="AV141" s="32"/>
      <x:c r="AW141" s="32"/>
      <x:c r="AX141" s="32"/>
      <x:c r="AZ141" s="32"/>
      <x:c r="BA141" s="32"/>
      <x:c r="BB141" s="32"/>
      <x:c r="BC141" s="32"/>
      <x:c r="BD141" s="32"/>
      <x:c r="BE141" s="32"/>
      <x:c r="BF141" s="32"/>
      <x:c r="BG141" s="32"/>
      <x:c r="BH141" s="32"/>
      <x:c r="BI141" s="32"/>
      <x:c r="BJ141" s="32"/>
      <x:c r="BK141" s="32"/>
      <x:c r="BL141" s="32"/>
      <x:c r="BM141" s="32"/>
    </x:row>
    <x:row r="142">
      <x:c r="A142" s="32"/>
      <x:c r="B142" s="32"/>
      <x:c r="C142" s="42"/>
      <x:c r="D142" s="32"/>
      <x:c r="E142" s="32"/>
      <x:c r="F142" s="32"/>
      <x:c r="G142" s="32"/>
      <x:c r="H142" s="32"/>
      <x:c r="I142" s="32"/>
      <x:c r="J142" s="32"/>
      <x:c r="K142" s="32"/>
      <x:c r="L142" s="32"/>
      <x:c r="M142" s="32"/>
      <x:c r="N142" s="32"/>
      <x:c r="O142" s="32"/>
      <x:c r="P142" s="32"/>
      <x:c r="Q142" s="32"/>
      <x:c r="R142" s="32"/>
      <x:c r="S142" s="32"/>
      <x:c r="T142" s="43" t="str">
        <x:f>IFERROR(S142/L142,"")</x:f>
      </x:c>
      <x:c r="U142" s="32"/>
      <x:c r="V142" s="32"/>
      <x:c r="W142" s="32"/>
      <x:c r="X142" s="32"/>
      <x:c r="Y142" s="32"/>
      <x:c r="Z142" s="32"/>
      <x:c r="AA142" s="32"/>
      <x:c r="AB142" s="32"/>
      <x:c r="AC142" s="32"/>
      <x:c r="AD142" s="32"/>
      <x:c r="AE142" s="32"/>
      <x:c r="AF142" s="32"/>
      <x:c r="AG142" s="32"/>
      <x:c r="AH142" s="32"/>
      <x:c r="AI142" s="32"/>
      <x:c r="AJ142" s="32"/>
      <x:c r="AK142" s="32"/>
      <x:c r="AL142" s="32"/>
      <x:c r="AM142" s="32"/>
      <x:c r="AN142" s="32"/>
      <x:c r="AO142" s="32"/>
      <x:c r="AP142" s="32"/>
      <x:c r="AQ142" s="32"/>
      <x:c r="AR142" s="32"/>
      <x:c r="AS142" s="32"/>
      <x:c r="AT142" s="32"/>
      <x:c r="AU142" s="32"/>
      <x:c r="AV142" s="32"/>
      <x:c r="AW142" s="32"/>
      <x:c r="AX142" s="32"/>
      <x:c r="AZ142" s="32"/>
      <x:c r="BA142" s="32"/>
      <x:c r="BB142" s="32"/>
      <x:c r="BC142" s="32"/>
      <x:c r="BD142" s="32"/>
      <x:c r="BE142" s="32"/>
      <x:c r="BF142" s="32"/>
      <x:c r="BG142" s="32"/>
      <x:c r="BH142" s="32"/>
      <x:c r="BI142" s="32"/>
      <x:c r="BJ142" s="32"/>
      <x:c r="BK142" s="32"/>
      <x:c r="BL142" s="32"/>
      <x:c r="BM142" s="32"/>
    </x:row>
    <x:row r="143">
      <x:c r="A143" s="32"/>
      <x:c r="B143" s="32"/>
      <x:c r="C143" s="42"/>
      <x:c r="D143" s="32"/>
      <x:c r="E143" s="32"/>
      <x:c r="F143" s="32"/>
      <x:c r="G143" s="32"/>
      <x:c r="H143" s="32"/>
      <x:c r="I143" s="32"/>
      <x:c r="J143" s="32"/>
      <x:c r="K143" s="32"/>
      <x:c r="L143" s="32"/>
      <x:c r="M143" s="32"/>
      <x:c r="N143" s="32"/>
      <x:c r="O143" s="32"/>
      <x:c r="P143" s="32"/>
      <x:c r="Q143" s="32"/>
      <x:c r="R143" s="32"/>
      <x:c r="S143" s="32"/>
      <x:c r="T143" s="43" t="str">
        <x:f>IFERROR(S143/L143,"")</x:f>
      </x:c>
      <x:c r="U143" s="32"/>
      <x:c r="V143" s="32"/>
      <x:c r="W143" s="32"/>
      <x:c r="X143" s="32"/>
      <x:c r="Y143" s="32"/>
      <x:c r="Z143" s="32"/>
      <x:c r="AA143" s="32"/>
      <x:c r="AB143" s="32"/>
      <x:c r="AC143" s="32"/>
      <x:c r="AD143" s="32"/>
      <x:c r="AE143" s="32"/>
      <x:c r="AF143" s="32"/>
      <x:c r="AG143" s="32"/>
      <x:c r="AH143" s="32"/>
      <x:c r="AI143" s="32"/>
      <x:c r="AJ143" s="32"/>
      <x:c r="AK143" s="32"/>
      <x:c r="AL143" s="32"/>
      <x:c r="AM143" s="32"/>
      <x:c r="AN143" s="32"/>
      <x:c r="AO143" s="32"/>
      <x:c r="AP143" s="32"/>
      <x:c r="AQ143" s="32"/>
      <x:c r="AR143" s="32"/>
      <x:c r="AS143" s="32"/>
      <x:c r="AT143" s="32"/>
      <x:c r="AU143" s="32"/>
      <x:c r="AV143" s="32"/>
      <x:c r="AW143" s="32"/>
      <x:c r="AX143" s="32"/>
      <x:c r="AZ143" s="32"/>
      <x:c r="BA143" s="32"/>
      <x:c r="BB143" s="32"/>
      <x:c r="BC143" s="32"/>
      <x:c r="BD143" s="32"/>
      <x:c r="BE143" s="32"/>
      <x:c r="BF143" s="32"/>
      <x:c r="BG143" s="32"/>
      <x:c r="BH143" s="32"/>
      <x:c r="BI143" s="32"/>
      <x:c r="BJ143" s="32"/>
      <x:c r="BK143" s="32"/>
      <x:c r="BL143" s="32"/>
      <x:c r="BM143" s="32"/>
    </x:row>
    <x:row r="144">
      <x:c r="A144" s="32"/>
      <x:c r="B144" s="32"/>
      <x:c r="C144" s="42"/>
      <x:c r="D144" s="32"/>
      <x:c r="E144" s="32"/>
      <x:c r="F144" s="32"/>
      <x:c r="G144" s="32"/>
      <x:c r="H144" s="32"/>
      <x:c r="I144" s="32"/>
      <x:c r="J144" s="32"/>
      <x:c r="K144" s="32"/>
      <x:c r="L144" s="32"/>
      <x:c r="M144" s="32"/>
      <x:c r="N144" s="32"/>
      <x:c r="O144" s="32"/>
      <x:c r="P144" s="32"/>
      <x:c r="Q144" s="32"/>
      <x:c r="R144" s="32"/>
      <x:c r="S144" s="32"/>
      <x:c r="T144" s="43" t="str">
        <x:f>IFERROR(S144/L144,"")</x:f>
      </x:c>
      <x:c r="U144" s="32"/>
      <x:c r="V144" s="32"/>
      <x:c r="W144" s="32"/>
      <x:c r="X144" s="32"/>
      <x:c r="Y144" s="32"/>
      <x:c r="Z144" s="32"/>
      <x:c r="AA144" s="32"/>
      <x:c r="AB144" s="32"/>
      <x:c r="AC144" s="32"/>
      <x:c r="AD144" s="32"/>
      <x:c r="AE144" s="32"/>
      <x:c r="AF144" s="32"/>
      <x:c r="AG144" s="32"/>
      <x:c r="AH144" s="32"/>
      <x:c r="AI144" s="32"/>
      <x:c r="AJ144" s="32"/>
      <x:c r="AK144" s="32"/>
      <x:c r="AL144" s="32"/>
      <x:c r="AM144" s="32"/>
      <x:c r="AN144" s="32"/>
      <x:c r="AO144" s="32"/>
      <x:c r="AP144" s="32"/>
      <x:c r="AQ144" s="32"/>
      <x:c r="AR144" s="32"/>
      <x:c r="AS144" s="32"/>
      <x:c r="AT144" s="32"/>
      <x:c r="AU144" s="32"/>
      <x:c r="AV144" s="32"/>
      <x:c r="AW144" s="32"/>
      <x:c r="AX144" s="32"/>
      <x:c r="AZ144" s="32"/>
      <x:c r="BA144" s="32"/>
      <x:c r="BB144" s="32"/>
      <x:c r="BC144" s="32"/>
      <x:c r="BD144" s="32"/>
      <x:c r="BE144" s="32"/>
      <x:c r="BF144" s="32"/>
      <x:c r="BG144" s="32"/>
      <x:c r="BH144" s="32"/>
      <x:c r="BI144" s="32"/>
      <x:c r="BJ144" s="32"/>
      <x:c r="BK144" s="32"/>
      <x:c r="BL144" s="32"/>
      <x:c r="BM144" s="32"/>
    </x:row>
    <x:row r="145">
      <x:c r="A145" s="32"/>
      <x:c r="B145" s="32"/>
      <x:c r="C145" s="42"/>
      <x:c r="D145" s="32"/>
      <x:c r="E145" s="32"/>
      <x:c r="F145" s="32"/>
      <x:c r="G145" s="32"/>
      <x:c r="H145" s="32"/>
      <x:c r="I145" s="32"/>
      <x:c r="J145" s="32"/>
      <x:c r="K145" s="32"/>
      <x:c r="L145" s="32"/>
      <x:c r="M145" s="32"/>
      <x:c r="N145" s="32"/>
      <x:c r="O145" s="32"/>
      <x:c r="P145" s="32"/>
      <x:c r="Q145" s="32"/>
      <x:c r="R145" s="32"/>
      <x:c r="S145" s="32"/>
      <x:c r="T145" s="43" t="str">
        <x:f>IFERROR(S145/L145,"")</x:f>
      </x:c>
      <x:c r="U145" s="32"/>
      <x:c r="V145" s="32"/>
      <x:c r="W145" s="32"/>
      <x:c r="X145" s="32"/>
      <x:c r="Y145" s="32"/>
      <x:c r="Z145" s="32"/>
      <x:c r="AA145" s="32"/>
      <x:c r="AB145" s="32"/>
      <x:c r="AC145" s="32"/>
      <x:c r="AD145" s="32"/>
      <x:c r="AE145" s="32"/>
      <x:c r="AF145" s="32"/>
      <x:c r="AG145" s="32"/>
      <x:c r="AH145" s="32"/>
      <x:c r="AI145" s="32"/>
      <x:c r="AJ145" s="32"/>
      <x:c r="AK145" s="32"/>
      <x:c r="AL145" s="32"/>
      <x:c r="AM145" s="32"/>
      <x:c r="AN145" s="32"/>
      <x:c r="AO145" s="32"/>
      <x:c r="AP145" s="32"/>
      <x:c r="AQ145" s="32"/>
      <x:c r="AR145" s="32"/>
      <x:c r="AS145" s="32"/>
      <x:c r="AT145" s="32"/>
      <x:c r="AU145" s="32"/>
      <x:c r="AV145" s="32"/>
      <x:c r="AW145" s="32"/>
      <x:c r="AX145" s="32"/>
      <x:c r="AZ145" s="32"/>
      <x:c r="BA145" s="32"/>
      <x:c r="BB145" s="32"/>
      <x:c r="BC145" s="32"/>
      <x:c r="BD145" s="32"/>
      <x:c r="BE145" s="32"/>
      <x:c r="BF145" s="32"/>
      <x:c r="BG145" s="32"/>
      <x:c r="BH145" s="32"/>
      <x:c r="BI145" s="32"/>
      <x:c r="BJ145" s="32"/>
      <x:c r="BK145" s="32"/>
      <x:c r="BL145" s="32"/>
      <x:c r="BM145" s="32"/>
    </x:row>
    <x:row r="146">
      <x:c r="A146" s="32"/>
      <x:c r="B146" s="32"/>
      <x:c r="C146" s="42"/>
      <x:c r="D146" s="32"/>
      <x:c r="E146" s="32"/>
      <x:c r="F146" s="32"/>
      <x:c r="G146" s="32"/>
      <x:c r="H146" s="32"/>
      <x:c r="I146" s="32"/>
      <x:c r="J146" s="32"/>
      <x:c r="K146" s="32"/>
      <x:c r="L146" s="32"/>
      <x:c r="M146" s="32"/>
      <x:c r="N146" s="32"/>
      <x:c r="O146" s="32"/>
      <x:c r="P146" s="32"/>
      <x:c r="Q146" s="32"/>
      <x:c r="R146" s="32"/>
      <x:c r="S146" s="32"/>
      <x:c r="T146" s="43" t="str">
        <x:f>IFERROR(S146/L146,"")</x:f>
      </x:c>
      <x:c r="U146" s="32"/>
      <x:c r="V146" s="32"/>
      <x:c r="W146" s="32"/>
      <x:c r="X146" s="32"/>
      <x:c r="Y146" s="32"/>
      <x:c r="Z146" s="32"/>
      <x:c r="AA146" s="32"/>
      <x:c r="AB146" s="32"/>
      <x:c r="AC146" s="32"/>
      <x:c r="AD146" s="32"/>
      <x:c r="AE146" s="32"/>
      <x:c r="AF146" s="32"/>
      <x:c r="AG146" s="32"/>
      <x:c r="AH146" s="32"/>
      <x:c r="AI146" s="32"/>
      <x:c r="AJ146" s="32"/>
      <x:c r="AK146" s="32"/>
      <x:c r="AL146" s="32"/>
      <x:c r="AM146" s="32"/>
      <x:c r="AN146" s="32"/>
      <x:c r="AO146" s="32"/>
      <x:c r="AP146" s="32"/>
      <x:c r="AQ146" s="32"/>
      <x:c r="AR146" s="32"/>
      <x:c r="AS146" s="32"/>
      <x:c r="AT146" s="32"/>
      <x:c r="AU146" s="32"/>
      <x:c r="AV146" s="32"/>
      <x:c r="AW146" s="32"/>
      <x:c r="AX146" s="32"/>
      <x:c r="AZ146" s="32"/>
      <x:c r="BA146" s="32"/>
      <x:c r="BB146" s="32"/>
      <x:c r="BC146" s="32"/>
      <x:c r="BD146" s="32"/>
      <x:c r="BE146" s="32"/>
      <x:c r="BF146" s="32"/>
      <x:c r="BG146" s="32"/>
      <x:c r="BH146" s="32"/>
      <x:c r="BI146" s="32"/>
      <x:c r="BJ146" s="32"/>
      <x:c r="BK146" s="32"/>
      <x:c r="BL146" s="32"/>
      <x:c r="BM146" s="32"/>
    </x:row>
    <x:row r="147">
      <x:c r="A147" s="32"/>
      <x:c r="B147" s="32"/>
      <x:c r="C147" s="42"/>
      <x:c r="D147" s="32"/>
      <x:c r="E147" s="32"/>
      <x:c r="F147" s="32"/>
      <x:c r="G147" s="32"/>
      <x:c r="H147" s="32"/>
      <x:c r="I147" s="32"/>
      <x:c r="J147" s="32"/>
      <x:c r="K147" s="32"/>
      <x:c r="L147" s="32"/>
      <x:c r="M147" s="32"/>
      <x:c r="N147" s="32"/>
      <x:c r="O147" s="32"/>
      <x:c r="P147" s="32"/>
      <x:c r="Q147" s="32"/>
      <x:c r="R147" s="32"/>
      <x:c r="S147" s="32"/>
      <x:c r="T147" s="43" t="str">
        <x:f>IFERROR(S147/L147,"")</x:f>
      </x:c>
      <x:c r="U147" s="32"/>
      <x:c r="V147" s="32"/>
      <x:c r="W147" s="32"/>
      <x:c r="X147" s="32"/>
      <x:c r="Y147" s="32"/>
      <x:c r="Z147" s="32"/>
      <x:c r="AA147" s="32"/>
      <x:c r="AB147" s="32"/>
      <x:c r="AC147" s="32"/>
      <x:c r="AD147" s="32"/>
      <x:c r="AE147" s="32"/>
      <x:c r="AF147" s="32"/>
      <x:c r="AG147" s="32"/>
      <x:c r="AH147" s="32"/>
      <x:c r="AI147" s="32"/>
      <x:c r="AJ147" s="32"/>
      <x:c r="AK147" s="32"/>
      <x:c r="AL147" s="32"/>
      <x:c r="AM147" s="32"/>
      <x:c r="AN147" s="32"/>
      <x:c r="AO147" s="32"/>
      <x:c r="AP147" s="32"/>
      <x:c r="AQ147" s="32"/>
      <x:c r="AR147" s="32"/>
      <x:c r="AS147" s="32"/>
      <x:c r="AT147" s="32"/>
      <x:c r="AU147" s="32"/>
      <x:c r="AV147" s="32"/>
      <x:c r="AW147" s="32"/>
      <x:c r="AX147" s="32"/>
      <x:c r="AZ147" s="32"/>
      <x:c r="BA147" s="32"/>
      <x:c r="BB147" s="32"/>
      <x:c r="BC147" s="32"/>
      <x:c r="BD147" s="32"/>
      <x:c r="BE147" s="32"/>
      <x:c r="BF147" s="32"/>
      <x:c r="BG147" s="32"/>
      <x:c r="BH147" s="32"/>
      <x:c r="BI147" s="32"/>
      <x:c r="BJ147" s="32"/>
      <x:c r="BK147" s="32"/>
      <x:c r="BL147" s="32"/>
      <x:c r="BM147" s="32"/>
    </x:row>
    <x:row r="148">
      <x:c r="A148" s="32"/>
      <x:c r="B148" s="32"/>
      <x:c r="C148" s="42"/>
      <x:c r="D148" s="32"/>
      <x:c r="E148" s="32"/>
      <x:c r="F148" s="32"/>
      <x:c r="G148" s="32"/>
      <x:c r="H148" s="32"/>
      <x:c r="I148" s="32"/>
      <x:c r="J148" s="32"/>
      <x:c r="K148" s="32"/>
      <x:c r="L148" s="32"/>
      <x:c r="M148" s="32"/>
      <x:c r="N148" s="32"/>
      <x:c r="O148" s="32"/>
      <x:c r="P148" s="32"/>
      <x:c r="Q148" s="32"/>
      <x:c r="R148" s="32"/>
      <x:c r="S148" s="32"/>
      <x:c r="T148" s="43" t="str">
        <x:f>IFERROR(S148/L148,"")</x:f>
      </x:c>
      <x:c r="U148" s="32"/>
      <x:c r="V148" s="32"/>
      <x:c r="W148" s="32"/>
      <x:c r="X148" s="32"/>
      <x:c r="Y148" s="32"/>
      <x:c r="Z148" s="32"/>
      <x:c r="AA148" s="32"/>
      <x:c r="AB148" s="32"/>
      <x:c r="AC148" s="32"/>
      <x:c r="AD148" s="32"/>
      <x:c r="AE148" s="32"/>
      <x:c r="AF148" s="32"/>
      <x:c r="AG148" s="32"/>
      <x:c r="AH148" s="32"/>
      <x:c r="AI148" s="32"/>
      <x:c r="AJ148" s="32"/>
      <x:c r="AK148" s="32"/>
      <x:c r="AL148" s="32"/>
      <x:c r="AM148" s="32"/>
      <x:c r="AN148" s="32"/>
      <x:c r="AO148" s="32"/>
      <x:c r="AP148" s="32"/>
      <x:c r="AQ148" s="32"/>
      <x:c r="AR148" s="32"/>
      <x:c r="AS148" s="32"/>
      <x:c r="AT148" s="32"/>
      <x:c r="AU148" s="32"/>
      <x:c r="AV148" s="32"/>
      <x:c r="AW148" s="32"/>
      <x:c r="AX148" s="32"/>
      <x:c r="AZ148" s="32"/>
      <x:c r="BA148" s="32"/>
      <x:c r="BB148" s="32"/>
      <x:c r="BC148" s="32"/>
      <x:c r="BD148" s="32"/>
      <x:c r="BE148" s="32"/>
      <x:c r="BF148" s="32"/>
      <x:c r="BG148" s="32"/>
      <x:c r="BH148" s="32"/>
      <x:c r="BI148" s="32"/>
      <x:c r="BJ148" s="32"/>
      <x:c r="BK148" s="32"/>
      <x:c r="BL148" s="32"/>
      <x:c r="BM148" s="32"/>
    </x:row>
    <x:row r="149">
      <x:c r="A149" s="32"/>
      <x:c r="B149" s="32"/>
      <x:c r="C149" s="42"/>
      <x:c r="D149" s="32"/>
      <x:c r="E149" s="32"/>
      <x:c r="F149" s="32"/>
      <x:c r="G149" s="32"/>
      <x:c r="H149" s="32"/>
      <x:c r="I149" s="32"/>
      <x:c r="J149" s="32"/>
      <x:c r="K149" s="32"/>
      <x:c r="L149" s="32"/>
      <x:c r="M149" s="32"/>
      <x:c r="N149" s="32"/>
      <x:c r="O149" s="32"/>
      <x:c r="P149" s="32"/>
      <x:c r="Q149" s="32"/>
      <x:c r="R149" s="32"/>
      <x:c r="S149" s="32"/>
      <x:c r="T149" s="43" t="str">
        <x:f>IFERROR(S149/L149,"")</x:f>
      </x:c>
      <x:c r="U149" s="32"/>
      <x:c r="V149" s="32"/>
      <x:c r="W149" s="32"/>
      <x:c r="X149" s="32"/>
      <x:c r="Y149" s="32"/>
      <x:c r="Z149" s="32"/>
      <x:c r="AA149" s="32"/>
      <x:c r="AB149" s="32"/>
      <x:c r="AC149" s="32"/>
      <x:c r="AD149" s="32"/>
      <x:c r="AE149" s="32"/>
      <x:c r="AF149" s="32"/>
      <x:c r="AG149" s="32"/>
      <x:c r="AH149" s="32"/>
      <x:c r="AI149" s="32"/>
      <x:c r="AJ149" s="32"/>
      <x:c r="AK149" s="32"/>
      <x:c r="AL149" s="32"/>
      <x:c r="AM149" s="32"/>
      <x:c r="AN149" s="32"/>
      <x:c r="AO149" s="32"/>
      <x:c r="AP149" s="32"/>
      <x:c r="AQ149" s="32"/>
      <x:c r="AR149" s="32"/>
      <x:c r="AS149" s="32"/>
      <x:c r="AT149" s="32"/>
      <x:c r="AU149" s="32"/>
      <x:c r="AV149" s="32"/>
      <x:c r="AW149" s="32"/>
      <x:c r="AX149" s="32"/>
      <x:c r="AZ149" s="32"/>
      <x:c r="BA149" s="32"/>
      <x:c r="BB149" s="32"/>
      <x:c r="BC149" s="32"/>
      <x:c r="BD149" s="32"/>
      <x:c r="BE149" s="32"/>
      <x:c r="BF149" s="32"/>
      <x:c r="BG149" s="32"/>
      <x:c r="BH149" s="32"/>
      <x:c r="BI149" s="32"/>
      <x:c r="BJ149" s="32"/>
      <x:c r="BK149" s="32"/>
      <x:c r="BL149" s="32"/>
      <x:c r="BM149" s="32"/>
    </x:row>
    <x:row r="150">
      <x:c r="A150" s="32"/>
      <x:c r="B150" s="32"/>
      <x:c r="C150" s="42"/>
      <x:c r="D150" s="32"/>
      <x:c r="E150" s="32"/>
      <x:c r="F150" s="32"/>
      <x:c r="G150" s="32"/>
      <x:c r="H150" s="32"/>
      <x:c r="I150" s="32"/>
      <x:c r="J150" s="32"/>
      <x:c r="K150" s="32"/>
      <x:c r="L150" s="32"/>
      <x:c r="M150" s="32"/>
      <x:c r="N150" s="32"/>
      <x:c r="O150" s="32"/>
      <x:c r="P150" s="32"/>
      <x:c r="Q150" s="32"/>
      <x:c r="R150" s="32"/>
      <x:c r="S150" s="32"/>
      <x:c r="T150" s="43" t="str">
        <x:f>IFERROR(S150/L150,"")</x:f>
      </x:c>
      <x:c r="U150" s="32"/>
      <x:c r="V150" s="32"/>
      <x:c r="W150" s="32"/>
      <x:c r="X150" s="32"/>
      <x:c r="Y150" s="32"/>
      <x:c r="Z150" s="32"/>
      <x:c r="AA150" s="32"/>
      <x:c r="AB150" s="32"/>
      <x:c r="AC150" s="32"/>
      <x:c r="AD150" s="32"/>
      <x:c r="AE150" s="32"/>
      <x:c r="AF150" s="32"/>
      <x:c r="AG150" s="32"/>
      <x:c r="AH150" s="32"/>
      <x:c r="AI150" s="32"/>
      <x:c r="AJ150" s="32"/>
      <x:c r="AK150" s="32"/>
      <x:c r="AL150" s="32"/>
      <x:c r="AM150" s="32"/>
      <x:c r="AN150" s="32"/>
      <x:c r="AO150" s="32"/>
      <x:c r="AP150" s="32"/>
      <x:c r="AQ150" s="32"/>
      <x:c r="AR150" s="32"/>
      <x:c r="AS150" s="32"/>
      <x:c r="AT150" s="32"/>
      <x:c r="AU150" s="32"/>
      <x:c r="AV150" s="32"/>
      <x:c r="AW150" s="32"/>
      <x:c r="AX150" s="32"/>
      <x:c r="AZ150" s="32"/>
      <x:c r="BA150" s="32"/>
      <x:c r="BB150" s="32"/>
      <x:c r="BC150" s="32"/>
      <x:c r="BD150" s="32"/>
      <x:c r="BE150" s="32"/>
      <x:c r="BF150" s="32"/>
      <x:c r="BG150" s="32"/>
      <x:c r="BH150" s="32"/>
      <x:c r="BI150" s="32"/>
      <x:c r="BJ150" s="32"/>
      <x:c r="BK150" s="32"/>
      <x:c r="BL150" s="32"/>
      <x:c r="BM150" s="32"/>
    </x:row>
    <x:row r="151">
      <x:c r="A151" s="32"/>
      <x:c r="B151" s="32"/>
      <x:c r="C151" s="42"/>
      <x:c r="D151" s="32"/>
      <x:c r="E151" s="32"/>
      <x:c r="F151" s="32"/>
      <x:c r="G151" s="32"/>
      <x:c r="H151" s="32"/>
      <x:c r="I151" s="32"/>
      <x:c r="J151" s="32"/>
      <x:c r="K151" s="32"/>
      <x:c r="L151" s="32"/>
      <x:c r="M151" s="32"/>
      <x:c r="N151" s="32"/>
      <x:c r="O151" s="32"/>
      <x:c r="P151" s="32"/>
      <x:c r="Q151" s="32"/>
      <x:c r="R151" s="32"/>
      <x:c r="S151" s="32"/>
      <x:c r="T151" s="43" t="str">
        <x:f>IFERROR(S151/L151,"")</x:f>
      </x:c>
      <x:c r="U151" s="32"/>
      <x:c r="V151" s="32"/>
      <x:c r="W151" s="32"/>
      <x:c r="X151" s="32"/>
      <x:c r="Y151" s="32"/>
      <x:c r="Z151" s="32"/>
      <x:c r="AA151" s="32"/>
      <x:c r="AB151" s="32"/>
      <x:c r="AC151" s="32"/>
      <x:c r="AD151" s="32"/>
      <x:c r="AE151" s="32"/>
      <x:c r="AF151" s="32"/>
      <x:c r="AG151" s="32"/>
      <x:c r="AH151" s="32"/>
      <x:c r="AI151" s="32"/>
      <x:c r="AJ151" s="32"/>
      <x:c r="AK151" s="32"/>
      <x:c r="AL151" s="32"/>
      <x:c r="AM151" s="32"/>
      <x:c r="AN151" s="32"/>
      <x:c r="AO151" s="32"/>
      <x:c r="AP151" s="32"/>
      <x:c r="AQ151" s="32"/>
      <x:c r="AR151" s="32"/>
      <x:c r="AS151" s="32"/>
      <x:c r="AT151" s="32"/>
      <x:c r="AU151" s="32"/>
      <x:c r="AV151" s="32"/>
      <x:c r="AW151" s="32"/>
      <x:c r="AX151" s="32"/>
      <x:c r="AZ151" s="32"/>
      <x:c r="BA151" s="32"/>
      <x:c r="BB151" s="32"/>
      <x:c r="BC151" s="32"/>
      <x:c r="BD151" s="32"/>
      <x:c r="BE151" s="32"/>
      <x:c r="BF151" s="32"/>
      <x:c r="BG151" s="32"/>
      <x:c r="BH151" s="32"/>
      <x:c r="BI151" s="32"/>
      <x:c r="BJ151" s="32"/>
      <x:c r="BK151" s="32"/>
      <x:c r="BL151" s="32"/>
      <x:c r="BM151" s="32"/>
    </x:row>
    <x:row r="152">
      <x:c r="A152" s="32"/>
      <x:c r="B152" s="32"/>
      <x:c r="C152" s="42"/>
      <x:c r="D152" s="32"/>
      <x:c r="E152" s="32"/>
      <x:c r="F152" s="32"/>
      <x:c r="G152" s="32"/>
      <x:c r="H152" s="32"/>
      <x:c r="I152" s="32"/>
      <x:c r="J152" s="32"/>
      <x:c r="K152" s="32"/>
      <x:c r="L152" s="32"/>
      <x:c r="M152" s="32"/>
      <x:c r="N152" s="32"/>
      <x:c r="O152" s="32"/>
      <x:c r="P152" s="32"/>
      <x:c r="Q152" s="32"/>
      <x:c r="R152" s="32"/>
      <x:c r="S152" s="32"/>
      <x:c r="T152" s="43" t="str">
        <x:f>IFERROR(S152/L152,"")</x:f>
      </x:c>
      <x:c r="U152" s="32"/>
      <x:c r="V152" s="32"/>
      <x:c r="W152" s="32"/>
      <x:c r="X152" s="32"/>
      <x:c r="Y152" s="32"/>
      <x:c r="Z152" s="32"/>
      <x:c r="AA152" s="32"/>
      <x:c r="AB152" s="32"/>
      <x:c r="AC152" s="32"/>
      <x:c r="AD152" s="32"/>
      <x:c r="AE152" s="32"/>
      <x:c r="AF152" s="32"/>
      <x:c r="AG152" s="32"/>
      <x:c r="AH152" s="32"/>
      <x:c r="AI152" s="32"/>
      <x:c r="AJ152" s="32"/>
      <x:c r="AK152" s="32"/>
      <x:c r="AL152" s="32"/>
      <x:c r="AM152" s="32"/>
      <x:c r="AN152" s="32"/>
      <x:c r="AO152" s="32"/>
      <x:c r="AP152" s="32"/>
      <x:c r="AQ152" s="32"/>
      <x:c r="AR152" s="32"/>
      <x:c r="AS152" s="32"/>
      <x:c r="AT152" s="32"/>
      <x:c r="AU152" s="32"/>
      <x:c r="AV152" s="32"/>
      <x:c r="AW152" s="32"/>
      <x:c r="AX152" s="32"/>
      <x:c r="AZ152" s="32"/>
      <x:c r="BA152" s="32"/>
      <x:c r="BB152" s="32"/>
      <x:c r="BC152" s="32"/>
      <x:c r="BD152" s="32"/>
      <x:c r="BE152" s="32"/>
      <x:c r="BF152" s="32"/>
      <x:c r="BG152" s="32"/>
      <x:c r="BH152" s="32"/>
      <x:c r="BI152" s="32"/>
      <x:c r="BJ152" s="32"/>
      <x:c r="BK152" s="32"/>
      <x:c r="BL152" s="32"/>
      <x:c r="BM152" s="32"/>
    </x:row>
    <x:row r="153">
      <x:c r="A153" s="32"/>
      <x:c r="B153" s="32"/>
      <x:c r="C153" s="42"/>
      <x:c r="D153" s="32"/>
      <x:c r="E153" s="32"/>
      <x:c r="F153" s="32"/>
      <x:c r="G153" s="32"/>
      <x:c r="H153" s="32"/>
      <x:c r="I153" s="32"/>
      <x:c r="J153" s="32"/>
      <x:c r="K153" s="32"/>
      <x:c r="L153" s="32"/>
      <x:c r="M153" s="32"/>
      <x:c r="N153" s="32"/>
      <x:c r="O153" s="32"/>
      <x:c r="P153" s="32"/>
      <x:c r="Q153" s="32"/>
      <x:c r="R153" s="32"/>
      <x:c r="S153" s="32"/>
      <x:c r="T153" s="43" t="str">
        <x:f>IFERROR(S153/L153,"")</x:f>
      </x:c>
      <x:c r="U153" s="32"/>
      <x:c r="V153" s="32"/>
      <x:c r="W153" s="32"/>
      <x:c r="X153" s="32"/>
      <x:c r="Y153" s="32"/>
      <x:c r="Z153" s="32"/>
      <x:c r="AA153" s="32"/>
      <x:c r="AB153" s="32"/>
      <x:c r="AC153" s="32"/>
      <x:c r="AD153" s="32"/>
      <x:c r="AE153" s="32"/>
      <x:c r="AF153" s="32"/>
      <x:c r="AG153" s="32"/>
      <x:c r="AH153" s="32"/>
      <x:c r="AI153" s="32"/>
      <x:c r="AJ153" s="32"/>
      <x:c r="AK153" s="32"/>
      <x:c r="AL153" s="32"/>
      <x:c r="AM153" s="32"/>
      <x:c r="AN153" s="32"/>
      <x:c r="AO153" s="32"/>
      <x:c r="AP153" s="32"/>
      <x:c r="AQ153" s="32"/>
      <x:c r="AR153" s="32"/>
      <x:c r="AS153" s="32"/>
      <x:c r="AT153" s="32"/>
      <x:c r="AU153" s="32"/>
      <x:c r="AV153" s="32"/>
      <x:c r="AW153" s="32"/>
      <x:c r="AX153" s="32"/>
      <x:c r="AZ153" s="32"/>
      <x:c r="BA153" s="32"/>
      <x:c r="BB153" s="32"/>
      <x:c r="BC153" s="32"/>
      <x:c r="BD153" s="32"/>
      <x:c r="BE153" s="32"/>
      <x:c r="BF153" s="32"/>
      <x:c r="BG153" s="32"/>
      <x:c r="BH153" s="32"/>
      <x:c r="BI153" s="32"/>
      <x:c r="BJ153" s="32"/>
      <x:c r="BK153" s="32"/>
      <x:c r="BL153" s="32"/>
      <x:c r="BM153" s="32"/>
    </x:row>
    <x:row r="154">
      <x:c r="A154" s="32"/>
      <x:c r="B154" s="32"/>
      <x:c r="C154" s="42"/>
      <x:c r="D154" s="32"/>
      <x:c r="E154" s="32"/>
      <x:c r="F154" s="32"/>
      <x:c r="G154" s="32"/>
      <x:c r="H154" s="32"/>
      <x:c r="I154" s="32"/>
      <x:c r="J154" s="32"/>
      <x:c r="K154" s="32"/>
      <x:c r="L154" s="32"/>
      <x:c r="M154" s="32"/>
      <x:c r="N154" s="32"/>
      <x:c r="O154" s="32"/>
      <x:c r="P154" s="32"/>
      <x:c r="Q154" s="32"/>
      <x:c r="R154" s="32"/>
      <x:c r="S154" s="32"/>
      <x:c r="T154" s="43" t="str">
        <x:f>IFERROR(S154/L154,"")</x:f>
      </x:c>
      <x:c r="U154" s="32"/>
      <x:c r="V154" s="32"/>
      <x:c r="W154" s="32"/>
      <x:c r="X154" s="32"/>
      <x:c r="Y154" s="32"/>
      <x:c r="Z154" s="32"/>
      <x:c r="AA154" s="32"/>
      <x:c r="AB154" s="32"/>
      <x:c r="AC154" s="32"/>
      <x:c r="AD154" s="32"/>
      <x:c r="AE154" s="32"/>
      <x:c r="AF154" s="32"/>
      <x:c r="AG154" s="32"/>
      <x:c r="AH154" s="32"/>
      <x:c r="AI154" s="32"/>
      <x:c r="AJ154" s="32"/>
      <x:c r="AK154" s="32"/>
      <x:c r="AL154" s="32"/>
      <x:c r="AM154" s="32"/>
      <x:c r="AN154" s="32"/>
      <x:c r="AO154" s="32"/>
      <x:c r="AP154" s="32"/>
      <x:c r="AQ154" s="32"/>
      <x:c r="AR154" s="32"/>
      <x:c r="AS154" s="32"/>
      <x:c r="AT154" s="32"/>
      <x:c r="AU154" s="32"/>
      <x:c r="AV154" s="32"/>
      <x:c r="AW154" s="32"/>
      <x:c r="AX154" s="32"/>
      <x:c r="AZ154" s="32"/>
      <x:c r="BA154" s="32"/>
      <x:c r="BB154" s="32"/>
      <x:c r="BC154" s="32"/>
      <x:c r="BD154" s="32"/>
      <x:c r="BE154" s="32"/>
      <x:c r="BF154" s="32"/>
      <x:c r="BG154" s="32"/>
      <x:c r="BH154" s="32"/>
      <x:c r="BI154" s="32"/>
      <x:c r="BJ154" s="32"/>
      <x:c r="BK154" s="32"/>
      <x:c r="BL154" s="32"/>
      <x:c r="BM154" s="32"/>
    </x:row>
    <x:row r="155">
      <x:c r="A155" s="32"/>
      <x:c r="B155" s="32"/>
      <x:c r="C155" s="42"/>
      <x:c r="D155" s="32"/>
      <x:c r="E155" s="32"/>
      <x:c r="F155" s="32"/>
      <x:c r="G155" s="32"/>
      <x:c r="H155" s="32"/>
      <x:c r="I155" s="32"/>
      <x:c r="J155" s="32"/>
      <x:c r="K155" s="32"/>
      <x:c r="L155" s="32"/>
      <x:c r="M155" s="32"/>
      <x:c r="N155" s="32"/>
      <x:c r="O155" s="32"/>
      <x:c r="P155" s="32"/>
      <x:c r="Q155" s="32"/>
      <x:c r="R155" s="32"/>
      <x:c r="S155" s="32"/>
      <x:c r="T155" s="43" t="str">
        <x:f>IFERROR(S155/L155,"")</x:f>
      </x:c>
      <x:c r="U155" s="32"/>
      <x:c r="V155" s="32"/>
      <x:c r="W155" s="32"/>
      <x:c r="X155" s="32"/>
      <x:c r="Y155" s="32"/>
      <x:c r="Z155" s="32"/>
      <x:c r="AA155" s="32"/>
      <x:c r="AB155" s="32"/>
      <x:c r="AC155" s="32"/>
      <x:c r="AD155" s="32"/>
      <x:c r="AE155" s="32"/>
      <x:c r="AF155" s="32"/>
      <x:c r="AG155" s="32"/>
      <x:c r="AH155" s="32"/>
      <x:c r="AI155" s="32"/>
      <x:c r="AJ155" s="32"/>
      <x:c r="AK155" s="32"/>
      <x:c r="AL155" s="32"/>
      <x:c r="AM155" s="32"/>
      <x:c r="AN155" s="32"/>
      <x:c r="AO155" s="32"/>
      <x:c r="AP155" s="32"/>
      <x:c r="AQ155" s="32"/>
      <x:c r="AR155" s="32"/>
      <x:c r="AS155" s="32"/>
      <x:c r="AT155" s="32"/>
      <x:c r="AU155" s="32"/>
      <x:c r="AV155" s="32"/>
      <x:c r="AW155" s="32"/>
      <x:c r="AX155" s="32"/>
      <x:c r="AZ155" s="32"/>
      <x:c r="BA155" s="32"/>
      <x:c r="BB155" s="32"/>
      <x:c r="BC155" s="32"/>
      <x:c r="BD155" s="32"/>
      <x:c r="BE155" s="32"/>
      <x:c r="BF155" s="32"/>
      <x:c r="BG155" s="32"/>
      <x:c r="BH155" s="32"/>
      <x:c r="BI155" s="32"/>
      <x:c r="BJ155" s="32"/>
      <x:c r="BK155" s="32"/>
      <x:c r="BL155" s="32"/>
      <x:c r="BM155" s="32"/>
    </x:row>
    <x:row r="156">
      <x:c r="A156" s="32"/>
      <x:c r="B156" s="32"/>
      <x:c r="C156" s="42"/>
      <x:c r="D156" s="32"/>
      <x:c r="E156" s="32"/>
      <x:c r="F156" s="32"/>
      <x:c r="G156" s="32"/>
      <x:c r="H156" s="32"/>
      <x:c r="I156" s="32"/>
      <x:c r="J156" s="32"/>
      <x:c r="K156" s="32"/>
      <x:c r="L156" s="32"/>
      <x:c r="M156" s="32"/>
      <x:c r="N156" s="32"/>
      <x:c r="O156" s="32"/>
      <x:c r="P156" s="32"/>
      <x:c r="Q156" s="32"/>
      <x:c r="R156" s="32"/>
      <x:c r="S156" s="32"/>
      <x:c r="T156" s="43" t="str">
        <x:f>IFERROR(S156/L156,"")</x:f>
      </x:c>
      <x:c r="U156" s="32"/>
      <x:c r="V156" s="32"/>
      <x:c r="W156" s="32"/>
      <x:c r="X156" s="32"/>
      <x:c r="Y156" s="32"/>
      <x:c r="Z156" s="32"/>
      <x:c r="AA156" s="32"/>
      <x:c r="AB156" s="32"/>
      <x:c r="AC156" s="32"/>
      <x:c r="AD156" s="32"/>
      <x:c r="AE156" s="32"/>
      <x:c r="AF156" s="32"/>
      <x:c r="AG156" s="32"/>
      <x:c r="AH156" s="32"/>
      <x:c r="AI156" s="32"/>
      <x:c r="AJ156" s="32"/>
      <x:c r="AK156" s="32"/>
      <x:c r="AL156" s="32"/>
      <x:c r="AM156" s="32"/>
      <x:c r="AN156" s="32"/>
      <x:c r="AO156" s="32"/>
      <x:c r="AP156" s="32"/>
      <x:c r="AQ156" s="32"/>
      <x:c r="AR156" s="32"/>
      <x:c r="AS156" s="32"/>
      <x:c r="AT156" s="32"/>
      <x:c r="AU156" s="32"/>
      <x:c r="AV156" s="32"/>
      <x:c r="AW156" s="32"/>
      <x:c r="AX156" s="32"/>
      <x:c r="AZ156" s="32"/>
      <x:c r="BA156" s="32"/>
      <x:c r="BB156" s="32"/>
      <x:c r="BC156" s="32"/>
      <x:c r="BD156" s="32"/>
      <x:c r="BE156" s="32"/>
      <x:c r="BF156" s="32"/>
      <x:c r="BG156" s="32"/>
      <x:c r="BH156" s="32"/>
      <x:c r="BI156" s="32"/>
      <x:c r="BJ156" s="32"/>
      <x:c r="BK156" s="32"/>
      <x:c r="BL156" s="32"/>
      <x:c r="BM156" s="32"/>
    </x:row>
    <x:row r="157">
      <x:c r="A157" s="32"/>
      <x:c r="B157" s="32"/>
      <x:c r="C157" s="42"/>
      <x:c r="D157" s="32"/>
      <x:c r="E157" s="32"/>
      <x:c r="F157" s="32"/>
      <x:c r="G157" s="32"/>
      <x:c r="H157" s="32"/>
      <x:c r="I157" s="32"/>
      <x:c r="J157" s="32"/>
      <x:c r="K157" s="32"/>
      <x:c r="L157" s="32"/>
      <x:c r="M157" s="32"/>
      <x:c r="N157" s="32"/>
      <x:c r="O157" s="32"/>
      <x:c r="P157" s="32"/>
      <x:c r="Q157" s="32"/>
      <x:c r="R157" s="32"/>
      <x:c r="S157" s="32"/>
      <x:c r="T157" s="43" t="str">
        <x:f>IFERROR(S157/L157,"")</x:f>
      </x:c>
      <x:c r="U157" s="32"/>
      <x:c r="V157" s="32"/>
      <x:c r="W157" s="32"/>
      <x:c r="X157" s="32"/>
      <x:c r="Y157" s="32"/>
      <x:c r="Z157" s="32"/>
      <x:c r="AA157" s="32"/>
      <x:c r="AB157" s="32"/>
      <x:c r="AC157" s="32"/>
      <x:c r="AD157" s="32"/>
      <x:c r="AE157" s="32"/>
      <x:c r="AF157" s="32"/>
      <x:c r="AG157" s="32"/>
      <x:c r="AH157" s="32"/>
      <x:c r="AI157" s="32"/>
      <x:c r="AJ157" s="32"/>
      <x:c r="AK157" s="32"/>
      <x:c r="AL157" s="32"/>
      <x:c r="AM157" s="32"/>
      <x:c r="AN157" s="32"/>
      <x:c r="AO157" s="32"/>
      <x:c r="AP157" s="32"/>
      <x:c r="AQ157" s="32"/>
      <x:c r="AR157" s="32"/>
      <x:c r="AS157" s="32"/>
      <x:c r="AT157" s="32"/>
      <x:c r="AU157" s="32"/>
      <x:c r="AV157" s="32"/>
      <x:c r="AW157" s="32"/>
      <x:c r="AX157" s="32"/>
      <x:c r="AZ157" s="32"/>
      <x:c r="BA157" s="32"/>
      <x:c r="BB157" s="32"/>
      <x:c r="BC157" s="32"/>
      <x:c r="BD157" s="32"/>
      <x:c r="BE157" s="32"/>
      <x:c r="BF157" s="32"/>
      <x:c r="BG157" s="32"/>
      <x:c r="BH157" s="32"/>
      <x:c r="BI157" s="32"/>
      <x:c r="BJ157" s="32"/>
      <x:c r="BK157" s="32"/>
      <x:c r="BL157" s="32"/>
      <x:c r="BM157" s="32"/>
    </x:row>
    <x:row r="158">
      <x:c r="A158" s="32"/>
      <x:c r="B158" s="32"/>
      <x:c r="C158" s="42"/>
      <x:c r="D158" s="32"/>
      <x:c r="E158" s="32"/>
      <x:c r="F158" s="32"/>
      <x:c r="G158" s="32"/>
      <x:c r="H158" s="32"/>
      <x:c r="I158" s="32"/>
      <x:c r="J158" s="32"/>
      <x:c r="K158" s="32"/>
      <x:c r="L158" s="32"/>
      <x:c r="M158" s="32"/>
      <x:c r="N158" s="32"/>
      <x:c r="O158" s="32"/>
      <x:c r="P158" s="32"/>
      <x:c r="Q158" s="32"/>
      <x:c r="R158" s="32"/>
      <x:c r="S158" s="32"/>
      <x:c r="T158" s="43" t="str">
        <x:f>IFERROR(S158/L158,"")</x:f>
      </x:c>
      <x:c r="U158" s="32"/>
      <x:c r="V158" s="32"/>
      <x:c r="W158" s="32"/>
      <x:c r="X158" s="32"/>
      <x:c r="Y158" s="32"/>
      <x:c r="Z158" s="32"/>
      <x:c r="AA158" s="32"/>
      <x:c r="AB158" s="32"/>
      <x:c r="AC158" s="32"/>
      <x:c r="AD158" s="32"/>
      <x:c r="AE158" s="32"/>
      <x:c r="AF158" s="32"/>
      <x:c r="AG158" s="32"/>
      <x:c r="AH158" s="32"/>
      <x:c r="AI158" s="32"/>
      <x:c r="AJ158" s="32"/>
      <x:c r="AK158" s="32"/>
      <x:c r="AL158" s="32"/>
      <x:c r="AM158" s="32"/>
      <x:c r="AN158" s="32"/>
      <x:c r="AO158" s="32"/>
      <x:c r="AP158" s="32"/>
      <x:c r="AQ158" s="32"/>
      <x:c r="AR158" s="32"/>
      <x:c r="AS158" s="32"/>
      <x:c r="AT158" s="32"/>
      <x:c r="AU158" s="32"/>
      <x:c r="AV158" s="32"/>
      <x:c r="AW158" s="32"/>
      <x:c r="AX158" s="32"/>
      <x:c r="AZ158" s="32"/>
      <x:c r="BA158" s="32"/>
      <x:c r="BB158" s="32"/>
      <x:c r="BC158" s="32"/>
      <x:c r="BD158" s="32"/>
      <x:c r="BE158" s="32"/>
      <x:c r="BF158" s="32"/>
      <x:c r="BG158" s="32"/>
      <x:c r="BH158" s="32"/>
      <x:c r="BI158" s="32"/>
      <x:c r="BJ158" s="32"/>
      <x:c r="BK158" s="32"/>
      <x:c r="BL158" s="32"/>
      <x:c r="BM158" s="32"/>
    </x:row>
    <x:row r="159">
      <x:c r="A159" s="32"/>
      <x:c r="B159" s="32"/>
      <x:c r="C159" s="42"/>
      <x:c r="D159" s="32"/>
      <x:c r="E159" s="32"/>
      <x:c r="F159" s="32"/>
      <x:c r="G159" s="32"/>
      <x:c r="H159" s="32"/>
      <x:c r="I159" s="32"/>
      <x:c r="J159" s="32"/>
      <x:c r="K159" s="32"/>
      <x:c r="L159" s="32"/>
      <x:c r="M159" s="32"/>
      <x:c r="N159" s="32"/>
      <x:c r="O159" s="32"/>
      <x:c r="P159" s="32"/>
      <x:c r="Q159" s="32"/>
      <x:c r="R159" s="32"/>
      <x:c r="S159" s="32"/>
      <x:c r="T159" s="43" t="str">
        <x:f>IFERROR(S159/L159,"")</x:f>
      </x:c>
      <x:c r="U159" s="32"/>
      <x:c r="V159" s="32"/>
      <x:c r="W159" s="32"/>
      <x:c r="X159" s="32"/>
      <x:c r="Y159" s="32"/>
      <x:c r="Z159" s="32"/>
      <x:c r="AA159" s="32"/>
      <x:c r="AB159" s="32"/>
      <x:c r="AC159" s="32"/>
      <x:c r="AD159" s="32"/>
      <x:c r="AE159" s="32"/>
      <x:c r="AF159" s="32"/>
      <x:c r="AG159" s="32"/>
      <x:c r="AH159" s="32"/>
      <x:c r="AI159" s="32"/>
      <x:c r="AJ159" s="32"/>
      <x:c r="AK159" s="32"/>
      <x:c r="AL159" s="32"/>
      <x:c r="AM159" s="32"/>
      <x:c r="AN159" s="32"/>
      <x:c r="AO159" s="32"/>
      <x:c r="AP159" s="32"/>
      <x:c r="AQ159" s="32"/>
      <x:c r="AR159" s="32"/>
      <x:c r="AS159" s="32"/>
      <x:c r="AT159" s="32"/>
      <x:c r="AU159" s="32"/>
      <x:c r="AV159" s="32"/>
      <x:c r="AW159" s="32"/>
      <x:c r="AX159" s="32"/>
      <x:c r="AZ159" s="32"/>
      <x:c r="BA159" s="32"/>
      <x:c r="BB159" s="32"/>
      <x:c r="BC159" s="32"/>
      <x:c r="BD159" s="32"/>
      <x:c r="BE159" s="32"/>
      <x:c r="BF159" s="32"/>
      <x:c r="BG159" s="32"/>
      <x:c r="BH159" s="32"/>
      <x:c r="BI159" s="32"/>
      <x:c r="BJ159" s="32"/>
      <x:c r="BK159" s="32"/>
      <x:c r="BL159" s="32"/>
      <x:c r="BM159" s="32"/>
    </x:row>
    <x:row r="160">
      <x:c r="A160" s="32"/>
      <x:c r="B160" s="32"/>
      <x:c r="C160" s="42"/>
      <x:c r="D160" s="32"/>
      <x:c r="E160" s="32"/>
      <x:c r="F160" s="32"/>
      <x:c r="G160" s="32"/>
      <x:c r="H160" s="32"/>
      <x:c r="I160" s="32"/>
      <x:c r="J160" s="32"/>
      <x:c r="K160" s="32"/>
      <x:c r="L160" s="32"/>
      <x:c r="M160" s="32"/>
      <x:c r="N160" s="32"/>
      <x:c r="O160" s="32"/>
      <x:c r="P160" s="32"/>
      <x:c r="Q160" s="32"/>
      <x:c r="R160" s="32"/>
      <x:c r="S160" s="32"/>
      <x:c r="T160" s="43" t="str">
        <x:f>IFERROR(S160/L160,"")</x:f>
      </x:c>
      <x:c r="U160" s="32"/>
      <x:c r="V160" s="32"/>
      <x:c r="W160" s="32"/>
      <x:c r="X160" s="32"/>
      <x:c r="Y160" s="32"/>
      <x:c r="Z160" s="32"/>
      <x:c r="AA160" s="32"/>
      <x:c r="AB160" s="32"/>
      <x:c r="AC160" s="32"/>
      <x:c r="AD160" s="32"/>
      <x:c r="AE160" s="32"/>
      <x:c r="AF160" s="32"/>
      <x:c r="AG160" s="32"/>
      <x:c r="AH160" s="32"/>
      <x:c r="AI160" s="32"/>
      <x:c r="AJ160" s="32"/>
      <x:c r="AK160" s="32"/>
      <x:c r="AL160" s="32"/>
      <x:c r="AM160" s="32"/>
      <x:c r="AN160" s="32"/>
      <x:c r="AO160" s="32"/>
      <x:c r="AP160" s="32"/>
      <x:c r="AQ160" s="32"/>
      <x:c r="AR160" s="32"/>
      <x:c r="AS160" s="32"/>
      <x:c r="AT160" s="32"/>
      <x:c r="AU160" s="32"/>
      <x:c r="AV160" s="32"/>
      <x:c r="AW160" s="32"/>
      <x:c r="AX160" s="32"/>
      <x:c r="AZ160" s="32"/>
      <x:c r="BA160" s="32"/>
      <x:c r="BB160" s="32"/>
      <x:c r="BC160" s="32"/>
      <x:c r="BD160" s="32"/>
      <x:c r="BE160" s="32"/>
      <x:c r="BF160" s="32"/>
      <x:c r="BG160" s="32"/>
      <x:c r="BH160" s="32"/>
      <x:c r="BI160" s="32"/>
      <x:c r="BJ160" s="32"/>
      <x:c r="BK160" s="32"/>
      <x:c r="BL160" s="32"/>
      <x:c r="BM160" s="32"/>
    </x:row>
    <x:row r="161">
      <x:c r="A161" s="32"/>
      <x:c r="B161" s="32"/>
      <x:c r="C161" s="42"/>
      <x:c r="D161" s="32"/>
      <x:c r="E161" s="32"/>
      <x:c r="F161" s="32"/>
      <x:c r="G161" s="32"/>
      <x:c r="H161" s="32"/>
      <x:c r="I161" s="32"/>
      <x:c r="J161" s="32"/>
      <x:c r="K161" s="32"/>
      <x:c r="L161" s="32"/>
      <x:c r="M161" s="32"/>
      <x:c r="N161" s="32"/>
      <x:c r="O161" s="32"/>
      <x:c r="P161" s="32"/>
      <x:c r="Q161" s="32"/>
      <x:c r="R161" s="32"/>
      <x:c r="S161" s="32"/>
      <x:c r="T161" s="43" t="str">
        <x:f>IFERROR(S161/L161,"")</x:f>
      </x:c>
      <x:c r="U161" s="32"/>
      <x:c r="V161" s="32"/>
      <x:c r="W161" s="32"/>
      <x:c r="X161" s="32"/>
      <x:c r="Y161" s="32"/>
      <x:c r="Z161" s="32"/>
      <x:c r="AA161" s="32"/>
      <x:c r="AB161" s="32"/>
      <x:c r="AC161" s="32"/>
      <x:c r="AD161" s="32"/>
      <x:c r="AE161" s="32"/>
      <x:c r="AF161" s="32"/>
      <x:c r="AG161" s="32"/>
      <x:c r="AH161" s="32"/>
      <x:c r="AI161" s="32"/>
      <x:c r="AJ161" s="32"/>
      <x:c r="AK161" s="32"/>
      <x:c r="AL161" s="32"/>
      <x:c r="AM161" s="32"/>
      <x:c r="AN161" s="32"/>
      <x:c r="AO161" s="32"/>
      <x:c r="AP161" s="32"/>
      <x:c r="AQ161" s="32"/>
      <x:c r="AR161" s="32"/>
      <x:c r="AS161" s="32"/>
      <x:c r="AT161" s="32"/>
      <x:c r="AU161" s="32"/>
      <x:c r="AV161" s="32"/>
      <x:c r="AW161" s="32"/>
      <x:c r="AX161" s="32"/>
      <x:c r="AZ161" s="32"/>
      <x:c r="BA161" s="32"/>
      <x:c r="BB161" s="32"/>
      <x:c r="BC161" s="32"/>
      <x:c r="BD161" s="32"/>
      <x:c r="BE161" s="32"/>
      <x:c r="BF161" s="32"/>
      <x:c r="BG161" s="32"/>
      <x:c r="BH161" s="32"/>
      <x:c r="BI161" s="32"/>
      <x:c r="BJ161" s="32"/>
      <x:c r="BK161" s="32"/>
      <x:c r="BL161" s="32"/>
      <x:c r="BM161" s="32"/>
    </x:row>
    <x:row r="162">
      <x:c r="A162" s="32"/>
      <x:c r="B162" s="32"/>
      <x:c r="C162" s="42"/>
      <x:c r="D162" s="32"/>
      <x:c r="E162" s="32"/>
      <x:c r="F162" s="32"/>
      <x:c r="G162" s="32"/>
      <x:c r="H162" s="32"/>
      <x:c r="I162" s="32"/>
      <x:c r="J162" s="32"/>
      <x:c r="K162" s="32"/>
      <x:c r="L162" s="32"/>
      <x:c r="M162" s="32"/>
      <x:c r="N162" s="32"/>
      <x:c r="O162" s="32"/>
      <x:c r="P162" s="32"/>
      <x:c r="Q162" s="32"/>
      <x:c r="R162" s="32"/>
      <x:c r="S162" s="32"/>
      <x:c r="T162" s="43" t="str">
        <x:f>IFERROR(S162/L162,"")</x:f>
      </x:c>
      <x:c r="U162" s="32"/>
      <x:c r="V162" s="32"/>
      <x:c r="W162" s="32"/>
      <x:c r="X162" s="32"/>
      <x:c r="Y162" s="32"/>
      <x:c r="Z162" s="32"/>
      <x:c r="AA162" s="32"/>
      <x:c r="AB162" s="32"/>
      <x:c r="AC162" s="32"/>
      <x:c r="AD162" s="32"/>
      <x:c r="AE162" s="32"/>
      <x:c r="AF162" s="32"/>
      <x:c r="AG162" s="32"/>
      <x:c r="AH162" s="32"/>
      <x:c r="AI162" s="32"/>
      <x:c r="AJ162" s="32"/>
      <x:c r="AK162" s="32"/>
      <x:c r="AL162" s="32"/>
      <x:c r="AM162" s="32"/>
      <x:c r="AN162" s="32"/>
      <x:c r="AO162" s="32"/>
      <x:c r="AP162" s="32"/>
      <x:c r="AQ162" s="32"/>
      <x:c r="AR162" s="32"/>
      <x:c r="AS162" s="32"/>
      <x:c r="AT162" s="32"/>
      <x:c r="AU162" s="32"/>
      <x:c r="AV162" s="32"/>
      <x:c r="AW162" s="32"/>
      <x:c r="AX162" s="32"/>
      <x:c r="AZ162" s="32"/>
      <x:c r="BA162" s="32"/>
      <x:c r="BB162" s="32"/>
      <x:c r="BC162" s="32"/>
      <x:c r="BD162" s="32"/>
      <x:c r="BE162" s="32"/>
      <x:c r="BF162" s="32"/>
      <x:c r="BG162" s="32"/>
      <x:c r="BH162" s="32"/>
      <x:c r="BI162" s="32"/>
      <x:c r="BJ162" s="32"/>
      <x:c r="BK162" s="32"/>
      <x:c r="BL162" s="32"/>
      <x:c r="BM162" s="32"/>
    </x:row>
    <x:row r="163">
      <x:c r="A163" s="32"/>
      <x:c r="B163" s="32"/>
      <x:c r="C163" s="42"/>
      <x:c r="D163" s="32"/>
      <x:c r="E163" s="32"/>
      <x:c r="F163" s="32"/>
      <x:c r="G163" s="32"/>
      <x:c r="H163" s="32"/>
      <x:c r="I163" s="32"/>
      <x:c r="J163" s="32"/>
      <x:c r="K163" s="32"/>
      <x:c r="L163" s="32"/>
      <x:c r="M163" s="32"/>
      <x:c r="N163" s="32"/>
      <x:c r="O163" s="32"/>
      <x:c r="P163" s="32"/>
      <x:c r="Q163" s="32"/>
      <x:c r="R163" s="32"/>
      <x:c r="S163" s="32"/>
      <x:c r="T163" s="43" t="str">
        <x:f>IFERROR(S163/L163,"")</x:f>
      </x:c>
      <x:c r="U163" s="32"/>
      <x:c r="V163" s="32"/>
      <x:c r="W163" s="32"/>
      <x:c r="X163" s="32"/>
      <x:c r="Y163" s="32"/>
      <x:c r="Z163" s="32"/>
      <x:c r="AA163" s="32"/>
      <x:c r="AB163" s="32"/>
      <x:c r="AC163" s="32"/>
      <x:c r="AD163" s="32"/>
      <x:c r="AE163" s="32"/>
      <x:c r="AF163" s="32"/>
      <x:c r="AG163" s="32"/>
      <x:c r="AH163" s="32"/>
      <x:c r="AI163" s="32"/>
      <x:c r="AJ163" s="32"/>
      <x:c r="AK163" s="32"/>
      <x:c r="AL163" s="32"/>
      <x:c r="AM163" s="32"/>
      <x:c r="AN163" s="32"/>
      <x:c r="AO163" s="32"/>
      <x:c r="AP163" s="32"/>
      <x:c r="AQ163" s="32"/>
      <x:c r="AR163" s="32"/>
      <x:c r="AS163" s="32"/>
      <x:c r="AT163" s="32"/>
      <x:c r="AU163" s="32"/>
      <x:c r="AV163" s="32"/>
      <x:c r="AW163" s="32"/>
      <x:c r="AX163" s="32"/>
      <x:c r="AZ163" s="32"/>
      <x:c r="BA163" s="32"/>
      <x:c r="BB163" s="32"/>
      <x:c r="BC163" s="32"/>
      <x:c r="BD163" s="32"/>
      <x:c r="BE163" s="32"/>
      <x:c r="BF163" s="32"/>
      <x:c r="BG163" s="32"/>
      <x:c r="BH163" s="32"/>
      <x:c r="BI163" s="32"/>
      <x:c r="BJ163" s="32"/>
      <x:c r="BK163" s="32"/>
      <x:c r="BL163" s="32"/>
      <x:c r="BM163" s="32"/>
    </x:row>
    <x:row r="164">
      <x:c r="A164" s="32"/>
      <x:c r="B164" s="32"/>
      <x:c r="C164" s="42"/>
      <x:c r="D164" s="32"/>
      <x:c r="E164" s="32"/>
      <x:c r="F164" s="32"/>
      <x:c r="G164" s="32"/>
      <x:c r="H164" s="32"/>
      <x:c r="I164" s="32"/>
      <x:c r="J164" s="32"/>
      <x:c r="K164" s="32"/>
      <x:c r="L164" s="32"/>
      <x:c r="M164" s="32"/>
      <x:c r="N164" s="32"/>
      <x:c r="O164" s="32"/>
      <x:c r="P164" s="32"/>
      <x:c r="Q164" s="32"/>
      <x:c r="R164" s="32"/>
      <x:c r="S164" s="32"/>
      <x:c r="T164" s="43" t="str">
        <x:f>IFERROR(S164/L164,"")</x:f>
      </x:c>
      <x:c r="U164" s="32"/>
      <x:c r="V164" s="32"/>
      <x:c r="W164" s="32"/>
      <x:c r="X164" s="32"/>
      <x:c r="Y164" s="32"/>
      <x:c r="Z164" s="32"/>
      <x:c r="AA164" s="32"/>
      <x:c r="AB164" s="32"/>
      <x:c r="AC164" s="32"/>
      <x:c r="AD164" s="32"/>
      <x:c r="AE164" s="32"/>
      <x:c r="AF164" s="32"/>
      <x:c r="AG164" s="32"/>
      <x:c r="AH164" s="32"/>
      <x:c r="AI164" s="32"/>
      <x:c r="AJ164" s="32"/>
      <x:c r="AK164" s="32"/>
      <x:c r="AL164" s="32"/>
      <x:c r="AM164" s="32"/>
      <x:c r="AN164" s="32"/>
      <x:c r="AO164" s="32"/>
      <x:c r="AP164" s="32"/>
      <x:c r="AQ164" s="32"/>
      <x:c r="AR164" s="32"/>
      <x:c r="AS164" s="32"/>
      <x:c r="AT164" s="32"/>
      <x:c r="AU164" s="32"/>
      <x:c r="AV164" s="32"/>
      <x:c r="AW164" s="32"/>
      <x:c r="AX164" s="32"/>
      <x:c r="AZ164" s="32"/>
      <x:c r="BA164" s="32"/>
      <x:c r="BB164" s="32"/>
      <x:c r="BC164" s="32"/>
      <x:c r="BD164" s="32"/>
      <x:c r="BE164" s="32"/>
      <x:c r="BF164" s="32"/>
      <x:c r="BG164" s="32"/>
      <x:c r="BH164" s="32"/>
      <x:c r="BI164" s="32"/>
      <x:c r="BJ164" s="32"/>
      <x:c r="BK164" s="32"/>
      <x:c r="BL164" s="32"/>
      <x:c r="BM164" s="32"/>
    </x:row>
    <x:row r="165">
      <x:c r="A165" s="32"/>
      <x:c r="B165" s="32"/>
      <x:c r="C165" s="42"/>
      <x:c r="D165" s="32"/>
      <x:c r="E165" s="32"/>
      <x:c r="F165" s="32"/>
      <x:c r="G165" s="32"/>
      <x:c r="H165" s="32"/>
      <x:c r="I165" s="32"/>
      <x:c r="J165" s="32"/>
      <x:c r="K165" s="32"/>
      <x:c r="L165" s="32"/>
      <x:c r="M165" s="32"/>
      <x:c r="N165" s="32"/>
      <x:c r="O165" s="32"/>
      <x:c r="P165" s="32"/>
      <x:c r="Q165" s="32"/>
      <x:c r="R165" s="32"/>
      <x:c r="S165" s="32"/>
      <x:c r="T165" s="43" t="str">
        <x:f>IFERROR(S165/L165,"")</x:f>
      </x:c>
      <x:c r="U165" s="32"/>
      <x:c r="V165" s="32"/>
      <x:c r="W165" s="32"/>
      <x:c r="X165" s="32"/>
      <x:c r="Y165" s="32"/>
      <x:c r="Z165" s="32"/>
      <x:c r="AA165" s="32"/>
      <x:c r="AB165" s="32"/>
      <x:c r="AC165" s="32"/>
      <x:c r="AD165" s="32"/>
      <x:c r="AE165" s="32"/>
      <x:c r="AF165" s="32"/>
      <x:c r="AG165" s="32"/>
      <x:c r="AH165" s="32"/>
      <x:c r="AI165" s="32"/>
      <x:c r="AJ165" s="32"/>
      <x:c r="AK165" s="32"/>
      <x:c r="AL165" s="32"/>
      <x:c r="AM165" s="32"/>
      <x:c r="AN165" s="32"/>
      <x:c r="AO165" s="32"/>
      <x:c r="AP165" s="32"/>
      <x:c r="AQ165" s="32"/>
      <x:c r="AR165" s="32"/>
      <x:c r="AS165" s="32"/>
      <x:c r="AT165" s="32"/>
      <x:c r="AU165" s="32"/>
      <x:c r="AV165" s="32"/>
      <x:c r="AW165" s="32"/>
      <x:c r="AX165" s="32"/>
      <x:c r="AZ165" s="32"/>
      <x:c r="BA165" s="32"/>
      <x:c r="BB165" s="32"/>
      <x:c r="BC165" s="32"/>
      <x:c r="BD165" s="32"/>
      <x:c r="BE165" s="32"/>
      <x:c r="BF165" s="32"/>
      <x:c r="BG165" s="32"/>
      <x:c r="BH165" s="32"/>
      <x:c r="BI165" s="32"/>
      <x:c r="BJ165" s="32"/>
      <x:c r="BK165" s="32"/>
      <x:c r="BL165" s="32"/>
      <x:c r="BM165" s="32"/>
    </x:row>
    <x:row r="166">
      <x:c r="A166" s="32"/>
      <x:c r="B166" s="32"/>
      <x:c r="C166" s="42"/>
      <x:c r="D166" s="32"/>
      <x:c r="E166" s="32"/>
      <x:c r="F166" s="32"/>
      <x:c r="G166" s="32"/>
      <x:c r="H166" s="32"/>
      <x:c r="I166" s="32"/>
      <x:c r="J166" s="32"/>
      <x:c r="K166" s="32"/>
      <x:c r="L166" s="32"/>
      <x:c r="M166" s="32"/>
      <x:c r="N166" s="32"/>
      <x:c r="O166" s="32"/>
      <x:c r="P166" s="32"/>
      <x:c r="Q166" s="32"/>
      <x:c r="R166" s="32"/>
      <x:c r="S166" s="32"/>
      <x:c r="T166" s="43" t="str">
        <x:f>IFERROR(S166/L166,"")</x:f>
      </x:c>
      <x:c r="U166" s="32"/>
      <x:c r="V166" s="32"/>
      <x:c r="W166" s="32"/>
      <x:c r="X166" s="32"/>
      <x:c r="Y166" s="32"/>
      <x:c r="Z166" s="32"/>
      <x:c r="AA166" s="32"/>
      <x:c r="AB166" s="32"/>
      <x:c r="AC166" s="32"/>
      <x:c r="AD166" s="32"/>
      <x:c r="AE166" s="32"/>
      <x:c r="AF166" s="32"/>
      <x:c r="AG166" s="32"/>
      <x:c r="AH166" s="32"/>
      <x:c r="AI166" s="32"/>
      <x:c r="AJ166" s="32"/>
      <x:c r="AK166" s="32"/>
      <x:c r="AL166" s="32"/>
      <x:c r="AM166" s="32"/>
      <x:c r="AN166" s="32"/>
      <x:c r="AO166" s="32"/>
      <x:c r="AP166" s="32"/>
      <x:c r="AQ166" s="32"/>
      <x:c r="AR166" s="32"/>
      <x:c r="AS166" s="32"/>
      <x:c r="AT166" s="32"/>
      <x:c r="AU166" s="32"/>
      <x:c r="AV166" s="32"/>
      <x:c r="AW166" s="32"/>
      <x:c r="AX166" s="32"/>
      <x:c r="AZ166" s="32"/>
      <x:c r="BA166" s="32"/>
      <x:c r="BB166" s="32"/>
      <x:c r="BC166" s="32"/>
      <x:c r="BD166" s="32"/>
      <x:c r="BE166" s="32"/>
      <x:c r="BF166" s="32"/>
      <x:c r="BG166" s="32"/>
      <x:c r="BH166" s="32"/>
      <x:c r="BI166" s="32"/>
      <x:c r="BJ166" s="32"/>
      <x:c r="BK166" s="32"/>
      <x:c r="BL166" s="32"/>
      <x:c r="BM166" s="32"/>
    </x:row>
    <x:row r="167">
      <x:c r="A167" s="32"/>
      <x:c r="B167" s="32"/>
      <x:c r="C167" s="42"/>
      <x:c r="D167" s="32"/>
      <x:c r="E167" s="32"/>
      <x:c r="F167" s="32"/>
      <x:c r="G167" s="32"/>
      <x:c r="H167" s="32"/>
      <x:c r="I167" s="32"/>
      <x:c r="J167" s="32"/>
      <x:c r="K167" s="32"/>
      <x:c r="L167" s="32"/>
      <x:c r="M167" s="32"/>
      <x:c r="N167" s="32"/>
      <x:c r="O167" s="32"/>
      <x:c r="P167" s="32"/>
      <x:c r="Q167" s="32"/>
      <x:c r="R167" s="32"/>
      <x:c r="S167" s="32"/>
      <x:c r="T167" s="43" t="str">
        <x:f>IFERROR(S167/L167,"")</x:f>
      </x:c>
      <x:c r="U167" s="32"/>
      <x:c r="V167" s="32"/>
      <x:c r="W167" s="32"/>
      <x:c r="X167" s="32"/>
      <x:c r="Y167" s="32"/>
      <x:c r="Z167" s="32"/>
      <x:c r="AA167" s="32"/>
      <x:c r="AB167" s="32"/>
      <x:c r="AC167" s="32"/>
      <x:c r="AD167" s="32"/>
      <x:c r="AE167" s="32"/>
      <x:c r="AF167" s="32"/>
      <x:c r="AG167" s="32"/>
      <x:c r="AH167" s="32"/>
      <x:c r="AI167" s="32"/>
      <x:c r="AJ167" s="32"/>
      <x:c r="AK167" s="32"/>
      <x:c r="AL167" s="32"/>
      <x:c r="AM167" s="32"/>
      <x:c r="AN167" s="32"/>
      <x:c r="AO167" s="32"/>
      <x:c r="AP167" s="32"/>
      <x:c r="AQ167" s="32"/>
      <x:c r="AR167" s="32"/>
      <x:c r="AS167" s="32"/>
      <x:c r="AT167" s="32"/>
      <x:c r="AU167" s="32"/>
      <x:c r="AV167" s="32"/>
      <x:c r="AW167" s="32"/>
      <x:c r="AX167" s="32"/>
      <x:c r="AZ167" s="32"/>
      <x:c r="BA167" s="32"/>
      <x:c r="BB167" s="32"/>
      <x:c r="BC167" s="32"/>
      <x:c r="BD167" s="32"/>
      <x:c r="BE167" s="32"/>
      <x:c r="BF167" s="32"/>
      <x:c r="BG167" s="32"/>
      <x:c r="BH167" s="32"/>
      <x:c r="BI167" s="32"/>
      <x:c r="BJ167" s="32"/>
      <x:c r="BK167" s="32"/>
      <x:c r="BL167" s="32"/>
      <x:c r="BM167" s="32"/>
    </x:row>
    <x:row r="168">
      <x:c r="A168" s="32"/>
      <x:c r="B168" s="32"/>
      <x:c r="C168" s="42"/>
      <x:c r="D168" s="32"/>
      <x:c r="E168" s="32"/>
      <x:c r="F168" s="32"/>
      <x:c r="G168" s="32"/>
      <x:c r="H168" s="32"/>
      <x:c r="I168" s="32"/>
      <x:c r="J168" s="32"/>
      <x:c r="K168" s="32"/>
      <x:c r="L168" s="32"/>
      <x:c r="M168" s="32"/>
      <x:c r="N168" s="32"/>
      <x:c r="O168" s="32"/>
      <x:c r="P168" s="32"/>
      <x:c r="Q168" s="32"/>
      <x:c r="R168" s="32"/>
      <x:c r="S168" s="32"/>
      <x:c r="T168" s="43" t="str">
        <x:f>IFERROR(S168/L168,"")</x:f>
      </x:c>
      <x:c r="U168" s="32"/>
      <x:c r="V168" s="32"/>
      <x:c r="W168" s="32"/>
      <x:c r="X168" s="32"/>
      <x:c r="Y168" s="32"/>
      <x:c r="Z168" s="32"/>
      <x:c r="AA168" s="32"/>
      <x:c r="AB168" s="32"/>
      <x:c r="AC168" s="32"/>
      <x:c r="AD168" s="32"/>
      <x:c r="AE168" s="32"/>
      <x:c r="AF168" s="32"/>
      <x:c r="AG168" s="32"/>
      <x:c r="AH168" s="32"/>
      <x:c r="AI168" s="32"/>
      <x:c r="AJ168" s="32"/>
      <x:c r="AK168" s="32"/>
      <x:c r="AL168" s="32"/>
      <x:c r="AM168" s="32"/>
      <x:c r="AN168" s="32"/>
      <x:c r="AO168" s="32"/>
      <x:c r="AP168" s="32"/>
      <x:c r="AQ168" s="32"/>
      <x:c r="AR168" s="32"/>
      <x:c r="AS168" s="32"/>
      <x:c r="AT168" s="32"/>
      <x:c r="AU168" s="32"/>
      <x:c r="AV168" s="32"/>
      <x:c r="AW168" s="32"/>
      <x:c r="AX168" s="32"/>
      <x:c r="AZ168" s="32"/>
      <x:c r="BA168" s="32"/>
      <x:c r="BB168" s="32"/>
      <x:c r="BC168" s="32"/>
      <x:c r="BD168" s="32"/>
      <x:c r="BE168" s="32"/>
      <x:c r="BF168" s="32"/>
      <x:c r="BG168" s="32"/>
      <x:c r="BH168" s="32"/>
      <x:c r="BI168" s="32"/>
      <x:c r="BJ168" s="32"/>
      <x:c r="BK168" s="32"/>
      <x:c r="BL168" s="32"/>
      <x:c r="BM168" s="32"/>
    </x:row>
    <x:row r="169">
      <x:c r="A169" s="32"/>
      <x:c r="B169" s="32"/>
      <x:c r="C169" s="42"/>
      <x:c r="D169" s="32"/>
      <x:c r="E169" s="32"/>
      <x:c r="F169" s="32"/>
      <x:c r="G169" s="32"/>
      <x:c r="H169" s="32"/>
      <x:c r="I169" s="32"/>
      <x:c r="J169" s="32"/>
      <x:c r="K169" s="32"/>
      <x:c r="L169" s="32"/>
      <x:c r="M169" s="32"/>
      <x:c r="N169" s="32"/>
      <x:c r="O169" s="32"/>
      <x:c r="P169" s="32"/>
      <x:c r="Q169" s="32"/>
      <x:c r="R169" s="32"/>
      <x:c r="S169" s="32"/>
      <x:c r="T169" s="43" t="str">
        <x:f>IFERROR(S169/L169,"")</x:f>
      </x:c>
      <x:c r="U169" s="32"/>
      <x:c r="V169" s="32"/>
      <x:c r="W169" s="32"/>
      <x:c r="X169" s="32"/>
      <x:c r="Y169" s="32"/>
      <x:c r="Z169" s="32"/>
      <x:c r="AA169" s="32"/>
      <x:c r="AB169" s="32"/>
      <x:c r="AC169" s="32"/>
      <x:c r="AD169" s="32"/>
      <x:c r="AE169" s="32"/>
      <x:c r="AF169" s="32"/>
      <x:c r="AG169" s="32"/>
      <x:c r="AH169" s="32"/>
      <x:c r="AI169" s="32"/>
      <x:c r="AJ169" s="32"/>
      <x:c r="AK169" s="32"/>
      <x:c r="AL169" s="32"/>
      <x:c r="AM169" s="32"/>
      <x:c r="AN169" s="32"/>
      <x:c r="AO169" s="32"/>
      <x:c r="AP169" s="32"/>
      <x:c r="AQ169" s="32"/>
      <x:c r="AR169" s="32"/>
      <x:c r="AS169" s="32"/>
      <x:c r="AT169" s="32"/>
      <x:c r="AU169" s="32"/>
      <x:c r="AV169" s="32"/>
      <x:c r="AW169" s="32"/>
      <x:c r="AX169" s="32"/>
      <x:c r="AZ169" s="32"/>
      <x:c r="BA169" s="32"/>
      <x:c r="BB169" s="32"/>
      <x:c r="BC169" s="32"/>
      <x:c r="BD169" s="32"/>
      <x:c r="BE169" s="32"/>
      <x:c r="BF169" s="32"/>
      <x:c r="BG169" s="32"/>
      <x:c r="BH169" s="32"/>
      <x:c r="BI169" s="32"/>
      <x:c r="BJ169" s="32"/>
      <x:c r="BK169" s="32"/>
      <x:c r="BL169" s="32"/>
      <x:c r="BM169" s="32"/>
    </x:row>
    <x:row r="170">
      <x:c r="A170" s="32"/>
      <x:c r="B170" s="32"/>
      <x:c r="C170" s="42"/>
      <x:c r="D170" s="32"/>
      <x:c r="E170" s="32"/>
      <x:c r="F170" s="32"/>
      <x:c r="G170" s="32"/>
      <x:c r="H170" s="32"/>
      <x:c r="I170" s="32"/>
      <x:c r="J170" s="32"/>
      <x:c r="K170" s="32"/>
      <x:c r="L170" s="32"/>
      <x:c r="M170" s="32"/>
      <x:c r="N170" s="32"/>
      <x:c r="O170" s="32"/>
      <x:c r="P170" s="32"/>
      <x:c r="Q170" s="32"/>
      <x:c r="R170" s="32"/>
      <x:c r="S170" s="32"/>
      <x:c r="T170" s="43" t="str">
        <x:f>IFERROR(S170/L170,"")</x:f>
      </x:c>
      <x:c r="U170" s="32"/>
      <x:c r="V170" s="32"/>
      <x:c r="W170" s="32"/>
      <x:c r="X170" s="32"/>
      <x:c r="Y170" s="32"/>
      <x:c r="Z170" s="32"/>
      <x:c r="AA170" s="32"/>
      <x:c r="AB170" s="32"/>
      <x:c r="AC170" s="32"/>
      <x:c r="AD170" s="32"/>
      <x:c r="AE170" s="32"/>
      <x:c r="AF170" s="32"/>
      <x:c r="AG170" s="32"/>
      <x:c r="AH170" s="32"/>
      <x:c r="AI170" s="32"/>
      <x:c r="AJ170" s="32"/>
      <x:c r="AK170" s="32"/>
      <x:c r="AL170" s="32"/>
      <x:c r="AM170" s="32"/>
      <x:c r="AN170" s="32"/>
      <x:c r="AO170" s="32"/>
      <x:c r="AP170" s="32"/>
      <x:c r="AQ170" s="32"/>
      <x:c r="AR170" s="32"/>
      <x:c r="AS170" s="32"/>
      <x:c r="AT170" s="32"/>
      <x:c r="AU170" s="32"/>
      <x:c r="AV170" s="32"/>
      <x:c r="AW170" s="32"/>
      <x:c r="AX170" s="32"/>
      <x:c r="AZ170" s="32"/>
      <x:c r="BA170" s="32"/>
      <x:c r="BB170" s="32"/>
      <x:c r="BC170" s="32"/>
      <x:c r="BD170" s="32"/>
      <x:c r="BE170" s="32"/>
      <x:c r="BF170" s="32"/>
      <x:c r="BG170" s="32"/>
      <x:c r="BH170" s="32"/>
      <x:c r="BI170" s="32"/>
      <x:c r="BJ170" s="32"/>
      <x:c r="BK170" s="32"/>
      <x:c r="BL170" s="32"/>
      <x:c r="BM170" s="32"/>
    </x:row>
    <x:row r="171">
      <x:c r="A171" s="32"/>
      <x:c r="B171" s="32"/>
      <x:c r="C171" s="42"/>
      <x:c r="D171" s="32"/>
      <x:c r="E171" s="32"/>
      <x:c r="F171" s="32"/>
      <x:c r="G171" s="32"/>
      <x:c r="H171" s="32"/>
      <x:c r="I171" s="32"/>
      <x:c r="J171" s="32"/>
      <x:c r="K171" s="32"/>
      <x:c r="L171" s="32"/>
      <x:c r="M171" s="32"/>
      <x:c r="N171" s="32"/>
      <x:c r="O171" s="32"/>
      <x:c r="P171" s="32"/>
      <x:c r="Q171" s="32"/>
      <x:c r="R171" s="32"/>
      <x:c r="S171" s="32"/>
      <x:c r="T171" s="43" t="str">
        <x:f>IFERROR(S171/L171,"")</x:f>
      </x:c>
      <x:c r="U171" s="32"/>
      <x:c r="V171" s="32"/>
      <x:c r="W171" s="32"/>
      <x:c r="X171" s="32"/>
      <x:c r="Y171" s="32"/>
      <x:c r="Z171" s="32"/>
      <x:c r="AA171" s="32"/>
      <x:c r="AB171" s="32"/>
      <x:c r="AC171" s="32"/>
      <x:c r="AD171" s="32"/>
      <x:c r="AE171" s="32"/>
      <x:c r="AF171" s="32"/>
      <x:c r="AG171" s="32"/>
      <x:c r="AH171" s="32"/>
      <x:c r="AI171" s="32"/>
      <x:c r="AJ171" s="32"/>
      <x:c r="AK171" s="32"/>
      <x:c r="AL171" s="32"/>
      <x:c r="AM171" s="32"/>
      <x:c r="AN171" s="32"/>
      <x:c r="AO171" s="32"/>
      <x:c r="AP171" s="32"/>
      <x:c r="AQ171" s="32"/>
      <x:c r="AR171" s="32"/>
      <x:c r="AS171" s="32"/>
      <x:c r="AT171" s="32"/>
      <x:c r="AU171" s="32"/>
      <x:c r="AV171" s="32"/>
      <x:c r="AW171" s="32"/>
      <x:c r="AX171" s="32"/>
      <x:c r="AZ171" s="32"/>
      <x:c r="BA171" s="32"/>
      <x:c r="BB171" s="32"/>
      <x:c r="BC171" s="32"/>
      <x:c r="BD171" s="32"/>
      <x:c r="BE171" s="32"/>
      <x:c r="BF171" s="32"/>
      <x:c r="BG171" s="32"/>
      <x:c r="BH171" s="32"/>
      <x:c r="BI171" s="32"/>
      <x:c r="BJ171" s="32"/>
      <x:c r="BK171" s="32"/>
      <x:c r="BL171" s="32"/>
      <x:c r="BM171" s="32"/>
    </x:row>
    <x:row r="172">
      <x:c r="A172" s="32"/>
      <x:c r="B172" s="32"/>
      <x:c r="C172" s="42"/>
      <x:c r="D172" s="32"/>
      <x:c r="E172" s="32"/>
      <x:c r="F172" s="32"/>
      <x:c r="G172" s="32"/>
      <x:c r="H172" s="32"/>
      <x:c r="I172" s="32"/>
      <x:c r="J172" s="32"/>
      <x:c r="K172" s="32"/>
      <x:c r="L172" s="32"/>
      <x:c r="M172" s="32"/>
      <x:c r="N172" s="32"/>
      <x:c r="O172" s="32"/>
      <x:c r="P172" s="32"/>
      <x:c r="Q172" s="32"/>
      <x:c r="R172" s="32"/>
      <x:c r="S172" s="32"/>
      <x:c r="T172" s="43" t="str">
        <x:f>IFERROR(S172/L172,"")</x:f>
      </x:c>
      <x:c r="U172" s="32"/>
      <x:c r="V172" s="32"/>
      <x:c r="W172" s="32"/>
      <x:c r="X172" s="32"/>
      <x:c r="Y172" s="32"/>
      <x:c r="Z172" s="32"/>
      <x:c r="AA172" s="32"/>
      <x:c r="AB172" s="32"/>
      <x:c r="AC172" s="32"/>
      <x:c r="AD172" s="32"/>
      <x:c r="AE172" s="32"/>
      <x:c r="AF172" s="32"/>
      <x:c r="AG172" s="32"/>
      <x:c r="AH172" s="32"/>
      <x:c r="AI172" s="32"/>
      <x:c r="AJ172" s="32"/>
      <x:c r="AK172" s="32"/>
      <x:c r="AL172" s="32"/>
      <x:c r="AM172" s="32"/>
      <x:c r="AN172" s="32"/>
      <x:c r="AO172" s="32"/>
      <x:c r="AP172" s="32"/>
      <x:c r="AQ172" s="32"/>
      <x:c r="AR172" s="32"/>
      <x:c r="AS172" s="32"/>
      <x:c r="AT172" s="32"/>
      <x:c r="AU172" s="32"/>
      <x:c r="AV172" s="32"/>
      <x:c r="AW172" s="32"/>
      <x:c r="AX172" s="32"/>
      <x:c r="AZ172" s="32"/>
      <x:c r="BA172" s="32"/>
      <x:c r="BB172" s="32"/>
      <x:c r="BC172" s="32"/>
      <x:c r="BD172" s="32"/>
      <x:c r="BE172" s="32"/>
      <x:c r="BF172" s="32"/>
      <x:c r="BG172" s="32"/>
      <x:c r="BH172" s="32"/>
      <x:c r="BI172" s="32"/>
      <x:c r="BJ172" s="32"/>
      <x:c r="BK172" s="32"/>
      <x:c r="BL172" s="32"/>
      <x:c r="BM172" s="32"/>
    </x:row>
    <x:row r="173">
      <x:c r="A173" s="32"/>
      <x:c r="B173" s="32"/>
      <x:c r="C173" s="42"/>
      <x:c r="D173" s="32"/>
      <x:c r="E173" s="32"/>
      <x:c r="F173" s="32"/>
      <x:c r="G173" s="32"/>
      <x:c r="H173" s="32"/>
      <x:c r="I173" s="32"/>
      <x:c r="J173" s="32"/>
      <x:c r="K173" s="32"/>
      <x:c r="L173" s="32"/>
      <x:c r="M173" s="32"/>
      <x:c r="N173" s="32"/>
      <x:c r="O173" s="32"/>
      <x:c r="P173" s="32"/>
      <x:c r="Q173" s="32"/>
      <x:c r="R173" s="32"/>
      <x:c r="S173" s="32"/>
      <x:c r="T173" s="43" t="str">
        <x:f>IFERROR(S173/L173,"")</x:f>
      </x:c>
      <x:c r="U173" s="32"/>
      <x:c r="V173" s="32"/>
      <x:c r="W173" s="32"/>
      <x:c r="X173" s="32"/>
      <x:c r="Y173" s="32"/>
      <x:c r="Z173" s="32"/>
      <x:c r="AA173" s="32"/>
      <x:c r="AB173" s="32"/>
      <x:c r="AC173" s="32"/>
      <x:c r="AD173" s="32"/>
      <x:c r="AE173" s="32"/>
      <x:c r="AF173" s="32"/>
      <x:c r="AG173" s="32"/>
      <x:c r="AH173" s="32"/>
      <x:c r="AI173" s="32"/>
      <x:c r="AJ173" s="32"/>
      <x:c r="AK173" s="32"/>
      <x:c r="AL173" s="32"/>
      <x:c r="AM173" s="32"/>
      <x:c r="AN173" s="32"/>
      <x:c r="AO173" s="32"/>
      <x:c r="AP173" s="32"/>
      <x:c r="AQ173" s="32"/>
      <x:c r="AR173" s="32"/>
      <x:c r="AS173" s="32"/>
      <x:c r="AT173" s="32"/>
      <x:c r="AU173" s="32"/>
      <x:c r="AV173" s="32"/>
      <x:c r="AW173" s="32"/>
      <x:c r="AX173" s="32"/>
      <x:c r="AZ173" s="32"/>
      <x:c r="BA173" s="32"/>
      <x:c r="BB173" s="32"/>
      <x:c r="BC173" s="32"/>
      <x:c r="BD173" s="32"/>
      <x:c r="BE173" s="32"/>
      <x:c r="BF173" s="32"/>
      <x:c r="BG173" s="32"/>
      <x:c r="BH173" s="32"/>
      <x:c r="BI173" s="32"/>
      <x:c r="BJ173" s="32"/>
      <x:c r="BK173" s="32"/>
      <x:c r="BL173" s="32"/>
      <x:c r="BM173" s="32"/>
    </x:row>
    <x:row r="174">
      <x:c r="A174" s="32"/>
      <x:c r="B174" s="32"/>
      <x:c r="C174" s="42"/>
      <x:c r="D174" s="32"/>
      <x:c r="E174" s="32"/>
      <x:c r="F174" s="32"/>
      <x:c r="G174" s="32"/>
      <x:c r="H174" s="32"/>
      <x:c r="I174" s="32"/>
      <x:c r="J174" s="32"/>
      <x:c r="K174" s="32"/>
      <x:c r="L174" s="32"/>
      <x:c r="M174" s="32"/>
      <x:c r="N174" s="32"/>
      <x:c r="O174" s="32"/>
      <x:c r="P174" s="32"/>
      <x:c r="Q174" s="32"/>
      <x:c r="R174" s="32"/>
      <x:c r="S174" s="32"/>
      <x:c r="T174" s="43" t="str">
        <x:f>IFERROR(S174/L174,"")</x:f>
      </x:c>
      <x:c r="U174" s="32"/>
      <x:c r="V174" s="32"/>
      <x:c r="W174" s="32"/>
      <x:c r="X174" s="32"/>
      <x:c r="Y174" s="32"/>
      <x:c r="Z174" s="32"/>
      <x:c r="AA174" s="32"/>
      <x:c r="AB174" s="32"/>
      <x:c r="AC174" s="32"/>
      <x:c r="AD174" s="32"/>
      <x:c r="AE174" s="32"/>
      <x:c r="AF174" s="32"/>
      <x:c r="AG174" s="32"/>
      <x:c r="AH174" s="32"/>
      <x:c r="AI174" s="32"/>
      <x:c r="AJ174" s="32"/>
      <x:c r="AK174" s="32"/>
      <x:c r="AL174" s="32"/>
      <x:c r="AM174" s="32"/>
      <x:c r="AN174" s="32"/>
      <x:c r="AO174" s="32"/>
      <x:c r="AP174" s="32"/>
      <x:c r="AQ174" s="32"/>
      <x:c r="AR174" s="32"/>
      <x:c r="AS174" s="32"/>
      <x:c r="AT174" s="32"/>
      <x:c r="AU174" s="32"/>
      <x:c r="AV174" s="32"/>
      <x:c r="AW174" s="32"/>
      <x:c r="AX174" s="32"/>
      <x:c r="AZ174" s="32"/>
      <x:c r="BA174" s="32"/>
      <x:c r="BB174" s="32"/>
      <x:c r="BC174" s="32"/>
      <x:c r="BD174" s="32"/>
      <x:c r="BE174" s="32"/>
      <x:c r="BF174" s="32"/>
      <x:c r="BG174" s="32"/>
      <x:c r="BH174" s="32"/>
      <x:c r="BI174" s="32"/>
      <x:c r="BJ174" s="32"/>
      <x:c r="BK174" s="32"/>
      <x:c r="BL174" s="32"/>
      <x:c r="BM174" s="32"/>
    </x:row>
    <x:row r="175">
      <x:c r="A175" s="32"/>
      <x:c r="B175" s="32"/>
      <x:c r="C175" s="42"/>
      <x:c r="D175" s="32"/>
      <x:c r="E175" s="32"/>
      <x:c r="F175" s="32"/>
      <x:c r="G175" s="32"/>
      <x:c r="H175" s="32"/>
      <x:c r="I175" s="32"/>
      <x:c r="J175" s="32"/>
      <x:c r="K175" s="32"/>
      <x:c r="L175" s="32"/>
      <x:c r="M175" s="32"/>
      <x:c r="N175" s="32"/>
      <x:c r="O175" s="32"/>
      <x:c r="P175" s="32"/>
      <x:c r="Q175" s="32"/>
      <x:c r="R175" s="32"/>
      <x:c r="S175" s="32"/>
      <x:c r="T175" s="43" t="str">
        <x:f>IFERROR(S175/L175,"")</x:f>
      </x:c>
      <x:c r="U175" s="32"/>
      <x:c r="V175" s="32"/>
      <x:c r="W175" s="32"/>
      <x:c r="X175" s="32"/>
      <x:c r="Y175" s="32"/>
      <x:c r="Z175" s="32"/>
      <x:c r="AA175" s="32"/>
      <x:c r="AB175" s="32"/>
      <x:c r="AC175" s="32"/>
      <x:c r="AD175" s="32"/>
      <x:c r="AE175" s="32"/>
      <x:c r="AF175" s="32"/>
      <x:c r="AG175" s="32"/>
      <x:c r="AH175" s="32"/>
      <x:c r="AI175" s="32"/>
      <x:c r="AJ175" s="32"/>
      <x:c r="AK175" s="32"/>
      <x:c r="AL175" s="32"/>
      <x:c r="AM175" s="32"/>
      <x:c r="AN175" s="32"/>
      <x:c r="AO175" s="32"/>
      <x:c r="AP175" s="32"/>
      <x:c r="AQ175" s="32"/>
      <x:c r="AR175" s="32"/>
      <x:c r="AS175" s="32"/>
      <x:c r="AT175" s="32"/>
      <x:c r="AU175" s="32"/>
      <x:c r="AV175" s="32"/>
      <x:c r="AW175" s="32"/>
      <x:c r="AX175" s="32"/>
      <x:c r="AZ175" s="32"/>
      <x:c r="BA175" s="32"/>
      <x:c r="BB175" s="32"/>
      <x:c r="BC175" s="32"/>
      <x:c r="BD175" s="32"/>
      <x:c r="BE175" s="32"/>
      <x:c r="BF175" s="32"/>
      <x:c r="BG175" s="32"/>
      <x:c r="BH175" s="32"/>
      <x:c r="BI175" s="32"/>
      <x:c r="BJ175" s="32"/>
      <x:c r="BK175" s="32"/>
      <x:c r="BL175" s="32"/>
      <x:c r="BM175" s="32"/>
    </x:row>
    <x:row r="176">
      <x:c r="A176" s="32"/>
      <x:c r="B176" s="32"/>
      <x:c r="C176" s="42"/>
      <x:c r="D176" s="32"/>
      <x:c r="E176" s="32"/>
      <x:c r="F176" s="32"/>
      <x:c r="G176" s="32"/>
      <x:c r="H176" s="32"/>
      <x:c r="I176" s="32"/>
      <x:c r="J176" s="32"/>
      <x:c r="K176" s="32"/>
      <x:c r="L176" s="32"/>
      <x:c r="M176" s="32"/>
      <x:c r="N176" s="32"/>
      <x:c r="O176" s="32"/>
      <x:c r="P176" s="32"/>
      <x:c r="Q176" s="32"/>
      <x:c r="R176" s="32"/>
      <x:c r="S176" s="32"/>
      <x:c r="T176" s="43" t="str">
        <x:f>IFERROR(S176/L176,"")</x:f>
      </x:c>
      <x:c r="U176" s="32"/>
      <x:c r="V176" s="32"/>
      <x:c r="W176" s="32"/>
      <x:c r="X176" s="32"/>
      <x:c r="Y176" s="32"/>
      <x:c r="Z176" s="32"/>
      <x:c r="AA176" s="32"/>
      <x:c r="AB176" s="32"/>
      <x:c r="AC176" s="32"/>
      <x:c r="AD176" s="32"/>
      <x:c r="AE176" s="32"/>
      <x:c r="AF176" s="32"/>
      <x:c r="AG176" s="32"/>
      <x:c r="AH176" s="32"/>
      <x:c r="AI176" s="32"/>
      <x:c r="AJ176" s="32"/>
      <x:c r="AK176" s="32"/>
      <x:c r="AL176" s="32"/>
      <x:c r="AM176" s="32"/>
      <x:c r="AN176" s="32"/>
      <x:c r="AO176" s="32"/>
      <x:c r="AP176" s="32"/>
      <x:c r="AQ176" s="32"/>
      <x:c r="AR176" s="32"/>
      <x:c r="AS176" s="32"/>
      <x:c r="AT176" s="32"/>
      <x:c r="AU176" s="32"/>
      <x:c r="AV176" s="32"/>
      <x:c r="AW176" s="32"/>
      <x:c r="AX176" s="32"/>
      <x:c r="AZ176" s="32"/>
      <x:c r="BA176" s="32"/>
      <x:c r="BB176" s="32"/>
      <x:c r="BC176" s="32"/>
      <x:c r="BD176" s="32"/>
      <x:c r="BE176" s="32"/>
      <x:c r="BF176" s="32"/>
      <x:c r="BG176" s="32"/>
      <x:c r="BH176" s="32"/>
      <x:c r="BI176" s="32"/>
      <x:c r="BJ176" s="32"/>
      <x:c r="BK176" s="32"/>
      <x:c r="BL176" s="32"/>
      <x:c r="BM176" s="32"/>
    </x:row>
    <x:row r="177">
      <x:c r="A177" s="32"/>
      <x:c r="B177" s="32"/>
      <x:c r="C177" s="42"/>
      <x:c r="D177" s="32"/>
      <x:c r="E177" s="32"/>
      <x:c r="F177" s="32"/>
      <x:c r="G177" s="32"/>
      <x:c r="H177" s="32"/>
      <x:c r="I177" s="32"/>
      <x:c r="J177" s="32"/>
      <x:c r="K177" s="32"/>
      <x:c r="L177" s="32"/>
      <x:c r="M177" s="32"/>
      <x:c r="N177" s="32"/>
      <x:c r="O177" s="32"/>
      <x:c r="P177" s="32"/>
      <x:c r="Q177" s="32"/>
      <x:c r="R177" s="32"/>
      <x:c r="S177" s="32"/>
      <x:c r="T177" s="43" t="str">
        <x:f>IFERROR(S177/L177,"")</x:f>
      </x:c>
      <x:c r="U177" s="32"/>
      <x:c r="V177" s="32"/>
      <x:c r="W177" s="32"/>
      <x:c r="X177" s="32"/>
      <x:c r="Y177" s="32"/>
      <x:c r="Z177" s="32"/>
      <x:c r="AA177" s="32"/>
      <x:c r="AB177" s="32"/>
      <x:c r="AC177" s="32"/>
      <x:c r="AD177" s="32"/>
      <x:c r="AE177" s="32"/>
      <x:c r="AF177" s="32"/>
      <x:c r="AG177" s="32"/>
      <x:c r="AH177" s="32"/>
      <x:c r="AI177" s="32"/>
      <x:c r="AJ177" s="32"/>
      <x:c r="AK177" s="32"/>
      <x:c r="AL177" s="32"/>
      <x:c r="AM177" s="32"/>
      <x:c r="AN177" s="32"/>
      <x:c r="AO177" s="32"/>
      <x:c r="AP177" s="32"/>
      <x:c r="AQ177" s="32"/>
      <x:c r="AR177" s="32"/>
      <x:c r="AS177" s="32"/>
      <x:c r="AT177" s="32"/>
      <x:c r="AU177" s="32"/>
      <x:c r="AV177" s="32"/>
      <x:c r="AW177" s="32"/>
      <x:c r="AX177" s="32"/>
      <x:c r="AZ177" s="32"/>
      <x:c r="BA177" s="32"/>
      <x:c r="BB177" s="32"/>
      <x:c r="BC177" s="32"/>
      <x:c r="BD177" s="32"/>
      <x:c r="BE177" s="32"/>
      <x:c r="BF177" s="32"/>
      <x:c r="BG177" s="32"/>
      <x:c r="BH177" s="32"/>
      <x:c r="BI177" s="32"/>
      <x:c r="BJ177" s="32"/>
      <x:c r="BK177" s="32"/>
      <x:c r="BL177" s="32"/>
      <x:c r="BM177" s="32"/>
    </x:row>
    <x:row r="178">
      <x:c r="A178" s="32"/>
      <x:c r="B178" s="32"/>
      <x:c r="C178" s="42"/>
      <x:c r="D178" s="32"/>
      <x:c r="E178" s="32"/>
      <x:c r="F178" s="32"/>
      <x:c r="G178" s="32"/>
      <x:c r="H178" s="32"/>
      <x:c r="I178" s="32"/>
      <x:c r="J178" s="32"/>
      <x:c r="K178" s="32"/>
      <x:c r="L178" s="32"/>
      <x:c r="M178" s="32"/>
      <x:c r="N178" s="32"/>
      <x:c r="O178" s="32"/>
      <x:c r="P178" s="32"/>
      <x:c r="Q178" s="32"/>
      <x:c r="R178" s="32"/>
      <x:c r="S178" s="32"/>
      <x:c r="T178" s="43" t="str">
        <x:f>IFERROR(S178/L178,"")</x:f>
      </x:c>
      <x:c r="U178" s="32"/>
      <x:c r="V178" s="32"/>
      <x:c r="W178" s="32"/>
      <x:c r="X178" s="32"/>
      <x:c r="Y178" s="32"/>
      <x:c r="Z178" s="32"/>
      <x:c r="AA178" s="32"/>
      <x:c r="AB178" s="32"/>
      <x:c r="AC178" s="32"/>
      <x:c r="AD178" s="32"/>
      <x:c r="AE178" s="32"/>
      <x:c r="AF178" s="32"/>
      <x:c r="AG178" s="32"/>
      <x:c r="AH178" s="32"/>
      <x:c r="AI178" s="32"/>
      <x:c r="AJ178" s="32"/>
      <x:c r="AK178" s="32"/>
      <x:c r="AL178" s="32"/>
      <x:c r="AM178" s="32"/>
      <x:c r="AN178" s="32"/>
      <x:c r="AO178" s="32"/>
      <x:c r="AP178" s="32"/>
      <x:c r="AQ178" s="32"/>
      <x:c r="AR178" s="32"/>
      <x:c r="AS178" s="32"/>
      <x:c r="AT178" s="32"/>
      <x:c r="AU178" s="32"/>
      <x:c r="AV178" s="32"/>
      <x:c r="AW178" s="32"/>
      <x:c r="AX178" s="32"/>
      <x:c r="AZ178" s="32"/>
      <x:c r="BA178" s="32"/>
      <x:c r="BB178" s="32"/>
      <x:c r="BC178" s="32"/>
      <x:c r="BD178" s="32"/>
      <x:c r="BE178" s="32"/>
      <x:c r="BF178" s="32"/>
      <x:c r="BG178" s="32"/>
      <x:c r="BH178" s="32"/>
      <x:c r="BI178" s="32"/>
      <x:c r="BJ178" s="32"/>
      <x:c r="BK178" s="32"/>
      <x:c r="BL178" s="32"/>
      <x:c r="BM178" s="32"/>
    </x:row>
    <x:row r="179">
      <x:c r="A179" s="32"/>
      <x:c r="B179" s="32"/>
      <x:c r="C179" s="42"/>
      <x:c r="D179" s="32"/>
      <x:c r="E179" s="32"/>
      <x:c r="F179" s="32"/>
      <x:c r="G179" s="32"/>
      <x:c r="H179" s="32"/>
      <x:c r="I179" s="32"/>
      <x:c r="J179" s="32"/>
      <x:c r="K179" s="32"/>
      <x:c r="L179" s="32"/>
      <x:c r="M179" s="32"/>
      <x:c r="N179" s="32"/>
      <x:c r="O179" s="32"/>
      <x:c r="P179" s="32"/>
      <x:c r="Q179" s="32"/>
      <x:c r="R179" s="32"/>
      <x:c r="S179" s="32"/>
      <x:c r="T179" s="43" t="str">
        <x:f>IFERROR(S179/L179,"")</x:f>
      </x:c>
      <x:c r="U179" s="32"/>
      <x:c r="V179" s="32"/>
      <x:c r="W179" s="32"/>
      <x:c r="X179" s="32"/>
      <x:c r="Y179" s="32"/>
      <x:c r="Z179" s="32"/>
      <x:c r="AA179" s="32"/>
      <x:c r="AB179" s="32"/>
      <x:c r="AC179" s="32"/>
      <x:c r="AD179" s="32"/>
      <x:c r="AE179" s="32"/>
      <x:c r="AF179" s="32"/>
      <x:c r="AG179" s="32"/>
      <x:c r="AH179" s="32"/>
      <x:c r="AI179" s="32"/>
      <x:c r="AJ179" s="32"/>
      <x:c r="AK179" s="32"/>
      <x:c r="AL179" s="32"/>
      <x:c r="AM179" s="32"/>
      <x:c r="AN179" s="32"/>
      <x:c r="AO179" s="32"/>
      <x:c r="AP179" s="32"/>
      <x:c r="AQ179" s="32"/>
      <x:c r="AR179" s="32"/>
      <x:c r="AS179" s="32"/>
      <x:c r="AT179" s="32"/>
      <x:c r="AU179" s="32"/>
      <x:c r="AV179" s="32"/>
      <x:c r="AW179" s="32"/>
      <x:c r="AX179" s="32"/>
      <x:c r="AZ179" s="32"/>
      <x:c r="BA179" s="32"/>
      <x:c r="BB179" s="32"/>
      <x:c r="BC179" s="32"/>
      <x:c r="BD179" s="32"/>
      <x:c r="BE179" s="32"/>
      <x:c r="BF179" s="32"/>
      <x:c r="BG179" s="32"/>
      <x:c r="BH179" s="32"/>
      <x:c r="BI179" s="32"/>
      <x:c r="BJ179" s="32"/>
      <x:c r="BK179" s="32"/>
      <x:c r="BL179" s="32"/>
      <x:c r="BM179" s="32"/>
    </x:row>
    <x:row r="180">
      <x:c r="A180" s="32"/>
      <x:c r="B180" s="32"/>
      <x:c r="C180" s="42"/>
      <x:c r="D180" s="32"/>
      <x:c r="E180" s="32"/>
      <x:c r="F180" s="32"/>
      <x:c r="G180" s="32"/>
      <x:c r="H180" s="32"/>
      <x:c r="I180" s="32"/>
      <x:c r="J180" s="32"/>
      <x:c r="K180" s="32"/>
      <x:c r="L180" s="32"/>
      <x:c r="M180" s="32"/>
      <x:c r="N180" s="32"/>
      <x:c r="O180" s="32"/>
      <x:c r="P180" s="32"/>
      <x:c r="Q180" s="32"/>
      <x:c r="R180" s="32"/>
      <x:c r="S180" s="32"/>
      <x:c r="T180" s="43" t="str">
        <x:f>IFERROR(S180/L180,"")</x:f>
      </x:c>
      <x:c r="U180" s="32"/>
      <x:c r="V180" s="32"/>
      <x:c r="W180" s="32"/>
      <x:c r="X180" s="32"/>
      <x:c r="Y180" s="32"/>
      <x:c r="Z180" s="32"/>
      <x:c r="AA180" s="32"/>
      <x:c r="AB180" s="32"/>
      <x:c r="AC180" s="32"/>
      <x:c r="AD180" s="32"/>
      <x:c r="AE180" s="32"/>
      <x:c r="AF180" s="32"/>
      <x:c r="AG180" s="32"/>
      <x:c r="AH180" s="32"/>
      <x:c r="AI180" s="32"/>
      <x:c r="AJ180" s="32"/>
      <x:c r="AK180" s="32"/>
      <x:c r="AL180" s="32"/>
      <x:c r="AM180" s="32"/>
      <x:c r="AN180" s="32"/>
      <x:c r="AO180" s="32"/>
      <x:c r="AP180" s="32"/>
      <x:c r="AQ180" s="32"/>
      <x:c r="AR180" s="32"/>
      <x:c r="AS180" s="32"/>
      <x:c r="AT180" s="32"/>
      <x:c r="AU180" s="32"/>
      <x:c r="AV180" s="32"/>
      <x:c r="AW180" s="32"/>
      <x:c r="AX180" s="32"/>
      <x:c r="AZ180" s="32"/>
      <x:c r="BA180" s="32"/>
      <x:c r="BB180" s="32"/>
      <x:c r="BC180" s="32"/>
      <x:c r="BD180" s="32"/>
      <x:c r="BE180" s="32"/>
      <x:c r="BF180" s="32"/>
      <x:c r="BG180" s="32"/>
      <x:c r="BH180" s="32"/>
      <x:c r="BI180" s="32"/>
      <x:c r="BJ180" s="32"/>
      <x:c r="BK180" s="32"/>
      <x:c r="BL180" s="32"/>
      <x:c r="BM180" s="32"/>
    </x:row>
    <x:row r="181">
      <x:c r="A181" s="32"/>
      <x:c r="B181" s="32"/>
      <x:c r="C181" s="42"/>
      <x:c r="D181" s="32"/>
      <x:c r="E181" s="32"/>
      <x:c r="F181" s="32"/>
      <x:c r="G181" s="32"/>
      <x:c r="H181" s="32"/>
      <x:c r="I181" s="32"/>
      <x:c r="J181" s="32"/>
      <x:c r="K181" s="32"/>
      <x:c r="L181" s="32"/>
      <x:c r="M181" s="32"/>
      <x:c r="N181" s="32"/>
      <x:c r="O181" s="32"/>
      <x:c r="P181" s="32"/>
      <x:c r="Q181" s="32"/>
      <x:c r="R181" s="32"/>
      <x:c r="S181" s="32"/>
      <x:c r="T181" s="43" t="str">
        <x:f>IFERROR(S181/L181,"")</x:f>
      </x:c>
      <x:c r="U181" s="32"/>
      <x:c r="V181" s="32"/>
      <x:c r="W181" s="32"/>
      <x:c r="X181" s="32"/>
      <x:c r="Y181" s="32"/>
      <x:c r="Z181" s="32"/>
      <x:c r="AA181" s="32"/>
      <x:c r="AB181" s="32"/>
      <x:c r="AC181" s="32"/>
      <x:c r="AD181" s="32"/>
      <x:c r="AE181" s="32"/>
      <x:c r="AF181" s="32"/>
      <x:c r="AG181" s="32"/>
      <x:c r="AH181" s="32"/>
      <x:c r="AI181" s="32"/>
      <x:c r="AJ181" s="32"/>
      <x:c r="AK181" s="32"/>
      <x:c r="AL181" s="32"/>
      <x:c r="AM181" s="32"/>
      <x:c r="AN181" s="32"/>
      <x:c r="AO181" s="32"/>
      <x:c r="AP181" s="32"/>
      <x:c r="AQ181" s="32"/>
      <x:c r="AR181" s="32"/>
      <x:c r="AS181" s="32"/>
      <x:c r="AT181" s="32"/>
      <x:c r="AU181" s="32"/>
      <x:c r="AV181" s="32"/>
      <x:c r="AW181" s="32"/>
      <x:c r="AX181" s="32"/>
      <x:c r="AZ181" s="32"/>
      <x:c r="BA181" s="32"/>
      <x:c r="BB181" s="32"/>
      <x:c r="BC181" s="32"/>
      <x:c r="BD181" s="32"/>
      <x:c r="BE181" s="32"/>
      <x:c r="BF181" s="32"/>
      <x:c r="BG181" s="32"/>
      <x:c r="BH181" s="32"/>
      <x:c r="BI181" s="32"/>
      <x:c r="BJ181" s="32"/>
      <x:c r="BK181" s="32"/>
      <x:c r="BL181" s="32"/>
      <x:c r="BM181" s="32"/>
    </x:row>
    <x:row r="182">
      <x:c r="A182" s="32"/>
      <x:c r="B182" s="32"/>
      <x:c r="C182" s="42"/>
      <x:c r="D182" s="32"/>
      <x:c r="E182" s="32"/>
      <x:c r="F182" s="32"/>
      <x:c r="G182" s="32"/>
      <x:c r="H182" s="32"/>
      <x:c r="I182" s="32"/>
      <x:c r="J182" s="32"/>
      <x:c r="K182" s="32"/>
      <x:c r="L182" s="32"/>
      <x:c r="M182" s="32"/>
      <x:c r="N182" s="32"/>
      <x:c r="O182" s="32"/>
      <x:c r="P182" s="32"/>
      <x:c r="Q182" s="32"/>
      <x:c r="R182" s="32"/>
      <x:c r="S182" s="32"/>
      <x:c r="T182" s="43" t="str">
        <x:f>IFERROR(S182/L182,"")</x:f>
      </x:c>
      <x:c r="U182" s="32"/>
      <x:c r="V182" s="32"/>
      <x:c r="W182" s="32"/>
      <x:c r="X182" s="32"/>
      <x:c r="Y182" s="32"/>
      <x:c r="Z182" s="32"/>
      <x:c r="AA182" s="32"/>
      <x:c r="AB182" s="32"/>
      <x:c r="AC182" s="32"/>
      <x:c r="AD182" s="32"/>
      <x:c r="AE182" s="32"/>
      <x:c r="AF182" s="32"/>
      <x:c r="AG182" s="32"/>
      <x:c r="AH182" s="32"/>
      <x:c r="AI182" s="32"/>
      <x:c r="AJ182" s="32"/>
      <x:c r="AK182" s="32"/>
      <x:c r="AL182" s="32"/>
      <x:c r="AM182" s="32"/>
      <x:c r="AN182" s="32"/>
      <x:c r="AO182" s="32"/>
      <x:c r="AP182" s="32"/>
      <x:c r="AQ182" s="32"/>
      <x:c r="AR182" s="32"/>
      <x:c r="AS182" s="32"/>
      <x:c r="AT182" s="32"/>
      <x:c r="AU182" s="32"/>
      <x:c r="AV182" s="32"/>
      <x:c r="AW182" s="32"/>
      <x:c r="AX182" s="32"/>
      <x:c r="AZ182" s="32"/>
      <x:c r="BA182" s="32"/>
      <x:c r="BB182" s="32"/>
      <x:c r="BC182" s="32"/>
      <x:c r="BD182" s="32"/>
      <x:c r="BE182" s="32"/>
      <x:c r="BF182" s="32"/>
      <x:c r="BG182" s="32"/>
      <x:c r="BH182" s="32"/>
      <x:c r="BI182" s="32"/>
      <x:c r="BJ182" s="32"/>
      <x:c r="BK182" s="32"/>
      <x:c r="BL182" s="32"/>
      <x:c r="BM182" s="32"/>
    </x:row>
    <x:row r="183">
      <x:c r="A183" s="32"/>
      <x:c r="B183" s="32"/>
      <x:c r="C183" s="42"/>
      <x:c r="D183" s="32"/>
      <x:c r="E183" s="32"/>
      <x:c r="F183" s="32"/>
      <x:c r="G183" s="32"/>
      <x:c r="H183" s="32"/>
      <x:c r="I183" s="32"/>
      <x:c r="J183" s="32"/>
      <x:c r="K183" s="32"/>
      <x:c r="L183" s="32"/>
      <x:c r="M183" s="32"/>
      <x:c r="N183" s="32"/>
      <x:c r="O183" s="32"/>
      <x:c r="P183" s="32"/>
      <x:c r="Q183" s="32"/>
      <x:c r="R183" s="32"/>
      <x:c r="S183" s="32"/>
      <x:c r="T183" s="43" t="str">
        <x:f>IFERROR(S183/L183,"")</x:f>
      </x:c>
      <x:c r="U183" s="32"/>
      <x:c r="V183" s="32"/>
      <x:c r="W183" s="32"/>
      <x:c r="X183" s="32"/>
      <x:c r="Y183" s="32"/>
      <x:c r="Z183" s="32"/>
      <x:c r="AA183" s="32"/>
      <x:c r="AB183" s="32"/>
      <x:c r="AC183" s="32"/>
      <x:c r="AD183" s="32"/>
      <x:c r="AE183" s="32"/>
      <x:c r="AF183" s="32"/>
      <x:c r="AG183" s="32"/>
      <x:c r="AH183" s="32"/>
      <x:c r="AI183" s="32"/>
      <x:c r="AJ183" s="32"/>
      <x:c r="AK183" s="32"/>
      <x:c r="AL183" s="32"/>
      <x:c r="AM183" s="32"/>
      <x:c r="AN183" s="32"/>
      <x:c r="AO183" s="32"/>
      <x:c r="AP183" s="32"/>
      <x:c r="AQ183" s="32"/>
      <x:c r="AR183" s="32"/>
      <x:c r="AS183" s="32"/>
      <x:c r="AT183" s="32"/>
      <x:c r="AU183" s="32"/>
      <x:c r="AV183" s="32"/>
      <x:c r="AW183" s="32"/>
      <x:c r="AX183" s="32"/>
      <x:c r="AZ183" s="32"/>
      <x:c r="BA183" s="32"/>
      <x:c r="BB183" s="32"/>
      <x:c r="BC183" s="32"/>
      <x:c r="BD183" s="32"/>
      <x:c r="BE183" s="32"/>
      <x:c r="BF183" s="32"/>
      <x:c r="BG183" s="32"/>
      <x:c r="BH183" s="32"/>
      <x:c r="BI183" s="32"/>
      <x:c r="BJ183" s="32"/>
      <x:c r="BK183" s="32"/>
      <x:c r="BL183" s="32"/>
      <x:c r="BM183" s="32"/>
    </x:row>
    <x:row r="184">
      <x:c r="A184" s="32"/>
      <x:c r="B184" s="32"/>
      <x:c r="C184" s="42"/>
      <x:c r="D184" s="32"/>
      <x:c r="E184" s="32"/>
      <x:c r="F184" s="32"/>
      <x:c r="G184" s="32"/>
      <x:c r="H184" s="32"/>
      <x:c r="I184" s="32"/>
      <x:c r="J184" s="32"/>
      <x:c r="K184" s="32"/>
      <x:c r="L184" s="32"/>
      <x:c r="M184" s="32"/>
      <x:c r="N184" s="32"/>
      <x:c r="O184" s="32"/>
      <x:c r="P184" s="32"/>
      <x:c r="Q184" s="32"/>
      <x:c r="R184" s="32"/>
      <x:c r="S184" s="32"/>
      <x:c r="T184" s="43" t="str">
        <x:f>IFERROR(S184/L184,"")</x:f>
      </x:c>
      <x:c r="U184" s="32"/>
      <x:c r="V184" s="32"/>
      <x:c r="W184" s="32"/>
      <x:c r="X184" s="32"/>
      <x:c r="Y184" s="32"/>
      <x:c r="Z184" s="32"/>
      <x:c r="AA184" s="32"/>
      <x:c r="AB184" s="32"/>
      <x:c r="AC184" s="32"/>
      <x:c r="AD184" s="32"/>
      <x:c r="AE184" s="32"/>
      <x:c r="AF184" s="32"/>
      <x:c r="AG184" s="32"/>
      <x:c r="AH184" s="32"/>
      <x:c r="AI184" s="32"/>
      <x:c r="AJ184" s="32"/>
      <x:c r="AK184" s="32"/>
      <x:c r="AL184" s="32"/>
      <x:c r="AM184" s="32"/>
      <x:c r="AN184" s="32"/>
      <x:c r="AO184" s="32"/>
      <x:c r="AP184" s="32"/>
      <x:c r="AQ184" s="32"/>
      <x:c r="AR184" s="32"/>
      <x:c r="AS184" s="32"/>
      <x:c r="AT184" s="32"/>
      <x:c r="AU184" s="32"/>
      <x:c r="AV184" s="32"/>
      <x:c r="AW184" s="32"/>
      <x:c r="AX184" s="32"/>
      <x:c r="AZ184" s="32"/>
      <x:c r="BA184" s="32"/>
      <x:c r="BB184" s="32"/>
      <x:c r="BC184" s="32"/>
      <x:c r="BD184" s="32"/>
      <x:c r="BE184" s="32"/>
      <x:c r="BF184" s="32"/>
      <x:c r="BG184" s="32"/>
      <x:c r="BH184" s="32"/>
      <x:c r="BI184" s="32"/>
      <x:c r="BJ184" s="32"/>
      <x:c r="BK184" s="32"/>
      <x:c r="BL184" s="32"/>
      <x:c r="BM184" s="32"/>
    </x:row>
    <x:row r="185">
      <x:c r="A185" s="32"/>
      <x:c r="B185" s="32"/>
      <x:c r="C185" s="42"/>
      <x:c r="D185" s="32"/>
      <x:c r="E185" s="32"/>
      <x:c r="F185" s="32"/>
      <x:c r="G185" s="32"/>
      <x:c r="H185" s="32"/>
      <x:c r="I185" s="32"/>
      <x:c r="J185" s="32"/>
      <x:c r="K185" s="32"/>
      <x:c r="L185" s="32"/>
      <x:c r="M185" s="32"/>
      <x:c r="N185" s="32"/>
      <x:c r="O185" s="32"/>
      <x:c r="P185" s="32"/>
      <x:c r="Q185" s="32"/>
      <x:c r="R185" s="32"/>
      <x:c r="S185" s="32"/>
      <x:c r="T185" s="43" t="str">
        <x:f>IFERROR(S185/L185,"")</x:f>
      </x:c>
      <x:c r="U185" s="32"/>
      <x:c r="V185" s="32"/>
      <x:c r="W185" s="32"/>
      <x:c r="X185" s="32"/>
      <x:c r="Y185" s="32"/>
      <x:c r="Z185" s="32"/>
      <x:c r="AA185" s="32"/>
      <x:c r="AB185" s="32"/>
      <x:c r="AC185" s="32"/>
      <x:c r="AD185" s="32"/>
      <x:c r="AE185" s="32"/>
      <x:c r="AF185" s="32"/>
      <x:c r="AG185" s="32"/>
      <x:c r="AH185" s="32"/>
      <x:c r="AI185" s="32"/>
      <x:c r="AJ185" s="32"/>
      <x:c r="AK185" s="32"/>
      <x:c r="AL185" s="32"/>
      <x:c r="AM185" s="32"/>
      <x:c r="AN185" s="32"/>
      <x:c r="AO185" s="32"/>
      <x:c r="AP185" s="32"/>
      <x:c r="AQ185" s="32"/>
      <x:c r="AR185" s="32"/>
      <x:c r="AS185" s="32"/>
      <x:c r="AT185" s="32"/>
      <x:c r="AU185" s="32"/>
      <x:c r="AV185" s="32"/>
      <x:c r="AW185" s="32"/>
      <x:c r="AX185" s="32"/>
      <x:c r="AZ185" s="32"/>
      <x:c r="BA185" s="32"/>
      <x:c r="BB185" s="32"/>
      <x:c r="BC185" s="32"/>
      <x:c r="BD185" s="32"/>
      <x:c r="BE185" s="32"/>
      <x:c r="BF185" s="32"/>
      <x:c r="BG185" s="32"/>
      <x:c r="BH185" s="32"/>
      <x:c r="BI185" s="32"/>
      <x:c r="BJ185" s="32"/>
      <x:c r="BK185" s="32"/>
      <x:c r="BL185" s="32"/>
      <x:c r="BM185" s="32"/>
    </x:row>
    <x:row r="186">
      <x:c r="A186" s="32"/>
      <x:c r="B186" s="32"/>
      <x:c r="C186" s="42"/>
      <x:c r="D186" s="32"/>
      <x:c r="E186" s="32"/>
      <x:c r="F186" s="32"/>
      <x:c r="G186" s="32"/>
      <x:c r="H186" s="32"/>
      <x:c r="I186" s="32"/>
      <x:c r="J186" s="32"/>
      <x:c r="K186" s="32"/>
      <x:c r="L186" s="32"/>
      <x:c r="M186" s="32"/>
      <x:c r="N186" s="32"/>
      <x:c r="O186" s="32"/>
      <x:c r="P186" s="32"/>
      <x:c r="Q186" s="32"/>
      <x:c r="R186" s="32"/>
      <x:c r="S186" s="32"/>
      <x:c r="T186" s="43" t="str">
        <x:f>IFERROR(S186/L186,"")</x:f>
      </x:c>
      <x:c r="U186" s="32"/>
      <x:c r="V186" s="32"/>
      <x:c r="W186" s="32"/>
      <x:c r="X186" s="32"/>
      <x:c r="Y186" s="32"/>
      <x:c r="Z186" s="32"/>
      <x:c r="AA186" s="32"/>
      <x:c r="AB186" s="32"/>
      <x:c r="AC186" s="32"/>
      <x:c r="AD186" s="32"/>
      <x:c r="AE186" s="32"/>
      <x:c r="AF186" s="32"/>
      <x:c r="AG186" s="32"/>
      <x:c r="AH186" s="32"/>
      <x:c r="AI186" s="32"/>
      <x:c r="AJ186" s="32"/>
      <x:c r="AK186" s="32"/>
      <x:c r="AL186" s="32"/>
      <x:c r="AM186" s="32"/>
      <x:c r="AN186" s="32"/>
      <x:c r="AO186" s="32"/>
      <x:c r="AP186" s="32"/>
      <x:c r="AQ186" s="32"/>
      <x:c r="AR186" s="32"/>
      <x:c r="AS186" s="32"/>
      <x:c r="AT186" s="32"/>
      <x:c r="AU186" s="32"/>
      <x:c r="AV186" s="32"/>
      <x:c r="AW186" s="32"/>
      <x:c r="AX186" s="32"/>
      <x:c r="AZ186" s="32"/>
      <x:c r="BA186" s="32"/>
      <x:c r="BB186" s="32"/>
      <x:c r="BC186" s="32"/>
      <x:c r="BD186" s="32"/>
      <x:c r="BE186" s="32"/>
      <x:c r="BF186" s="32"/>
      <x:c r="BG186" s="32"/>
      <x:c r="BH186" s="32"/>
      <x:c r="BI186" s="32"/>
      <x:c r="BJ186" s="32"/>
      <x:c r="BK186" s="32"/>
      <x:c r="BL186" s="32"/>
      <x:c r="BM186" s="32"/>
    </x:row>
    <x:row r="187">
      <x:c r="A187" s="32"/>
      <x:c r="B187" s="32"/>
      <x:c r="C187" s="42"/>
      <x:c r="D187" s="32"/>
      <x:c r="E187" s="32"/>
      <x:c r="F187" s="32"/>
      <x:c r="G187" s="32"/>
      <x:c r="H187" s="32"/>
      <x:c r="I187" s="32"/>
      <x:c r="J187" s="32"/>
      <x:c r="K187" s="32"/>
      <x:c r="L187" s="32"/>
      <x:c r="M187" s="32"/>
      <x:c r="N187" s="32"/>
      <x:c r="O187" s="32"/>
      <x:c r="P187" s="32"/>
      <x:c r="Q187" s="32"/>
      <x:c r="R187" s="32"/>
      <x:c r="S187" s="32"/>
      <x:c r="T187" s="43" t="str">
        <x:f>IFERROR(S187/L187,"")</x:f>
      </x:c>
      <x:c r="U187" s="32"/>
      <x:c r="V187" s="32"/>
      <x:c r="W187" s="32"/>
      <x:c r="X187" s="32"/>
      <x:c r="Y187" s="32"/>
      <x:c r="Z187" s="32"/>
      <x:c r="AA187" s="32"/>
      <x:c r="AB187" s="32"/>
      <x:c r="AC187" s="32"/>
      <x:c r="AD187" s="32"/>
      <x:c r="AE187" s="32"/>
      <x:c r="AF187" s="32"/>
      <x:c r="AG187" s="32"/>
      <x:c r="AH187" s="32"/>
      <x:c r="AI187" s="32"/>
      <x:c r="AJ187" s="32"/>
      <x:c r="AK187" s="32"/>
      <x:c r="AL187" s="32"/>
      <x:c r="AM187" s="32"/>
      <x:c r="AN187" s="32"/>
      <x:c r="AO187" s="32"/>
      <x:c r="AP187" s="32"/>
      <x:c r="AQ187" s="32"/>
      <x:c r="AR187" s="32"/>
      <x:c r="AS187" s="32"/>
      <x:c r="AT187" s="32"/>
      <x:c r="AU187" s="32"/>
      <x:c r="AV187" s="32"/>
      <x:c r="AW187" s="32"/>
      <x:c r="AX187" s="32"/>
      <x:c r="AZ187" s="32"/>
      <x:c r="BA187" s="32"/>
      <x:c r="BB187" s="32"/>
      <x:c r="BC187" s="32"/>
      <x:c r="BD187" s="32"/>
      <x:c r="BE187" s="32"/>
      <x:c r="BF187" s="32"/>
      <x:c r="BG187" s="32"/>
      <x:c r="BH187" s="32"/>
      <x:c r="BI187" s="32"/>
      <x:c r="BJ187" s="32"/>
      <x:c r="BK187" s="32"/>
      <x:c r="BL187" s="32"/>
      <x:c r="BM187" s="32"/>
    </x:row>
    <x:row r="188">
      <x:c r="A188" s="32"/>
      <x:c r="B188" s="32"/>
      <x:c r="C188" s="42"/>
      <x:c r="D188" s="32"/>
      <x:c r="E188" s="32"/>
      <x:c r="F188" s="32"/>
      <x:c r="G188" s="32"/>
      <x:c r="H188" s="32"/>
      <x:c r="I188" s="32"/>
      <x:c r="J188" s="32"/>
      <x:c r="K188" s="32"/>
      <x:c r="L188" s="32"/>
      <x:c r="M188" s="32"/>
      <x:c r="N188" s="32"/>
      <x:c r="O188" s="32"/>
      <x:c r="P188" s="32"/>
      <x:c r="Q188" s="32"/>
      <x:c r="R188" s="32"/>
      <x:c r="S188" s="32"/>
      <x:c r="T188" s="43" t="str">
        <x:f>IFERROR(S188/L188,"")</x:f>
      </x:c>
      <x:c r="U188" s="32"/>
      <x:c r="V188" s="32"/>
      <x:c r="W188" s="32"/>
      <x:c r="X188" s="32"/>
      <x:c r="Y188" s="32"/>
      <x:c r="Z188" s="32"/>
      <x:c r="AA188" s="32"/>
      <x:c r="AB188" s="32"/>
      <x:c r="AC188" s="32"/>
      <x:c r="AD188" s="32"/>
      <x:c r="AE188" s="32"/>
      <x:c r="AF188" s="32"/>
      <x:c r="AG188" s="32"/>
      <x:c r="AH188" s="32"/>
      <x:c r="AI188" s="32"/>
      <x:c r="AJ188" s="32"/>
      <x:c r="AK188" s="32"/>
      <x:c r="AL188" s="32"/>
      <x:c r="AM188" s="32"/>
      <x:c r="AN188" s="32"/>
      <x:c r="AO188" s="32"/>
      <x:c r="AP188" s="32"/>
      <x:c r="AQ188" s="32"/>
      <x:c r="AR188" s="32"/>
      <x:c r="AS188" s="32"/>
      <x:c r="AT188" s="32"/>
      <x:c r="AU188" s="32"/>
      <x:c r="AV188" s="32"/>
      <x:c r="AW188" s="32"/>
      <x:c r="AX188" s="32"/>
      <x:c r="AZ188" s="32"/>
      <x:c r="BA188" s="32"/>
      <x:c r="BB188" s="32"/>
      <x:c r="BC188" s="32"/>
      <x:c r="BD188" s="32"/>
      <x:c r="BE188" s="32"/>
      <x:c r="BF188" s="32"/>
      <x:c r="BG188" s="32"/>
      <x:c r="BH188" s="32"/>
      <x:c r="BI188" s="32"/>
      <x:c r="BJ188" s="32"/>
      <x:c r="BK188" s="32"/>
      <x:c r="BL188" s="32"/>
      <x:c r="BM188" s="32"/>
    </x:row>
    <x:row r="189">
      <x:c r="A189" s="32"/>
      <x:c r="B189" s="32"/>
      <x:c r="C189" s="42"/>
      <x:c r="D189" s="32"/>
      <x:c r="E189" s="32"/>
      <x:c r="F189" s="32"/>
      <x:c r="G189" s="32"/>
      <x:c r="H189" s="32"/>
      <x:c r="I189" s="32"/>
      <x:c r="J189" s="32"/>
      <x:c r="K189" s="32"/>
      <x:c r="L189" s="32"/>
      <x:c r="M189" s="32"/>
      <x:c r="N189" s="32"/>
      <x:c r="O189" s="32"/>
      <x:c r="P189" s="32"/>
      <x:c r="Q189" s="32"/>
      <x:c r="R189" s="32"/>
      <x:c r="S189" s="32"/>
      <x:c r="T189" s="43" t="str">
        <x:f>IFERROR(S189/L189,"")</x:f>
      </x:c>
      <x:c r="U189" s="32"/>
      <x:c r="V189" s="32"/>
      <x:c r="W189" s="32"/>
      <x:c r="X189" s="32"/>
      <x:c r="Y189" s="32"/>
      <x:c r="Z189" s="32"/>
      <x:c r="AA189" s="32"/>
      <x:c r="AB189" s="32"/>
      <x:c r="AC189" s="32"/>
      <x:c r="AD189" s="32"/>
      <x:c r="AE189" s="32"/>
      <x:c r="AF189" s="32"/>
      <x:c r="AG189" s="32"/>
      <x:c r="AH189" s="32"/>
      <x:c r="AI189" s="32"/>
      <x:c r="AJ189" s="32"/>
      <x:c r="AK189" s="32"/>
      <x:c r="AL189" s="32"/>
      <x:c r="AM189" s="32"/>
      <x:c r="AN189" s="32"/>
      <x:c r="AO189" s="32"/>
      <x:c r="AP189" s="32"/>
      <x:c r="AQ189" s="32"/>
      <x:c r="AR189" s="32"/>
      <x:c r="AS189" s="32"/>
      <x:c r="AT189" s="32"/>
      <x:c r="AU189" s="32"/>
      <x:c r="AV189" s="32"/>
      <x:c r="AW189" s="32"/>
      <x:c r="AX189" s="32"/>
      <x:c r="AZ189" s="32"/>
      <x:c r="BA189" s="32"/>
      <x:c r="BB189" s="32"/>
      <x:c r="BC189" s="32"/>
      <x:c r="BD189" s="32"/>
      <x:c r="BE189" s="32"/>
      <x:c r="BF189" s="32"/>
      <x:c r="BG189" s="32"/>
      <x:c r="BH189" s="32"/>
      <x:c r="BI189" s="32"/>
      <x:c r="BJ189" s="32"/>
      <x:c r="BK189" s="32"/>
      <x:c r="BL189" s="32"/>
      <x:c r="BM189" s="32"/>
    </x:row>
    <x:row r="190">
      <x:c r="A190" s="32"/>
      <x:c r="B190" s="32"/>
      <x:c r="C190" s="42"/>
      <x:c r="D190" s="32"/>
      <x:c r="E190" s="32"/>
      <x:c r="F190" s="32"/>
      <x:c r="G190" s="32"/>
      <x:c r="H190" s="32"/>
      <x:c r="I190" s="32"/>
      <x:c r="J190" s="32"/>
      <x:c r="K190" s="32"/>
      <x:c r="L190" s="32"/>
      <x:c r="M190" s="32"/>
      <x:c r="N190" s="32"/>
      <x:c r="O190" s="32"/>
      <x:c r="P190" s="32"/>
      <x:c r="Q190" s="32"/>
      <x:c r="R190" s="32"/>
      <x:c r="S190" s="32"/>
      <x:c r="T190" s="43" t="str">
        <x:f>IFERROR(S190/L190,"")</x:f>
      </x:c>
      <x:c r="U190" s="32"/>
      <x:c r="V190" s="32"/>
      <x:c r="W190" s="32"/>
      <x:c r="X190" s="32"/>
      <x:c r="Y190" s="32"/>
      <x:c r="Z190" s="32"/>
      <x:c r="AA190" s="32"/>
      <x:c r="AB190" s="32"/>
      <x:c r="AC190" s="32"/>
      <x:c r="AD190" s="32"/>
      <x:c r="AE190" s="32"/>
      <x:c r="AF190" s="32"/>
      <x:c r="AG190" s="32"/>
      <x:c r="AH190" s="32"/>
      <x:c r="AI190" s="32"/>
      <x:c r="AJ190" s="32"/>
      <x:c r="AK190" s="32"/>
      <x:c r="AL190" s="32"/>
      <x:c r="AM190" s="32"/>
      <x:c r="AN190" s="32"/>
      <x:c r="AO190" s="32"/>
      <x:c r="AP190" s="32"/>
      <x:c r="AQ190" s="32"/>
      <x:c r="AR190" s="32"/>
      <x:c r="AS190" s="32"/>
      <x:c r="AT190" s="32"/>
      <x:c r="AU190" s="32"/>
      <x:c r="AV190" s="32"/>
      <x:c r="AW190" s="32"/>
      <x:c r="AX190" s="32"/>
      <x:c r="AZ190" s="32"/>
      <x:c r="BA190" s="32"/>
      <x:c r="BB190" s="32"/>
      <x:c r="BC190" s="32"/>
      <x:c r="BD190" s="32"/>
      <x:c r="BE190" s="32"/>
      <x:c r="BF190" s="32"/>
      <x:c r="BG190" s="32"/>
      <x:c r="BH190" s="32"/>
      <x:c r="BI190" s="32"/>
      <x:c r="BJ190" s="32"/>
      <x:c r="BK190" s="32"/>
      <x:c r="BL190" s="32"/>
      <x:c r="BM190" s="32"/>
    </x:row>
    <x:row r="191">
      <x:c r="A191" s="32"/>
      <x:c r="B191" s="32"/>
      <x:c r="C191" s="42"/>
      <x:c r="D191" s="32"/>
      <x:c r="E191" s="32"/>
      <x:c r="F191" s="32"/>
      <x:c r="G191" s="32"/>
      <x:c r="H191" s="32"/>
      <x:c r="I191" s="32"/>
      <x:c r="J191" s="32"/>
      <x:c r="K191" s="32"/>
      <x:c r="L191" s="32"/>
      <x:c r="M191" s="32"/>
      <x:c r="N191" s="32"/>
      <x:c r="O191" s="32"/>
      <x:c r="P191" s="32"/>
      <x:c r="Q191" s="32"/>
      <x:c r="R191" s="32"/>
      <x:c r="S191" s="32"/>
      <x:c r="T191" s="43" t="str">
        <x:f>IFERROR(S191/L191,"")</x:f>
      </x:c>
      <x:c r="U191" s="32"/>
      <x:c r="V191" s="32"/>
      <x:c r="W191" s="32"/>
      <x:c r="X191" s="32"/>
      <x:c r="Y191" s="32"/>
      <x:c r="Z191" s="32"/>
      <x:c r="AA191" s="32"/>
      <x:c r="AB191" s="32"/>
      <x:c r="AC191" s="32"/>
      <x:c r="AD191" s="32"/>
      <x:c r="AE191" s="32"/>
      <x:c r="AF191" s="32"/>
      <x:c r="AG191" s="32"/>
      <x:c r="AH191" s="32"/>
      <x:c r="AI191" s="32"/>
      <x:c r="AJ191" s="32"/>
      <x:c r="AK191" s="32"/>
      <x:c r="AL191" s="32"/>
      <x:c r="AM191" s="32"/>
      <x:c r="AN191" s="32"/>
      <x:c r="AO191" s="32"/>
      <x:c r="AP191" s="32"/>
      <x:c r="AQ191" s="32"/>
      <x:c r="AR191" s="32"/>
      <x:c r="AS191" s="32"/>
      <x:c r="AT191" s="32"/>
      <x:c r="AU191" s="32"/>
      <x:c r="AV191" s="32"/>
      <x:c r="AW191" s="32"/>
      <x:c r="AX191" s="32"/>
      <x:c r="AZ191" s="32"/>
      <x:c r="BA191" s="32"/>
      <x:c r="BB191" s="32"/>
      <x:c r="BC191" s="32"/>
      <x:c r="BD191" s="32"/>
      <x:c r="BE191" s="32"/>
      <x:c r="BF191" s="32"/>
      <x:c r="BG191" s="32"/>
      <x:c r="BH191" s="32"/>
      <x:c r="BI191" s="32"/>
      <x:c r="BJ191" s="32"/>
      <x:c r="BK191" s="32"/>
      <x:c r="BL191" s="32"/>
      <x:c r="BM191" s="32"/>
    </x:row>
    <x:row r="192">
      <x:c r="A192" s="32"/>
      <x:c r="B192" s="32"/>
      <x:c r="C192" s="42"/>
      <x:c r="D192" s="32"/>
      <x:c r="E192" s="32"/>
      <x:c r="F192" s="32"/>
      <x:c r="G192" s="32"/>
      <x:c r="H192" s="32"/>
      <x:c r="I192" s="32"/>
      <x:c r="J192" s="32"/>
      <x:c r="K192" s="32"/>
      <x:c r="L192" s="32"/>
      <x:c r="M192" s="32"/>
      <x:c r="N192" s="32"/>
      <x:c r="O192" s="32"/>
      <x:c r="P192" s="32"/>
      <x:c r="Q192" s="32"/>
      <x:c r="R192" s="32"/>
      <x:c r="S192" s="32"/>
      <x:c r="T192" s="43" t="str">
        <x:f>IFERROR(S192/L192,"")</x:f>
      </x:c>
      <x:c r="U192" s="32"/>
      <x:c r="V192" s="32"/>
      <x:c r="W192" s="32"/>
      <x:c r="X192" s="32"/>
      <x:c r="Y192" s="32"/>
      <x:c r="Z192" s="32"/>
      <x:c r="AA192" s="32"/>
      <x:c r="AB192" s="32"/>
      <x:c r="AC192" s="32"/>
      <x:c r="AD192" s="32"/>
      <x:c r="AE192" s="32"/>
      <x:c r="AF192" s="32"/>
      <x:c r="AG192" s="32"/>
      <x:c r="AH192" s="32"/>
      <x:c r="AI192" s="32"/>
      <x:c r="AJ192" s="32"/>
      <x:c r="AK192" s="32"/>
      <x:c r="AL192" s="32"/>
      <x:c r="AM192" s="32"/>
      <x:c r="AN192" s="32"/>
      <x:c r="AO192" s="32"/>
      <x:c r="AP192" s="32"/>
      <x:c r="AQ192" s="32"/>
      <x:c r="AR192" s="32"/>
      <x:c r="AS192" s="32"/>
      <x:c r="AT192" s="32"/>
      <x:c r="AU192" s="32"/>
      <x:c r="AV192" s="32"/>
      <x:c r="AW192" s="32"/>
      <x:c r="AX192" s="32"/>
      <x:c r="AZ192" s="32"/>
      <x:c r="BA192" s="32"/>
      <x:c r="BB192" s="32"/>
      <x:c r="BC192" s="32"/>
      <x:c r="BD192" s="32"/>
      <x:c r="BE192" s="32"/>
      <x:c r="BF192" s="32"/>
      <x:c r="BG192" s="32"/>
      <x:c r="BH192" s="32"/>
      <x:c r="BI192" s="32"/>
      <x:c r="BJ192" s="32"/>
      <x:c r="BK192" s="32"/>
      <x:c r="BL192" s="32"/>
      <x:c r="BM192" s="32"/>
    </x:row>
    <x:row r="193">
      <x:c r="A193" s="32"/>
      <x:c r="B193" s="32"/>
      <x:c r="C193" s="42"/>
      <x:c r="D193" s="32"/>
      <x:c r="E193" s="32"/>
      <x:c r="F193" s="32"/>
      <x:c r="G193" s="32"/>
      <x:c r="H193" s="32"/>
      <x:c r="I193" s="32"/>
      <x:c r="J193" s="32"/>
      <x:c r="K193" s="32"/>
      <x:c r="L193" s="32"/>
      <x:c r="M193" s="32"/>
      <x:c r="N193" s="32"/>
      <x:c r="O193" s="32"/>
      <x:c r="P193" s="32"/>
      <x:c r="Q193" s="32"/>
      <x:c r="R193" s="32"/>
      <x:c r="S193" s="32"/>
      <x:c r="T193" s="43" t="str">
        <x:f>IFERROR(S193/L193,"")</x:f>
      </x:c>
      <x:c r="U193" s="32"/>
      <x:c r="V193" s="32"/>
      <x:c r="W193" s="32"/>
      <x:c r="X193" s="32"/>
      <x:c r="Y193" s="32"/>
      <x:c r="Z193" s="32"/>
      <x:c r="AA193" s="32"/>
      <x:c r="AB193" s="32"/>
      <x:c r="AC193" s="32"/>
      <x:c r="AD193" s="32"/>
      <x:c r="AE193" s="32"/>
      <x:c r="AF193" s="32"/>
      <x:c r="AG193" s="32"/>
      <x:c r="AH193" s="32"/>
      <x:c r="AI193" s="32"/>
      <x:c r="AJ193" s="32"/>
      <x:c r="AK193" s="32"/>
      <x:c r="AL193" s="32"/>
      <x:c r="AM193" s="32"/>
      <x:c r="AN193" s="32"/>
      <x:c r="AO193" s="32"/>
      <x:c r="AP193" s="32"/>
      <x:c r="AQ193" s="32"/>
      <x:c r="AR193" s="32"/>
      <x:c r="AS193" s="32"/>
      <x:c r="AT193" s="32"/>
      <x:c r="AU193" s="32"/>
      <x:c r="AV193" s="32"/>
      <x:c r="AW193" s="32"/>
      <x:c r="AX193" s="32"/>
      <x:c r="AZ193" s="32"/>
      <x:c r="BA193" s="32"/>
      <x:c r="BB193" s="32"/>
      <x:c r="BC193" s="32"/>
      <x:c r="BD193" s="32"/>
      <x:c r="BE193" s="32"/>
      <x:c r="BF193" s="32"/>
      <x:c r="BG193" s="32"/>
      <x:c r="BH193" s="32"/>
      <x:c r="BI193" s="32"/>
      <x:c r="BJ193" s="32"/>
      <x:c r="BK193" s="32"/>
      <x:c r="BL193" s="32"/>
      <x:c r="BM193" s="32"/>
    </x:row>
    <x:row r="194">
      <x:c r="A194" s="32"/>
      <x:c r="B194" s="32"/>
      <x:c r="C194" s="42"/>
      <x:c r="D194" s="32"/>
      <x:c r="E194" s="32"/>
      <x:c r="F194" s="32"/>
      <x:c r="G194" s="32"/>
      <x:c r="H194" s="32"/>
      <x:c r="I194" s="32"/>
      <x:c r="J194" s="32"/>
      <x:c r="K194" s="32"/>
      <x:c r="L194" s="32"/>
      <x:c r="M194" s="32"/>
      <x:c r="N194" s="32"/>
      <x:c r="O194" s="32"/>
      <x:c r="P194" s="32"/>
      <x:c r="Q194" s="32"/>
      <x:c r="R194" s="32"/>
      <x:c r="S194" s="32"/>
      <x:c r="T194" s="43" t="str">
        <x:f>IFERROR(S194/L194,"")</x:f>
      </x:c>
      <x:c r="U194" s="32"/>
      <x:c r="V194" s="32"/>
      <x:c r="W194" s="32"/>
      <x:c r="X194" s="32"/>
      <x:c r="Y194" s="32"/>
      <x:c r="Z194" s="32"/>
      <x:c r="AA194" s="32"/>
      <x:c r="AB194" s="32"/>
      <x:c r="AC194" s="32"/>
      <x:c r="AD194" s="32"/>
      <x:c r="AE194" s="32"/>
      <x:c r="AF194" s="32"/>
      <x:c r="AG194" s="32"/>
      <x:c r="AH194" s="32"/>
      <x:c r="AI194" s="32"/>
      <x:c r="AJ194" s="32"/>
      <x:c r="AK194" s="32"/>
      <x:c r="AL194" s="32"/>
      <x:c r="AM194" s="32"/>
      <x:c r="AN194" s="32"/>
      <x:c r="AO194" s="32"/>
      <x:c r="AP194" s="32"/>
      <x:c r="AQ194" s="32"/>
      <x:c r="AR194" s="32"/>
      <x:c r="AS194" s="32"/>
      <x:c r="AT194" s="32"/>
      <x:c r="AU194" s="32"/>
      <x:c r="AV194" s="32"/>
      <x:c r="AW194" s="32"/>
      <x:c r="AX194" s="32"/>
      <x:c r="AZ194" s="32"/>
      <x:c r="BA194" s="32"/>
      <x:c r="BB194" s="32"/>
      <x:c r="BC194" s="32"/>
      <x:c r="BD194" s="32"/>
      <x:c r="BE194" s="32"/>
      <x:c r="BF194" s="32"/>
      <x:c r="BG194" s="32"/>
      <x:c r="BH194" s="32"/>
      <x:c r="BI194" s="32"/>
      <x:c r="BJ194" s="32"/>
      <x:c r="BK194" s="32"/>
      <x:c r="BL194" s="32"/>
      <x:c r="BM194" s="32"/>
    </x:row>
    <x:row r="195">
      <x:c r="A195" s="32"/>
      <x:c r="B195" s="32"/>
      <x:c r="C195" s="42"/>
      <x:c r="D195" s="32"/>
      <x:c r="E195" s="32"/>
      <x:c r="F195" s="32"/>
      <x:c r="G195" s="32"/>
      <x:c r="H195" s="32"/>
      <x:c r="I195" s="32"/>
      <x:c r="J195" s="32"/>
      <x:c r="K195" s="32"/>
      <x:c r="L195" s="32"/>
      <x:c r="M195" s="32"/>
      <x:c r="N195" s="32"/>
      <x:c r="O195" s="32"/>
      <x:c r="P195" s="32"/>
      <x:c r="Q195" s="32"/>
      <x:c r="R195" s="32"/>
      <x:c r="S195" s="32"/>
      <x:c r="T195" s="43" t="str">
        <x:f>IFERROR(S195/L195,"")</x:f>
      </x:c>
      <x:c r="U195" s="32"/>
      <x:c r="V195" s="32"/>
      <x:c r="W195" s="32"/>
      <x:c r="X195" s="32"/>
      <x:c r="Y195" s="32"/>
      <x:c r="Z195" s="32"/>
      <x:c r="AA195" s="32"/>
      <x:c r="AB195" s="32"/>
      <x:c r="AC195" s="32"/>
      <x:c r="AD195" s="32"/>
      <x:c r="AE195" s="32"/>
      <x:c r="AF195" s="32"/>
      <x:c r="AG195" s="32"/>
      <x:c r="AH195" s="32"/>
      <x:c r="AI195" s="32"/>
      <x:c r="AJ195" s="32"/>
      <x:c r="AK195" s="32"/>
      <x:c r="AL195" s="32"/>
      <x:c r="AM195" s="32"/>
      <x:c r="AN195" s="32"/>
      <x:c r="AO195" s="32"/>
      <x:c r="AP195" s="32"/>
      <x:c r="AQ195" s="32"/>
      <x:c r="AR195" s="32"/>
      <x:c r="AS195" s="32"/>
      <x:c r="AT195" s="32"/>
      <x:c r="AU195" s="32"/>
      <x:c r="AV195" s="32"/>
      <x:c r="AW195" s="32"/>
      <x:c r="AX195" s="32"/>
      <x:c r="AZ195" s="32"/>
      <x:c r="BA195" s="32"/>
      <x:c r="BB195" s="32"/>
      <x:c r="BC195" s="32"/>
      <x:c r="BD195" s="32"/>
      <x:c r="BE195" s="32"/>
      <x:c r="BF195" s="32"/>
      <x:c r="BG195" s="32"/>
      <x:c r="BH195" s="32"/>
      <x:c r="BI195" s="32"/>
      <x:c r="BJ195" s="32"/>
      <x:c r="BK195" s="32"/>
      <x:c r="BL195" s="32"/>
      <x:c r="BM195" s="32"/>
    </x:row>
    <x:row r="196">
      <x:c r="A196" s="32"/>
      <x:c r="B196" s="32"/>
      <x:c r="C196" s="42"/>
      <x:c r="D196" s="32"/>
      <x:c r="E196" s="32"/>
      <x:c r="F196" s="32"/>
      <x:c r="G196" s="32"/>
      <x:c r="H196" s="32"/>
      <x:c r="I196" s="32"/>
      <x:c r="J196" s="32"/>
      <x:c r="K196" s="32"/>
      <x:c r="L196" s="32"/>
      <x:c r="M196" s="32"/>
      <x:c r="N196" s="32"/>
      <x:c r="O196" s="32"/>
      <x:c r="P196" s="32"/>
      <x:c r="Q196" s="32"/>
      <x:c r="R196" s="32"/>
      <x:c r="S196" s="32"/>
      <x:c r="T196" s="43" t="str">
        <x:f>IFERROR(S196/L196,"")</x:f>
      </x:c>
      <x:c r="U196" s="32"/>
      <x:c r="V196" s="32"/>
      <x:c r="W196" s="32"/>
      <x:c r="X196" s="32"/>
      <x:c r="Y196" s="32"/>
      <x:c r="Z196" s="32"/>
      <x:c r="AA196" s="32"/>
      <x:c r="AB196" s="32"/>
      <x:c r="AC196" s="32"/>
      <x:c r="AD196" s="32"/>
      <x:c r="AE196" s="32"/>
      <x:c r="AF196" s="32"/>
      <x:c r="AG196" s="32"/>
      <x:c r="AH196" s="32"/>
      <x:c r="AI196" s="32"/>
      <x:c r="AJ196" s="32"/>
      <x:c r="AK196" s="32"/>
      <x:c r="AL196" s="32"/>
      <x:c r="AM196" s="32"/>
      <x:c r="AN196" s="32"/>
      <x:c r="AO196" s="32"/>
      <x:c r="AP196" s="32"/>
      <x:c r="AQ196" s="32"/>
      <x:c r="AR196" s="32"/>
      <x:c r="AS196" s="32"/>
      <x:c r="AT196" s="32"/>
      <x:c r="AU196" s="32"/>
      <x:c r="AV196" s="32"/>
      <x:c r="AW196" s="32"/>
      <x:c r="AX196" s="32"/>
      <x:c r="AZ196" s="32"/>
      <x:c r="BA196" s="32"/>
      <x:c r="BB196" s="32"/>
      <x:c r="BC196" s="32"/>
      <x:c r="BD196" s="32"/>
      <x:c r="BE196" s="32"/>
      <x:c r="BF196" s="32"/>
      <x:c r="BG196" s="32"/>
      <x:c r="BH196" s="32"/>
      <x:c r="BI196" s="32"/>
      <x:c r="BJ196" s="32"/>
      <x:c r="BK196" s="32"/>
      <x:c r="BL196" s="32"/>
      <x:c r="BM196" s="32"/>
    </x:row>
    <x:row r="197">
      <x:c r="A197" s="32"/>
      <x:c r="B197" s="32"/>
      <x:c r="C197" s="42"/>
      <x:c r="D197" s="32"/>
      <x:c r="E197" s="32"/>
      <x:c r="F197" s="32"/>
      <x:c r="G197" s="32"/>
      <x:c r="H197" s="32"/>
      <x:c r="I197" s="32"/>
      <x:c r="J197" s="32"/>
      <x:c r="K197" s="32"/>
      <x:c r="L197" s="32"/>
      <x:c r="M197" s="32"/>
      <x:c r="N197" s="32"/>
      <x:c r="O197" s="32"/>
      <x:c r="P197" s="32"/>
      <x:c r="Q197" s="32"/>
      <x:c r="R197" s="32"/>
      <x:c r="S197" s="32"/>
      <x:c r="T197" s="43" t="str">
        <x:f>IFERROR(S197/L197,"")</x:f>
      </x:c>
      <x:c r="U197" s="32"/>
      <x:c r="V197" s="32"/>
      <x:c r="W197" s="32"/>
      <x:c r="X197" s="32"/>
      <x:c r="Y197" s="32"/>
      <x:c r="Z197" s="32"/>
      <x:c r="AA197" s="32"/>
      <x:c r="AB197" s="32"/>
      <x:c r="AC197" s="32"/>
      <x:c r="AD197" s="32"/>
      <x:c r="AE197" s="32"/>
      <x:c r="AF197" s="32"/>
      <x:c r="AG197" s="32"/>
      <x:c r="AH197" s="32"/>
      <x:c r="AI197" s="32"/>
      <x:c r="AJ197" s="32"/>
      <x:c r="AK197" s="32"/>
      <x:c r="AL197" s="32"/>
      <x:c r="AM197" s="32"/>
      <x:c r="AN197" s="32"/>
      <x:c r="AO197" s="32"/>
      <x:c r="AP197" s="32"/>
      <x:c r="AQ197" s="32"/>
      <x:c r="AR197" s="32"/>
      <x:c r="AS197" s="32"/>
      <x:c r="AT197" s="32"/>
      <x:c r="AU197" s="32"/>
      <x:c r="AV197" s="32"/>
      <x:c r="AW197" s="32"/>
      <x:c r="AX197" s="32"/>
      <x:c r="AZ197" s="32"/>
      <x:c r="BA197" s="32"/>
      <x:c r="BB197" s="32"/>
      <x:c r="BC197" s="32"/>
      <x:c r="BD197" s="32"/>
      <x:c r="BE197" s="32"/>
      <x:c r="BF197" s="32"/>
      <x:c r="BG197" s="32"/>
      <x:c r="BH197" s="32"/>
      <x:c r="BI197" s="32"/>
      <x:c r="BJ197" s="32"/>
      <x:c r="BK197" s="32"/>
      <x:c r="BL197" s="32"/>
      <x:c r="BM197" s="32"/>
    </x:row>
    <x:row r="198">
      <x:c r="A198" s="32"/>
      <x:c r="B198" s="32"/>
      <x:c r="C198" s="42"/>
      <x:c r="D198" s="32"/>
      <x:c r="E198" s="32"/>
      <x:c r="F198" s="32"/>
      <x:c r="G198" s="32"/>
      <x:c r="H198" s="32"/>
      <x:c r="I198" s="32"/>
      <x:c r="J198" s="32"/>
      <x:c r="K198" s="32"/>
      <x:c r="L198" s="32"/>
      <x:c r="M198" s="32"/>
      <x:c r="N198" s="32"/>
      <x:c r="O198" s="32"/>
      <x:c r="P198" s="32"/>
      <x:c r="Q198" s="32"/>
      <x:c r="R198" s="32"/>
      <x:c r="S198" s="32"/>
      <x:c r="T198" s="43" t="str">
        <x:f>IFERROR(S198/L198,"")</x:f>
      </x:c>
      <x:c r="U198" s="32"/>
      <x:c r="V198" s="32"/>
      <x:c r="W198" s="32"/>
      <x:c r="X198" s="32"/>
      <x:c r="Y198" s="32"/>
      <x:c r="Z198" s="32"/>
      <x:c r="AA198" s="32"/>
      <x:c r="AB198" s="32"/>
      <x:c r="AC198" s="32"/>
      <x:c r="AD198" s="32"/>
      <x:c r="AE198" s="32"/>
      <x:c r="AF198" s="32"/>
      <x:c r="AG198" s="32"/>
      <x:c r="AH198" s="32"/>
      <x:c r="AI198" s="32"/>
      <x:c r="AJ198" s="32"/>
      <x:c r="AK198" s="32"/>
      <x:c r="AL198" s="32"/>
      <x:c r="AM198" s="32"/>
      <x:c r="AN198" s="32"/>
      <x:c r="AO198" s="32"/>
      <x:c r="AP198" s="32"/>
      <x:c r="AQ198" s="32"/>
      <x:c r="AR198" s="32"/>
      <x:c r="AS198" s="32"/>
      <x:c r="AT198" s="32"/>
      <x:c r="AU198" s="32"/>
      <x:c r="AV198" s="32"/>
      <x:c r="AW198" s="32"/>
      <x:c r="AX198" s="32"/>
      <x:c r="AZ198" s="32"/>
      <x:c r="BA198" s="32"/>
      <x:c r="BB198" s="32"/>
      <x:c r="BC198" s="32"/>
      <x:c r="BD198" s="32"/>
      <x:c r="BE198" s="32"/>
      <x:c r="BF198" s="32"/>
      <x:c r="BG198" s="32"/>
      <x:c r="BH198" s="32"/>
      <x:c r="BI198" s="32"/>
      <x:c r="BJ198" s="32"/>
      <x:c r="BK198" s="32"/>
      <x:c r="BL198" s="32"/>
      <x:c r="BM198" s="32"/>
    </x:row>
    <x:row r="199">
      <x:c r="A199" s="32"/>
      <x:c r="B199" s="32"/>
      <x:c r="C199" s="42"/>
      <x:c r="D199" s="32"/>
      <x:c r="E199" s="32"/>
      <x:c r="F199" s="32"/>
      <x:c r="G199" s="32"/>
      <x:c r="H199" s="32"/>
      <x:c r="I199" s="32"/>
      <x:c r="J199" s="32"/>
      <x:c r="K199" s="32"/>
      <x:c r="L199" s="32"/>
      <x:c r="M199" s="32"/>
      <x:c r="N199" s="32"/>
      <x:c r="O199" s="32"/>
      <x:c r="P199" s="32"/>
      <x:c r="Q199" s="32"/>
      <x:c r="R199" s="32"/>
      <x:c r="S199" s="32"/>
      <x:c r="T199" s="43" t="str">
        <x:f>IFERROR(S199/L199,"")</x:f>
      </x:c>
      <x:c r="U199" s="32"/>
      <x:c r="V199" s="32"/>
      <x:c r="W199" s="32"/>
      <x:c r="X199" s="32"/>
      <x:c r="Y199" s="32"/>
      <x:c r="Z199" s="32"/>
      <x:c r="AA199" s="32"/>
      <x:c r="AB199" s="32"/>
      <x:c r="AC199" s="32"/>
      <x:c r="AD199" s="32"/>
      <x:c r="AE199" s="32"/>
      <x:c r="AF199" s="32"/>
      <x:c r="AG199" s="32"/>
      <x:c r="AH199" s="32"/>
      <x:c r="AI199" s="32"/>
      <x:c r="AJ199" s="32"/>
      <x:c r="AK199" s="32"/>
      <x:c r="AL199" s="32"/>
      <x:c r="AM199" s="32"/>
      <x:c r="AN199" s="32"/>
      <x:c r="AO199" s="32"/>
      <x:c r="AP199" s="32"/>
      <x:c r="AQ199" s="32"/>
      <x:c r="AR199" s="32"/>
      <x:c r="AS199" s="32"/>
      <x:c r="AT199" s="32"/>
      <x:c r="AU199" s="32"/>
      <x:c r="AV199" s="32"/>
      <x:c r="AW199" s="32"/>
      <x:c r="AX199" s="32"/>
      <x:c r="AZ199" s="32"/>
      <x:c r="BA199" s="32"/>
      <x:c r="BB199" s="32"/>
      <x:c r="BC199" s="32"/>
      <x:c r="BD199" s="32"/>
      <x:c r="BE199" s="32"/>
      <x:c r="BF199" s="32"/>
      <x:c r="BG199" s="32"/>
      <x:c r="BH199" s="32"/>
      <x:c r="BI199" s="32"/>
      <x:c r="BJ199" s="32"/>
      <x:c r="BK199" s="32"/>
      <x:c r="BL199" s="32"/>
      <x:c r="BM199" s="32"/>
    </x:row>
    <x:row r="200">
      <x:c r="A200" s="32"/>
      <x:c r="B200" s="32"/>
      <x:c r="C200" s="42"/>
      <x:c r="D200" s="32"/>
      <x:c r="E200" s="32"/>
      <x:c r="F200" s="32"/>
      <x:c r="G200" s="32"/>
      <x:c r="H200" s="32"/>
      <x:c r="I200" s="32"/>
      <x:c r="J200" s="32"/>
      <x:c r="K200" s="32"/>
      <x:c r="L200" s="32"/>
      <x:c r="M200" s="32"/>
      <x:c r="N200" s="32"/>
      <x:c r="O200" s="32"/>
      <x:c r="P200" s="32"/>
      <x:c r="Q200" s="32"/>
      <x:c r="R200" s="32"/>
      <x:c r="S200" s="32"/>
      <x:c r="T200" s="43" t="str">
        <x:f>IFERROR(S200/L200,"")</x:f>
      </x:c>
      <x:c r="U200" s="32"/>
      <x:c r="V200" s="32"/>
      <x:c r="W200" s="32"/>
      <x:c r="X200" s="32"/>
      <x:c r="Y200" s="32"/>
      <x:c r="Z200" s="32"/>
      <x:c r="AA200" s="32"/>
      <x:c r="AB200" s="32"/>
      <x:c r="AC200" s="32"/>
      <x:c r="AD200" s="32"/>
      <x:c r="AE200" s="32"/>
      <x:c r="AF200" s="32"/>
      <x:c r="AG200" s="32"/>
      <x:c r="AH200" s="32"/>
      <x:c r="AI200" s="32"/>
      <x:c r="AJ200" s="32"/>
      <x:c r="AK200" s="32"/>
      <x:c r="AL200" s="32"/>
      <x:c r="AM200" s="32"/>
      <x:c r="AN200" s="32"/>
      <x:c r="AO200" s="32"/>
      <x:c r="AP200" s="32"/>
      <x:c r="AQ200" s="32"/>
      <x:c r="AR200" s="32"/>
      <x:c r="AS200" s="32"/>
      <x:c r="AT200" s="32"/>
      <x:c r="AU200" s="32"/>
      <x:c r="AV200" s="32"/>
      <x:c r="AW200" s="32"/>
      <x:c r="AX200" s="32"/>
      <x:c r="AZ200" s="32"/>
      <x:c r="BA200" s="32"/>
      <x:c r="BB200" s="32"/>
      <x:c r="BC200" s="32"/>
      <x:c r="BD200" s="32"/>
      <x:c r="BE200" s="32"/>
      <x:c r="BF200" s="32"/>
      <x:c r="BG200" s="32"/>
      <x:c r="BH200" s="32"/>
      <x:c r="BI200" s="32"/>
      <x:c r="BJ200" s="32"/>
      <x:c r="BK200" s="32"/>
      <x:c r="BL200" s="32"/>
      <x:c r="BM200" s="32"/>
    </x:row>
    <x:row r="201">
      <x:c r="A201" s="32"/>
      <x:c r="B201" s="32"/>
      <x:c r="C201" s="42"/>
      <x:c r="D201" s="32"/>
      <x:c r="E201" s="32"/>
      <x:c r="F201" s="32"/>
      <x:c r="G201" s="32"/>
      <x:c r="H201" s="32"/>
      <x:c r="I201" s="32"/>
      <x:c r="J201" s="32"/>
      <x:c r="K201" s="32"/>
      <x:c r="L201" s="32"/>
      <x:c r="M201" s="32"/>
      <x:c r="N201" s="32"/>
      <x:c r="O201" s="32"/>
      <x:c r="P201" s="32"/>
      <x:c r="Q201" s="32"/>
      <x:c r="R201" s="32"/>
      <x:c r="S201" s="32"/>
      <x:c r="T201" s="43" t="str">
        <x:f>IFERROR(S201/L201,"")</x:f>
      </x:c>
      <x:c r="U201" s="32"/>
      <x:c r="V201" s="32"/>
      <x:c r="W201" s="32"/>
      <x:c r="X201" s="32"/>
      <x:c r="Y201" s="32"/>
      <x:c r="Z201" s="32"/>
      <x:c r="AA201" s="32"/>
      <x:c r="AB201" s="32"/>
      <x:c r="AC201" s="32"/>
      <x:c r="AD201" s="32"/>
      <x:c r="AE201" s="32"/>
      <x:c r="AF201" s="32"/>
      <x:c r="AG201" s="32"/>
      <x:c r="AH201" s="32"/>
      <x:c r="AI201" s="32"/>
      <x:c r="AJ201" s="32"/>
      <x:c r="AK201" s="32"/>
      <x:c r="AL201" s="32"/>
      <x:c r="AM201" s="32"/>
      <x:c r="AN201" s="32"/>
      <x:c r="AO201" s="32"/>
      <x:c r="AP201" s="32"/>
      <x:c r="AQ201" s="32"/>
      <x:c r="AR201" s="32"/>
      <x:c r="AS201" s="32"/>
      <x:c r="AT201" s="32"/>
      <x:c r="AU201" s="32"/>
      <x:c r="AV201" s="32"/>
      <x:c r="AW201" s="32"/>
      <x:c r="AX201" s="32"/>
      <x:c r="AZ201" s="32"/>
      <x:c r="BA201" s="32"/>
      <x:c r="BB201" s="32"/>
      <x:c r="BC201" s="32"/>
      <x:c r="BD201" s="32"/>
      <x:c r="BE201" s="32"/>
      <x:c r="BF201" s="32"/>
      <x:c r="BG201" s="32"/>
      <x:c r="BH201" s="32"/>
      <x:c r="BI201" s="32"/>
      <x:c r="BJ201" s="32"/>
      <x:c r="BK201" s="32"/>
      <x:c r="BL201" s="32"/>
      <x:c r="BM201" s="32"/>
    </x:row>
    <x:row r="202">
      <x:c r="A202" s="32"/>
      <x:c r="B202" s="32"/>
      <x:c r="C202" s="42"/>
      <x:c r="D202" s="32"/>
      <x:c r="E202" s="32"/>
      <x:c r="F202" s="32"/>
      <x:c r="G202" s="32"/>
      <x:c r="H202" s="32"/>
      <x:c r="I202" s="32"/>
      <x:c r="J202" s="32"/>
      <x:c r="K202" s="32"/>
      <x:c r="L202" s="32"/>
      <x:c r="M202" s="32"/>
      <x:c r="N202" s="32"/>
      <x:c r="O202" s="32"/>
      <x:c r="P202" s="32"/>
      <x:c r="Q202" s="32"/>
      <x:c r="R202" s="32"/>
      <x:c r="S202" s="32"/>
      <x:c r="T202" s="43" t="str">
        <x:f>IFERROR(S202/L202,"")</x:f>
      </x:c>
      <x:c r="U202" s="32"/>
      <x:c r="V202" s="32"/>
      <x:c r="W202" s="32"/>
      <x:c r="X202" s="32"/>
      <x:c r="Y202" s="32"/>
      <x:c r="Z202" s="32"/>
      <x:c r="AA202" s="32"/>
      <x:c r="AB202" s="32"/>
      <x:c r="AC202" s="32"/>
      <x:c r="AD202" s="32"/>
      <x:c r="AE202" s="32"/>
      <x:c r="AF202" s="32"/>
      <x:c r="AG202" s="32"/>
      <x:c r="AH202" s="32"/>
      <x:c r="AI202" s="32"/>
      <x:c r="AJ202" s="32"/>
      <x:c r="AK202" s="32"/>
      <x:c r="AL202" s="32"/>
      <x:c r="AM202" s="32"/>
      <x:c r="AN202" s="32"/>
      <x:c r="AO202" s="32"/>
      <x:c r="AP202" s="32"/>
      <x:c r="AQ202" s="32"/>
      <x:c r="AR202" s="32"/>
      <x:c r="AS202" s="32"/>
      <x:c r="AT202" s="32"/>
      <x:c r="AU202" s="32"/>
      <x:c r="AV202" s="32"/>
      <x:c r="AW202" s="32"/>
      <x:c r="AX202" s="32"/>
      <x:c r="AZ202" s="32"/>
      <x:c r="BA202" s="32"/>
      <x:c r="BB202" s="32"/>
      <x:c r="BC202" s="32"/>
      <x:c r="BD202" s="32"/>
      <x:c r="BE202" s="32"/>
      <x:c r="BF202" s="32"/>
      <x:c r="BG202" s="32"/>
      <x:c r="BH202" s="32"/>
      <x:c r="BI202" s="32"/>
      <x:c r="BJ202" s="32"/>
      <x:c r="BK202" s="32"/>
      <x:c r="BL202" s="32"/>
      <x:c r="BM202" s="32"/>
    </x:row>
    <x:row r="203">
      <x:c r="A203" s="32"/>
      <x:c r="B203" s="32"/>
      <x:c r="C203" s="42"/>
      <x:c r="D203" s="32"/>
      <x:c r="E203" s="32"/>
      <x:c r="F203" s="32"/>
      <x:c r="G203" s="32"/>
      <x:c r="H203" s="32"/>
      <x:c r="I203" s="32"/>
      <x:c r="J203" s="32"/>
      <x:c r="K203" s="32"/>
      <x:c r="L203" s="32"/>
      <x:c r="M203" s="32"/>
      <x:c r="N203" s="32"/>
      <x:c r="O203" s="32"/>
      <x:c r="P203" s="32"/>
      <x:c r="Q203" s="32"/>
      <x:c r="R203" s="32"/>
      <x:c r="S203" s="32"/>
      <x:c r="T203" s="43" t="str">
        <x:f>IFERROR(S203/L203,"")</x:f>
      </x:c>
      <x:c r="U203" s="32"/>
      <x:c r="V203" s="32"/>
      <x:c r="W203" s="32"/>
      <x:c r="X203" s="32"/>
      <x:c r="Y203" s="32"/>
      <x:c r="Z203" s="32"/>
      <x:c r="AA203" s="32"/>
      <x:c r="AB203" s="32"/>
      <x:c r="AC203" s="32"/>
      <x:c r="AD203" s="32"/>
      <x:c r="AE203" s="32"/>
      <x:c r="AF203" s="32"/>
      <x:c r="AG203" s="32"/>
      <x:c r="AH203" s="32"/>
      <x:c r="AI203" s="32"/>
      <x:c r="AJ203" s="32"/>
      <x:c r="AK203" s="32"/>
      <x:c r="AL203" s="32"/>
      <x:c r="AM203" s="32"/>
      <x:c r="AN203" s="32"/>
      <x:c r="AO203" s="32"/>
      <x:c r="AP203" s="32"/>
      <x:c r="AQ203" s="32"/>
      <x:c r="AR203" s="32"/>
      <x:c r="AS203" s="32"/>
      <x:c r="AT203" s="32"/>
      <x:c r="AU203" s="32"/>
      <x:c r="AV203" s="32"/>
      <x:c r="AW203" s="32"/>
      <x:c r="AX203" s="32"/>
      <x:c r="AZ203" s="32"/>
      <x:c r="BA203" s="32"/>
      <x:c r="BB203" s="32"/>
      <x:c r="BC203" s="32"/>
      <x:c r="BD203" s="32"/>
      <x:c r="BE203" s="32"/>
      <x:c r="BF203" s="32"/>
      <x:c r="BG203" s="32"/>
      <x:c r="BH203" s="32"/>
      <x:c r="BI203" s="32"/>
      <x:c r="BJ203" s="32"/>
      <x:c r="BK203" s="32"/>
      <x:c r="BL203" s="32"/>
      <x:c r="BM203" s="32"/>
    </x:row>
    <x:row r="204">
      <x:c r="A204" s="32"/>
      <x:c r="B204" s="32"/>
      <x:c r="C204" s="42"/>
      <x:c r="D204" s="32"/>
      <x:c r="E204" s="32"/>
      <x:c r="F204" s="32"/>
      <x:c r="G204" s="32"/>
      <x:c r="H204" s="32"/>
      <x:c r="I204" s="32"/>
      <x:c r="J204" s="32"/>
      <x:c r="K204" s="32"/>
      <x:c r="L204" s="32"/>
      <x:c r="M204" s="32"/>
      <x:c r="N204" s="32"/>
      <x:c r="O204" s="32"/>
      <x:c r="P204" s="32"/>
      <x:c r="Q204" s="32"/>
      <x:c r="R204" s="32"/>
      <x:c r="S204" s="32"/>
      <x:c r="T204" s="43" t="str">
        <x:f>IFERROR(S204/L204,"")</x:f>
      </x:c>
      <x:c r="U204" s="32"/>
      <x:c r="V204" s="32"/>
      <x:c r="W204" s="32"/>
      <x:c r="X204" s="32"/>
      <x:c r="Y204" s="32"/>
      <x:c r="Z204" s="32"/>
      <x:c r="AA204" s="32"/>
      <x:c r="AB204" s="32"/>
      <x:c r="AC204" s="32"/>
      <x:c r="AD204" s="32"/>
      <x:c r="AE204" s="32"/>
      <x:c r="AF204" s="32"/>
      <x:c r="AG204" s="32"/>
      <x:c r="AH204" s="32"/>
      <x:c r="AI204" s="32"/>
      <x:c r="AJ204" s="32"/>
      <x:c r="AK204" s="32"/>
      <x:c r="AL204" s="32"/>
      <x:c r="AM204" s="32"/>
      <x:c r="AN204" s="32"/>
      <x:c r="AO204" s="32"/>
      <x:c r="AP204" s="32"/>
      <x:c r="AQ204" s="32"/>
      <x:c r="AR204" s="32"/>
      <x:c r="AS204" s="32"/>
      <x:c r="AT204" s="32"/>
      <x:c r="AU204" s="32"/>
      <x:c r="AV204" s="32"/>
      <x:c r="AW204" s="32"/>
      <x:c r="AX204" s="32"/>
      <x:c r="AZ204" s="32"/>
      <x:c r="BA204" s="32"/>
      <x:c r="BB204" s="32"/>
      <x:c r="BC204" s="32"/>
      <x:c r="BD204" s="32"/>
      <x:c r="BE204" s="32"/>
      <x:c r="BF204" s="32"/>
      <x:c r="BG204" s="32"/>
      <x:c r="BH204" s="32"/>
      <x:c r="BI204" s="32"/>
      <x:c r="BJ204" s="32"/>
      <x:c r="BK204" s="32"/>
      <x:c r="BL204" s="32"/>
      <x:c r="BM204" s="32"/>
    </x:row>
    <x:row r="205">
      <x:c r="A205" s="32"/>
      <x:c r="B205" s="32"/>
      <x:c r="C205" s="42"/>
      <x:c r="D205" s="32"/>
      <x:c r="E205" s="32"/>
      <x:c r="F205" s="32"/>
      <x:c r="G205" s="32"/>
      <x:c r="H205" s="32"/>
      <x:c r="I205" s="32"/>
      <x:c r="J205" s="32"/>
      <x:c r="K205" s="32"/>
      <x:c r="L205" s="32"/>
      <x:c r="M205" s="32"/>
      <x:c r="N205" s="32"/>
      <x:c r="O205" s="32"/>
      <x:c r="P205" s="32"/>
      <x:c r="Q205" s="32"/>
      <x:c r="R205" s="32"/>
      <x:c r="S205" s="32"/>
      <x:c r="T205" s="43" t="str">
        <x:f>IFERROR(S205/L205,"")</x:f>
      </x:c>
      <x:c r="U205" s="32"/>
      <x:c r="V205" s="32"/>
      <x:c r="W205" s="32"/>
      <x:c r="X205" s="32"/>
      <x:c r="Y205" s="32"/>
      <x:c r="Z205" s="32"/>
      <x:c r="AA205" s="32"/>
      <x:c r="AB205" s="32"/>
      <x:c r="AC205" s="32"/>
      <x:c r="AD205" s="32"/>
      <x:c r="AE205" s="32"/>
      <x:c r="AF205" s="32"/>
      <x:c r="AG205" s="32"/>
      <x:c r="AH205" s="32"/>
      <x:c r="AI205" s="32"/>
      <x:c r="AJ205" s="32"/>
      <x:c r="AK205" s="32"/>
      <x:c r="AL205" s="32"/>
      <x:c r="AM205" s="32"/>
      <x:c r="AN205" s="32"/>
      <x:c r="AO205" s="32"/>
      <x:c r="AP205" s="32"/>
      <x:c r="AQ205" s="32"/>
      <x:c r="AR205" s="32"/>
      <x:c r="AS205" s="32"/>
      <x:c r="AT205" s="32"/>
      <x:c r="AU205" s="32"/>
      <x:c r="AV205" s="32"/>
      <x:c r="AW205" s="32"/>
      <x:c r="AX205" s="32"/>
      <x:c r="AZ205" s="32"/>
      <x:c r="BA205" s="32"/>
      <x:c r="BB205" s="32"/>
      <x:c r="BC205" s="32"/>
      <x:c r="BD205" s="32"/>
      <x:c r="BE205" s="32"/>
      <x:c r="BF205" s="32"/>
      <x:c r="BG205" s="32"/>
      <x:c r="BH205" s="32"/>
      <x:c r="BI205" s="32"/>
      <x:c r="BJ205" s="32"/>
      <x:c r="BK205" s="32"/>
      <x:c r="BL205" s="32"/>
      <x:c r="BM205" s="32"/>
    </x:row>
    <x:row r="206">
      <x:c r="A206" s="32"/>
      <x:c r="B206" s="32"/>
      <x:c r="C206" s="42"/>
      <x:c r="D206" s="32"/>
      <x:c r="E206" s="32"/>
      <x:c r="F206" s="32"/>
      <x:c r="G206" s="32"/>
      <x:c r="H206" s="32"/>
      <x:c r="I206" s="32"/>
      <x:c r="J206" s="32"/>
      <x:c r="K206" s="32"/>
      <x:c r="L206" s="32"/>
      <x:c r="M206" s="32"/>
      <x:c r="N206" s="32"/>
      <x:c r="O206" s="32"/>
      <x:c r="P206" s="32"/>
      <x:c r="Q206" s="32"/>
      <x:c r="R206" s="32"/>
      <x:c r="S206" s="32"/>
      <x:c r="T206" s="43" t="str">
        <x:f>IFERROR(S206/L206,"")</x:f>
      </x:c>
      <x:c r="U206" s="32"/>
      <x:c r="V206" s="32"/>
      <x:c r="W206" s="32"/>
      <x:c r="X206" s="32"/>
      <x:c r="Y206" s="32"/>
      <x:c r="Z206" s="32"/>
      <x:c r="AA206" s="32"/>
      <x:c r="AB206" s="32"/>
      <x:c r="AC206" s="32"/>
      <x:c r="AD206" s="32"/>
      <x:c r="AE206" s="32"/>
      <x:c r="AF206" s="32"/>
      <x:c r="AG206" s="32"/>
      <x:c r="AH206" s="32"/>
      <x:c r="AI206" s="32"/>
      <x:c r="AJ206" s="32"/>
      <x:c r="AK206" s="32"/>
      <x:c r="AL206" s="32"/>
      <x:c r="AM206" s="32"/>
      <x:c r="AN206" s="32"/>
      <x:c r="AO206" s="32"/>
      <x:c r="AP206" s="32"/>
      <x:c r="AQ206" s="32"/>
      <x:c r="AR206" s="32"/>
      <x:c r="AS206" s="32"/>
      <x:c r="AT206" s="32"/>
      <x:c r="AU206" s="32"/>
      <x:c r="AV206" s="32"/>
      <x:c r="AW206" s="32"/>
      <x:c r="AX206" s="32"/>
      <x:c r="AZ206" s="32"/>
      <x:c r="BA206" s="32"/>
      <x:c r="BB206" s="32"/>
      <x:c r="BC206" s="32"/>
      <x:c r="BD206" s="32"/>
      <x:c r="BE206" s="32"/>
      <x:c r="BF206" s="32"/>
      <x:c r="BG206" s="32"/>
      <x:c r="BH206" s="32"/>
      <x:c r="BI206" s="32"/>
      <x:c r="BJ206" s="32"/>
      <x:c r="BK206" s="32"/>
      <x:c r="BL206" s="32"/>
      <x:c r="BM206" s="32"/>
    </x:row>
    <x:row r="207">
      <x:c r="A207" s="32"/>
      <x:c r="B207" s="32"/>
      <x:c r="C207" s="42"/>
      <x:c r="D207" s="32"/>
      <x:c r="E207" s="32"/>
      <x:c r="F207" s="32"/>
      <x:c r="G207" s="32"/>
      <x:c r="H207" s="32"/>
      <x:c r="I207" s="32"/>
      <x:c r="J207" s="32"/>
      <x:c r="K207" s="32"/>
      <x:c r="L207" s="32"/>
      <x:c r="M207" s="32"/>
      <x:c r="N207" s="32"/>
      <x:c r="O207" s="32"/>
      <x:c r="P207" s="32"/>
      <x:c r="Q207" s="32"/>
      <x:c r="R207" s="32"/>
      <x:c r="S207" s="32"/>
      <x:c r="T207" s="43" t="str">
        <x:f>IFERROR(S207/L207,"")</x:f>
      </x:c>
      <x:c r="U207" s="32"/>
      <x:c r="V207" s="32"/>
      <x:c r="W207" s="32"/>
      <x:c r="X207" s="32"/>
      <x:c r="Y207" s="32"/>
      <x:c r="Z207" s="32"/>
      <x:c r="AA207" s="32"/>
      <x:c r="AB207" s="32"/>
      <x:c r="AC207" s="32"/>
      <x:c r="AD207" s="32"/>
      <x:c r="AE207" s="32"/>
      <x:c r="AF207" s="32"/>
      <x:c r="AG207" s="32"/>
      <x:c r="AH207" s="32"/>
      <x:c r="AI207" s="32"/>
      <x:c r="AJ207" s="32"/>
      <x:c r="AK207" s="32"/>
      <x:c r="AL207" s="32"/>
      <x:c r="AM207" s="32"/>
      <x:c r="AN207" s="32"/>
      <x:c r="AO207" s="32"/>
      <x:c r="AP207" s="32"/>
      <x:c r="AQ207" s="32"/>
      <x:c r="AR207" s="32"/>
      <x:c r="AS207" s="32"/>
      <x:c r="AT207" s="32"/>
      <x:c r="AU207" s="32"/>
      <x:c r="AV207" s="32"/>
      <x:c r="AW207" s="32"/>
      <x:c r="AX207" s="32"/>
      <x:c r="AZ207" s="32"/>
      <x:c r="BA207" s="32"/>
      <x:c r="BB207" s="32"/>
      <x:c r="BC207" s="32"/>
      <x:c r="BD207" s="32"/>
      <x:c r="BE207" s="32"/>
      <x:c r="BF207" s="32"/>
      <x:c r="BG207" s="32"/>
      <x:c r="BH207" s="32"/>
      <x:c r="BI207" s="32"/>
      <x:c r="BJ207" s="32"/>
      <x:c r="BK207" s="32"/>
      <x:c r="BL207" s="32"/>
      <x:c r="BM207" s="32"/>
    </x:row>
    <x:row r="208">
      <x:c r="A208" s="32"/>
      <x:c r="B208" s="32"/>
      <x:c r="C208" s="42"/>
      <x:c r="D208" s="32"/>
      <x:c r="E208" s="32"/>
      <x:c r="F208" s="32"/>
      <x:c r="G208" s="32"/>
      <x:c r="H208" s="32"/>
      <x:c r="I208" s="32"/>
      <x:c r="J208" s="32"/>
      <x:c r="K208" s="32"/>
      <x:c r="L208" s="32"/>
      <x:c r="M208" s="32"/>
      <x:c r="N208" s="32"/>
      <x:c r="O208" s="32"/>
      <x:c r="P208" s="32"/>
      <x:c r="Q208" s="32"/>
      <x:c r="R208" s="32"/>
      <x:c r="S208" s="32"/>
      <x:c r="T208" s="43" t="str">
        <x:f>IFERROR(S208/L208,"")</x:f>
      </x:c>
      <x:c r="U208" s="32"/>
      <x:c r="V208" s="32"/>
      <x:c r="W208" s="32"/>
      <x:c r="X208" s="32"/>
      <x:c r="Y208" s="32"/>
      <x:c r="Z208" s="32"/>
      <x:c r="AA208" s="32"/>
      <x:c r="AB208" s="32"/>
      <x:c r="AC208" s="32"/>
      <x:c r="AD208" s="32"/>
      <x:c r="AE208" s="32"/>
      <x:c r="AF208" s="32"/>
      <x:c r="AG208" s="32"/>
      <x:c r="AH208" s="32"/>
      <x:c r="AI208" s="32"/>
      <x:c r="AJ208" s="32"/>
      <x:c r="AK208" s="32"/>
      <x:c r="AL208" s="32"/>
      <x:c r="AM208" s="32"/>
      <x:c r="AN208" s="32"/>
      <x:c r="AO208" s="32"/>
      <x:c r="AP208" s="32"/>
      <x:c r="AQ208" s="32"/>
      <x:c r="AR208" s="32"/>
      <x:c r="AS208" s="32"/>
      <x:c r="AT208" s="32"/>
      <x:c r="AU208" s="32"/>
      <x:c r="AV208" s="32"/>
      <x:c r="AW208" s="32"/>
      <x:c r="AX208" s="32"/>
      <x:c r="AZ208" s="32"/>
      <x:c r="BA208" s="32"/>
      <x:c r="BB208" s="32"/>
      <x:c r="BC208" s="32"/>
      <x:c r="BD208" s="32"/>
      <x:c r="BE208" s="32"/>
      <x:c r="BF208" s="32"/>
      <x:c r="BG208" s="32"/>
      <x:c r="BH208" s="32"/>
      <x:c r="BI208" s="32"/>
      <x:c r="BJ208" s="32"/>
      <x:c r="BK208" s="32"/>
      <x:c r="BL208" s="32"/>
      <x:c r="BM208" s="32"/>
    </x:row>
    <x:row r="209">
      <x:c r="A209" s="32"/>
      <x:c r="B209" s="32"/>
      <x:c r="C209" s="42"/>
      <x:c r="D209" s="32"/>
      <x:c r="E209" s="32"/>
      <x:c r="F209" s="32"/>
      <x:c r="G209" s="32"/>
      <x:c r="H209" s="32"/>
      <x:c r="I209" s="32"/>
      <x:c r="J209" s="32"/>
      <x:c r="K209" s="32"/>
      <x:c r="L209" s="32"/>
      <x:c r="M209" s="32"/>
      <x:c r="N209" s="32"/>
      <x:c r="O209" s="32"/>
      <x:c r="P209" s="32"/>
      <x:c r="Q209" s="32"/>
      <x:c r="R209" s="32"/>
      <x:c r="S209" s="32"/>
      <x:c r="T209" s="43" t="str">
        <x:f>IFERROR(S209/L209,"")</x:f>
      </x:c>
      <x:c r="U209" s="32"/>
      <x:c r="V209" s="32"/>
      <x:c r="W209" s="32"/>
      <x:c r="X209" s="32"/>
      <x:c r="Y209" s="32"/>
      <x:c r="Z209" s="32"/>
      <x:c r="AA209" s="32"/>
      <x:c r="AB209" s="32"/>
      <x:c r="AC209" s="32"/>
      <x:c r="AD209" s="32"/>
      <x:c r="AE209" s="32"/>
      <x:c r="AF209" s="32"/>
      <x:c r="AG209" s="32"/>
      <x:c r="AH209" s="32"/>
      <x:c r="AI209" s="32"/>
      <x:c r="AJ209" s="32"/>
      <x:c r="AK209" s="32"/>
      <x:c r="AL209" s="32"/>
      <x:c r="AM209" s="32"/>
      <x:c r="AN209" s="32"/>
      <x:c r="AO209" s="32"/>
      <x:c r="AP209" s="32"/>
      <x:c r="AQ209" s="32"/>
      <x:c r="AR209" s="32"/>
      <x:c r="AS209" s="32"/>
      <x:c r="AT209" s="32"/>
      <x:c r="AU209" s="32"/>
      <x:c r="AV209" s="32"/>
      <x:c r="AW209" s="32"/>
      <x:c r="AX209" s="32"/>
      <x:c r="AZ209" s="32"/>
      <x:c r="BA209" s="32"/>
      <x:c r="BB209" s="32"/>
      <x:c r="BC209" s="32"/>
      <x:c r="BD209" s="32"/>
      <x:c r="BE209" s="32"/>
      <x:c r="BF209" s="32"/>
      <x:c r="BG209" s="32"/>
      <x:c r="BH209" s="32"/>
      <x:c r="BI209" s="32"/>
      <x:c r="BJ209" s="32"/>
      <x:c r="BK209" s="32"/>
      <x:c r="BL209" s="32"/>
      <x:c r="BM209" s="32"/>
    </x:row>
    <x:row r="210">
      <x:c r="A210" s="32"/>
      <x:c r="B210" s="32"/>
      <x:c r="C210" s="42"/>
      <x:c r="D210" s="32"/>
      <x:c r="E210" s="32"/>
      <x:c r="F210" s="32"/>
      <x:c r="G210" s="32"/>
      <x:c r="H210" s="32"/>
      <x:c r="I210" s="32"/>
      <x:c r="J210" s="32"/>
      <x:c r="K210" s="32"/>
      <x:c r="L210" s="32"/>
      <x:c r="M210" s="32"/>
      <x:c r="N210" s="32"/>
      <x:c r="O210" s="32"/>
      <x:c r="P210" s="32"/>
      <x:c r="Q210" s="32"/>
      <x:c r="R210" s="32"/>
      <x:c r="S210" s="32"/>
      <x:c r="T210" s="43" t="str">
        <x:f>IFERROR(S210/L210,"")</x:f>
      </x:c>
      <x:c r="U210" s="32"/>
      <x:c r="V210" s="32"/>
      <x:c r="W210" s="32"/>
      <x:c r="X210" s="32"/>
      <x:c r="Y210" s="32"/>
      <x:c r="Z210" s="32"/>
      <x:c r="AA210" s="32"/>
      <x:c r="AB210" s="32"/>
      <x:c r="AC210" s="32"/>
      <x:c r="AD210" s="32"/>
      <x:c r="AE210" s="32"/>
      <x:c r="AF210" s="32"/>
      <x:c r="AG210" s="32"/>
      <x:c r="AH210" s="32"/>
      <x:c r="AI210" s="32"/>
      <x:c r="AJ210" s="32"/>
      <x:c r="AK210" s="32"/>
      <x:c r="AL210" s="32"/>
      <x:c r="AM210" s="32"/>
      <x:c r="AN210" s="32"/>
      <x:c r="AO210" s="32"/>
      <x:c r="AP210" s="32"/>
      <x:c r="AQ210" s="32"/>
      <x:c r="AR210" s="32"/>
      <x:c r="AS210" s="32"/>
      <x:c r="AT210" s="32"/>
      <x:c r="AU210" s="32"/>
      <x:c r="AV210" s="32"/>
      <x:c r="AW210" s="32"/>
      <x:c r="AX210" s="32"/>
      <x:c r="AZ210" s="32"/>
      <x:c r="BA210" s="32"/>
      <x:c r="BB210" s="32"/>
      <x:c r="BC210" s="32"/>
      <x:c r="BD210" s="32"/>
      <x:c r="BE210" s="32"/>
      <x:c r="BF210" s="32"/>
      <x:c r="BG210" s="32"/>
      <x:c r="BH210" s="32"/>
      <x:c r="BI210" s="32"/>
      <x:c r="BJ210" s="32"/>
      <x:c r="BK210" s="32"/>
      <x:c r="BL210" s="32"/>
      <x:c r="BM210" s="32"/>
    </x:row>
    <x:row r="211">
      <x:c r="A211" s="32"/>
      <x:c r="B211" s="32"/>
      <x:c r="C211" s="42"/>
      <x:c r="D211" s="32"/>
      <x:c r="E211" s="32"/>
      <x:c r="F211" s="32"/>
      <x:c r="G211" s="32"/>
      <x:c r="H211" s="32"/>
      <x:c r="I211" s="32"/>
      <x:c r="J211" s="32"/>
      <x:c r="K211" s="32"/>
      <x:c r="L211" s="32"/>
      <x:c r="M211" s="32"/>
      <x:c r="N211" s="32"/>
      <x:c r="O211" s="32"/>
      <x:c r="P211" s="32"/>
      <x:c r="Q211" s="32"/>
      <x:c r="R211" s="32"/>
      <x:c r="S211" s="32"/>
      <x:c r="T211" s="43" t="str">
        <x:f>IFERROR(S211/L211,"")</x:f>
      </x:c>
      <x:c r="U211" s="32"/>
      <x:c r="V211" s="32"/>
      <x:c r="W211" s="32"/>
      <x:c r="X211" s="32"/>
      <x:c r="Y211" s="32"/>
      <x:c r="Z211" s="32"/>
      <x:c r="AA211" s="32"/>
      <x:c r="AB211" s="32"/>
      <x:c r="AC211" s="32"/>
      <x:c r="AD211" s="32"/>
      <x:c r="AE211" s="32"/>
      <x:c r="AF211" s="32"/>
      <x:c r="AG211" s="32"/>
      <x:c r="AH211" s="32"/>
      <x:c r="AI211" s="32"/>
      <x:c r="AJ211" s="32"/>
      <x:c r="AK211" s="32"/>
      <x:c r="AL211" s="32"/>
      <x:c r="AM211" s="32"/>
      <x:c r="AN211" s="32"/>
      <x:c r="AO211" s="32"/>
      <x:c r="AP211" s="32"/>
      <x:c r="AQ211" s="32"/>
      <x:c r="AR211" s="32"/>
      <x:c r="AS211" s="32"/>
      <x:c r="AT211" s="32"/>
      <x:c r="AU211" s="32"/>
      <x:c r="AV211" s="32"/>
      <x:c r="AW211" s="32"/>
      <x:c r="AX211" s="32"/>
      <x:c r="AZ211" s="32"/>
      <x:c r="BA211" s="32"/>
      <x:c r="BB211" s="32"/>
      <x:c r="BC211" s="32"/>
      <x:c r="BD211" s="32"/>
      <x:c r="BE211" s="32"/>
      <x:c r="BF211" s="32"/>
      <x:c r="BG211" s="32"/>
      <x:c r="BH211" s="32"/>
      <x:c r="BI211" s="32"/>
      <x:c r="BJ211" s="32"/>
      <x:c r="BK211" s="32"/>
      <x:c r="BL211" s="32"/>
      <x:c r="BM211" s="32"/>
    </x:row>
    <x:row r="212">
      <x:c r="A212" s="32"/>
      <x:c r="B212" s="32"/>
      <x:c r="C212" s="42"/>
      <x:c r="D212" s="32"/>
      <x:c r="E212" s="32"/>
      <x:c r="F212" s="32"/>
      <x:c r="G212" s="32"/>
      <x:c r="H212" s="32"/>
      <x:c r="I212" s="32"/>
      <x:c r="J212" s="32"/>
      <x:c r="K212" s="32"/>
      <x:c r="L212" s="32"/>
      <x:c r="M212" s="32"/>
      <x:c r="N212" s="32"/>
      <x:c r="O212" s="32"/>
      <x:c r="P212" s="32"/>
      <x:c r="Q212" s="32"/>
      <x:c r="R212" s="32"/>
      <x:c r="S212" s="32"/>
      <x:c r="T212" s="43" t="str">
        <x:f>IFERROR(S212/L212,"")</x:f>
      </x:c>
      <x:c r="U212" s="32"/>
      <x:c r="V212" s="32"/>
      <x:c r="W212" s="32"/>
      <x:c r="X212" s="32"/>
      <x:c r="Y212" s="32"/>
      <x:c r="Z212" s="32"/>
      <x:c r="AA212" s="32"/>
      <x:c r="AB212" s="32"/>
      <x:c r="AC212" s="32"/>
      <x:c r="AD212" s="32"/>
      <x:c r="AE212" s="32"/>
      <x:c r="AF212" s="32"/>
      <x:c r="AG212" s="32"/>
      <x:c r="AH212" s="32"/>
      <x:c r="AI212" s="32"/>
      <x:c r="AJ212" s="32"/>
      <x:c r="AK212" s="32"/>
      <x:c r="AL212" s="32"/>
      <x:c r="AM212" s="32"/>
      <x:c r="AN212" s="32"/>
      <x:c r="AO212" s="32"/>
      <x:c r="AP212" s="32"/>
      <x:c r="AQ212" s="32"/>
      <x:c r="AR212" s="32"/>
      <x:c r="AS212" s="32"/>
      <x:c r="AT212" s="32"/>
      <x:c r="AU212" s="32"/>
      <x:c r="AV212" s="32"/>
      <x:c r="AW212" s="32"/>
      <x:c r="AX212" s="32"/>
      <x:c r="AZ212" s="32"/>
      <x:c r="BA212" s="32"/>
      <x:c r="BB212" s="32"/>
      <x:c r="BC212" s="32"/>
      <x:c r="BD212" s="32"/>
      <x:c r="BE212" s="32"/>
      <x:c r="BF212" s="32"/>
      <x:c r="BG212" s="32"/>
      <x:c r="BH212" s="32"/>
      <x:c r="BI212" s="32"/>
      <x:c r="BJ212" s="32"/>
      <x:c r="BK212" s="32"/>
      <x:c r="BL212" s="32"/>
      <x:c r="BM212" s="32"/>
    </x:row>
    <x:row r="213">
      <x:c r="A213" s="32"/>
      <x:c r="B213" s="32"/>
      <x:c r="C213" s="42"/>
      <x:c r="D213" s="32"/>
      <x:c r="E213" s="32"/>
      <x:c r="F213" s="32"/>
      <x:c r="G213" s="32"/>
      <x:c r="H213" s="32"/>
      <x:c r="I213" s="32"/>
      <x:c r="J213" s="32"/>
      <x:c r="K213" s="32"/>
      <x:c r="L213" s="32"/>
      <x:c r="M213" s="32"/>
      <x:c r="N213" s="32"/>
      <x:c r="O213" s="32"/>
      <x:c r="P213" s="32"/>
      <x:c r="Q213" s="32"/>
      <x:c r="R213" s="32"/>
      <x:c r="S213" s="32"/>
      <x:c r="T213" s="43" t="str">
        <x:f>IFERROR(S213/L213,"")</x:f>
      </x:c>
      <x:c r="U213" s="32"/>
      <x:c r="V213" s="32"/>
      <x:c r="W213" s="32"/>
      <x:c r="X213" s="32"/>
      <x:c r="Y213" s="32"/>
      <x:c r="Z213" s="32"/>
      <x:c r="AA213" s="32"/>
      <x:c r="AB213" s="32"/>
      <x:c r="AC213" s="32"/>
      <x:c r="AD213" s="32"/>
      <x:c r="AE213" s="32"/>
      <x:c r="AF213" s="32"/>
      <x:c r="AG213" s="32"/>
      <x:c r="AH213" s="32"/>
      <x:c r="AI213" s="32"/>
      <x:c r="AJ213" s="32"/>
      <x:c r="AK213" s="32"/>
      <x:c r="AL213" s="32"/>
      <x:c r="AM213" s="32"/>
      <x:c r="AN213" s="32"/>
      <x:c r="AO213" s="32"/>
      <x:c r="AP213" s="32"/>
      <x:c r="AQ213" s="32"/>
      <x:c r="AR213" s="32"/>
      <x:c r="AS213" s="32"/>
      <x:c r="AT213" s="32"/>
      <x:c r="AU213" s="32"/>
      <x:c r="AV213" s="32"/>
      <x:c r="AW213" s="32"/>
      <x:c r="AX213" s="32"/>
      <x:c r="AZ213" s="32"/>
      <x:c r="BA213" s="32"/>
      <x:c r="BB213" s="32"/>
      <x:c r="BC213" s="32"/>
      <x:c r="BD213" s="32"/>
      <x:c r="BE213" s="32"/>
      <x:c r="BF213" s="32"/>
      <x:c r="BG213" s="32"/>
      <x:c r="BH213" s="32"/>
      <x:c r="BI213" s="32"/>
      <x:c r="BJ213" s="32"/>
      <x:c r="BK213" s="32"/>
      <x:c r="BL213" s="32"/>
      <x:c r="BM213" s="32"/>
    </x:row>
    <x:row r="214">
      <x:c r="A214" s="32"/>
      <x:c r="B214" s="32"/>
      <x:c r="C214" s="42"/>
      <x:c r="D214" s="32"/>
      <x:c r="E214" s="32"/>
      <x:c r="F214" s="32"/>
      <x:c r="G214" s="32"/>
      <x:c r="H214" s="32"/>
      <x:c r="I214" s="32"/>
      <x:c r="J214" s="32"/>
      <x:c r="K214" s="32"/>
      <x:c r="L214" s="32"/>
      <x:c r="M214" s="32"/>
      <x:c r="N214" s="32"/>
      <x:c r="O214" s="32"/>
      <x:c r="P214" s="32"/>
      <x:c r="Q214" s="32"/>
      <x:c r="R214" s="32"/>
      <x:c r="S214" s="32"/>
      <x:c r="T214" s="43" t="str">
        <x:f>IFERROR(S214/L214,"")</x:f>
      </x:c>
      <x:c r="U214" s="32"/>
      <x:c r="V214" s="32"/>
      <x:c r="W214" s="32"/>
      <x:c r="X214" s="32"/>
      <x:c r="Y214" s="32"/>
      <x:c r="Z214" s="32"/>
      <x:c r="AA214" s="32"/>
      <x:c r="AB214" s="32"/>
      <x:c r="AC214" s="32"/>
      <x:c r="AD214" s="32"/>
      <x:c r="AE214" s="32"/>
      <x:c r="AF214" s="32"/>
      <x:c r="AG214" s="32"/>
      <x:c r="AH214" s="32"/>
      <x:c r="AI214" s="32"/>
      <x:c r="AJ214" s="32"/>
      <x:c r="AK214" s="32"/>
      <x:c r="AL214" s="32"/>
      <x:c r="AM214" s="32"/>
      <x:c r="AN214" s="32"/>
      <x:c r="AO214" s="32"/>
      <x:c r="AP214" s="32"/>
      <x:c r="AQ214" s="32"/>
      <x:c r="AR214" s="32"/>
      <x:c r="AS214" s="32"/>
      <x:c r="AT214" s="32"/>
      <x:c r="AU214" s="32"/>
      <x:c r="AV214" s="32"/>
      <x:c r="AW214" s="32"/>
      <x:c r="AX214" s="32"/>
      <x:c r="AZ214" s="32"/>
      <x:c r="BA214" s="32"/>
      <x:c r="BB214" s="32"/>
      <x:c r="BC214" s="32"/>
      <x:c r="BD214" s="32"/>
      <x:c r="BE214" s="32"/>
      <x:c r="BF214" s="32"/>
      <x:c r="BG214" s="32"/>
      <x:c r="BH214" s="32"/>
      <x:c r="BI214" s="32"/>
      <x:c r="BJ214" s="32"/>
      <x:c r="BK214" s="32"/>
      <x:c r="BL214" s="32"/>
      <x:c r="BM214" s="32"/>
    </x:row>
    <x:row r="215">
      <x:c r="A215" s="32"/>
      <x:c r="B215" s="32"/>
      <x:c r="C215" s="42"/>
      <x:c r="D215" s="32"/>
      <x:c r="E215" s="32"/>
      <x:c r="F215" s="32"/>
      <x:c r="G215" s="32"/>
      <x:c r="H215" s="32"/>
      <x:c r="I215" s="32"/>
      <x:c r="J215" s="32"/>
      <x:c r="K215" s="32"/>
      <x:c r="L215" s="32"/>
      <x:c r="M215" s="32"/>
      <x:c r="N215" s="32"/>
      <x:c r="O215" s="32"/>
      <x:c r="P215" s="32"/>
      <x:c r="Q215" s="32"/>
      <x:c r="R215" s="32"/>
      <x:c r="S215" s="32"/>
      <x:c r="T215" s="43" t="str">
        <x:f>IFERROR(S215/L215,"")</x:f>
      </x:c>
      <x:c r="U215" s="32"/>
      <x:c r="V215" s="32"/>
      <x:c r="W215" s="32"/>
      <x:c r="X215" s="32"/>
      <x:c r="Y215" s="32"/>
      <x:c r="Z215" s="32"/>
      <x:c r="AA215" s="32"/>
      <x:c r="AB215" s="32"/>
      <x:c r="AC215" s="32"/>
      <x:c r="AD215" s="32"/>
      <x:c r="AE215" s="32"/>
      <x:c r="AF215" s="32"/>
      <x:c r="AG215" s="32"/>
      <x:c r="AH215" s="32"/>
      <x:c r="AI215" s="32"/>
      <x:c r="AJ215" s="32"/>
      <x:c r="AK215" s="32"/>
      <x:c r="AL215" s="32"/>
      <x:c r="AM215" s="32"/>
      <x:c r="AN215" s="32"/>
      <x:c r="AO215" s="32"/>
      <x:c r="AP215" s="32"/>
      <x:c r="AQ215" s="32"/>
      <x:c r="AR215" s="32"/>
      <x:c r="AS215" s="32"/>
      <x:c r="AT215" s="32"/>
      <x:c r="AU215" s="32"/>
      <x:c r="AV215" s="32"/>
      <x:c r="AW215" s="32"/>
      <x:c r="AX215" s="32"/>
      <x:c r="AZ215" s="32"/>
      <x:c r="BA215" s="32"/>
      <x:c r="BB215" s="32"/>
      <x:c r="BC215" s="32"/>
      <x:c r="BD215" s="32"/>
      <x:c r="BE215" s="32"/>
      <x:c r="BF215" s="32"/>
      <x:c r="BG215" s="32"/>
      <x:c r="BH215" s="32"/>
      <x:c r="BI215" s="32"/>
      <x:c r="BJ215" s="32"/>
      <x:c r="BK215" s="32"/>
      <x:c r="BL215" s="32"/>
      <x:c r="BM215" s="32"/>
    </x:row>
    <x:row r="216">
      <x:c r="A216" s="32"/>
      <x:c r="B216" s="32"/>
      <x:c r="C216" s="42"/>
      <x:c r="D216" s="32"/>
      <x:c r="E216" s="32"/>
      <x:c r="F216" s="32"/>
      <x:c r="G216" s="32"/>
      <x:c r="H216" s="32"/>
      <x:c r="I216" s="32"/>
      <x:c r="J216" s="32"/>
      <x:c r="K216" s="32"/>
      <x:c r="L216" s="32"/>
      <x:c r="M216" s="32"/>
      <x:c r="N216" s="32"/>
      <x:c r="O216" s="32"/>
      <x:c r="P216" s="32"/>
      <x:c r="Q216" s="32"/>
      <x:c r="R216" s="32"/>
      <x:c r="S216" s="32"/>
      <x:c r="T216" s="43" t="str">
        <x:f>IFERROR(S216/L216,"")</x:f>
      </x:c>
      <x:c r="U216" s="32"/>
      <x:c r="V216" s="32"/>
      <x:c r="W216" s="32"/>
      <x:c r="X216" s="32"/>
      <x:c r="Y216" s="32"/>
      <x:c r="Z216" s="32"/>
      <x:c r="AA216" s="32"/>
      <x:c r="AB216" s="32"/>
      <x:c r="AC216" s="32"/>
      <x:c r="AD216" s="32"/>
      <x:c r="AE216" s="32"/>
      <x:c r="AF216" s="32"/>
      <x:c r="AG216" s="32"/>
      <x:c r="AH216" s="32"/>
      <x:c r="AI216" s="32"/>
      <x:c r="AJ216" s="32"/>
      <x:c r="AK216" s="32"/>
      <x:c r="AL216" s="32"/>
      <x:c r="AM216" s="32"/>
      <x:c r="AN216" s="32"/>
      <x:c r="AO216" s="32"/>
      <x:c r="AP216" s="32"/>
      <x:c r="AQ216" s="32"/>
      <x:c r="AR216" s="32"/>
      <x:c r="AS216" s="32"/>
      <x:c r="AT216" s="32"/>
      <x:c r="AU216" s="32"/>
      <x:c r="AV216" s="32"/>
      <x:c r="AW216" s="32"/>
      <x:c r="AX216" s="32"/>
      <x:c r="AZ216" s="32"/>
      <x:c r="BA216" s="32"/>
      <x:c r="BB216" s="32"/>
      <x:c r="BC216" s="32"/>
      <x:c r="BD216" s="32"/>
      <x:c r="BE216" s="32"/>
      <x:c r="BF216" s="32"/>
      <x:c r="BG216" s="32"/>
      <x:c r="BH216" s="32"/>
      <x:c r="BI216" s="32"/>
      <x:c r="BJ216" s="32"/>
      <x:c r="BK216" s="32"/>
      <x:c r="BL216" s="32"/>
      <x:c r="BM216" s="32"/>
    </x:row>
    <x:row r="217">
      <x:c r="A217" s="32"/>
      <x:c r="B217" s="32"/>
      <x:c r="C217" s="42"/>
      <x:c r="D217" s="32"/>
      <x:c r="E217" s="32"/>
      <x:c r="F217" s="32"/>
      <x:c r="G217" s="32"/>
      <x:c r="H217" s="32"/>
      <x:c r="I217" s="32"/>
      <x:c r="J217" s="32"/>
      <x:c r="K217" s="32"/>
      <x:c r="L217" s="32"/>
      <x:c r="M217" s="32"/>
      <x:c r="N217" s="32"/>
      <x:c r="O217" s="32"/>
      <x:c r="P217" s="32"/>
      <x:c r="Q217" s="32"/>
      <x:c r="R217" s="32"/>
      <x:c r="S217" s="32"/>
      <x:c r="T217" s="43" t="str">
        <x:f>IFERROR(S217/L217,"")</x:f>
      </x:c>
      <x:c r="U217" s="32"/>
      <x:c r="V217" s="32"/>
      <x:c r="W217" s="32"/>
      <x:c r="X217" s="32"/>
      <x:c r="Y217" s="32"/>
      <x:c r="Z217" s="32"/>
      <x:c r="AA217" s="32"/>
      <x:c r="AB217" s="32"/>
      <x:c r="AC217" s="32"/>
      <x:c r="AD217" s="32"/>
      <x:c r="AE217" s="32"/>
      <x:c r="AF217" s="32"/>
      <x:c r="AG217" s="32"/>
      <x:c r="AH217" s="32"/>
      <x:c r="AI217" s="32"/>
      <x:c r="AJ217" s="32"/>
      <x:c r="AK217" s="32"/>
      <x:c r="AL217" s="32"/>
      <x:c r="AM217" s="32"/>
      <x:c r="AN217" s="32"/>
      <x:c r="AO217" s="32"/>
      <x:c r="AP217" s="32"/>
      <x:c r="AQ217" s="32"/>
      <x:c r="AR217" s="32"/>
      <x:c r="AS217" s="32"/>
      <x:c r="AT217" s="32"/>
      <x:c r="AU217" s="32"/>
      <x:c r="AV217" s="32"/>
      <x:c r="AW217" s="32"/>
      <x:c r="AX217" s="32"/>
      <x:c r="AZ217" s="32"/>
      <x:c r="BA217" s="32"/>
      <x:c r="BB217" s="32"/>
      <x:c r="BC217" s="32"/>
      <x:c r="BD217" s="32"/>
      <x:c r="BE217" s="32"/>
      <x:c r="BF217" s="32"/>
      <x:c r="BG217" s="32"/>
      <x:c r="BH217" s="32"/>
      <x:c r="BI217" s="32"/>
      <x:c r="BJ217" s="32"/>
      <x:c r="BK217" s="32"/>
      <x:c r="BL217" s="32"/>
      <x:c r="BM217" s="32"/>
    </x:row>
    <x:row r="218">
      <x:c r="A218" s="32"/>
      <x:c r="B218" s="32"/>
      <x:c r="C218" s="42"/>
      <x:c r="D218" s="32"/>
      <x:c r="E218" s="32"/>
      <x:c r="F218" s="32"/>
      <x:c r="G218" s="32"/>
      <x:c r="H218" s="32"/>
      <x:c r="I218" s="32"/>
      <x:c r="J218" s="32"/>
      <x:c r="K218" s="32"/>
      <x:c r="L218" s="32"/>
      <x:c r="M218" s="32"/>
      <x:c r="N218" s="32"/>
      <x:c r="O218" s="32"/>
      <x:c r="P218" s="32"/>
      <x:c r="Q218" s="32"/>
      <x:c r="R218" s="32"/>
      <x:c r="S218" s="32"/>
      <x:c r="T218" s="43" t="str">
        <x:f>IFERROR(S218/L218,"")</x:f>
      </x:c>
      <x:c r="U218" s="32"/>
      <x:c r="V218" s="32"/>
      <x:c r="W218" s="32"/>
      <x:c r="X218" s="32"/>
      <x:c r="Y218" s="32"/>
      <x:c r="Z218" s="32"/>
      <x:c r="AA218" s="32"/>
      <x:c r="AB218" s="32"/>
      <x:c r="AC218" s="32"/>
      <x:c r="AD218" s="32"/>
      <x:c r="AE218" s="32"/>
      <x:c r="AF218" s="32"/>
      <x:c r="AG218" s="32"/>
      <x:c r="AH218" s="32"/>
      <x:c r="AI218" s="32"/>
      <x:c r="AJ218" s="32"/>
      <x:c r="AK218" s="32"/>
      <x:c r="AL218" s="32"/>
      <x:c r="AM218" s="32"/>
      <x:c r="AN218" s="32"/>
      <x:c r="AO218" s="32"/>
      <x:c r="AP218" s="32"/>
      <x:c r="AQ218" s="32"/>
      <x:c r="AR218" s="32"/>
      <x:c r="AS218" s="32"/>
      <x:c r="AT218" s="32"/>
      <x:c r="AU218" s="32"/>
      <x:c r="AV218" s="32"/>
      <x:c r="AW218" s="32"/>
      <x:c r="AX218" s="32"/>
      <x:c r="AZ218" s="32"/>
      <x:c r="BA218" s="32"/>
      <x:c r="BB218" s="32"/>
      <x:c r="BC218" s="32"/>
      <x:c r="BD218" s="32"/>
      <x:c r="BE218" s="32"/>
      <x:c r="BF218" s="32"/>
      <x:c r="BG218" s="32"/>
      <x:c r="BH218" s="32"/>
      <x:c r="BI218" s="32"/>
      <x:c r="BJ218" s="32"/>
      <x:c r="BK218" s="32"/>
      <x:c r="BL218" s="32"/>
      <x:c r="BM218" s="32"/>
    </x:row>
    <x:row r="219">
      <x:c r="A219" s="32"/>
      <x:c r="B219" s="32"/>
      <x:c r="C219" s="42"/>
      <x:c r="D219" s="32"/>
      <x:c r="E219" s="32"/>
      <x:c r="F219" s="32"/>
      <x:c r="G219" s="32"/>
      <x:c r="H219" s="32"/>
      <x:c r="I219" s="32"/>
      <x:c r="J219" s="32"/>
      <x:c r="K219" s="32"/>
      <x:c r="L219" s="32"/>
      <x:c r="M219" s="32"/>
      <x:c r="N219" s="32"/>
      <x:c r="O219" s="32"/>
      <x:c r="P219" s="32"/>
      <x:c r="Q219" s="32"/>
      <x:c r="R219" s="32"/>
      <x:c r="S219" s="32"/>
      <x:c r="T219" s="43" t="str">
        <x:f>IFERROR(S219/L219,"")</x:f>
      </x:c>
      <x:c r="U219" s="32"/>
      <x:c r="V219" s="32"/>
      <x:c r="W219" s="32"/>
      <x:c r="X219" s="32"/>
      <x:c r="Y219" s="32"/>
      <x:c r="Z219" s="32"/>
      <x:c r="AA219" s="32"/>
      <x:c r="AB219" s="32"/>
      <x:c r="AC219" s="32"/>
      <x:c r="AD219" s="32"/>
      <x:c r="AE219" s="32"/>
      <x:c r="AF219" s="32"/>
      <x:c r="AG219" s="32"/>
      <x:c r="AH219" s="32"/>
      <x:c r="AI219" s="32"/>
      <x:c r="AJ219" s="32"/>
      <x:c r="AK219" s="32"/>
      <x:c r="AL219" s="32"/>
      <x:c r="AM219" s="32"/>
      <x:c r="AN219" s="32"/>
      <x:c r="AO219" s="32"/>
      <x:c r="AP219" s="32"/>
      <x:c r="AQ219" s="32"/>
      <x:c r="AR219" s="32"/>
      <x:c r="AS219" s="32"/>
      <x:c r="AT219" s="32"/>
      <x:c r="AU219" s="32"/>
      <x:c r="AV219" s="32"/>
      <x:c r="AW219" s="32"/>
      <x:c r="AX219" s="32"/>
      <x:c r="AZ219" s="32"/>
      <x:c r="BA219" s="32"/>
      <x:c r="BB219" s="32"/>
      <x:c r="BC219" s="32"/>
      <x:c r="BD219" s="32"/>
      <x:c r="BE219" s="32"/>
      <x:c r="BF219" s="32"/>
      <x:c r="BG219" s="32"/>
      <x:c r="BH219" s="32"/>
      <x:c r="BI219" s="32"/>
      <x:c r="BJ219" s="32"/>
      <x:c r="BK219" s="32"/>
      <x:c r="BL219" s="32"/>
      <x:c r="BM219" s="32"/>
    </x:row>
    <x:row r="220">
      <x:c r="A220" s="32"/>
      <x:c r="B220" s="32"/>
      <x:c r="C220" s="42"/>
      <x:c r="D220" s="32"/>
      <x:c r="E220" s="32"/>
      <x:c r="F220" s="32"/>
      <x:c r="G220" s="32"/>
      <x:c r="H220" s="32"/>
      <x:c r="I220" s="32"/>
      <x:c r="J220" s="32"/>
      <x:c r="K220" s="32"/>
      <x:c r="L220" s="32"/>
      <x:c r="M220" s="32"/>
      <x:c r="N220" s="32"/>
      <x:c r="O220" s="32"/>
      <x:c r="P220" s="32"/>
      <x:c r="Q220" s="32"/>
      <x:c r="R220" s="32"/>
      <x:c r="S220" s="32"/>
      <x:c r="T220" s="43" t="str">
        <x:f>IFERROR(S220/L220,"")</x:f>
      </x:c>
      <x:c r="U220" s="32"/>
      <x:c r="V220" s="32"/>
      <x:c r="W220" s="32"/>
      <x:c r="X220" s="32"/>
      <x:c r="Y220" s="32"/>
      <x:c r="Z220" s="32"/>
      <x:c r="AA220" s="32"/>
      <x:c r="AB220" s="32"/>
      <x:c r="AC220" s="32"/>
      <x:c r="AD220" s="32"/>
      <x:c r="AE220" s="32"/>
      <x:c r="AF220" s="32"/>
      <x:c r="AG220" s="32"/>
      <x:c r="AH220" s="32"/>
      <x:c r="AI220" s="32"/>
      <x:c r="AJ220" s="32"/>
      <x:c r="AK220" s="32"/>
      <x:c r="AL220" s="32"/>
      <x:c r="AM220" s="32"/>
      <x:c r="AN220" s="32"/>
      <x:c r="AO220" s="32"/>
      <x:c r="AP220" s="32"/>
      <x:c r="AQ220" s="32"/>
      <x:c r="AR220" s="32"/>
      <x:c r="AS220" s="32"/>
      <x:c r="AT220" s="32"/>
      <x:c r="AU220" s="32"/>
      <x:c r="AV220" s="32"/>
      <x:c r="AW220" s="32"/>
      <x:c r="AX220" s="32"/>
      <x:c r="AZ220" s="32"/>
      <x:c r="BA220" s="32"/>
      <x:c r="BB220" s="32"/>
      <x:c r="BC220" s="32"/>
      <x:c r="BD220" s="32"/>
      <x:c r="BE220" s="32"/>
      <x:c r="BF220" s="32"/>
      <x:c r="BG220" s="32"/>
      <x:c r="BH220" s="32"/>
      <x:c r="BI220" s="32"/>
      <x:c r="BJ220" s="32"/>
      <x:c r="BK220" s="32"/>
      <x:c r="BL220" s="32"/>
      <x:c r="BM220" s="32"/>
    </x:row>
    <x:row r="221">
      <x:c r="A221" s="32"/>
      <x:c r="B221" s="32"/>
      <x:c r="C221" s="42"/>
      <x:c r="D221" s="32"/>
      <x:c r="E221" s="32"/>
      <x:c r="F221" s="32"/>
      <x:c r="G221" s="32"/>
      <x:c r="H221" s="32"/>
      <x:c r="I221" s="32"/>
      <x:c r="J221" s="32"/>
      <x:c r="K221" s="32"/>
      <x:c r="L221" s="32"/>
      <x:c r="M221" s="32"/>
      <x:c r="N221" s="32"/>
      <x:c r="O221" s="32"/>
      <x:c r="P221" s="32"/>
      <x:c r="Q221" s="32"/>
      <x:c r="R221" s="32"/>
      <x:c r="S221" s="32"/>
      <x:c r="T221" s="43" t="str">
        <x:f>IFERROR(S221/L221,"")</x:f>
      </x:c>
      <x:c r="U221" s="32"/>
      <x:c r="V221" s="32"/>
      <x:c r="W221" s="32"/>
      <x:c r="X221" s="32"/>
      <x:c r="Y221" s="32"/>
      <x:c r="Z221" s="32"/>
      <x:c r="AA221" s="32"/>
      <x:c r="AB221" s="32"/>
      <x:c r="AC221" s="32"/>
      <x:c r="AD221" s="32"/>
      <x:c r="AE221" s="32"/>
      <x:c r="AF221" s="32"/>
      <x:c r="AG221" s="32"/>
      <x:c r="AH221" s="32"/>
      <x:c r="AI221" s="32"/>
      <x:c r="AJ221" s="32"/>
      <x:c r="AK221" s="32"/>
      <x:c r="AL221" s="32"/>
      <x:c r="AM221" s="32"/>
      <x:c r="AN221" s="32"/>
      <x:c r="AO221" s="32"/>
      <x:c r="AP221" s="32"/>
      <x:c r="AQ221" s="32"/>
      <x:c r="AR221" s="32"/>
      <x:c r="AS221" s="32"/>
      <x:c r="AT221" s="32"/>
      <x:c r="AU221" s="32"/>
      <x:c r="AV221" s="32"/>
      <x:c r="AW221" s="32"/>
      <x:c r="AX221" s="32"/>
      <x:c r="AZ221" s="32"/>
      <x:c r="BA221" s="32"/>
      <x:c r="BB221" s="32"/>
      <x:c r="BC221" s="32"/>
      <x:c r="BD221" s="32"/>
      <x:c r="BE221" s="32"/>
      <x:c r="BF221" s="32"/>
      <x:c r="BG221" s="32"/>
      <x:c r="BH221" s="32"/>
      <x:c r="BI221" s="32"/>
      <x:c r="BJ221" s="32"/>
      <x:c r="BK221" s="32"/>
      <x:c r="BL221" s="32"/>
      <x:c r="BM221" s="32"/>
    </x:row>
    <x:row r="222">
      <x:c r="A222" s="32"/>
      <x:c r="B222" s="32"/>
      <x:c r="C222" s="42"/>
      <x:c r="D222" s="32"/>
      <x:c r="E222" s="32"/>
      <x:c r="F222" s="32"/>
      <x:c r="G222" s="32"/>
      <x:c r="H222" s="32"/>
      <x:c r="I222" s="32"/>
      <x:c r="J222" s="32"/>
      <x:c r="K222" s="32"/>
      <x:c r="L222" s="32"/>
      <x:c r="M222" s="32"/>
      <x:c r="N222" s="32"/>
      <x:c r="O222" s="32"/>
      <x:c r="P222" s="32"/>
      <x:c r="Q222" s="32"/>
      <x:c r="R222" s="32"/>
      <x:c r="S222" s="32"/>
      <x:c r="T222" s="43" t="str">
        <x:f>IFERROR(S222/L222,"")</x:f>
      </x:c>
      <x:c r="U222" s="32"/>
      <x:c r="V222" s="32"/>
      <x:c r="W222" s="32"/>
      <x:c r="X222" s="32"/>
      <x:c r="Y222" s="32"/>
      <x:c r="Z222" s="32"/>
      <x:c r="AA222" s="32"/>
      <x:c r="AB222" s="32"/>
      <x:c r="AC222" s="32"/>
      <x:c r="AD222" s="32"/>
      <x:c r="AE222" s="32"/>
      <x:c r="AF222" s="32"/>
      <x:c r="AG222" s="32"/>
      <x:c r="AH222" s="32"/>
      <x:c r="AI222" s="32"/>
      <x:c r="AJ222" s="32"/>
      <x:c r="AK222" s="32"/>
      <x:c r="AL222" s="32"/>
      <x:c r="AM222" s="32"/>
      <x:c r="AN222" s="32"/>
      <x:c r="AO222" s="32"/>
      <x:c r="AP222" s="32"/>
      <x:c r="AQ222" s="32"/>
      <x:c r="AR222" s="32"/>
      <x:c r="AS222" s="32"/>
      <x:c r="AT222" s="32"/>
      <x:c r="AU222" s="32"/>
      <x:c r="AV222" s="32"/>
      <x:c r="AW222" s="32"/>
      <x:c r="AX222" s="32"/>
      <x:c r="AZ222" s="32"/>
      <x:c r="BA222" s="32"/>
      <x:c r="BB222" s="32"/>
      <x:c r="BC222" s="32"/>
      <x:c r="BD222" s="32"/>
      <x:c r="BE222" s="32"/>
      <x:c r="BF222" s="32"/>
      <x:c r="BG222" s="32"/>
      <x:c r="BH222" s="32"/>
      <x:c r="BI222" s="32"/>
      <x:c r="BJ222" s="32"/>
      <x:c r="BK222" s="32"/>
      <x:c r="BL222" s="32"/>
      <x:c r="BM222" s="32"/>
    </x:row>
    <x:row r="223">
      <x:c r="A223" s="32"/>
      <x:c r="B223" s="32"/>
      <x:c r="C223" s="42"/>
      <x:c r="D223" s="32"/>
      <x:c r="E223" s="32"/>
      <x:c r="F223" s="32"/>
      <x:c r="G223" s="32"/>
      <x:c r="H223" s="32"/>
      <x:c r="I223" s="32"/>
      <x:c r="J223" s="32"/>
      <x:c r="K223" s="32"/>
      <x:c r="L223" s="32"/>
      <x:c r="M223" s="32"/>
      <x:c r="N223" s="32"/>
      <x:c r="O223" s="32"/>
      <x:c r="P223" s="32"/>
      <x:c r="Q223" s="32"/>
      <x:c r="R223" s="32"/>
      <x:c r="S223" s="32"/>
      <x:c r="T223" s="43" t="str">
        <x:f>IFERROR(S223/L223,"")</x:f>
      </x:c>
      <x:c r="U223" s="32"/>
      <x:c r="V223" s="32"/>
      <x:c r="W223" s="32"/>
      <x:c r="X223" s="32"/>
      <x:c r="Y223" s="32"/>
      <x:c r="Z223" s="32"/>
      <x:c r="AA223" s="32"/>
      <x:c r="AB223" s="32"/>
      <x:c r="AC223" s="32"/>
      <x:c r="AD223" s="32"/>
      <x:c r="AE223" s="32"/>
      <x:c r="AF223" s="32"/>
      <x:c r="AG223" s="32"/>
      <x:c r="AH223" s="32"/>
      <x:c r="AI223" s="32"/>
      <x:c r="AJ223" s="32"/>
      <x:c r="AK223" s="32"/>
      <x:c r="AL223" s="32"/>
      <x:c r="AM223" s="32"/>
      <x:c r="AN223" s="32"/>
      <x:c r="AO223" s="32"/>
      <x:c r="AP223" s="32"/>
      <x:c r="AQ223" s="32"/>
      <x:c r="AR223" s="32"/>
      <x:c r="AS223" s="32"/>
      <x:c r="AT223" s="32"/>
      <x:c r="AU223" s="32"/>
      <x:c r="AV223" s="32"/>
      <x:c r="AW223" s="32"/>
      <x:c r="AX223" s="32"/>
      <x:c r="AZ223" s="32"/>
      <x:c r="BA223" s="32"/>
      <x:c r="BB223" s="32"/>
      <x:c r="BC223" s="32"/>
      <x:c r="BD223" s="32"/>
      <x:c r="BE223" s="32"/>
      <x:c r="BF223" s="32"/>
      <x:c r="BG223" s="32"/>
      <x:c r="BH223" s="32"/>
      <x:c r="BI223" s="32"/>
      <x:c r="BJ223" s="32"/>
      <x:c r="BK223" s="32"/>
      <x:c r="BL223" s="32"/>
      <x:c r="BM223" s="32"/>
    </x:row>
    <x:row r="224">
      <x:c r="A224" s="32"/>
      <x:c r="B224" s="32"/>
      <x:c r="C224" s="42"/>
      <x:c r="D224" s="32"/>
      <x:c r="E224" s="32"/>
      <x:c r="F224" s="32"/>
      <x:c r="G224" s="32"/>
      <x:c r="H224" s="32"/>
      <x:c r="I224" s="32"/>
      <x:c r="J224" s="32"/>
      <x:c r="K224" s="32"/>
      <x:c r="L224" s="32"/>
      <x:c r="M224" s="32"/>
      <x:c r="N224" s="32"/>
      <x:c r="O224" s="32"/>
      <x:c r="P224" s="32"/>
      <x:c r="Q224" s="32"/>
      <x:c r="R224" s="32"/>
      <x:c r="S224" s="32"/>
      <x:c r="T224" s="43" t="str">
        <x:f>IFERROR(S224/L224,"")</x:f>
      </x:c>
      <x:c r="U224" s="32"/>
      <x:c r="V224" s="32"/>
      <x:c r="W224" s="32"/>
      <x:c r="X224" s="32"/>
      <x:c r="Y224" s="32"/>
      <x:c r="Z224" s="32"/>
      <x:c r="AA224" s="32"/>
      <x:c r="AB224" s="32"/>
      <x:c r="AC224" s="32"/>
      <x:c r="AD224" s="32"/>
      <x:c r="AE224" s="32"/>
      <x:c r="AF224" s="32"/>
      <x:c r="AG224" s="32"/>
      <x:c r="AH224" s="32"/>
      <x:c r="AI224" s="32"/>
      <x:c r="AJ224" s="32"/>
      <x:c r="AK224" s="32"/>
      <x:c r="AL224" s="32"/>
      <x:c r="AM224" s="32"/>
      <x:c r="AN224" s="32"/>
      <x:c r="AO224" s="32"/>
      <x:c r="AP224" s="32"/>
      <x:c r="AQ224" s="32"/>
      <x:c r="AR224" s="32"/>
      <x:c r="AS224" s="32"/>
      <x:c r="AT224" s="32"/>
      <x:c r="AU224" s="32"/>
      <x:c r="AV224" s="32"/>
      <x:c r="AW224" s="32"/>
      <x:c r="AX224" s="32"/>
      <x:c r="AZ224" s="32"/>
      <x:c r="BA224" s="32"/>
      <x:c r="BB224" s="32"/>
      <x:c r="BC224" s="32"/>
      <x:c r="BD224" s="32"/>
      <x:c r="BE224" s="32"/>
      <x:c r="BF224" s="32"/>
      <x:c r="BG224" s="32"/>
      <x:c r="BH224" s="32"/>
      <x:c r="BI224" s="32"/>
      <x:c r="BJ224" s="32"/>
      <x:c r="BK224" s="32"/>
      <x:c r="BL224" s="32"/>
      <x:c r="BM224" s="32"/>
    </x:row>
    <x:row r="225">
      <x:c r="A225" s="32"/>
      <x:c r="B225" s="32"/>
      <x:c r="C225" s="42"/>
      <x:c r="D225" s="32"/>
      <x:c r="E225" s="32"/>
      <x:c r="F225" s="32"/>
      <x:c r="G225" s="32"/>
      <x:c r="H225" s="32"/>
      <x:c r="I225" s="32"/>
      <x:c r="J225" s="32"/>
      <x:c r="K225" s="32"/>
      <x:c r="L225" s="32"/>
      <x:c r="M225" s="32"/>
      <x:c r="N225" s="32"/>
      <x:c r="O225" s="32"/>
      <x:c r="P225" s="32"/>
      <x:c r="Q225" s="32"/>
      <x:c r="R225" s="32"/>
      <x:c r="S225" s="32"/>
      <x:c r="T225" s="43" t="str">
        <x:f>IFERROR(S225/L225,"")</x:f>
      </x:c>
      <x:c r="U225" s="32"/>
      <x:c r="V225" s="32"/>
      <x:c r="W225" s="32"/>
      <x:c r="X225" s="32"/>
      <x:c r="Y225" s="32"/>
      <x:c r="Z225" s="32"/>
      <x:c r="AA225" s="32"/>
      <x:c r="AB225" s="32"/>
      <x:c r="AC225" s="32"/>
      <x:c r="AD225" s="32"/>
      <x:c r="AE225" s="32"/>
      <x:c r="AF225" s="32"/>
      <x:c r="AG225" s="32"/>
      <x:c r="AH225" s="32"/>
      <x:c r="AI225" s="32"/>
      <x:c r="AJ225" s="32"/>
      <x:c r="AK225" s="32"/>
      <x:c r="AL225" s="32"/>
      <x:c r="AM225" s="32"/>
      <x:c r="AN225" s="32"/>
      <x:c r="AO225" s="32"/>
      <x:c r="AP225" s="32"/>
      <x:c r="AQ225" s="32"/>
      <x:c r="AR225" s="32"/>
      <x:c r="AS225" s="32"/>
      <x:c r="AT225" s="32"/>
      <x:c r="AU225" s="32"/>
      <x:c r="AV225" s="32"/>
      <x:c r="AW225" s="32"/>
      <x:c r="AX225" s="32"/>
      <x:c r="AZ225" s="32"/>
      <x:c r="BA225" s="32"/>
      <x:c r="BB225" s="32"/>
      <x:c r="BC225" s="32"/>
      <x:c r="BD225" s="32"/>
      <x:c r="BE225" s="32"/>
      <x:c r="BF225" s="32"/>
      <x:c r="BG225" s="32"/>
      <x:c r="BH225" s="32"/>
      <x:c r="BI225" s="32"/>
      <x:c r="BJ225" s="32"/>
      <x:c r="BK225" s="32"/>
      <x:c r="BL225" s="32"/>
      <x:c r="BM225" s="32"/>
    </x:row>
    <x:row r="226">
      <x:c r="A226" s="32"/>
      <x:c r="B226" s="32"/>
      <x:c r="C226" s="42"/>
      <x:c r="D226" s="32"/>
      <x:c r="E226" s="32"/>
      <x:c r="F226" s="32"/>
      <x:c r="G226" s="32"/>
      <x:c r="H226" s="32"/>
      <x:c r="I226" s="32"/>
      <x:c r="J226" s="32"/>
      <x:c r="K226" s="32"/>
      <x:c r="L226" s="32"/>
      <x:c r="M226" s="32"/>
      <x:c r="N226" s="32"/>
      <x:c r="O226" s="32"/>
      <x:c r="P226" s="32"/>
      <x:c r="Q226" s="32"/>
      <x:c r="R226" s="32"/>
      <x:c r="S226" s="32"/>
      <x:c r="T226" s="43" t="str">
        <x:f>IFERROR(S226/L226,"")</x:f>
      </x:c>
      <x:c r="U226" s="32"/>
      <x:c r="V226" s="32"/>
      <x:c r="W226" s="32"/>
      <x:c r="X226" s="32"/>
      <x:c r="Y226" s="32"/>
      <x:c r="Z226" s="32"/>
      <x:c r="AA226" s="32"/>
      <x:c r="AB226" s="32"/>
      <x:c r="AC226" s="32"/>
      <x:c r="AD226" s="32"/>
      <x:c r="AE226" s="32"/>
      <x:c r="AF226" s="32"/>
      <x:c r="AG226" s="32"/>
      <x:c r="AH226" s="32"/>
      <x:c r="AI226" s="32"/>
      <x:c r="AJ226" s="32"/>
      <x:c r="AK226" s="32"/>
      <x:c r="AL226" s="32"/>
      <x:c r="AM226" s="32"/>
      <x:c r="AN226" s="32"/>
      <x:c r="AO226" s="32"/>
      <x:c r="AP226" s="32"/>
      <x:c r="AQ226" s="32"/>
      <x:c r="AR226" s="32"/>
      <x:c r="AS226" s="32"/>
      <x:c r="AT226" s="32"/>
      <x:c r="AU226" s="32"/>
      <x:c r="AV226" s="32"/>
      <x:c r="AW226" s="32"/>
      <x:c r="AX226" s="32"/>
      <x:c r="AZ226" s="32"/>
      <x:c r="BA226" s="32"/>
      <x:c r="BB226" s="32"/>
      <x:c r="BC226" s="32"/>
      <x:c r="BD226" s="32"/>
      <x:c r="BE226" s="32"/>
      <x:c r="BF226" s="32"/>
      <x:c r="BG226" s="32"/>
      <x:c r="BH226" s="32"/>
      <x:c r="BI226" s="32"/>
      <x:c r="BJ226" s="32"/>
      <x:c r="BK226" s="32"/>
      <x:c r="BL226" s="32"/>
      <x:c r="BM226" s="32"/>
    </x:row>
    <x:row r="227">
      <x:c r="A227" s="32"/>
      <x:c r="B227" s="32"/>
      <x:c r="C227" s="42"/>
      <x:c r="D227" s="32"/>
      <x:c r="E227" s="32"/>
      <x:c r="F227" s="32"/>
      <x:c r="G227" s="32"/>
      <x:c r="H227" s="32"/>
      <x:c r="I227" s="32"/>
      <x:c r="J227" s="32"/>
      <x:c r="K227" s="32"/>
      <x:c r="L227" s="32"/>
      <x:c r="M227" s="32"/>
      <x:c r="N227" s="32"/>
      <x:c r="O227" s="32"/>
      <x:c r="P227" s="32"/>
      <x:c r="Q227" s="32"/>
      <x:c r="R227" s="32"/>
      <x:c r="S227" s="32"/>
      <x:c r="T227" s="43" t="str">
        <x:f>IFERROR(S227/L227,"")</x:f>
      </x:c>
      <x:c r="U227" s="32"/>
      <x:c r="V227" s="32"/>
      <x:c r="W227" s="32"/>
      <x:c r="X227" s="32"/>
      <x:c r="Y227" s="32"/>
      <x:c r="Z227" s="32"/>
      <x:c r="AA227" s="32"/>
      <x:c r="AB227" s="32"/>
      <x:c r="AC227" s="32"/>
      <x:c r="AD227" s="32"/>
      <x:c r="AE227" s="32"/>
      <x:c r="AF227" s="32"/>
      <x:c r="AG227" s="32"/>
      <x:c r="AH227" s="32"/>
      <x:c r="AI227" s="32"/>
      <x:c r="AJ227" s="32"/>
      <x:c r="AK227" s="32"/>
      <x:c r="AL227" s="32"/>
      <x:c r="AM227" s="32"/>
      <x:c r="AN227" s="32"/>
      <x:c r="AO227" s="32"/>
      <x:c r="AP227" s="32"/>
      <x:c r="AQ227" s="32"/>
      <x:c r="AR227" s="32"/>
      <x:c r="AS227" s="32"/>
      <x:c r="AT227" s="32"/>
      <x:c r="AU227" s="32"/>
      <x:c r="AV227" s="32"/>
      <x:c r="AW227" s="32"/>
      <x:c r="AX227" s="32"/>
      <x:c r="AZ227" s="32"/>
      <x:c r="BA227" s="32"/>
      <x:c r="BB227" s="32"/>
      <x:c r="BC227" s="32"/>
      <x:c r="BD227" s="32"/>
      <x:c r="BE227" s="32"/>
      <x:c r="BF227" s="32"/>
      <x:c r="BG227" s="32"/>
      <x:c r="BH227" s="32"/>
      <x:c r="BI227" s="32"/>
      <x:c r="BJ227" s="32"/>
      <x:c r="BK227" s="32"/>
      <x:c r="BL227" s="32"/>
      <x:c r="BM227" s="32"/>
    </x:row>
    <x:row r="228">
      <x:c r="A228" s="32"/>
      <x:c r="B228" s="32"/>
      <x:c r="C228" s="42"/>
      <x:c r="D228" s="32"/>
      <x:c r="E228" s="32"/>
      <x:c r="F228" s="32"/>
      <x:c r="G228" s="32"/>
      <x:c r="H228" s="32"/>
      <x:c r="I228" s="32"/>
      <x:c r="J228" s="32"/>
      <x:c r="K228" s="32"/>
      <x:c r="L228" s="32"/>
      <x:c r="M228" s="32"/>
      <x:c r="N228" s="32"/>
      <x:c r="O228" s="32"/>
      <x:c r="P228" s="32"/>
      <x:c r="Q228" s="32"/>
      <x:c r="R228" s="32"/>
      <x:c r="S228" s="32"/>
      <x:c r="T228" s="43" t="str">
        <x:f>IFERROR(S228/L228,"")</x:f>
      </x:c>
      <x:c r="U228" s="32"/>
      <x:c r="V228" s="32"/>
      <x:c r="W228" s="32"/>
      <x:c r="X228" s="32"/>
      <x:c r="Y228" s="32"/>
      <x:c r="Z228" s="32"/>
      <x:c r="AA228" s="32"/>
      <x:c r="AB228" s="32"/>
      <x:c r="AC228" s="32"/>
      <x:c r="AD228" s="32"/>
      <x:c r="AE228" s="32"/>
      <x:c r="AF228" s="32"/>
      <x:c r="AG228" s="32"/>
      <x:c r="AH228" s="32"/>
      <x:c r="AI228" s="32"/>
      <x:c r="AJ228" s="32"/>
      <x:c r="AK228" s="32"/>
      <x:c r="AL228" s="32"/>
      <x:c r="AM228" s="32"/>
      <x:c r="AN228" s="32"/>
      <x:c r="AO228" s="32"/>
      <x:c r="AP228" s="32"/>
      <x:c r="AQ228" s="32"/>
      <x:c r="AR228" s="32"/>
      <x:c r="AS228" s="32"/>
      <x:c r="AT228" s="32"/>
      <x:c r="AU228" s="32"/>
      <x:c r="AV228" s="32"/>
      <x:c r="AW228" s="32"/>
      <x:c r="AX228" s="32"/>
      <x:c r="AZ228" s="32"/>
      <x:c r="BA228" s="32"/>
      <x:c r="BB228" s="32"/>
      <x:c r="BC228" s="32"/>
      <x:c r="BD228" s="32"/>
      <x:c r="BE228" s="32"/>
      <x:c r="BF228" s="32"/>
      <x:c r="BG228" s="32"/>
      <x:c r="BH228" s="32"/>
      <x:c r="BI228" s="32"/>
      <x:c r="BJ228" s="32"/>
      <x:c r="BK228" s="32"/>
      <x:c r="BL228" s="32"/>
      <x:c r="BM228" s="32"/>
    </x:row>
    <x:row r="229">
      <x:c r="A229" s="32"/>
      <x:c r="B229" s="32"/>
      <x:c r="C229" s="42"/>
      <x:c r="D229" s="32"/>
      <x:c r="E229" s="32"/>
      <x:c r="F229" s="32"/>
      <x:c r="G229" s="32"/>
      <x:c r="H229" s="32"/>
      <x:c r="I229" s="32"/>
      <x:c r="J229" s="32"/>
      <x:c r="K229" s="32"/>
      <x:c r="L229" s="32"/>
      <x:c r="M229" s="32"/>
      <x:c r="N229" s="32"/>
      <x:c r="O229" s="32"/>
      <x:c r="P229" s="32"/>
      <x:c r="Q229" s="32"/>
      <x:c r="R229" s="32"/>
      <x:c r="S229" s="32"/>
      <x:c r="T229" s="43" t="str">
        <x:f>IFERROR(S229/L229,"")</x:f>
      </x:c>
      <x:c r="U229" s="32"/>
      <x:c r="V229" s="32"/>
      <x:c r="W229" s="32"/>
      <x:c r="X229" s="32"/>
      <x:c r="Y229" s="32"/>
      <x:c r="Z229" s="32"/>
      <x:c r="AA229" s="32"/>
      <x:c r="AB229" s="32"/>
      <x:c r="AC229" s="32"/>
      <x:c r="AD229" s="32"/>
      <x:c r="AE229" s="32"/>
      <x:c r="AF229" s="32"/>
      <x:c r="AG229" s="32"/>
      <x:c r="AH229" s="32"/>
      <x:c r="AI229" s="32"/>
      <x:c r="AJ229" s="32"/>
      <x:c r="AK229" s="32"/>
      <x:c r="AL229" s="32"/>
      <x:c r="AM229" s="32"/>
      <x:c r="AN229" s="32"/>
      <x:c r="AO229" s="32"/>
      <x:c r="AP229" s="32"/>
      <x:c r="AQ229" s="32"/>
      <x:c r="AR229" s="32"/>
      <x:c r="AS229" s="32"/>
      <x:c r="AT229" s="32"/>
      <x:c r="AU229" s="32"/>
      <x:c r="AV229" s="32"/>
      <x:c r="AW229" s="32"/>
      <x:c r="AX229" s="32"/>
      <x:c r="AZ229" s="32"/>
      <x:c r="BA229" s="32"/>
      <x:c r="BB229" s="32"/>
      <x:c r="BC229" s="32"/>
      <x:c r="BD229" s="32"/>
      <x:c r="BE229" s="32"/>
      <x:c r="BF229" s="32"/>
      <x:c r="BG229" s="32"/>
      <x:c r="BH229" s="32"/>
      <x:c r="BI229" s="32"/>
      <x:c r="BJ229" s="32"/>
      <x:c r="BK229" s="32"/>
      <x:c r="BL229" s="32"/>
      <x:c r="BM229" s="32"/>
    </x:row>
    <x:row r="230">
      <x:c r="A230" s="32"/>
      <x:c r="B230" s="32"/>
      <x:c r="C230" s="42"/>
      <x:c r="D230" s="32"/>
      <x:c r="E230" s="32"/>
      <x:c r="F230" s="32"/>
      <x:c r="G230" s="32"/>
      <x:c r="H230" s="32"/>
      <x:c r="I230" s="32"/>
      <x:c r="J230" s="32"/>
      <x:c r="K230" s="32"/>
      <x:c r="L230" s="32"/>
      <x:c r="M230" s="32"/>
      <x:c r="N230" s="32"/>
      <x:c r="O230" s="32"/>
      <x:c r="P230" s="32"/>
      <x:c r="Q230" s="32"/>
      <x:c r="R230" s="32"/>
      <x:c r="S230" s="32"/>
      <x:c r="T230" s="43" t="str">
        <x:f>IFERROR(S230/L230,"")</x:f>
      </x:c>
      <x:c r="U230" s="32"/>
      <x:c r="V230" s="32"/>
      <x:c r="W230" s="32"/>
      <x:c r="X230" s="32"/>
      <x:c r="Y230" s="32"/>
      <x:c r="Z230" s="32"/>
      <x:c r="AA230" s="32"/>
      <x:c r="AB230" s="32"/>
      <x:c r="AC230" s="32"/>
      <x:c r="AD230" s="32"/>
      <x:c r="AE230" s="32"/>
      <x:c r="AF230" s="32"/>
      <x:c r="AG230" s="32"/>
      <x:c r="AH230" s="32"/>
      <x:c r="AI230" s="32"/>
      <x:c r="AJ230" s="32"/>
      <x:c r="AK230" s="32"/>
      <x:c r="AL230" s="32"/>
      <x:c r="AM230" s="32"/>
      <x:c r="AN230" s="32"/>
      <x:c r="AO230" s="32"/>
      <x:c r="AP230" s="32"/>
      <x:c r="AQ230" s="32"/>
      <x:c r="AR230" s="32"/>
      <x:c r="AS230" s="32"/>
      <x:c r="AT230" s="32"/>
      <x:c r="AU230" s="32"/>
      <x:c r="AV230" s="32"/>
      <x:c r="AW230" s="32"/>
      <x:c r="AX230" s="32"/>
      <x:c r="AZ230" s="32"/>
      <x:c r="BA230" s="32"/>
      <x:c r="BB230" s="32"/>
      <x:c r="BC230" s="32"/>
      <x:c r="BD230" s="32"/>
      <x:c r="BE230" s="32"/>
      <x:c r="BF230" s="32"/>
      <x:c r="BG230" s="32"/>
      <x:c r="BH230" s="32"/>
      <x:c r="BI230" s="32"/>
      <x:c r="BJ230" s="32"/>
      <x:c r="BK230" s="32"/>
      <x:c r="BL230" s="32"/>
      <x:c r="BM230" s="32"/>
    </x:row>
    <x:row r="231">
      <x:c r="A231" s="32"/>
      <x:c r="B231" s="32"/>
      <x:c r="C231" s="42"/>
      <x:c r="D231" s="32"/>
      <x:c r="E231" s="32"/>
      <x:c r="F231" s="32"/>
      <x:c r="G231" s="32"/>
      <x:c r="H231" s="32"/>
      <x:c r="I231" s="32"/>
      <x:c r="J231" s="32"/>
      <x:c r="K231" s="32"/>
      <x:c r="L231" s="32"/>
      <x:c r="M231" s="32"/>
      <x:c r="N231" s="32"/>
      <x:c r="O231" s="32"/>
      <x:c r="P231" s="32"/>
      <x:c r="Q231" s="32"/>
      <x:c r="R231" s="32"/>
      <x:c r="S231" s="32"/>
      <x:c r="T231" s="43" t="str">
        <x:f>IFERROR(S231/L231,"")</x:f>
      </x:c>
      <x:c r="U231" s="32"/>
      <x:c r="V231" s="32"/>
      <x:c r="W231" s="32"/>
      <x:c r="X231" s="32"/>
      <x:c r="Y231" s="32"/>
      <x:c r="Z231" s="32"/>
      <x:c r="AA231" s="32"/>
      <x:c r="AB231" s="32"/>
      <x:c r="AC231" s="32"/>
      <x:c r="AD231" s="32"/>
      <x:c r="AE231" s="32"/>
      <x:c r="AF231" s="32"/>
      <x:c r="AG231" s="32"/>
      <x:c r="AH231" s="32"/>
      <x:c r="AI231" s="32"/>
      <x:c r="AJ231" s="32"/>
      <x:c r="AK231" s="32"/>
      <x:c r="AL231" s="32"/>
      <x:c r="AM231" s="32"/>
      <x:c r="AN231" s="32"/>
      <x:c r="AO231" s="32"/>
      <x:c r="AP231" s="32"/>
      <x:c r="AQ231" s="32"/>
      <x:c r="AR231" s="32"/>
      <x:c r="AS231" s="32"/>
      <x:c r="AT231" s="32"/>
      <x:c r="AU231" s="32"/>
      <x:c r="AV231" s="32"/>
      <x:c r="AW231" s="32"/>
      <x:c r="AX231" s="32"/>
      <x:c r="AZ231" s="32"/>
      <x:c r="BA231" s="32"/>
      <x:c r="BB231" s="32"/>
      <x:c r="BC231" s="32"/>
      <x:c r="BD231" s="32"/>
      <x:c r="BE231" s="32"/>
      <x:c r="BF231" s="32"/>
      <x:c r="BG231" s="32"/>
      <x:c r="BH231" s="32"/>
      <x:c r="BI231" s="32"/>
      <x:c r="BJ231" s="32"/>
      <x:c r="BK231" s="32"/>
      <x:c r="BL231" s="32"/>
      <x:c r="BM231" s="32"/>
    </x:row>
    <x:row r="232">
      <x:c r="A232" s="32"/>
      <x:c r="B232" s="32"/>
      <x:c r="C232" s="42"/>
      <x:c r="D232" s="32"/>
      <x:c r="E232" s="32"/>
      <x:c r="F232" s="32"/>
      <x:c r="G232" s="32"/>
      <x:c r="H232" s="32"/>
      <x:c r="I232" s="32"/>
      <x:c r="J232" s="32"/>
      <x:c r="K232" s="32"/>
      <x:c r="L232" s="32"/>
      <x:c r="M232" s="32"/>
      <x:c r="N232" s="32"/>
      <x:c r="O232" s="32"/>
      <x:c r="P232" s="32"/>
      <x:c r="Q232" s="32"/>
      <x:c r="R232" s="32"/>
      <x:c r="S232" s="32"/>
      <x:c r="T232" s="43" t="str">
        <x:f>IFERROR(S232/L232,"")</x:f>
      </x:c>
      <x:c r="U232" s="32"/>
      <x:c r="V232" s="32"/>
      <x:c r="W232" s="32"/>
      <x:c r="X232" s="32"/>
      <x:c r="Y232" s="32"/>
      <x:c r="Z232" s="32"/>
      <x:c r="AA232" s="32"/>
      <x:c r="AB232" s="32"/>
      <x:c r="AC232" s="32"/>
      <x:c r="AD232" s="32"/>
      <x:c r="AE232" s="32"/>
      <x:c r="AF232" s="32"/>
      <x:c r="AG232" s="32"/>
      <x:c r="AH232" s="32"/>
      <x:c r="AI232" s="32"/>
      <x:c r="AJ232" s="32"/>
      <x:c r="AK232" s="32"/>
      <x:c r="AL232" s="32"/>
      <x:c r="AM232" s="32"/>
      <x:c r="AN232" s="32"/>
      <x:c r="AO232" s="32"/>
      <x:c r="AP232" s="32"/>
      <x:c r="AQ232" s="32"/>
      <x:c r="AR232" s="32"/>
      <x:c r="AS232" s="32"/>
      <x:c r="AT232" s="32"/>
      <x:c r="AU232" s="32"/>
      <x:c r="AV232" s="32"/>
      <x:c r="AW232" s="32"/>
      <x:c r="AX232" s="32"/>
      <x:c r="AZ232" s="32"/>
      <x:c r="BA232" s="32"/>
      <x:c r="BB232" s="32"/>
      <x:c r="BC232" s="32"/>
      <x:c r="BD232" s="32"/>
      <x:c r="BE232" s="32"/>
      <x:c r="BF232" s="32"/>
      <x:c r="BG232" s="32"/>
      <x:c r="BH232" s="32"/>
      <x:c r="BI232" s="32"/>
      <x:c r="BJ232" s="32"/>
      <x:c r="BK232" s="32"/>
      <x:c r="BL232" s="32"/>
      <x:c r="BM232" s="32"/>
    </x:row>
    <x:row r="233">
      <x:c r="A233" s="32"/>
      <x:c r="B233" s="32"/>
      <x:c r="C233" s="42"/>
      <x:c r="D233" s="32"/>
      <x:c r="E233" s="32"/>
      <x:c r="F233" s="32"/>
      <x:c r="G233" s="32"/>
      <x:c r="H233" s="32"/>
      <x:c r="I233" s="32"/>
      <x:c r="J233" s="32"/>
      <x:c r="K233" s="32"/>
      <x:c r="L233" s="32"/>
      <x:c r="M233" s="32"/>
      <x:c r="N233" s="32"/>
      <x:c r="O233" s="32"/>
      <x:c r="P233" s="32"/>
      <x:c r="Q233" s="32"/>
      <x:c r="R233" s="32"/>
      <x:c r="S233" s="32"/>
      <x:c r="T233" s="43" t="str">
        <x:f>IFERROR(S233/L233,"")</x:f>
      </x:c>
      <x:c r="U233" s="32"/>
      <x:c r="V233" s="32"/>
      <x:c r="W233" s="32"/>
      <x:c r="X233" s="32"/>
      <x:c r="Y233" s="32"/>
      <x:c r="Z233" s="32"/>
      <x:c r="AA233" s="32"/>
      <x:c r="AB233" s="32"/>
      <x:c r="AC233" s="32"/>
      <x:c r="AD233" s="32"/>
      <x:c r="AE233" s="32"/>
      <x:c r="AF233" s="32"/>
      <x:c r="AG233" s="32"/>
      <x:c r="AH233" s="32"/>
      <x:c r="AI233" s="32"/>
      <x:c r="AJ233" s="32"/>
      <x:c r="AK233" s="32"/>
      <x:c r="AL233" s="32"/>
      <x:c r="AM233" s="32"/>
      <x:c r="AN233" s="32"/>
      <x:c r="AO233" s="32"/>
      <x:c r="AP233" s="32"/>
      <x:c r="AQ233" s="32"/>
      <x:c r="AR233" s="32"/>
      <x:c r="AS233" s="32"/>
      <x:c r="AT233" s="32"/>
      <x:c r="AU233" s="32"/>
      <x:c r="AV233" s="32"/>
      <x:c r="AW233" s="32"/>
      <x:c r="AX233" s="32"/>
      <x:c r="AZ233" s="32"/>
      <x:c r="BA233" s="32"/>
      <x:c r="BB233" s="32"/>
      <x:c r="BC233" s="32"/>
      <x:c r="BD233" s="32"/>
      <x:c r="BE233" s="32"/>
      <x:c r="BF233" s="32"/>
      <x:c r="BG233" s="32"/>
      <x:c r="BH233" s="32"/>
      <x:c r="BI233" s="32"/>
      <x:c r="BJ233" s="32"/>
      <x:c r="BK233" s="32"/>
      <x:c r="BL233" s="32"/>
      <x:c r="BM233" s="32"/>
    </x:row>
    <x:row r="234">
      <x:c r="A234" s="32"/>
      <x:c r="B234" s="32"/>
      <x:c r="C234" s="42"/>
      <x:c r="D234" s="32"/>
      <x:c r="E234" s="32"/>
      <x:c r="F234" s="32"/>
      <x:c r="G234" s="32"/>
      <x:c r="H234" s="32"/>
      <x:c r="I234" s="32"/>
      <x:c r="J234" s="32"/>
      <x:c r="K234" s="32"/>
      <x:c r="L234" s="32"/>
      <x:c r="M234" s="32"/>
      <x:c r="N234" s="32"/>
      <x:c r="O234" s="32"/>
      <x:c r="P234" s="32"/>
      <x:c r="Q234" s="32"/>
      <x:c r="R234" s="32"/>
      <x:c r="S234" s="32"/>
      <x:c r="T234" s="43" t="str">
        <x:f>IFERROR(S234/L234,"")</x:f>
      </x:c>
      <x:c r="U234" s="32"/>
      <x:c r="V234" s="32"/>
      <x:c r="W234" s="32"/>
      <x:c r="X234" s="32"/>
      <x:c r="Y234" s="32"/>
      <x:c r="Z234" s="32"/>
      <x:c r="AA234" s="32"/>
      <x:c r="AB234" s="32"/>
      <x:c r="AC234" s="32"/>
      <x:c r="AD234" s="32"/>
      <x:c r="AE234" s="32"/>
      <x:c r="AF234" s="32"/>
      <x:c r="AG234" s="32"/>
      <x:c r="AH234" s="32"/>
      <x:c r="AI234" s="32"/>
      <x:c r="AJ234" s="32"/>
      <x:c r="AK234" s="32"/>
      <x:c r="AL234" s="32"/>
      <x:c r="AM234" s="32"/>
      <x:c r="AN234" s="32"/>
      <x:c r="AO234" s="32"/>
      <x:c r="AP234" s="32"/>
      <x:c r="AQ234" s="32"/>
      <x:c r="AR234" s="32"/>
      <x:c r="AS234" s="32"/>
      <x:c r="AT234" s="32"/>
      <x:c r="AU234" s="32"/>
      <x:c r="AV234" s="32"/>
      <x:c r="AW234" s="32"/>
      <x:c r="AX234" s="32"/>
      <x:c r="AZ234" s="32"/>
      <x:c r="BA234" s="32"/>
      <x:c r="BB234" s="32"/>
      <x:c r="BC234" s="32"/>
      <x:c r="BD234" s="32"/>
      <x:c r="BE234" s="32"/>
      <x:c r="BF234" s="32"/>
      <x:c r="BG234" s="32"/>
      <x:c r="BH234" s="32"/>
      <x:c r="BI234" s="32"/>
      <x:c r="BJ234" s="32"/>
      <x:c r="BK234" s="32"/>
      <x:c r="BL234" s="32"/>
      <x:c r="BM234" s="32"/>
    </x:row>
    <x:row r="235">
      <x:c r="A235" s="32"/>
      <x:c r="B235" s="32"/>
      <x:c r="C235" s="42"/>
      <x:c r="D235" s="32"/>
      <x:c r="E235" s="32"/>
      <x:c r="F235" s="32"/>
      <x:c r="G235" s="32"/>
      <x:c r="H235" s="32"/>
      <x:c r="I235" s="32"/>
      <x:c r="J235" s="32"/>
      <x:c r="K235" s="32"/>
      <x:c r="L235" s="32"/>
      <x:c r="M235" s="32"/>
      <x:c r="N235" s="32"/>
      <x:c r="O235" s="32"/>
      <x:c r="P235" s="32"/>
      <x:c r="Q235" s="32"/>
      <x:c r="R235" s="32"/>
      <x:c r="S235" s="32"/>
      <x:c r="T235" s="43" t="str">
        <x:f>IFERROR(S235/L235,"")</x:f>
      </x:c>
      <x:c r="U235" s="32"/>
      <x:c r="V235" s="32"/>
      <x:c r="W235" s="32"/>
      <x:c r="X235" s="32"/>
      <x:c r="Y235" s="32"/>
      <x:c r="Z235" s="32"/>
      <x:c r="AA235" s="32"/>
      <x:c r="AB235" s="32"/>
      <x:c r="AC235" s="32"/>
      <x:c r="AD235" s="32"/>
      <x:c r="AE235" s="32"/>
      <x:c r="AF235" s="32"/>
      <x:c r="AG235" s="32"/>
      <x:c r="AH235" s="32"/>
      <x:c r="AI235" s="32"/>
      <x:c r="AJ235" s="32"/>
      <x:c r="AK235" s="32"/>
      <x:c r="AL235" s="32"/>
      <x:c r="AM235" s="32"/>
      <x:c r="AN235" s="32"/>
      <x:c r="AO235" s="32"/>
      <x:c r="AP235" s="32"/>
      <x:c r="AQ235" s="32"/>
      <x:c r="AR235" s="32"/>
      <x:c r="AS235" s="32"/>
      <x:c r="AT235" s="32"/>
      <x:c r="AU235" s="32"/>
      <x:c r="AV235" s="32"/>
      <x:c r="AW235" s="32"/>
      <x:c r="AX235" s="32"/>
      <x:c r="AZ235" s="32"/>
      <x:c r="BA235" s="32"/>
      <x:c r="BB235" s="32"/>
      <x:c r="BC235" s="32"/>
      <x:c r="BD235" s="32"/>
      <x:c r="BE235" s="32"/>
      <x:c r="BF235" s="32"/>
      <x:c r="BG235" s="32"/>
      <x:c r="BH235" s="32"/>
      <x:c r="BI235" s="32"/>
      <x:c r="BJ235" s="32"/>
      <x:c r="BK235" s="32"/>
      <x:c r="BL235" s="32"/>
      <x:c r="BM235" s="32"/>
    </x:row>
    <x:row r="236">
      <x:c r="A236" s="32"/>
      <x:c r="B236" s="32"/>
      <x:c r="C236" s="42"/>
      <x:c r="D236" s="32"/>
      <x:c r="E236" s="32"/>
      <x:c r="F236" s="32"/>
      <x:c r="G236" s="32"/>
      <x:c r="H236" s="32"/>
      <x:c r="I236" s="32"/>
      <x:c r="J236" s="32"/>
      <x:c r="K236" s="32"/>
      <x:c r="L236" s="32"/>
      <x:c r="M236" s="32"/>
      <x:c r="N236" s="32"/>
      <x:c r="O236" s="32"/>
      <x:c r="P236" s="32"/>
      <x:c r="Q236" s="32"/>
      <x:c r="R236" s="32"/>
      <x:c r="S236" s="32"/>
      <x:c r="T236" s="43" t="str">
        <x:f>IFERROR(S236/L236,"")</x:f>
      </x:c>
      <x:c r="U236" s="32"/>
      <x:c r="V236" s="32"/>
      <x:c r="W236" s="32"/>
      <x:c r="X236" s="32"/>
      <x:c r="Y236" s="32"/>
      <x:c r="Z236" s="32"/>
      <x:c r="AA236" s="32"/>
      <x:c r="AB236" s="32"/>
      <x:c r="AC236" s="32"/>
      <x:c r="AD236" s="32"/>
      <x:c r="AE236" s="32"/>
      <x:c r="AF236" s="32"/>
      <x:c r="AG236" s="32"/>
      <x:c r="AH236" s="32"/>
      <x:c r="AI236" s="32"/>
      <x:c r="AJ236" s="32"/>
      <x:c r="AK236" s="32"/>
      <x:c r="AL236" s="32"/>
      <x:c r="AM236" s="32"/>
      <x:c r="AN236" s="32"/>
      <x:c r="AO236" s="32"/>
      <x:c r="AP236" s="32"/>
      <x:c r="AQ236" s="32"/>
      <x:c r="AR236" s="32"/>
      <x:c r="AS236" s="32"/>
      <x:c r="AT236" s="32"/>
      <x:c r="AU236" s="32"/>
      <x:c r="AV236" s="32"/>
      <x:c r="AW236" s="32"/>
      <x:c r="AX236" s="32"/>
      <x:c r="AZ236" s="32"/>
      <x:c r="BA236" s="32"/>
      <x:c r="BB236" s="32"/>
      <x:c r="BC236" s="32"/>
      <x:c r="BD236" s="32"/>
      <x:c r="BE236" s="32"/>
      <x:c r="BF236" s="32"/>
      <x:c r="BG236" s="32"/>
      <x:c r="BH236" s="32"/>
      <x:c r="BI236" s="32"/>
      <x:c r="BJ236" s="32"/>
      <x:c r="BK236" s="32"/>
      <x:c r="BL236" s="32"/>
      <x:c r="BM236" s="32"/>
    </x:row>
    <x:row r="237">
      <x:c r="A237" s="32"/>
      <x:c r="B237" s="32"/>
      <x:c r="C237" s="42"/>
      <x:c r="D237" s="32"/>
      <x:c r="E237" s="32"/>
      <x:c r="F237" s="32"/>
      <x:c r="G237" s="32"/>
      <x:c r="H237" s="32"/>
      <x:c r="I237" s="32"/>
      <x:c r="J237" s="32"/>
      <x:c r="K237" s="32"/>
      <x:c r="L237" s="32"/>
      <x:c r="M237" s="32"/>
      <x:c r="N237" s="32"/>
      <x:c r="O237" s="32"/>
      <x:c r="P237" s="32"/>
      <x:c r="Q237" s="32"/>
      <x:c r="R237" s="32"/>
      <x:c r="S237" s="32"/>
      <x:c r="T237" s="43" t="str">
        <x:f>IFERROR(S237/L237,"")</x:f>
      </x:c>
      <x:c r="U237" s="32"/>
      <x:c r="V237" s="32"/>
      <x:c r="W237" s="32"/>
      <x:c r="X237" s="32"/>
      <x:c r="Y237" s="32"/>
      <x:c r="Z237" s="32"/>
      <x:c r="AA237" s="32"/>
      <x:c r="AB237" s="32"/>
      <x:c r="AC237" s="32"/>
      <x:c r="AD237" s="32"/>
      <x:c r="AE237" s="32"/>
      <x:c r="AF237" s="32"/>
      <x:c r="AG237" s="32"/>
      <x:c r="AH237" s="32"/>
      <x:c r="AI237" s="32"/>
      <x:c r="AJ237" s="32"/>
      <x:c r="AK237" s="32"/>
      <x:c r="AL237" s="32"/>
      <x:c r="AM237" s="32"/>
      <x:c r="AN237" s="32"/>
      <x:c r="AO237" s="32"/>
      <x:c r="AP237" s="32"/>
      <x:c r="AQ237" s="32"/>
      <x:c r="AR237" s="32"/>
      <x:c r="AS237" s="32"/>
      <x:c r="AT237" s="32"/>
      <x:c r="AU237" s="32"/>
      <x:c r="AV237" s="32"/>
      <x:c r="AW237" s="32"/>
      <x:c r="AX237" s="32"/>
      <x:c r="AZ237" s="32"/>
      <x:c r="BA237" s="32"/>
      <x:c r="BB237" s="32"/>
      <x:c r="BC237" s="32"/>
      <x:c r="BD237" s="32"/>
      <x:c r="BE237" s="32"/>
      <x:c r="BF237" s="32"/>
      <x:c r="BG237" s="32"/>
      <x:c r="BH237" s="32"/>
      <x:c r="BI237" s="32"/>
      <x:c r="BJ237" s="32"/>
      <x:c r="BK237" s="32"/>
      <x:c r="BL237" s="32"/>
      <x:c r="BM237" s="32"/>
    </x:row>
    <x:row r="238">
      <x:c r="A238" s="32"/>
      <x:c r="B238" s="32"/>
      <x:c r="C238" s="42"/>
      <x:c r="D238" s="32"/>
      <x:c r="E238" s="32"/>
      <x:c r="F238" s="32"/>
      <x:c r="G238" s="32"/>
      <x:c r="H238" s="32"/>
      <x:c r="I238" s="32"/>
      <x:c r="J238" s="32"/>
      <x:c r="K238" s="32"/>
      <x:c r="L238" s="32"/>
      <x:c r="M238" s="32"/>
      <x:c r="N238" s="32"/>
      <x:c r="O238" s="32"/>
      <x:c r="P238" s="32"/>
      <x:c r="Q238" s="32"/>
      <x:c r="R238" s="32"/>
      <x:c r="S238" s="32"/>
      <x:c r="T238" s="43" t="str">
        <x:f>IFERROR(S238/L238,"")</x:f>
      </x:c>
      <x:c r="U238" s="32"/>
      <x:c r="V238" s="32"/>
      <x:c r="W238" s="32"/>
      <x:c r="X238" s="32"/>
      <x:c r="Y238" s="32"/>
      <x:c r="Z238" s="32"/>
      <x:c r="AA238" s="32"/>
      <x:c r="AB238" s="32"/>
      <x:c r="AC238" s="32"/>
      <x:c r="AD238" s="32"/>
      <x:c r="AE238" s="32"/>
      <x:c r="AF238" s="32"/>
      <x:c r="AG238" s="32"/>
      <x:c r="AH238" s="32"/>
      <x:c r="AI238" s="32"/>
      <x:c r="AJ238" s="32"/>
      <x:c r="AK238" s="32"/>
      <x:c r="AL238" s="32"/>
      <x:c r="AM238" s="32"/>
      <x:c r="AN238" s="32"/>
      <x:c r="AO238" s="32"/>
      <x:c r="AP238" s="32"/>
      <x:c r="AQ238" s="32"/>
      <x:c r="AR238" s="32"/>
      <x:c r="AS238" s="32"/>
      <x:c r="AT238" s="32"/>
      <x:c r="AU238" s="32"/>
      <x:c r="AV238" s="32"/>
      <x:c r="AW238" s="32"/>
      <x:c r="AX238" s="32"/>
      <x:c r="AZ238" s="32"/>
      <x:c r="BA238" s="32"/>
      <x:c r="BB238" s="32"/>
      <x:c r="BC238" s="32"/>
      <x:c r="BD238" s="32"/>
      <x:c r="BE238" s="32"/>
      <x:c r="BF238" s="32"/>
      <x:c r="BG238" s="32"/>
      <x:c r="BH238" s="32"/>
      <x:c r="BI238" s="32"/>
      <x:c r="BJ238" s="32"/>
      <x:c r="BK238" s="32"/>
      <x:c r="BL238" s="32"/>
      <x:c r="BM238" s="32"/>
    </x:row>
    <x:row r="239">
      <x:c r="A239" s="32"/>
      <x:c r="B239" s="32"/>
      <x:c r="C239" s="42"/>
      <x:c r="D239" s="32"/>
      <x:c r="E239" s="32"/>
      <x:c r="F239" s="32"/>
      <x:c r="G239" s="32"/>
      <x:c r="H239" s="32"/>
      <x:c r="I239" s="32"/>
      <x:c r="J239" s="32"/>
      <x:c r="K239" s="32"/>
      <x:c r="L239" s="32"/>
      <x:c r="M239" s="32"/>
      <x:c r="N239" s="32"/>
      <x:c r="O239" s="32"/>
      <x:c r="P239" s="32"/>
      <x:c r="Q239" s="32"/>
      <x:c r="R239" s="32"/>
      <x:c r="S239" s="32"/>
      <x:c r="T239" s="43" t="str">
        <x:f>IFERROR(S239/L239,"")</x:f>
      </x:c>
      <x:c r="U239" s="32"/>
      <x:c r="V239" s="32"/>
      <x:c r="W239" s="32"/>
      <x:c r="X239" s="32"/>
      <x:c r="Y239" s="32"/>
      <x:c r="Z239" s="32"/>
      <x:c r="AA239" s="32"/>
      <x:c r="AB239" s="32"/>
      <x:c r="AC239" s="32"/>
      <x:c r="AD239" s="32"/>
      <x:c r="AE239" s="32"/>
      <x:c r="AF239" s="32"/>
      <x:c r="AG239" s="32"/>
      <x:c r="AH239" s="32"/>
      <x:c r="AI239" s="32"/>
      <x:c r="AJ239" s="32"/>
      <x:c r="AK239" s="32"/>
      <x:c r="AL239" s="32"/>
      <x:c r="AM239" s="32"/>
      <x:c r="AN239" s="32"/>
      <x:c r="AO239" s="32"/>
      <x:c r="AP239" s="32"/>
      <x:c r="AQ239" s="32"/>
      <x:c r="AR239" s="32"/>
      <x:c r="AS239" s="32"/>
      <x:c r="AT239" s="32"/>
      <x:c r="AU239" s="32"/>
      <x:c r="AV239" s="32"/>
      <x:c r="AW239" s="32"/>
      <x:c r="AX239" s="32"/>
      <x:c r="AZ239" s="32"/>
      <x:c r="BA239" s="32"/>
      <x:c r="BB239" s="32"/>
      <x:c r="BC239" s="32"/>
      <x:c r="BD239" s="32"/>
      <x:c r="BE239" s="32"/>
      <x:c r="BF239" s="32"/>
      <x:c r="BG239" s="32"/>
      <x:c r="BH239" s="32"/>
      <x:c r="BI239" s="32"/>
      <x:c r="BJ239" s="32"/>
      <x:c r="BK239" s="32"/>
      <x:c r="BL239" s="32"/>
      <x:c r="BM239" s="32"/>
    </x:row>
    <x:row r="240">
      <x:c r="A240" s="32"/>
      <x:c r="B240" s="32"/>
      <x:c r="C240" s="42"/>
      <x:c r="D240" s="32"/>
      <x:c r="E240" s="32"/>
      <x:c r="F240" s="32"/>
      <x:c r="G240" s="32"/>
      <x:c r="H240" s="32"/>
      <x:c r="I240" s="32"/>
      <x:c r="J240" s="32"/>
      <x:c r="K240" s="32"/>
      <x:c r="L240" s="32"/>
      <x:c r="M240" s="32"/>
      <x:c r="N240" s="32"/>
      <x:c r="O240" s="32"/>
      <x:c r="P240" s="32"/>
      <x:c r="Q240" s="32"/>
      <x:c r="R240" s="32"/>
      <x:c r="S240" s="32"/>
      <x:c r="T240" s="43" t="str">
        <x:f>IFERROR(S240/L240,"")</x:f>
      </x:c>
      <x:c r="U240" s="32"/>
      <x:c r="V240" s="32"/>
      <x:c r="W240" s="32"/>
      <x:c r="X240" s="32"/>
      <x:c r="Y240" s="32"/>
      <x:c r="Z240" s="32"/>
      <x:c r="AA240" s="32"/>
      <x:c r="AB240" s="32"/>
      <x:c r="AC240" s="32"/>
      <x:c r="AD240" s="32"/>
      <x:c r="AE240" s="32"/>
      <x:c r="AF240" s="32"/>
      <x:c r="AG240" s="32"/>
      <x:c r="AH240" s="32"/>
      <x:c r="AI240" s="32"/>
      <x:c r="AJ240" s="32"/>
      <x:c r="AK240" s="32"/>
      <x:c r="AL240" s="32"/>
      <x:c r="AM240" s="32"/>
      <x:c r="AN240" s="32"/>
      <x:c r="AO240" s="32"/>
      <x:c r="AP240" s="32"/>
      <x:c r="AQ240" s="32"/>
      <x:c r="AR240" s="32"/>
      <x:c r="AS240" s="32"/>
      <x:c r="AT240" s="32"/>
      <x:c r="AU240" s="32"/>
      <x:c r="AV240" s="32"/>
      <x:c r="AW240" s="32"/>
      <x:c r="AX240" s="32"/>
      <x:c r="AZ240" s="32"/>
      <x:c r="BA240" s="32"/>
      <x:c r="BB240" s="32"/>
      <x:c r="BC240" s="32"/>
      <x:c r="BD240" s="32"/>
      <x:c r="BE240" s="32"/>
      <x:c r="BF240" s="32"/>
      <x:c r="BG240" s="32"/>
      <x:c r="BH240" s="32"/>
      <x:c r="BI240" s="32"/>
      <x:c r="BJ240" s="32"/>
      <x:c r="BK240" s="32"/>
      <x:c r="BL240" s="32"/>
      <x:c r="BM240" s="32"/>
    </x:row>
    <x:row r="241">
      <x:c r="A241" s="32"/>
      <x:c r="B241" s="32"/>
      <x:c r="C241" s="42"/>
      <x:c r="D241" s="32"/>
      <x:c r="E241" s="32"/>
      <x:c r="F241" s="32"/>
      <x:c r="G241" s="32"/>
      <x:c r="H241" s="32"/>
      <x:c r="I241" s="32"/>
      <x:c r="J241" s="32"/>
      <x:c r="K241" s="32"/>
      <x:c r="L241" s="32"/>
      <x:c r="M241" s="32"/>
      <x:c r="N241" s="32"/>
      <x:c r="O241" s="32"/>
      <x:c r="P241" s="32"/>
      <x:c r="Q241" s="32"/>
      <x:c r="R241" s="32"/>
      <x:c r="S241" s="32"/>
      <x:c r="T241" s="43" t="str">
        <x:f>IFERROR(S241/L241,"")</x:f>
      </x:c>
      <x:c r="U241" s="32"/>
      <x:c r="V241" s="32"/>
      <x:c r="W241" s="32"/>
      <x:c r="X241" s="32"/>
      <x:c r="Y241" s="32"/>
      <x:c r="Z241" s="32"/>
      <x:c r="AA241" s="32"/>
      <x:c r="AB241" s="32"/>
      <x:c r="AC241" s="32"/>
      <x:c r="AD241" s="32"/>
      <x:c r="AE241" s="32"/>
      <x:c r="AF241" s="32"/>
      <x:c r="AG241" s="32"/>
      <x:c r="AH241" s="32"/>
      <x:c r="AI241" s="32"/>
      <x:c r="AJ241" s="32"/>
      <x:c r="AK241" s="32"/>
      <x:c r="AL241" s="32"/>
      <x:c r="AM241" s="32"/>
      <x:c r="AN241" s="32"/>
      <x:c r="AO241" s="32"/>
      <x:c r="AP241" s="32"/>
      <x:c r="AQ241" s="32"/>
      <x:c r="AR241" s="32"/>
      <x:c r="AS241" s="32"/>
      <x:c r="AT241" s="32"/>
      <x:c r="AU241" s="32"/>
      <x:c r="AV241" s="32"/>
      <x:c r="AW241" s="32"/>
      <x:c r="AX241" s="32"/>
      <x:c r="AZ241" s="32"/>
      <x:c r="BA241" s="32"/>
      <x:c r="BB241" s="32"/>
      <x:c r="BC241" s="32"/>
      <x:c r="BD241" s="32"/>
      <x:c r="BE241" s="32"/>
      <x:c r="BF241" s="32"/>
      <x:c r="BG241" s="32"/>
      <x:c r="BH241" s="32"/>
      <x:c r="BI241" s="32"/>
      <x:c r="BJ241" s="32"/>
      <x:c r="BK241" s="32"/>
      <x:c r="BL241" s="32"/>
      <x:c r="BM241" s="32"/>
    </x:row>
    <x:row r="242">
      <x:c r="A242" s="32"/>
      <x:c r="B242" s="32"/>
      <x:c r="C242" s="42"/>
      <x:c r="D242" s="32"/>
      <x:c r="E242" s="32"/>
      <x:c r="F242" s="32"/>
      <x:c r="G242" s="32"/>
      <x:c r="H242" s="32"/>
      <x:c r="I242" s="32"/>
      <x:c r="J242" s="32"/>
      <x:c r="K242" s="32"/>
      <x:c r="L242" s="32"/>
      <x:c r="M242" s="32"/>
      <x:c r="N242" s="32"/>
      <x:c r="O242" s="32"/>
      <x:c r="P242" s="32"/>
      <x:c r="Q242" s="32"/>
      <x:c r="R242" s="32"/>
      <x:c r="S242" s="32"/>
      <x:c r="T242" s="43" t="str">
        <x:f>IFERROR(S242/L242,"")</x:f>
      </x:c>
      <x:c r="U242" s="32"/>
      <x:c r="V242" s="32"/>
      <x:c r="W242" s="32"/>
      <x:c r="X242" s="32"/>
      <x:c r="Y242" s="32"/>
      <x:c r="Z242" s="32"/>
      <x:c r="AA242" s="32"/>
      <x:c r="AB242" s="32"/>
      <x:c r="AC242" s="32"/>
      <x:c r="AD242" s="32"/>
      <x:c r="AE242" s="32"/>
      <x:c r="AF242" s="32"/>
      <x:c r="AG242" s="32"/>
      <x:c r="AH242" s="32"/>
      <x:c r="AI242" s="32"/>
      <x:c r="AJ242" s="32"/>
      <x:c r="AK242" s="32"/>
      <x:c r="AL242" s="32"/>
      <x:c r="AM242" s="32"/>
      <x:c r="AN242" s="32"/>
      <x:c r="AO242" s="32"/>
      <x:c r="AP242" s="32"/>
      <x:c r="AQ242" s="32"/>
      <x:c r="AR242" s="32"/>
      <x:c r="AS242" s="32"/>
      <x:c r="AT242" s="32"/>
      <x:c r="AU242" s="32"/>
      <x:c r="AV242" s="32"/>
      <x:c r="AW242" s="32"/>
      <x:c r="AX242" s="32"/>
      <x:c r="AZ242" s="32"/>
      <x:c r="BA242" s="32"/>
      <x:c r="BB242" s="32"/>
      <x:c r="BC242" s="32"/>
      <x:c r="BD242" s="32"/>
      <x:c r="BE242" s="32"/>
      <x:c r="BF242" s="32"/>
      <x:c r="BG242" s="32"/>
      <x:c r="BH242" s="32"/>
      <x:c r="BI242" s="32"/>
      <x:c r="BJ242" s="32"/>
      <x:c r="BK242" s="32"/>
      <x:c r="BL242" s="32"/>
      <x:c r="BM242" s="32"/>
    </x:row>
    <x:row r="243">
      <x:c r="A243" s="32"/>
      <x:c r="B243" s="32"/>
      <x:c r="C243" s="42"/>
      <x:c r="D243" s="32"/>
      <x:c r="E243" s="32"/>
      <x:c r="F243" s="32"/>
      <x:c r="G243" s="32"/>
      <x:c r="H243" s="32"/>
      <x:c r="I243" s="32"/>
      <x:c r="J243" s="32"/>
      <x:c r="K243" s="32"/>
      <x:c r="L243" s="32"/>
      <x:c r="M243" s="32"/>
      <x:c r="N243" s="32"/>
      <x:c r="O243" s="32"/>
      <x:c r="P243" s="32"/>
      <x:c r="Q243" s="32"/>
      <x:c r="R243" s="32"/>
      <x:c r="S243" s="32"/>
      <x:c r="T243" s="43" t="str">
        <x:f>IFERROR(S243/L243,"")</x:f>
      </x:c>
      <x:c r="U243" s="32"/>
      <x:c r="V243" s="32"/>
      <x:c r="W243" s="32"/>
      <x:c r="X243" s="32"/>
      <x:c r="Y243" s="32"/>
      <x:c r="Z243" s="32"/>
      <x:c r="AA243" s="32"/>
      <x:c r="AB243" s="32"/>
      <x:c r="AC243" s="32"/>
      <x:c r="AD243" s="32"/>
      <x:c r="AE243" s="32"/>
      <x:c r="AF243" s="32"/>
      <x:c r="AG243" s="32"/>
      <x:c r="AH243" s="32"/>
      <x:c r="AI243" s="32"/>
      <x:c r="AJ243" s="32"/>
      <x:c r="AK243" s="32"/>
      <x:c r="AL243" s="32"/>
      <x:c r="AM243" s="32"/>
      <x:c r="AN243" s="32"/>
      <x:c r="AO243" s="32"/>
      <x:c r="AP243" s="32"/>
      <x:c r="AQ243" s="32"/>
      <x:c r="AR243" s="32"/>
      <x:c r="AS243" s="32"/>
      <x:c r="AT243" s="32"/>
      <x:c r="AU243" s="32"/>
      <x:c r="AV243" s="32"/>
      <x:c r="AW243" s="32"/>
      <x:c r="AX243" s="32"/>
      <x:c r="AZ243" s="32"/>
      <x:c r="BA243" s="32"/>
      <x:c r="BB243" s="32"/>
      <x:c r="BC243" s="32"/>
      <x:c r="BD243" s="32"/>
      <x:c r="BE243" s="32"/>
      <x:c r="BF243" s="32"/>
      <x:c r="BG243" s="32"/>
      <x:c r="BH243" s="32"/>
      <x:c r="BI243" s="32"/>
      <x:c r="BJ243" s="32"/>
      <x:c r="BK243" s="32"/>
      <x:c r="BL243" s="32"/>
      <x:c r="BM243" s="32"/>
    </x:row>
    <x:row r="244">
      <x:c r="A244" s="32"/>
      <x:c r="B244" s="32"/>
      <x:c r="C244" s="42"/>
      <x:c r="D244" s="32"/>
      <x:c r="E244" s="32"/>
      <x:c r="F244" s="32"/>
      <x:c r="G244" s="32"/>
      <x:c r="H244" s="32"/>
      <x:c r="I244" s="32"/>
      <x:c r="J244" s="32"/>
      <x:c r="K244" s="32"/>
      <x:c r="L244" s="32"/>
      <x:c r="M244" s="32"/>
      <x:c r="N244" s="32"/>
      <x:c r="O244" s="32"/>
      <x:c r="P244" s="32"/>
      <x:c r="Q244" s="32"/>
      <x:c r="R244" s="32"/>
      <x:c r="S244" s="32"/>
      <x:c r="T244" s="43" t="str">
        <x:f>IFERROR(S244/L244,"")</x:f>
      </x:c>
      <x:c r="U244" s="32"/>
      <x:c r="V244" s="32"/>
      <x:c r="W244" s="32"/>
      <x:c r="X244" s="32"/>
      <x:c r="Y244" s="32"/>
      <x:c r="Z244" s="32"/>
      <x:c r="AA244" s="32"/>
      <x:c r="AB244" s="32"/>
      <x:c r="AC244" s="32"/>
      <x:c r="AD244" s="32"/>
      <x:c r="AE244" s="32"/>
      <x:c r="AF244" s="32"/>
      <x:c r="AG244" s="32"/>
      <x:c r="AH244" s="32"/>
      <x:c r="AI244" s="32"/>
      <x:c r="AJ244" s="32"/>
      <x:c r="AK244" s="32"/>
      <x:c r="AL244" s="32"/>
      <x:c r="AM244" s="32"/>
      <x:c r="AN244" s="32"/>
      <x:c r="AO244" s="32"/>
      <x:c r="AP244" s="32"/>
      <x:c r="AQ244" s="32"/>
      <x:c r="AR244" s="32"/>
      <x:c r="AS244" s="32"/>
      <x:c r="AT244" s="32"/>
      <x:c r="AU244" s="32"/>
      <x:c r="AV244" s="32"/>
      <x:c r="AW244" s="32"/>
      <x:c r="AX244" s="32"/>
      <x:c r="AZ244" s="32"/>
      <x:c r="BA244" s="32"/>
      <x:c r="BB244" s="32"/>
      <x:c r="BC244" s="32"/>
      <x:c r="BD244" s="32"/>
      <x:c r="BE244" s="32"/>
      <x:c r="BF244" s="32"/>
      <x:c r="BG244" s="32"/>
      <x:c r="BH244" s="32"/>
      <x:c r="BI244" s="32"/>
      <x:c r="BJ244" s="32"/>
      <x:c r="BK244" s="32"/>
      <x:c r="BL244" s="32"/>
      <x:c r="BM244" s="32"/>
    </x:row>
    <x:row r="245">
      <x:c r="A245" s="32"/>
      <x:c r="B245" s="32"/>
      <x:c r="C245" s="42"/>
      <x:c r="D245" s="32"/>
      <x:c r="E245" s="32"/>
      <x:c r="F245" s="32"/>
      <x:c r="G245" s="32"/>
      <x:c r="H245" s="32"/>
      <x:c r="I245" s="32"/>
      <x:c r="J245" s="32"/>
      <x:c r="K245" s="32"/>
      <x:c r="L245" s="32"/>
      <x:c r="M245" s="32"/>
      <x:c r="N245" s="32"/>
      <x:c r="O245" s="32"/>
      <x:c r="P245" s="32"/>
      <x:c r="Q245" s="32"/>
      <x:c r="R245" s="32"/>
      <x:c r="S245" s="32"/>
      <x:c r="T245" s="43" t="str">
        <x:f>IFERROR(S245/L245,"")</x:f>
      </x:c>
      <x:c r="U245" s="32"/>
      <x:c r="V245" s="32"/>
      <x:c r="W245" s="32"/>
      <x:c r="X245" s="32"/>
      <x:c r="Y245" s="32"/>
      <x:c r="Z245" s="32"/>
      <x:c r="AA245" s="32"/>
      <x:c r="AB245" s="32"/>
      <x:c r="AC245" s="32"/>
      <x:c r="AD245" s="32"/>
      <x:c r="AE245" s="32"/>
      <x:c r="AF245" s="32"/>
      <x:c r="AG245" s="32"/>
      <x:c r="AH245" s="32"/>
      <x:c r="AI245" s="32"/>
      <x:c r="AJ245" s="32"/>
      <x:c r="AK245" s="32"/>
      <x:c r="AL245" s="32"/>
      <x:c r="AM245" s="32"/>
      <x:c r="AN245" s="32"/>
      <x:c r="AO245" s="32"/>
      <x:c r="AP245" s="32"/>
      <x:c r="AQ245" s="32"/>
      <x:c r="AR245" s="32"/>
      <x:c r="AS245" s="32"/>
      <x:c r="AT245" s="32"/>
      <x:c r="AU245" s="32"/>
      <x:c r="AV245" s="32"/>
      <x:c r="AW245" s="32"/>
      <x:c r="AX245" s="32"/>
      <x:c r="AZ245" s="32"/>
      <x:c r="BA245" s="32"/>
      <x:c r="BB245" s="32"/>
      <x:c r="BC245" s="32"/>
      <x:c r="BD245" s="32"/>
      <x:c r="BE245" s="32"/>
      <x:c r="BF245" s="32"/>
      <x:c r="BG245" s="32"/>
      <x:c r="BH245" s="32"/>
      <x:c r="BI245" s="32"/>
      <x:c r="BJ245" s="32"/>
      <x:c r="BK245" s="32"/>
      <x:c r="BL245" s="32"/>
      <x:c r="BM245" s="32"/>
    </x:row>
    <x:row r="246">
      <x:c r="A246" s="32"/>
      <x:c r="B246" s="32"/>
      <x:c r="C246" s="42"/>
      <x:c r="D246" s="32"/>
      <x:c r="E246" s="32"/>
      <x:c r="F246" s="32"/>
      <x:c r="G246" s="32"/>
      <x:c r="H246" s="32"/>
      <x:c r="I246" s="32"/>
      <x:c r="J246" s="32"/>
      <x:c r="K246" s="32"/>
      <x:c r="L246" s="32"/>
      <x:c r="M246" s="32"/>
      <x:c r="N246" s="32"/>
      <x:c r="O246" s="32"/>
      <x:c r="P246" s="32"/>
      <x:c r="Q246" s="32"/>
      <x:c r="R246" s="32"/>
      <x:c r="S246" s="32"/>
      <x:c r="T246" s="43" t="str">
        <x:f>IFERROR(S246/L246,"")</x:f>
      </x:c>
      <x:c r="U246" s="32"/>
      <x:c r="V246" s="32"/>
      <x:c r="W246" s="32"/>
      <x:c r="X246" s="32"/>
      <x:c r="Y246" s="32"/>
      <x:c r="Z246" s="32"/>
      <x:c r="AA246" s="32"/>
      <x:c r="AB246" s="32"/>
      <x:c r="AC246" s="32"/>
      <x:c r="AD246" s="32"/>
      <x:c r="AE246" s="32"/>
      <x:c r="AF246" s="32"/>
      <x:c r="AG246" s="32"/>
      <x:c r="AH246" s="32"/>
      <x:c r="AI246" s="32"/>
      <x:c r="AJ246" s="32"/>
      <x:c r="AK246" s="32"/>
      <x:c r="AL246" s="32"/>
      <x:c r="AM246" s="32"/>
      <x:c r="AN246" s="32"/>
      <x:c r="AO246" s="32"/>
      <x:c r="AP246" s="32"/>
      <x:c r="AQ246" s="32"/>
      <x:c r="AR246" s="32"/>
      <x:c r="AS246" s="32"/>
      <x:c r="AT246" s="32"/>
      <x:c r="AU246" s="32"/>
      <x:c r="AV246" s="32"/>
      <x:c r="AW246" s="32"/>
      <x:c r="AX246" s="32"/>
      <x:c r="AZ246" s="32"/>
      <x:c r="BA246" s="32"/>
      <x:c r="BB246" s="32"/>
      <x:c r="BC246" s="32"/>
      <x:c r="BD246" s="32"/>
      <x:c r="BE246" s="32"/>
      <x:c r="BF246" s="32"/>
      <x:c r="BG246" s="32"/>
      <x:c r="BH246" s="32"/>
      <x:c r="BI246" s="32"/>
      <x:c r="BJ246" s="32"/>
      <x:c r="BK246" s="32"/>
      <x:c r="BL246" s="32"/>
      <x:c r="BM246" s="32"/>
    </x:row>
    <x:row r="247">
      <x:c r="A247" s="32"/>
      <x:c r="B247" s="32"/>
      <x:c r="C247" s="42"/>
      <x:c r="D247" s="32"/>
      <x:c r="E247" s="32"/>
      <x:c r="F247" s="32"/>
      <x:c r="G247" s="32"/>
      <x:c r="H247" s="32"/>
      <x:c r="I247" s="32"/>
      <x:c r="J247" s="32"/>
      <x:c r="K247" s="32"/>
      <x:c r="L247" s="32"/>
      <x:c r="M247" s="32"/>
      <x:c r="N247" s="32"/>
      <x:c r="O247" s="32"/>
      <x:c r="P247" s="32"/>
      <x:c r="Q247" s="32"/>
      <x:c r="R247" s="32"/>
      <x:c r="S247" s="32"/>
      <x:c r="T247" s="43" t="str">
        <x:f>IFERROR(S247/L247,"")</x:f>
      </x:c>
      <x:c r="U247" s="32"/>
      <x:c r="V247" s="32"/>
      <x:c r="W247" s="32"/>
      <x:c r="X247" s="32"/>
      <x:c r="Y247" s="32"/>
      <x:c r="Z247" s="32"/>
      <x:c r="AA247" s="32"/>
      <x:c r="AB247" s="32"/>
      <x:c r="AC247" s="32"/>
      <x:c r="AD247" s="32"/>
      <x:c r="AE247" s="32"/>
      <x:c r="AF247" s="32"/>
      <x:c r="AG247" s="32"/>
      <x:c r="AH247" s="32"/>
      <x:c r="AI247" s="32"/>
      <x:c r="AJ247" s="32"/>
      <x:c r="AK247" s="32"/>
      <x:c r="AL247" s="32"/>
      <x:c r="AM247" s="32"/>
      <x:c r="AN247" s="32"/>
      <x:c r="AO247" s="32"/>
      <x:c r="AP247" s="32"/>
      <x:c r="AQ247" s="32"/>
      <x:c r="AR247" s="32"/>
      <x:c r="AS247" s="32"/>
      <x:c r="AT247" s="32"/>
      <x:c r="AU247" s="32"/>
      <x:c r="AV247" s="32"/>
      <x:c r="AW247" s="32"/>
      <x:c r="AX247" s="32"/>
      <x:c r="AZ247" s="32"/>
      <x:c r="BA247" s="32"/>
      <x:c r="BB247" s="32"/>
      <x:c r="BC247" s="32"/>
      <x:c r="BD247" s="32"/>
      <x:c r="BE247" s="32"/>
      <x:c r="BF247" s="32"/>
      <x:c r="BG247" s="32"/>
      <x:c r="BH247" s="32"/>
      <x:c r="BI247" s="32"/>
      <x:c r="BJ247" s="32"/>
      <x:c r="BK247" s="32"/>
      <x:c r="BL247" s="32"/>
      <x:c r="BM247" s="32"/>
    </x:row>
    <x:row r="248">
      <x:c r="A248" s="32"/>
      <x:c r="B248" s="32"/>
      <x:c r="C248" s="42"/>
      <x:c r="D248" s="32"/>
      <x:c r="E248" s="32"/>
      <x:c r="F248" s="32"/>
      <x:c r="G248" s="32"/>
      <x:c r="H248" s="32"/>
      <x:c r="I248" s="32"/>
      <x:c r="J248" s="32"/>
      <x:c r="K248" s="32"/>
      <x:c r="L248" s="32"/>
      <x:c r="M248" s="32"/>
      <x:c r="N248" s="32"/>
      <x:c r="O248" s="32"/>
      <x:c r="P248" s="32"/>
      <x:c r="Q248" s="32"/>
      <x:c r="R248" s="32"/>
      <x:c r="S248" s="32"/>
      <x:c r="T248" s="43" t="str">
        <x:f>IFERROR(S248/L248,"")</x:f>
      </x:c>
      <x:c r="U248" s="32"/>
      <x:c r="V248" s="32"/>
      <x:c r="W248" s="32"/>
      <x:c r="X248" s="32"/>
      <x:c r="Y248" s="32"/>
      <x:c r="Z248" s="32"/>
      <x:c r="AA248" s="32"/>
      <x:c r="AB248" s="32"/>
      <x:c r="AC248" s="32"/>
      <x:c r="AD248" s="32"/>
      <x:c r="AE248" s="32"/>
      <x:c r="AF248" s="32"/>
      <x:c r="AG248" s="32"/>
      <x:c r="AH248" s="32"/>
      <x:c r="AI248" s="32"/>
      <x:c r="AJ248" s="32"/>
      <x:c r="AK248" s="32"/>
      <x:c r="AL248" s="32"/>
      <x:c r="AM248" s="32"/>
      <x:c r="AN248" s="32"/>
      <x:c r="AO248" s="32"/>
      <x:c r="AP248" s="32"/>
      <x:c r="AQ248" s="32"/>
      <x:c r="AR248" s="32"/>
      <x:c r="AS248" s="32"/>
      <x:c r="AT248" s="32"/>
      <x:c r="AU248" s="32"/>
      <x:c r="AV248" s="32"/>
      <x:c r="AW248" s="32"/>
      <x:c r="AX248" s="32"/>
      <x:c r="AZ248" s="32"/>
      <x:c r="BA248" s="32"/>
      <x:c r="BB248" s="32"/>
      <x:c r="BC248" s="32"/>
      <x:c r="BD248" s="32"/>
      <x:c r="BE248" s="32"/>
      <x:c r="BF248" s="32"/>
      <x:c r="BG248" s="32"/>
      <x:c r="BH248" s="32"/>
      <x:c r="BI248" s="32"/>
      <x:c r="BJ248" s="32"/>
      <x:c r="BK248" s="32"/>
      <x:c r="BL248" s="32"/>
      <x:c r="BM248" s="32"/>
    </x:row>
    <x:row r="249">
      <x:c r="A249" s="32"/>
      <x:c r="B249" s="32"/>
      <x:c r="C249" s="42"/>
      <x:c r="D249" s="32"/>
      <x:c r="E249" s="32"/>
      <x:c r="F249" s="32"/>
      <x:c r="G249" s="32"/>
      <x:c r="H249" s="32"/>
      <x:c r="I249" s="32"/>
      <x:c r="J249" s="32"/>
      <x:c r="K249" s="32"/>
      <x:c r="L249" s="32"/>
      <x:c r="M249" s="32"/>
      <x:c r="N249" s="32"/>
      <x:c r="O249" s="32"/>
      <x:c r="P249" s="32"/>
      <x:c r="Q249" s="32"/>
      <x:c r="R249" s="32"/>
      <x:c r="S249" s="32"/>
      <x:c r="T249" s="43" t="str">
        <x:f>IFERROR(S249/L249,"")</x:f>
      </x:c>
      <x:c r="U249" s="32"/>
      <x:c r="V249" s="32"/>
      <x:c r="W249" s="32"/>
      <x:c r="X249" s="32"/>
      <x:c r="Y249" s="32"/>
      <x:c r="Z249" s="32"/>
      <x:c r="AA249" s="32"/>
      <x:c r="AB249" s="32"/>
      <x:c r="AC249" s="32"/>
      <x:c r="AD249" s="32"/>
      <x:c r="AE249" s="32"/>
      <x:c r="AF249" s="32"/>
      <x:c r="AG249" s="32"/>
      <x:c r="AH249" s="32"/>
      <x:c r="AI249" s="32"/>
      <x:c r="AJ249" s="32"/>
      <x:c r="AK249" s="32"/>
      <x:c r="AL249" s="32"/>
      <x:c r="AM249" s="32"/>
      <x:c r="AN249" s="32"/>
      <x:c r="AO249" s="32"/>
      <x:c r="AP249" s="32"/>
      <x:c r="AQ249" s="32"/>
      <x:c r="AR249" s="32"/>
      <x:c r="AS249" s="32"/>
      <x:c r="AT249" s="32"/>
      <x:c r="AU249" s="32"/>
      <x:c r="AV249" s="32"/>
      <x:c r="AW249" s="32"/>
      <x:c r="AX249" s="32"/>
      <x:c r="AZ249" s="32"/>
      <x:c r="BA249" s="32"/>
      <x:c r="BB249" s="32"/>
      <x:c r="BC249" s="32"/>
      <x:c r="BD249" s="32"/>
      <x:c r="BE249" s="32"/>
      <x:c r="BF249" s="32"/>
      <x:c r="BG249" s="32"/>
      <x:c r="BH249" s="32"/>
      <x:c r="BI249" s="32"/>
      <x:c r="BJ249" s="32"/>
      <x:c r="BK249" s="32"/>
      <x:c r="BL249" s="32"/>
      <x:c r="BM249" s="32"/>
    </x:row>
    <x:row r="250">
      <x:c r="A250" s="32"/>
      <x:c r="B250" s="32"/>
      <x:c r="C250" s="42"/>
      <x:c r="D250" s="32"/>
      <x:c r="E250" s="32"/>
      <x:c r="F250" s="32"/>
      <x:c r="G250" s="32"/>
      <x:c r="H250" s="32"/>
      <x:c r="I250" s="32"/>
      <x:c r="J250" s="32"/>
      <x:c r="K250" s="32"/>
      <x:c r="L250" s="32"/>
      <x:c r="M250" s="32"/>
      <x:c r="N250" s="32"/>
      <x:c r="O250" s="32"/>
      <x:c r="P250" s="32"/>
      <x:c r="Q250" s="32"/>
      <x:c r="R250" s="32"/>
      <x:c r="S250" s="32"/>
      <x:c r="T250" s="43" t="str">
        <x:f>IFERROR(S250/L250,"")</x:f>
      </x:c>
      <x:c r="U250" s="32"/>
      <x:c r="V250" s="32"/>
      <x:c r="W250" s="32"/>
      <x:c r="X250" s="32"/>
      <x:c r="Y250" s="32"/>
      <x:c r="Z250" s="32"/>
      <x:c r="AA250" s="32"/>
      <x:c r="AB250" s="32"/>
      <x:c r="AC250" s="32"/>
      <x:c r="AD250" s="32"/>
      <x:c r="AE250" s="32"/>
      <x:c r="AF250" s="32"/>
      <x:c r="AG250" s="32"/>
      <x:c r="AH250" s="32"/>
      <x:c r="AI250" s="32"/>
      <x:c r="AJ250" s="32"/>
      <x:c r="AK250" s="32"/>
      <x:c r="AL250" s="32"/>
      <x:c r="AM250" s="32"/>
      <x:c r="AN250" s="32"/>
      <x:c r="AO250" s="32"/>
      <x:c r="AP250" s="32"/>
      <x:c r="AQ250" s="32"/>
      <x:c r="AR250" s="32"/>
      <x:c r="AS250" s="32"/>
      <x:c r="AT250" s="32"/>
      <x:c r="AU250" s="32"/>
      <x:c r="AV250" s="32"/>
      <x:c r="AW250" s="32"/>
      <x:c r="AX250" s="32"/>
      <x:c r="AZ250" s="32"/>
      <x:c r="BA250" s="32"/>
      <x:c r="BB250" s="32"/>
      <x:c r="BC250" s="32"/>
      <x:c r="BD250" s="32"/>
      <x:c r="BE250" s="32"/>
      <x:c r="BF250" s="32"/>
      <x:c r="BG250" s="32"/>
      <x:c r="BH250" s="32"/>
      <x:c r="BI250" s="32"/>
      <x:c r="BJ250" s="32"/>
      <x:c r="BK250" s="32"/>
      <x:c r="BL250" s="32"/>
      <x:c r="BM250" s="32"/>
    </x:row>
    <x:row r="251">
      <x:c r="A251" s="32"/>
      <x:c r="B251" s="32"/>
      <x:c r="C251" s="42"/>
      <x:c r="D251" s="32"/>
      <x:c r="E251" s="32"/>
      <x:c r="F251" s="32"/>
      <x:c r="G251" s="32"/>
      <x:c r="H251" s="32"/>
      <x:c r="I251" s="32"/>
      <x:c r="J251" s="32"/>
      <x:c r="K251" s="32"/>
      <x:c r="L251" s="32"/>
      <x:c r="M251" s="32"/>
      <x:c r="N251" s="32"/>
      <x:c r="O251" s="32"/>
      <x:c r="P251" s="32"/>
      <x:c r="Q251" s="32"/>
      <x:c r="R251" s="32"/>
      <x:c r="S251" s="32"/>
      <x:c r="T251" s="43" t="str">
        <x:f>IFERROR(S251/L251,"")</x:f>
      </x:c>
      <x:c r="U251" s="32"/>
      <x:c r="V251" s="32"/>
      <x:c r="W251" s="32"/>
      <x:c r="X251" s="32"/>
      <x:c r="Y251" s="32"/>
      <x:c r="Z251" s="32"/>
      <x:c r="AA251" s="32"/>
      <x:c r="AB251" s="32"/>
      <x:c r="AC251" s="32"/>
      <x:c r="AD251" s="32"/>
      <x:c r="AE251" s="32"/>
      <x:c r="AF251" s="32"/>
      <x:c r="AG251" s="32"/>
      <x:c r="AH251" s="32"/>
      <x:c r="AI251" s="32"/>
      <x:c r="AJ251" s="32"/>
      <x:c r="AK251" s="32"/>
      <x:c r="AL251" s="32"/>
      <x:c r="AM251" s="32"/>
      <x:c r="AN251" s="32"/>
      <x:c r="AO251" s="32"/>
      <x:c r="AP251" s="32"/>
      <x:c r="AQ251" s="32"/>
      <x:c r="AR251" s="32"/>
      <x:c r="AS251" s="32"/>
      <x:c r="AT251" s="32"/>
      <x:c r="AU251" s="32"/>
      <x:c r="AV251" s="32"/>
      <x:c r="AW251" s="32"/>
      <x:c r="AX251" s="32"/>
      <x:c r="AZ251" s="32"/>
      <x:c r="BA251" s="32"/>
      <x:c r="BB251" s="32"/>
      <x:c r="BC251" s="32"/>
      <x:c r="BD251" s="32"/>
      <x:c r="BE251" s="32"/>
      <x:c r="BF251" s="32"/>
      <x:c r="BG251" s="32"/>
      <x:c r="BH251" s="32"/>
      <x:c r="BI251" s="32"/>
      <x:c r="BJ251" s="32"/>
      <x:c r="BK251" s="32"/>
      <x:c r="BL251" s="32"/>
      <x:c r="BM251" s="32"/>
    </x:row>
    <x:row r="252">
      <x:c r="A252" s="32"/>
      <x:c r="B252" s="32"/>
      <x:c r="C252" s="42"/>
      <x:c r="D252" s="32"/>
      <x:c r="E252" s="32"/>
      <x:c r="F252" s="32"/>
      <x:c r="G252" s="32"/>
      <x:c r="H252" s="32"/>
      <x:c r="I252" s="32"/>
      <x:c r="J252" s="32"/>
      <x:c r="K252" s="32"/>
      <x:c r="L252" s="32"/>
      <x:c r="M252" s="32"/>
      <x:c r="N252" s="32"/>
      <x:c r="O252" s="32"/>
      <x:c r="P252" s="32"/>
      <x:c r="Q252" s="32"/>
      <x:c r="R252" s="32"/>
      <x:c r="S252" s="32"/>
      <x:c r="T252" s="43" t="str">
        <x:f>IFERROR(S252/L252,"")</x:f>
      </x:c>
      <x:c r="U252" s="32"/>
      <x:c r="V252" s="32"/>
      <x:c r="W252" s="32"/>
      <x:c r="X252" s="32"/>
      <x:c r="Y252" s="32"/>
      <x:c r="Z252" s="32"/>
      <x:c r="AA252" s="32"/>
      <x:c r="AB252" s="32"/>
      <x:c r="AC252" s="32"/>
      <x:c r="AD252" s="32"/>
      <x:c r="AE252" s="32"/>
      <x:c r="AF252" s="32"/>
      <x:c r="AG252" s="32"/>
      <x:c r="AH252" s="32"/>
      <x:c r="AI252" s="32"/>
      <x:c r="AJ252" s="32"/>
      <x:c r="AK252" s="32"/>
      <x:c r="AL252" s="32"/>
      <x:c r="AM252" s="32"/>
      <x:c r="AN252" s="32"/>
      <x:c r="AO252" s="32"/>
      <x:c r="AP252" s="32"/>
      <x:c r="AQ252" s="32"/>
      <x:c r="AR252" s="32"/>
      <x:c r="AS252" s="32"/>
      <x:c r="AT252" s="32"/>
      <x:c r="AU252" s="32"/>
      <x:c r="AV252" s="32"/>
      <x:c r="AW252" s="32"/>
      <x:c r="AX252" s="32"/>
      <x:c r="AZ252" s="32"/>
      <x:c r="BA252" s="32"/>
      <x:c r="BB252" s="32"/>
      <x:c r="BC252" s="32"/>
      <x:c r="BD252" s="32"/>
      <x:c r="BE252" s="32"/>
      <x:c r="BF252" s="32"/>
      <x:c r="BG252" s="32"/>
      <x:c r="BH252" s="32"/>
      <x:c r="BI252" s="32"/>
      <x:c r="BJ252" s="32"/>
      <x:c r="BK252" s="32"/>
      <x:c r="BL252" s="32"/>
      <x:c r="BM252" s="32"/>
    </x:row>
    <x:row r="253">
      <x:c r="A253" s="32"/>
      <x:c r="B253" s="32"/>
      <x:c r="C253" s="42"/>
      <x:c r="D253" s="32"/>
      <x:c r="E253" s="32"/>
      <x:c r="F253" s="32"/>
      <x:c r="G253" s="32"/>
      <x:c r="H253" s="32"/>
      <x:c r="I253" s="32"/>
      <x:c r="J253" s="32"/>
      <x:c r="K253" s="32"/>
      <x:c r="L253" s="32"/>
      <x:c r="M253" s="32"/>
      <x:c r="N253" s="32"/>
      <x:c r="O253" s="32"/>
      <x:c r="P253" s="32"/>
      <x:c r="Q253" s="32"/>
      <x:c r="R253" s="32"/>
      <x:c r="S253" s="32"/>
      <x:c r="T253" s="43" t="str">
        <x:f>IFERROR(S253/L253,"")</x:f>
      </x:c>
      <x:c r="U253" s="32"/>
      <x:c r="V253" s="32"/>
      <x:c r="W253" s="32"/>
      <x:c r="X253" s="32"/>
      <x:c r="Y253" s="32"/>
      <x:c r="Z253" s="32"/>
      <x:c r="AA253" s="32"/>
      <x:c r="AB253" s="32"/>
      <x:c r="AC253" s="32"/>
      <x:c r="AD253" s="32"/>
      <x:c r="AE253" s="32"/>
      <x:c r="AF253" s="32"/>
      <x:c r="AG253" s="32"/>
      <x:c r="AH253" s="32"/>
      <x:c r="AI253" s="32"/>
      <x:c r="AJ253" s="32"/>
      <x:c r="AK253" s="32"/>
      <x:c r="AL253" s="32"/>
      <x:c r="AM253" s="32"/>
      <x:c r="AN253" s="32"/>
      <x:c r="AO253" s="32"/>
      <x:c r="AP253" s="32"/>
      <x:c r="AQ253" s="32"/>
      <x:c r="AR253" s="32"/>
      <x:c r="AS253" s="32"/>
      <x:c r="AT253" s="32"/>
      <x:c r="AU253" s="32"/>
      <x:c r="AV253" s="32"/>
      <x:c r="AW253" s="32"/>
      <x:c r="AX253" s="32"/>
      <x:c r="AZ253" s="32"/>
      <x:c r="BA253" s="32"/>
      <x:c r="BB253" s="32"/>
      <x:c r="BC253" s="32"/>
      <x:c r="BD253" s="32"/>
      <x:c r="BE253" s="32"/>
      <x:c r="BF253" s="32"/>
      <x:c r="BG253" s="32"/>
      <x:c r="BH253" s="32"/>
      <x:c r="BI253" s="32"/>
      <x:c r="BJ253" s="32"/>
      <x:c r="BK253" s="32"/>
      <x:c r="BL253" s="32"/>
      <x:c r="BM253" s="32"/>
    </x:row>
    <x:row r="254">
      <x:c r="A254" s="32"/>
      <x:c r="B254" s="32"/>
      <x:c r="C254" s="42"/>
      <x:c r="D254" s="32"/>
      <x:c r="E254" s="32"/>
      <x:c r="F254" s="32"/>
      <x:c r="G254" s="32"/>
      <x:c r="H254" s="32"/>
      <x:c r="I254" s="32"/>
      <x:c r="J254" s="32"/>
      <x:c r="K254" s="32"/>
      <x:c r="L254" s="32"/>
      <x:c r="M254" s="32"/>
      <x:c r="N254" s="32"/>
      <x:c r="O254" s="32"/>
      <x:c r="P254" s="32"/>
      <x:c r="Q254" s="32"/>
      <x:c r="R254" s="32"/>
      <x:c r="S254" s="32"/>
      <x:c r="T254" s="43" t="str">
        <x:f>IFERROR(S254/L254,"")</x:f>
      </x:c>
      <x:c r="U254" s="32"/>
      <x:c r="V254" s="32"/>
      <x:c r="W254" s="32"/>
      <x:c r="X254" s="32"/>
      <x:c r="Y254" s="32"/>
      <x:c r="Z254" s="32"/>
      <x:c r="AA254" s="32"/>
      <x:c r="AB254" s="32"/>
      <x:c r="AC254" s="32"/>
      <x:c r="AD254" s="32"/>
      <x:c r="AE254" s="32"/>
      <x:c r="AF254" s="32"/>
      <x:c r="AG254" s="32"/>
      <x:c r="AH254" s="32"/>
      <x:c r="AI254" s="32"/>
      <x:c r="AJ254" s="32"/>
      <x:c r="AK254" s="32"/>
      <x:c r="AL254" s="32"/>
      <x:c r="AM254" s="32"/>
      <x:c r="AN254" s="32"/>
      <x:c r="AO254" s="32"/>
      <x:c r="AP254" s="32"/>
      <x:c r="AQ254" s="32"/>
      <x:c r="AR254" s="32"/>
      <x:c r="AS254" s="32"/>
      <x:c r="AT254" s="32"/>
      <x:c r="AU254" s="32"/>
      <x:c r="AV254" s="32"/>
      <x:c r="AW254" s="32"/>
      <x:c r="AX254" s="32"/>
      <x:c r="AZ254" s="32"/>
      <x:c r="BA254" s="32"/>
      <x:c r="BB254" s="32"/>
      <x:c r="BC254" s="32"/>
      <x:c r="BD254" s="32"/>
      <x:c r="BE254" s="32"/>
      <x:c r="BF254" s="32"/>
      <x:c r="BG254" s="32"/>
      <x:c r="BH254" s="32"/>
      <x:c r="BI254" s="32"/>
      <x:c r="BJ254" s="32"/>
      <x:c r="BK254" s="32"/>
      <x:c r="BL254" s="32"/>
      <x:c r="BM254" s="32"/>
    </x:row>
    <x:row r="255">
      <x:c r="A255" s="32"/>
      <x:c r="B255" s="32"/>
      <x:c r="C255" s="42"/>
      <x:c r="D255" s="32"/>
      <x:c r="E255" s="32"/>
      <x:c r="F255" s="32"/>
      <x:c r="G255" s="32"/>
      <x:c r="H255" s="32"/>
      <x:c r="I255" s="32"/>
      <x:c r="J255" s="32"/>
      <x:c r="K255" s="32"/>
      <x:c r="L255" s="32"/>
      <x:c r="M255" s="32"/>
      <x:c r="N255" s="32"/>
      <x:c r="O255" s="32"/>
      <x:c r="P255" s="32"/>
      <x:c r="Q255" s="32"/>
      <x:c r="R255" s="32"/>
      <x:c r="S255" s="32"/>
      <x:c r="T255" s="43" t="str">
        <x:f>IFERROR(S255/L255,"")</x:f>
      </x:c>
      <x:c r="U255" s="32"/>
      <x:c r="V255" s="32"/>
      <x:c r="W255" s="32"/>
      <x:c r="X255" s="32"/>
      <x:c r="Y255" s="32"/>
      <x:c r="Z255" s="32"/>
      <x:c r="AA255" s="32"/>
      <x:c r="AB255" s="32"/>
      <x:c r="AC255" s="32"/>
      <x:c r="AD255" s="32"/>
      <x:c r="AE255" s="32"/>
      <x:c r="AF255" s="32"/>
      <x:c r="AG255" s="32"/>
      <x:c r="AH255" s="32"/>
      <x:c r="AI255" s="32"/>
      <x:c r="AJ255" s="32"/>
      <x:c r="AK255" s="32"/>
      <x:c r="AL255" s="32"/>
      <x:c r="AM255" s="32"/>
      <x:c r="AN255" s="32"/>
      <x:c r="AO255" s="32"/>
      <x:c r="AP255" s="32"/>
      <x:c r="AQ255" s="32"/>
      <x:c r="AR255" s="32"/>
      <x:c r="AS255" s="32"/>
      <x:c r="AT255" s="32"/>
      <x:c r="AU255" s="32"/>
      <x:c r="AV255" s="32"/>
      <x:c r="AW255" s="32"/>
      <x:c r="AX255" s="32"/>
      <x:c r="AZ255" s="32"/>
      <x:c r="BA255" s="32"/>
      <x:c r="BB255" s="32"/>
      <x:c r="BC255" s="32"/>
      <x:c r="BD255" s="32"/>
      <x:c r="BE255" s="32"/>
      <x:c r="BF255" s="32"/>
      <x:c r="BG255" s="32"/>
      <x:c r="BH255" s="32"/>
      <x:c r="BI255" s="32"/>
      <x:c r="BJ255" s="32"/>
      <x:c r="BK255" s="32"/>
      <x:c r="BL255" s="32"/>
      <x:c r="BM255" s="32"/>
    </x:row>
    <x:row r="256">
      <x:c r="A256" s="32"/>
      <x:c r="B256" s="32"/>
      <x:c r="C256" s="42"/>
      <x:c r="D256" s="32"/>
      <x:c r="E256" s="32"/>
      <x:c r="F256" s="32"/>
      <x:c r="G256" s="32"/>
      <x:c r="H256" s="32"/>
      <x:c r="I256" s="32"/>
      <x:c r="J256" s="32"/>
      <x:c r="K256" s="32"/>
      <x:c r="L256" s="32"/>
      <x:c r="M256" s="32"/>
      <x:c r="N256" s="32"/>
      <x:c r="O256" s="32"/>
      <x:c r="P256" s="32"/>
      <x:c r="Q256" s="32"/>
      <x:c r="R256" s="32"/>
      <x:c r="S256" s="32"/>
      <x:c r="T256" s="43" t="str">
        <x:f>IFERROR(S256/L256,"")</x:f>
      </x:c>
      <x:c r="U256" s="32"/>
      <x:c r="V256" s="32"/>
      <x:c r="W256" s="32"/>
      <x:c r="X256" s="32"/>
      <x:c r="Y256" s="32"/>
      <x:c r="Z256" s="32"/>
      <x:c r="AA256" s="32"/>
      <x:c r="AB256" s="32"/>
      <x:c r="AC256" s="32"/>
      <x:c r="AD256" s="32"/>
      <x:c r="AE256" s="32"/>
      <x:c r="AF256" s="32"/>
      <x:c r="AG256" s="32"/>
      <x:c r="AH256" s="32"/>
      <x:c r="AI256" s="32"/>
      <x:c r="AJ256" s="32"/>
      <x:c r="AK256" s="32"/>
      <x:c r="AL256" s="32"/>
      <x:c r="AM256" s="32"/>
      <x:c r="AN256" s="32"/>
      <x:c r="AO256" s="32"/>
      <x:c r="AP256" s="32"/>
      <x:c r="AQ256" s="32"/>
      <x:c r="AR256" s="32"/>
      <x:c r="AS256" s="32"/>
      <x:c r="AT256" s="32"/>
      <x:c r="AU256" s="32"/>
      <x:c r="AV256" s="32"/>
      <x:c r="AW256" s="32"/>
      <x:c r="AX256" s="32"/>
      <x:c r="AZ256" s="32"/>
      <x:c r="BA256" s="32"/>
      <x:c r="BB256" s="32"/>
      <x:c r="BC256" s="32"/>
      <x:c r="BD256" s="32"/>
      <x:c r="BE256" s="32"/>
      <x:c r="BF256" s="32"/>
      <x:c r="BG256" s="32"/>
      <x:c r="BH256" s="32"/>
      <x:c r="BI256" s="32"/>
      <x:c r="BJ256" s="32"/>
      <x:c r="BK256" s="32"/>
      <x:c r="BL256" s="32"/>
      <x:c r="BM256" s="32"/>
    </x:row>
    <x:row r="257">
      <x:c r="A257" s="32"/>
      <x:c r="B257" s="32"/>
      <x:c r="C257" s="42"/>
      <x:c r="D257" s="32"/>
      <x:c r="E257" s="32"/>
      <x:c r="F257" s="32"/>
      <x:c r="G257" s="32"/>
      <x:c r="H257" s="32"/>
      <x:c r="I257" s="32"/>
      <x:c r="J257" s="32"/>
      <x:c r="K257" s="32"/>
      <x:c r="L257" s="32"/>
      <x:c r="M257" s="32"/>
      <x:c r="N257" s="32"/>
      <x:c r="O257" s="32"/>
      <x:c r="P257" s="32"/>
      <x:c r="Q257" s="32"/>
      <x:c r="R257" s="32"/>
      <x:c r="S257" s="32"/>
      <x:c r="T257" s="43" t="str">
        <x:f>IFERROR(S257/L257,"")</x:f>
      </x:c>
      <x:c r="U257" s="32"/>
      <x:c r="V257" s="32"/>
      <x:c r="W257" s="32"/>
      <x:c r="X257" s="32"/>
      <x:c r="Y257" s="32"/>
      <x:c r="Z257" s="32"/>
      <x:c r="AA257" s="32"/>
      <x:c r="AB257" s="32"/>
      <x:c r="AC257" s="32"/>
      <x:c r="AD257" s="32"/>
      <x:c r="AE257" s="32"/>
      <x:c r="AF257" s="32"/>
      <x:c r="AG257" s="32"/>
      <x:c r="AH257" s="32"/>
      <x:c r="AI257" s="32"/>
      <x:c r="AJ257" s="32"/>
      <x:c r="AK257" s="32"/>
      <x:c r="AL257" s="32"/>
      <x:c r="AM257" s="32"/>
      <x:c r="AN257" s="32"/>
      <x:c r="AO257" s="32"/>
      <x:c r="AP257" s="32"/>
      <x:c r="AQ257" s="32"/>
      <x:c r="AR257" s="32"/>
      <x:c r="AS257" s="32"/>
      <x:c r="AT257" s="32"/>
      <x:c r="AU257" s="32"/>
      <x:c r="AV257" s="32"/>
      <x:c r="AW257" s="32"/>
      <x:c r="AX257" s="32"/>
      <x:c r="AZ257" s="32"/>
      <x:c r="BA257" s="32"/>
      <x:c r="BB257" s="32"/>
      <x:c r="BC257" s="32"/>
      <x:c r="BD257" s="32"/>
      <x:c r="BE257" s="32"/>
      <x:c r="BF257" s="32"/>
      <x:c r="BG257" s="32"/>
      <x:c r="BH257" s="32"/>
      <x:c r="BI257" s="32"/>
      <x:c r="BJ257" s="32"/>
      <x:c r="BK257" s="32"/>
      <x:c r="BL257" s="32"/>
      <x:c r="BM257" s="32"/>
    </x:row>
    <x:row r="258">
      <x:c r="A258" s="32"/>
      <x:c r="B258" s="32"/>
      <x:c r="C258" s="42"/>
      <x:c r="D258" s="32"/>
      <x:c r="E258" s="32"/>
      <x:c r="F258" s="32"/>
      <x:c r="G258" s="32"/>
      <x:c r="H258" s="32"/>
      <x:c r="I258" s="32"/>
      <x:c r="J258" s="32"/>
      <x:c r="K258" s="32"/>
      <x:c r="L258" s="32"/>
      <x:c r="M258" s="32"/>
      <x:c r="N258" s="32"/>
      <x:c r="O258" s="32"/>
      <x:c r="P258" s="32"/>
      <x:c r="Q258" s="32"/>
      <x:c r="R258" s="32"/>
      <x:c r="S258" s="32"/>
      <x:c r="T258" s="43" t="str">
        <x:f>IFERROR(S258/L258,"")</x:f>
      </x:c>
      <x:c r="U258" s="32"/>
      <x:c r="V258" s="32"/>
      <x:c r="W258" s="32"/>
      <x:c r="X258" s="32"/>
      <x:c r="Y258" s="32"/>
      <x:c r="Z258" s="32"/>
      <x:c r="AA258" s="32"/>
      <x:c r="AB258" s="32"/>
      <x:c r="AC258" s="32"/>
      <x:c r="AD258" s="32"/>
      <x:c r="AE258" s="32"/>
      <x:c r="AF258" s="32"/>
      <x:c r="AG258" s="32"/>
      <x:c r="AH258" s="32"/>
      <x:c r="AI258" s="32"/>
      <x:c r="AJ258" s="32"/>
      <x:c r="AK258" s="32"/>
      <x:c r="AL258" s="32"/>
      <x:c r="AM258" s="32"/>
      <x:c r="AN258" s="32"/>
      <x:c r="AO258" s="32"/>
      <x:c r="AP258" s="32"/>
      <x:c r="AQ258" s="32"/>
      <x:c r="AR258" s="32"/>
      <x:c r="AS258" s="32"/>
      <x:c r="AT258" s="32"/>
      <x:c r="AU258" s="32"/>
      <x:c r="AV258" s="32"/>
      <x:c r="AW258" s="32"/>
      <x:c r="AX258" s="32"/>
      <x:c r="AZ258" s="32"/>
      <x:c r="BA258" s="32"/>
      <x:c r="BB258" s="32"/>
      <x:c r="BC258" s="32"/>
      <x:c r="BD258" s="32"/>
      <x:c r="BE258" s="32"/>
      <x:c r="BF258" s="32"/>
      <x:c r="BG258" s="32"/>
      <x:c r="BH258" s="32"/>
      <x:c r="BI258" s="32"/>
      <x:c r="BJ258" s="32"/>
      <x:c r="BK258" s="32"/>
      <x:c r="BL258" s="32"/>
      <x:c r="BM258" s="32"/>
    </x:row>
    <x:row r="259">
      <x:c r="A259" s="32"/>
      <x:c r="B259" s="32"/>
      <x:c r="C259" s="42"/>
      <x:c r="D259" s="32"/>
      <x:c r="E259" s="32"/>
      <x:c r="F259" s="32"/>
      <x:c r="G259" s="32"/>
      <x:c r="H259" s="32"/>
      <x:c r="I259" s="32"/>
      <x:c r="J259" s="32"/>
      <x:c r="K259" s="32"/>
      <x:c r="L259" s="32"/>
      <x:c r="M259" s="32"/>
      <x:c r="N259" s="32"/>
      <x:c r="O259" s="32"/>
      <x:c r="P259" s="32"/>
      <x:c r="Q259" s="32"/>
      <x:c r="R259" s="32"/>
      <x:c r="S259" s="32"/>
      <x:c r="T259" s="43" t="str">
        <x:f>IFERROR(S259/L259,"")</x:f>
      </x:c>
      <x:c r="U259" s="32"/>
      <x:c r="V259" s="32"/>
      <x:c r="W259" s="32"/>
      <x:c r="X259" s="32"/>
      <x:c r="Y259" s="32"/>
      <x:c r="Z259" s="32"/>
      <x:c r="AA259" s="32"/>
      <x:c r="AB259" s="32"/>
      <x:c r="AC259" s="32"/>
      <x:c r="AD259" s="32"/>
      <x:c r="AE259" s="32"/>
      <x:c r="AF259" s="32"/>
      <x:c r="AG259" s="32"/>
      <x:c r="AH259" s="32"/>
      <x:c r="AI259" s="32"/>
      <x:c r="AJ259" s="32"/>
      <x:c r="AK259" s="32"/>
      <x:c r="AL259" s="32"/>
      <x:c r="AM259" s="32"/>
      <x:c r="AN259" s="32"/>
      <x:c r="AO259" s="32"/>
      <x:c r="AP259" s="32"/>
      <x:c r="AQ259" s="32"/>
      <x:c r="AR259" s="32"/>
      <x:c r="AS259" s="32"/>
      <x:c r="AT259" s="32"/>
      <x:c r="AU259" s="32"/>
      <x:c r="AV259" s="32"/>
      <x:c r="AW259" s="32"/>
      <x:c r="AX259" s="32"/>
      <x:c r="AZ259" s="32"/>
      <x:c r="BA259" s="32"/>
      <x:c r="BB259" s="32"/>
      <x:c r="BC259" s="32"/>
      <x:c r="BD259" s="32"/>
      <x:c r="BE259" s="32"/>
      <x:c r="BF259" s="32"/>
      <x:c r="BG259" s="32"/>
      <x:c r="BH259" s="32"/>
      <x:c r="BI259" s="32"/>
      <x:c r="BJ259" s="32"/>
      <x:c r="BK259" s="32"/>
      <x:c r="BL259" s="32"/>
      <x:c r="BM259" s="32"/>
    </x:row>
    <x:row r="260">
      <x:c r="A260" s="32"/>
      <x:c r="B260" s="32"/>
      <x:c r="C260" s="42"/>
      <x:c r="D260" s="32"/>
      <x:c r="E260" s="32"/>
      <x:c r="F260" s="32"/>
      <x:c r="G260" s="32"/>
      <x:c r="H260" s="32"/>
      <x:c r="I260" s="32"/>
      <x:c r="J260" s="32"/>
      <x:c r="K260" s="32"/>
      <x:c r="L260" s="32"/>
      <x:c r="M260" s="32"/>
      <x:c r="N260" s="32"/>
      <x:c r="O260" s="32"/>
      <x:c r="P260" s="32"/>
      <x:c r="Q260" s="32"/>
      <x:c r="R260" s="32"/>
      <x:c r="S260" s="32"/>
      <x:c r="T260" s="43" t="str">
        <x:f>IFERROR(S260/L260,"")</x:f>
      </x:c>
      <x:c r="U260" s="32"/>
      <x:c r="V260" s="32"/>
      <x:c r="W260" s="32"/>
      <x:c r="X260" s="32"/>
      <x:c r="Y260" s="32"/>
      <x:c r="Z260" s="32"/>
      <x:c r="AA260" s="32"/>
      <x:c r="AB260" s="32"/>
      <x:c r="AC260" s="32"/>
      <x:c r="AD260" s="32"/>
      <x:c r="AE260" s="32"/>
      <x:c r="AF260" s="32"/>
      <x:c r="AG260" s="32"/>
      <x:c r="AH260" s="32"/>
      <x:c r="AI260" s="32"/>
      <x:c r="AJ260" s="32"/>
      <x:c r="AK260" s="32"/>
      <x:c r="AL260" s="32"/>
      <x:c r="AM260" s="32"/>
      <x:c r="AN260" s="32"/>
      <x:c r="AO260" s="32"/>
      <x:c r="AP260" s="32"/>
      <x:c r="AQ260" s="32"/>
      <x:c r="AR260" s="32"/>
      <x:c r="AS260" s="32"/>
      <x:c r="AT260" s="32"/>
      <x:c r="AU260" s="32"/>
      <x:c r="AV260" s="32"/>
      <x:c r="AW260" s="32"/>
      <x:c r="AX260" s="32"/>
      <x:c r="AZ260" s="32"/>
      <x:c r="BA260" s="32"/>
      <x:c r="BB260" s="32"/>
      <x:c r="BC260" s="32"/>
      <x:c r="BD260" s="32"/>
      <x:c r="BE260" s="32"/>
      <x:c r="BF260" s="32"/>
      <x:c r="BG260" s="32"/>
      <x:c r="BH260" s="32"/>
      <x:c r="BI260" s="32"/>
      <x:c r="BJ260" s="32"/>
      <x:c r="BK260" s="32"/>
      <x:c r="BL260" s="32"/>
      <x:c r="BM260" s="32"/>
    </x:row>
    <x:row r="261">
      <x:c r="A261" s="32"/>
      <x:c r="B261" s="32"/>
      <x:c r="C261" s="42"/>
      <x:c r="D261" s="32"/>
      <x:c r="E261" s="32"/>
      <x:c r="F261" s="32"/>
      <x:c r="G261" s="32"/>
      <x:c r="H261" s="32"/>
      <x:c r="I261" s="32"/>
      <x:c r="J261" s="32"/>
      <x:c r="K261" s="32"/>
      <x:c r="L261" s="32"/>
      <x:c r="M261" s="32"/>
      <x:c r="N261" s="32"/>
      <x:c r="O261" s="32"/>
      <x:c r="P261" s="32"/>
      <x:c r="Q261" s="32"/>
      <x:c r="R261" s="32"/>
      <x:c r="S261" s="32"/>
      <x:c r="T261" s="43" t="str">
        <x:f>IFERROR(S261/L261,"")</x:f>
      </x:c>
      <x:c r="U261" s="32"/>
      <x:c r="V261" s="32"/>
      <x:c r="W261" s="32"/>
      <x:c r="X261" s="32"/>
      <x:c r="Y261" s="32"/>
      <x:c r="Z261" s="32"/>
      <x:c r="AA261" s="32"/>
      <x:c r="AB261" s="32"/>
      <x:c r="AC261" s="32"/>
      <x:c r="AD261" s="32"/>
      <x:c r="AE261" s="32"/>
      <x:c r="AF261" s="32"/>
      <x:c r="AG261" s="32"/>
      <x:c r="AH261" s="32"/>
      <x:c r="AI261" s="32"/>
      <x:c r="AJ261" s="32"/>
      <x:c r="AK261" s="32"/>
      <x:c r="AL261" s="32"/>
      <x:c r="AM261" s="32"/>
      <x:c r="AN261" s="32"/>
      <x:c r="AO261" s="32"/>
      <x:c r="AP261" s="32"/>
      <x:c r="AQ261" s="32"/>
      <x:c r="AR261" s="32"/>
      <x:c r="AS261" s="32"/>
      <x:c r="AT261" s="32"/>
      <x:c r="AU261" s="32"/>
      <x:c r="AV261" s="32"/>
      <x:c r="AW261" s="32"/>
      <x:c r="AX261" s="32"/>
      <x:c r="AZ261" s="32"/>
      <x:c r="BA261" s="32"/>
      <x:c r="BB261" s="32"/>
      <x:c r="BC261" s="32"/>
      <x:c r="BD261" s="32"/>
      <x:c r="BE261" s="32"/>
      <x:c r="BF261" s="32"/>
      <x:c r="BG261" s="32"/>
      <x:c r="BH261" s="32"/>
      <x:c r="BI261" s="32"/>
      <x:c r="BJ261" s="32"/>
      <x:c r="BK261" s="32"/>
      <x:c r="BL261" s="32"/>
      <x:c r="BM261" s="32"/>
    </x:row>
    <x:row r="262">
      <x:c r="A262" s="32"/>
      <x:c r="B262" s="32"/>
      <x:c r="C262" s="42"/>
      <x:c r="D262" s="32"/>
      <x:c r="E262" s="32"/>
      <x:c r="F262" s="32"/>
      <x:c r="G262" s="32"/>
      <x:c r="H262" s="32"/>
      <x:c r="I262" s="32"/>
      <x:c r="J262" s="32"/>
      <x:c r="K262" s="32"/>
      <x:c r="L262" s="32"/>
      <x:c r="M262" s="32"/>
      <x:c r="N262" s="32"/>
      <x:c r="O262" s="32"/>
      <x:c r="P262" s="32"/>
      <x:c r="Q262" s="32"/>
      <x:c r="R262" s="32"/>
      <x:c r="S262" s="32"/>
      <x:c r="T262" s="43" t="str">
        <x:f>IFERROR(S262/L262,"")</x:f>
      </x:c>
      <x:c r="U262" s="32"/>
      <x:c r="V262" s="32"/>
      <x:c r="W262" s="32"/>
      <x:c r="X262" s="32"/>
      <x:c r="Y262" s="32"/>
      <x:c r="Z262" s="32"/>
      <x:c r="AA262" s="32"/>
      <x:c r="AB262" s="32"/>
      <x:c r="AC262" s="32"/>
      <x:c r="AD262" s="32"/>
      <x:c r="AE262" s="32"/>
      <x:c r="AF262" s="32"/>
      <x:c r="AG262" s="32"/>
      <x:c r="AH262" s="32"/>
      <x:c r="AI262" s="32"/>
      <x:c r="AJ262" s="32"/>
      <x:c r="AK262" s="32"/>
      <x:c r="AL262" s="32"/>
      <x:c r="AM262" s="32"/>
      <x:c r="AN262" s="32"/>
      <x:c r="AO262" s="32"/>
      <x:c r="AP262" s="32"/>
      <x:c r="AQ262" s="32"/>
      <x:c r="AR262" s="32"/>
      <x:c r="AS262" s="32"/>
      <x:c r="AT262" s="32"/>
      <x:c r="AU262" s="32"/>
      <x:c r="AV262" s="32"/>
      <x:c r="AW262" s="32"/>
      <x:c r="AX262" s="32"/>
      <x:c r="AZ262" s="32"/>
      <x:c r="BA262" s="32"/>
      <x:c r="BB262" s="32"/>
      <x:c r="BC262" s="32"/>
      <x:c r="BD262" s="32"/>
      <x:c r="BE262" s="32"/>
      <x:c r="BF262" s="32"/>
      <x:c r="BG262" s="32"/>
      <x:c r="BH262" s="32"/>
      <x:c r="BI262" s="32"/>
      <x:c r="BJ262" s="32"/>
      <x:c r="BK262" s="32"/>
      <x:c r="BL262" s="32"/>
      <x:c r="BM262" s="32"/>
    </x:row>
    <x:row r="263">
      <x:c r="A263" s="32"/>
      <x:c r="B263" s="32"/>
      <x:c r="C263" s="42"/>
      <x:c r="D263" s="32"/>
      <x:c r="E263" s="32"/>
      <x:c r="F263" s="32"/>
      <x:c r="G263" s="32"/>
      <x:c r="H263" s="32"/>
      <x:c r="I263" s="32"/>
      <x:c r="J263" s="32"/>
      <x:c r="K263" s="32"/>
      <x:c r="L263" s="32"/>
      <x:c r="M263" s="32"/>
      <x:c r="N263" s="32"/>
      <x:c r="O263" s="32"/>
      <x:c r="P263" s="32"/>
      <x:c r="Q263" s="32"/>
      <x:c r="R263" s="32"/>
      <x:c r="S263" s="32"/>
      <x:c r="T263" s="43" t="str">
        <x:f>IFERROR(S263/L263,"")</x:f>
      </x:c>
      <x:c r="U263" s="32"/>
      <x:c r="V263" s="32"/>
      <x:c r="W263" s="32"/>
      <x:c r="X263" s="32"/>
      <x:c r="Y263" s="32"/>
      <x:c r="Z263" s="32"/>
      <x:c r="AA263" s="32"/>
      <x:c r="AB263" s="32"/>
      <x:c r="AC263" s="32"/>
      <x:c r="AD263" s="32"/>
      <x:c r="AE263" s="32"/>
      <x:c r="AF263" s="32"/>
      <x:c r="AG263" s="32"/>
      <x:c r="AH263" s="32"/>
      <x:c r="AI263" s="32"/>
      <x:c r="AJ263" s="32"/>
      <x:c r="AK263" s="32"/>
      <x:c r="AL263" s="32"/>
      <x:c r="AM263" s="32"/>
      <x:c r="AN263" s="32"/>
      <x:c r="AO263" s="32"/>
      <x:c r="AP263" s="32"/>
      <x:c r="AQ263" s="32"/>
      <x:c r="AR263" s="32"/>
      <x:c r="AS263" s="32"/>
      <x:c r="AT263" s="32"/>
      <x:c r="AU263" s="32"/>
      <x:c r="AV263" s="32"/>
      <x:c r="AW263" s="32"/>
      <x:c r="AX263" s="32"/>
      <x:c r="AZ263" s="32"/>
      <x:c r="BA263" s="32"/>
      <x:c r="BB263" s="32"/>
      <x:c r="BC263" s="32"/>
      <x:c r="BD263" s="32"/>
      <x:c r="BE263" s="32"/>
      <x:c r="BF263" s="32"/>
      <x:c r="BG263" s="32"/>
      <x:c r="BH263" s="32"/>
      <x:c r="BI263" s="32"/>
      <x:c r="BJ263" s="32"/>
      <x:c r="BK263" s="32"/>
      <x:c r="BL263" s="32"/>
      <x:c r="BM263" s="32"/>
    </x:row>
    <x:row r="264">
      <x:c r="A264" s="32"/>
      <x:c r="B264" s="32"/>
      <x:c r="C264" s="42"/>
      <x:c r="D264" s="32"/>
      <x:c r="E264" s="32"/>
      <x:c r="F264" s="32"/>
      <x:c r="G264" s="32"/>
      <x:c r="H264" s="32"/>
      <x:c r="I264" s="32"/>
      <x:c r="J264" s="32"/>
      <x:c r="K264" s="32"/>
      <x:c r="L264" s="32"/>
      <x:c r="M264" s="32"/>
      <x:c r="N264" s="32"/>
      <x:c r="O264" s="32"/>
      <x:c r="P264" s="32"/>
      <x:c r="Q264" s="32"/>
      <x:c r="R264" s="32"/>
      <x:c r="S264" s="32"/>
      <x:c r="T264" s="43" t="str">
        <x:f>IFERROR(S264/L264,"")</x:f>
      </x:c>
      <x:c r="U264" s="32"/>
      <x:c r="V264" s="32"/>
      <x:c r="W264" s="32"/>
      <x:c r="X264" s="32"/>
      <x:c r="Y264" s="32"/>
      <x:c r="Z264" s="32"/>
      <x:c r="AA264" s="32"/>
      <x:c r="AB264" s="32"/>
      <x:c r="AC264" s="32"/>
      <x:c r="AD264" s="32"/>
      <x:c r="AE264" s="32"/>
      <x:c r="AF264" s="32"/>
      <x:c r="AG264" s="32"/>
      <x:c r="AH264" s="32"/>
      <x:c r="AI264" s="32"/>
      <x:c r="AJ264" s="32"/>
      <x:c r="AK264" s="32"/>
      <x:c r="AL264" s="32"/>
      <x:c r="AM264" s="32"/>
      <x:c r="AN264" s="32"/>
      <x:c r="AO264" s="32"/>
      <x:c r="AP264" s="32"/>
      <x:c r="AQ264" s="32"/>
      <x:c r="AR264" s="32"/>
      <x:c r="AS264" s="32"/>
      <x:c r="AT264" s="32"/>
      <x:c r="AU264" s="32"/>
      <x:c r="AV264" s="32"/>
      <x:c r="AW264" s="32"/>
      <x:c r="AX264" s="32"/>
      <x:c r="AZ264" s="32"/>
      <x:c r="BA264" s="32"/>
      <x:c r="BB264" s="32"/>
      <x:c r="BC264" s="32"/>
      <x:c r="BD264" s="32"/>
      <x:c r="BE264" s="32"/>
      <x:c r="BF264" s="32"/>
      <x:c r="BG264" s="32"/>
      <x:c r="BH264" s="32"/>
      <x:c r="BI264" s="32"/>
      <x:c r="BJ264" s="32"/>
      <x:c r="BK264" s="32"/>
      <x:c r="BL264" s="32"/>
      <x:c r="BM264" s="32"/>
    </x:row>
    <x:row r="265">
      <x:c r="A265" s="32"/>
      <x:c r="B265" s="32"/>
      <x:c r="C265" s="42"/>
      <x:c r="D265" s="32"/>
      <x:c r="E265" s="32"/>
      <x:c r="F265" s="32"/>
      <x:c r="G265" s="32"/>
      <x:c r="H265" s="32"/>
      <x:c r="I265" s="32"/>
      <x:c r="J265" s="32"/>
      <x:c r="K265" s="32"/>
      <x:c r="L265" s="32"/>
      <x:c r="M265" s="32"/>
      <x:c r="N265" s="32"/>
      <x:c r="O265" s="32"/>
      <x:c r="P265" s="32"/>
      <x:c r="Q265" s="32"/>
      <x:c r="R265" s="32"/>
      <x:c r="S265" s="32"/>
      <x:c r="T265" s="43" t="str">
        <x:f>IFERROR(S265/L265,"")</x:f>
      </x:c>
      <x:c r="U265" s="32"/>
      <x:c r="V265" s="32"/>
      <x:c r="W265" s="32"/>
      <x:c r="X265" s="32"/>
      <x:c r="Y265" s="32"/>
      <x:c r="Z265" s="32"/>
      <x:c r="AA265" s="32"/>
      <x:c r="AB265" s="32"/>
      <x:c r="AC265" s="32"/>
      <x:c r="AD265" s="32"/>
      <x:c r="AE265" s="32"/>
      <x:c r="AF265" s="32"/>
      <x:c r="AG265" s="32"/>
      <x:c r="AH265" s="32"/>
      <x:c r="AI265" s="32"/>
      <x:c r="AJ265" s="32"/>
      <x:c r="AK265" s="32"/>
      <x:c r="AL265" s="32"/>
      <x:c r="AM265" s="32"/>
      <x:c r="AN265" s="32"/>
      <x:c r="AO265" s="32"/>
      <x:c r="AP265" s="32"/>
      <x:c r="AQ265" s="32"/>
      <x:c r="AR265" s="32"/>
      <x:c r="AS265" s="32"/>
      <x:c r="AT265" s="32"/>
      <x:c r="AU265" s="32"/>
      <x:c r="AV265" s="32"/>
      <x:c r="AW265" s="32"/>
      <x:c r="AX265" s="32"/>
      <x:c r="AZ265" s="32"/>
      <x:c r="BA265" s="32"/>
      <x:c r="BB265" s="32"/>
      <x:c r="BC265" s="32"/>
      <x:c r="BD265" s="32"/>
      <x:c r="BE265" s="32"/>
      <x:c r="BF265" s="32"/>
      <x:c r="BG265" s="32"/>
      <x:c r="BH265" s="32"/>
      <x:c r="BI265" s="32"/>
      <x:c r="BJ265" s="32"/>
      <x:c r="BK265" s="32"/>
      <x:c r="BL265" s="32"/>
      <x:c r="BM265" s="32"/>
    </x:row>
    <x:row r="266">
      <x:c r="A266" s="32"/>
      <x:c r="B266" s="32"/>
      <x:c r="C266" s="42"/>
      <x:c r="D266" s="32"/>
      <x:c r="E266" s="32"/>
      <x:c r="F266" s="32"/>
      <x:c r="G266" s="32"/>
      <x:c r="H266" s="32"/>
      <x:c r="I266" s="32"/>
      <x:c r="J266" s="32"/>
      <x:c r="K266" s="32"/>
      <x:c r="L266" s="32"/>
      <x:c r="M266" s="32"/>
      <x:c r="N266" s="32"/>
      <x:c r="O266" s="32"/>
      <x:c r="P266" s="32"/>
      <x:c r="Q266" s="32"/>
      <x:c r="R266" s="32"/>
      <x:c r="S266" s="32"/>
      <x:c r="T266" s="43" t="str">
        <x:f>IFERROR(S266/L266,"")</x:f>
      </x:c>
      <x:c r="U266" s="32"/>
      <x:c r="V266" s="32"/>
      <x:c r="W266" s="32"/>
      <x:c r="X266" s="32"/>
      <x:c r="Y266" s="32"/>
      <x:c r="Z266" s="32"/>
      <x:c r="AA266" s="32"/>
      <x:c r="AB266" s="32"/>
      <x:c r="AC266" s="32"/>
      <x:c r="AD266" s="32"/>
      <x:c r="AE266" s="32"/>
      <x:c r="AF266" s="32"/>
      <x:c r="AG266" s="32"/>
      <x:c r="AH266" s="32"/>
      <x:c r="AI266" s="32"/>
      <x:c r="AJ266" s="32"/>
      <x:c r="AK266" s="32"/>
      <x:c r="AL266" s="32"/>
      <x:c r="AM266" s="32"/>
      <x:c r="AN266" s="32"/>
      <x:c r="AO266" s="32"/>
      <x:c r="AP266" s="32"/>
      <x:c r="AQ266" s="32"/>
      <x:c r="AR266" s="32"/>
      <x:c r="AS266" s="32"/>
      <x:c r="AT266" s="32"/>
      <x:c r="AU266" s="32"/>
      <x:c r="AV266" s="32"/>
      <x:c r="AW266" s="32"/>
      <x:c r="AX266" s="32"/>
      <x:c r="AZ266" s="32"/>
      <x:c r="BA266" s="32"/>
      <x:c r="BB266" s="32"/>
      <x:c r="BC266" s="32"/>
      <x:c r="BD266" s="32"/>
      <x:c r="BE266" s="32"/>
      <x:c r="BF266" s="32"/>
      <x:c r="BG266" s="32"/>
      <x:c r="BH266" s="32"/>
      <x:c r="BI266" s="32"/>
      <x:c r="BJ266" s="32"/>
      <x:c r="BK266" s="32"/>
      <x:c r="BL266" s="32"/>
      <x:c r="BM266" s="32"/>
    </x:row>
    <x:row r="267">
      <x:c r="A267" s="32"/>
      <x:c r="B267" s="32"/>
      <x:c r="C267" s="42"/>
      <x:c r="D267" s="32"/>
      <x:c r="E267" s="32"/>
      <x:c r="F267" s="32"/>
      <x:c r="G267" s="32"/>
      <x:c r="H267" s="32"/>
      <x:c r="I267" s="32"/>
      <x:c r="J267" s="32"/>
      <x:c r="K267" s="32"/>
      <x:c r="L267" s="32"/>
      <x:c r="M267" s="32"/>
      <x:c r="N267" s="32"/>
      <x:c r="O267" s="32"/>
      <x:c r="P267" s="32"/>
      <x:c r="Q267" s="32"/>
      <x:c r="R267" s="32"/>
      <x:c r="S267" s="32"/>
      <x:c r="T267" s="43" t="str">
        <x:f>IFERROR(S267/L267,"")</x:f>
      </x:c>
      <x:c r="U267" s="32"/>
      <x:c r="V267" s="32"/>
      <x:c r="W267" s="32"/>
      <x:c r="X267" s="32"/>
      <x:c r="Y267" s="32"/>
      <x:c r="Z267" s="32"/>
      <x:c r="AA267" s="32"/>
      <x:c r="AB267" s="32"/>
      <x:c r="AC267" s="32"/>
      <x:c r="AD267" s="32"/>
      <x:c r="AE267" s="32"/>
      <x:c r="AF267" s="32"/>
      <x:c r="AG267" s="32"/>
      <x:c r="AH267" s="32"/>
      <x:c r="AI267" s="32"/>
      <x:c r="AJ267" s="32"/>
      <x:c r="AK267" s="32"/>
      <x:c r="AL267" s="32"/>
      <x:c r="AM267" s="32"/>
      <x:c r="AN267" s="32"/>
      <x:c r="AO267" s="32"/>
      <x:c r="AP267" s="32"/>
      <x:c r="AQ267" s="32"/>
      <x:c r="AR267" s="32"/>
      <x:c r="AS267" s="32"/>
      <x:c r="AT267" s="32"/>
      <x:c r="AU267" s="32"/>
      <x:c r="AV267" s="32"/>
      <x:c r="AW267" s="32"/>
      <x:c r="AX267" s="32"/>
      <x:c r="AZ267" s="32"/>
      <x:c r="BA267" s="32"/>
      <x:c r="BB267" s="32"/>
      <x:c r="BC267" s="32"/>
      <x:c r="BD267" s="32"/>
      <x:c r="BE267" s="32"/>
      <x:c r="BF267" s="32"/>
      <x:c r="BG267" s="32"/>
      <x:c r="BH267" s="32"/>
      <x:c r="BI267" s="32"/>
      <x:c r="BJ267" s="32"/>
      <x:c r="BK267" s="32"/>
      <x:c r="BL267" s="32"/>
      <x:c r="BM267" s="32"/>
    </x:row>
    <x:row r="268">
      <x:c r="A268" s="32"/>
      <x:c r="B268" s="32"/>
      <x:c r="C268" s="42"/>
      <x:c r="D268" s="32"/>
      <x:c r="E268" s="32"/>
      <x:c r="F268" s="32"/>
      <x:c r="G268" s="32"/>
      <x:c r="H268" s="32"/>
      <x:c r="I268" s="32"/>
      <x:c r="J268" s="32"/>
      <x:c r="K268" s="32"/>
      <x:c r="L268" s="32"/>
      <x:c r="M268" s="32"/>
      <x:c r="N268" s="32"/>
      <x:c r="O268" s="32"/>
      <x:c r="P268" s="32"/>
      <x:c r="Q268" s="32"/>
      <x:c r="R268" s="32"/>
      <x:c r="S268" s="32"/>
      <x:c r="T268" s="43" t="str">
        <x:f>IFERROR(S268/L268,"")</x:f>
      </x:c>
      <x:c r="U268" s="32"/>
      <x:c r="V268" s="32"/>
      <x:c r="W268" s="32"/>
      <x:c r="X268" s="32"/>
      <x:c r="Y268" s="32"/>
      <x:c r="Z268" s="32"/>
      <x:c r="AA268" s="32"/>
      <x:c r="AB268" s="32"/>
      <x:c r="AC268" s="32"/>
      <x:c r="AD268" s="32"/>
      <x:c r="AE268" s="32"/>
      <x:c r="AF268" s="32"/>
      <x:c r="AG268" s="32"/>
      <x:c r="AH268" s="32"/>
      <x:c r="AI268" s="32"/>
      <x:c r="AJ268" s="32"/>
      <x:c r="AK268" s="32"/>
      <x:c r="AL268" s="32"/>
      <x:c r="AM268" s="32"/>
      <x:c r="AN268" s="32"/>
      <x:c r="AO268" s="32"/>
      <x:c r="AP268" s="32"/>
      <x:c r="AQ268" s="32"/>
      <x:c r="AR268" s="32"/>
      <x:c r="AS268" s="32"/>
      <x:c r="AT268" s="32"/>
      <x:c r="AU268" s="32"/>
      <x:c r="AV268" s="32"/>
      <x:c r="AW268" s="32"/>
      <x:c r="AX268" s="32"/>
      <x:c r="AZ268" s="32"/>
      <x:c r="BA268" s="32"/>
      <x:c r="BB268" s="32"/>
      <x:c r="BC268" s="32"/>
      <x:c r="BD268" s="32"/>
      <x:c r="BE268" s="32"/>
      <x:c r="BF268" s="32"/>
      <x:c r="BG268" s="32"/>
      <x:c r="BH268" s="32"/>
      <x:c r="BI268" s="32"/>
      <x:c r="BJ268" s="32"/>
      <x:c r="BK268" s="32"/>
      <x:c r="BL268" s="32"/>
      <x:c r="BM268" s="32"/>
    </x:row>
    <x:row r="269">
      <x:c r="A269" s="32"/>
      <x:c r="B269" s="32"/>
      <x:c r="C269" s="42"/>
      <x:c r="D269" s="32"/>
      <x:c r="E269" s="32"/>
      <x:c r="F269" s="32"/>
      <x:c r="G269" s="32"/>
      <x:c r="H269" s="32"/>
      <x:c r="I269" s="32"/>
      <x:c r="J269" s="32"/>
      <x:c r="K269" s="32"/>
      <x:c r="L269" s="32"/>
      <x:c r="M269" s="32"/>
      <x:c r="N269" s="32"/>
      <x:c r="O269" s="32"/>
      <x:c r="P269" s="32"/>
      <x:c r="Q269" s="32"/>
      <x:c r="R269" s="32"/>
      <x:c r="S269" s="32"/>
      <x:c r="T269" s="43" t="str">
        <x:f>IFERROR(S269/L269,"")</x:f>
      </x:c>
      <x:c r="U269" s="32"/>
      <x:c r="V269" s="32"/>
      <x:c r="W269" s="32"/>
      <x:c r="X269" s="32"/>
      <x:c r="Y269" s="32"/>
      <x:c r="Z269" s="32"/>
      <x:c r="AA269" s="32"/>
      <x:c r="AB269" s="32"/>
      <x:c r="AC269" s="32"/>
      <x:c r="AD269" s="32"/>
      <x:c r="AE269" s="32"/>
      <x:c r="AF269" s="32"/>
      <x:c r="AG269" s="32"/>
      <x:c r="AH269" s="32"/>
      <x:c r="AI269" s="32"/>
      <x:c r="AJ269" s="32"/>
      <x:c r="AK269" s="32"/>
      <x:c r="AL269" s="32"/>
      <x:c r="AM269" s="32"/>
      <x:c r="AN269" s="32"/>
      <x:c r="AO269" s="32"/>
      <x:c r="AP269" s="32"/>
      <x:c r="AQ269" s="32"/>
      <x:c r="AR269" s="32"/>
      <x:c r="AS269" s="32"/>
      <x:c r="AT269" s="32"/>
      <x:c r="AU269" s="32"/>
      <x:c r="AV269" s="32"/>
      <x:c r="AW269" s="32"/>
      <x:c r="AX269" s="32"/>
      <x:c r="AZ269" s="32"/>
      <x:c r="BA269" s="32"/>
      <x:c r="BB269" s="32"/>
      <x:c r="BC269" s="32"/>
      <x:c r="BD269" s="32"/>
      <x:c r="BE269" s="32"/>
      <x:c r="BF269" s="32"/>
      <x:c r="BG269" s="32"/>
      <x:c r="BH269" s="32"/>
      <x:c r="BI269" s="32"/>
      <x:c r="BJ269" s="32"/>
      <x:c r="BK269" s="32"/>
      <x:c r="BL269" s="32"/>
      <x:c r="BM269" s="32"/>
    </x:row>
    <x:row r="270">
      <x:c r="A270" s="32"/>
      <x:c r="B270" s="32"/>
      <x:c r="C270" s="42"/>
      <x:c r="D270" s="32"/>
      <x:c r="E270" s="32"/>
      <x:c r="F270" s="32"/>
      <x:c r="G270" s="32"/>
      <x:c r="H270" s="32"/>
      <x:c r="I270" s="32"/>
      <x:c r="J270" s="32"/>
      <x:c r="K270" s="32"/>
      <x:c r="L270" s="32"/>
      <x:c r="M270" s="32"/>
      <x:c r="N270" s="32"/>
      <x:c r="O270" s="32"/>
      <x:c r="P270" s="32"/>
      <x:c r="Q270" s="32"/>
      <x:c r="R270" s="32"/>
      <x:c r="S270" s="32"/>
      <x:c r="T270" s="43" t="str">
        <x:f>IFERROR(S270/L270,"")</x:f>
      </x:c>
      <x:c r="U270" s="32"/>
      <x:c r="V270" s="32"/>
      <x:c r="W270" s="32"/>
      <x:c r="X270" s="32"/>
      <x:c r="Y270" s="32"/>
      <x:c r="Z270" s="32"/>
      <x:c r="AA270" s="32"/>
      <x:c r="AB270" s="32"/>
      <x:c r="AC270" s="32"/>
      <x:c r="AD270" s="32"/>
      <x:c r="AE270" s="32"/>
      <x:c r="AF270" s="32"/>
      <x:c r="AG270" s="32"/>
      <x:c r="AH270" s="32"/>
      <x:c r="AI270" s="32"/>
      <x:c r="AJ270" s="32"/>
      <x:c r="AK270" s="32"/>
      <x:c r="AL270" s="32"/>
      <x:c r="AM270" s="32"/>
      <x:c r="AN270" s="32"/>
      <x:c r="AO270" s="32"/>
      <x:c r="AP270" s="32"/>
      <x:c r="AQ270" s="32"/>
      <x:c r="AR270" s="32"/>
      <x:c r="AS270" s="32"/>
      <x:c r="AT270" s="32"/>
      <x:c r="AU270" s="32"/>
      <x:c r="AV270" s="32"/>
      <x:c r="AW270" s="32"/>
      <x:c r="AX270" s="32"/>
      <x:c r="AZ270" s="32"/>
      <x:c r="BA270" s="32"/>
      <x:c r="BB270" s="32"/>
      <x:c r="BC270" s="32"/>
      <x:c r="BD270" s="32"/>
      <x:c r="BE270" s="32"/>
      <x:c r="BF270" s="32"/>
      <x:c r="BG270" s="32"/>
      <x:c r="BH270" s="32"/>
      <x:c r="BI270" s="32"/>
      <x:c r="BJ270" s="32"/>
      <x:c r="BK270" s="32"/>
      <x:c r="BL270" s="32"/>
      <x:c r="BM270" s="32"/>
    </x:row>
    <x:row r="271">
      <x:c r="A271" s="32"/>
      <x:c r="B271" s="32"/>
      <x:c r="C271" s="42"/>
      <x:c r="D271" s="32"/>
      <x:c r="E271" s="32"/>
      <x:c r="F271" s="32"/>
      <x:c r="G271" s="32"/>
      <x:c r="H271" s="32"/>
      <x:c r="I271" s="32"/>
      <x:c r="J271" s="32"/>
      <x:c r="K271" s="32"/>
      <x:c r="L271" s="32"/>
      <x:c r="M271" s="32"/>
      <x:c r="N271" s="32"/>
      <x:c r="O271" s="32"/>
      <x:c r="P271" s="32"/>
      <x:c r="Q271" s="32"/>
      <x:c r="R271" s="32"/>
      <x:c r="S271" s="32"/>
      <x:c r="T271" s="43" t="str">
        <x:f>IFERROR(S271/L271,"")</x:f>
      </x:c>
      <x:c r="U271" s="32"/>
      <x:c r="V271" s="32"/>
      <x:c r="W271" s="32"/>
      <x:c r="X271" s="32"/>
      <x:c r="Y271" s="32"/>
      <x:c r="Z271" s="32"/>
      <x:c r="AA271" s="32"/>
      <x:c r="AB271" s="32"/>
      <x:c r="AC271" s="32"/>
      <x:c r="AD271" s="32"/>
      <x:c r="AE271" s="32"/>
      <x:c r="AF271" s="32"/>
      <x:c r="AG271" s="32"/>
      <x:c r="AH271" s="32"/>
      <x:c r="AI271" s="32"/>
      <x:c r="AJ271" s="32"/>
      <x:c r="AK271" s="32"/>
      <x:c r="AL271" s="32"/>
      <x:c r="AM271" s="32"/>
      <x:c r="AN271" s="32"/>
      <x:c r="AO271" s="32"/>
      <x:c r="AP271" s="32"/>
      <x:c r="AQ271" s="32"/>
      <x:c r="AR271" s="32"/>
      <x:c r="AS271" s="32"/>
      <x:c r="AT271" s="32"/>
      <x:c r="AU271" s="32"/>
      <x:c r="AV271" s="32"/>
      <x:c r="AW271" s="32"/>
      <x:c r="AX271" s="32"/>
      <x:c r="AZ271" s="32"/>
      <x:c r="BA271" s="32"/>
      <x:c r="BB271" s="32"/>
      <x:c r="BC271" s="32"/>
      <x:c r="BD271" s="32"/>
      <x:c r="BE271" s="32"/>
      <x:c r="BF271" s="32"/>
      <x:c r="BG271" s="32"/>
      <x:c r="BH271" s="32"/>
      <x:c r="BI271" s="32"/>
      <x:c r="BJ271" s="32"/>
      <x:c r="BK271" s="32"/>
      <x:c r="BL271" s="32"/>
      <x:c r="BM271" s="32"/>
    </x:row>
    <x:row r="272">
      <x:c r="A272" s="32"/>
      <x:c r="B272" s="32"/>
      <x:c r="C272" s="42"/>
      <x:c r="D272" s="32"/>
      <x:c r="E272" s="32"/>
      <x:c r="F272" s="32"/>
      <x:c r="G272" s="32"/>
      <x:c r="H272" s="32"/>
      <x:c r="I272" s="32"/>
      <x:c r="J272" s="32"/>
      <x:c r="K272" s="32"/>
      <x:c r="L272" s="32"/>
      <x:c r="M272" s="32"/>
      <x:c r="N272" s="32"/>
      <x:c r="O272" s="32"/>
      <x:c r="P272" s="32"/>
      <x:c r="Q272" s="32"/>
      <x:c r="R272" s="32"/>
      <x:c r="S272" s="32"/>
      <x:c r="T272" s="43" t="str">
        <x:f>IFERROR(S272/L272,"")</x:f>
      </x:c>
      <x:c r="U272" s="32"/>
      <x:c r="V272" s="32"/>
      <x:c r="W272" s="32"/>
      <x:c r="X272" s="32"/>
      <x:c r="Y272" s="32"/>
      <x:c r="Z272" s="32"/>
      <x:c r="AA272" s="32"/>
      <x:c r="AB272" s="32"/>
      <x:c r="AC272" s="32"/>
      <x:c r="AD272" s="32"/>
      <x:c r="AE272" s="32"/>
      <x:c r="AF272" s="32"/>
      <x:c r="AG272" s="32"/>
      <x:c r="AH272" s="32"/>
      <x:c r="AI272" s="32"/>
      <x:c r="AJ272" s="32"/>
      <x:c r="AK272" s="32"/>
      <x:c r="AL272" s="32"/>
      <x:c r="AM272" s="32"/>
      <x:c r="AN272" s="32"/>
      <x:c r="AO272" s="32"/>
      <x:c r="AP272" s="32"/>
      <x:c r="AQ272" s="32"/>
      <x:c r="AR272" s="32"/>
      <x:c r="AS272" s="32"/>
      <x:c r="AT272" s="32"/>
      <x:c r="AU272" s="32"/>
      <x:c r="AV272" s="32"/>
      <x:c r="AW272" s="32"/>
      <x:c r="AX272" s="32"/>
      <x:c r="AZ272" s="32"/>
      <x:c r="BA272" s="32"/>
      <x:c r="BB272" s="32"/>
      <x:c r="BC272" s="32"/>
      <x:c r="BD272" s="32"/>
      <x:c r="BE272" s="32"/>
      <x:c r="BF272" s="32"/>
      <x:c r="BG272" s="32"/>
      <x:c r="BH272" s="32"/>
      <x:c r="BI272" s="32"/>
      <x:c r="BJ272" s="32"/>
      <x:c r="BK272" s="32"/>
      <x:c r="BL272" s="32"/>
      <x:c r="BM272" s="32"/>
    </x:row>
    <x:row r="273">
      <x:c r="A273" s="32"/>
      <x:c r="B273" s="32"/>
      <x:c r="C273" s="42"/>
      <x:c r="D273" s="32"/>
      <x:c r="E273" s="32"/>
      <x:c r="F273" s="32"/>
      <x:c r="G273" s="32"/>
      <x:c r="H273" s="32"/>
      <x:c r="I273" s="32"/>
      <x:c r="J273" s="32"/>
      <x:c r="K273" s="32"/>
      <x:c r="L273" s="32"/>
      <x:c r="M273" s="32"/>
      <x:c r="N273" s="32"/>
      <x:c r="O273" s="32"/>
      <x:c r="P273" s="32"/>
      <x:c r="Q273" s="32"/>
      <x:c r="R273" s="32"/>
      <x:c r="S273" s="32"/>
      <x:c r="T273" s="43" t="str">
        <x:f>IFERROR(S273/L273,"")</x:f>
      </x:c>
      <x:c r="U273" s="32"/>
      <x:c r="V273" s="32"/>
      <x:c r="W273" s="32"/>
      <x:c r="X273" s="32"/>
      <x:c r="Y273" s="32"/>
      <x:c r="Z273" s="32"/>
      <x:c r="AA273" s="32"/>
      <x:c r="AB273" s="32"/>
      <x:c r="AC273" s="32"/>
      <x:c r="AD273" s="32"/>
      <x:c r="AE273" s="32"/>
      <x:c r="AF273" s="32"/>
      <x:c r="AG273" s="32"/>
      <x:c r="AH273" s="32"/>
      <x:c r="AI273" s="32"/>
      <x:c r="AJ273" s="32"/>
      <x:c r="AK273" s="32"/>
      <x:c r="AL273" s="32"/>
      <x:c r="AM273" s="32"/>
      <x:c r="AN273" s="32"/>
      <x:c r="AO273" s="32"/>
      <x:c r="AP273" s="32"/>
      <x:c r="AQ273" s="32"/>
      <x:c r="AR273" s="32"/>
      <x:c r="AS273" s="32"/>
      <x:c r="AT273" s="32"/>
      <x:c r="AU273" s="32"/>
      <x:c r="AV273" s="32"/>
      <x:c r="AW273" s="32"/>
      <x:c r="AX273" s="32"/>
      <x:c r="AZ273" s="32"/>
      <x:c r="BA273" s="32"/>
      <x:c r="BB273" s="32"/>
      <x:c r="BC273" s="32"/>
      <x:c r="BD273" s="32"/>
      <x:c r="BE273" s="32"/>
      <x:c r="BF273" s="32"/>
      <x:c r="BG273" s="32"/>
      <x:c r="BH273" s="32"/>
      <x:c r="BI273" s="32"/>
      <x:c r="BJ273" s="32"/>
      <x:c r="BK273" s="32"/>
      <x:c r="BL273" s="32"/>
      <x:c r="BM273" s="32"/>
    </x:row>
    <x:row r="274">
      <x:c r="A274" s="32"/>
      <x:c r="B274" s="32"/>
      <x:c r="C274" s="42"/>
      <x:c r="D274" s="32"/>
      <x:c r="E274" s="32"/>
      <x:c r="F274" s="32"/>
      <x:c r="G274" s="32"/>
      <x:c r="H274" s="32"/>
      <x:c r="I274" s="32"/>
      <x:c r="J274" s="32"/>
      <x:c r="K274" s="32"/>
      <x:c r="L274" s="32"/>
      <x:c r="M274" s="32"/>
      <x:c r="N274" s="32"/>
      <x:c r="O274" s="32"/>
      <x:c r="P274" s="32"/>
      <x:c r="Q274" s="32"/>
      <x:c r="R274" s="32"/>
      <x:c r="S274" s="32"/>
      <x:c r="T274" s="43" t="str">
        <x:f>IFERROR(S274/L274,"")</x:f>
      </x:c>
      <x:c r="U274" s="32"/>
      <x:c r="V274" s="32"/>
      <x:c r="W274" s="32"/>
      <x:c r="X274" s="32"/>
      <x:c r="Y274" s="32"/>
      <x:c r="Z274" s="32"/>
      <x:c r="AA274" s="32"/>
      <x:c r="AB274" s="32"/>
      <x:c r="AC274" s="32"/>
      <x:c r="AD274" s="32"/>
      <x:c r="AE274" s="32"/>
      <x:c r="AF274" s="32"/>
      <x:c r="AG274" s="32"/>
      <x:c r="AH274" s="32"/>
      <x:c r="AI274" s="32"/>
      <x:c r="AJ274" s="32"/>
      <x:c r="AK274" s="32"/>
      <x:c r="AL274" s="32"/>
      <x:c r="AM274" s="32"/>
      <x:c r="AN274" s="32"/>
      <x:c r="AO274" s="32"/>
      <x:c r="AP274" s="32"/>
      <x:c r="AQ274" s="32"/>
      <x:c r="AR274" s="32"/>
      <x:c r="AS274" s="32"/>
      <x:c r="AT274" s="32"/>
      <x:c r="AU274" s="32"/>
      <x:c r="AV274" s="32"/>
      <x:c r="AW274" s="32"/>
      <x:c r="AX274" s="32"/>
      <x:c r="AZ274" s="32"/>
      <x:c r="BA274" s="32"/>
      <x:c r="BB274" s="32"/>
      <x:c r="BC274" s="32"/>
      <x:c r="BD274" s="32"/>
      <x:c r="BE274" s="32"/>
      <x:c r="BF274" s="32"/>
      <x:c r="BG274" s="32"/>
      <x:c r="BH274" s="32"/>
      <x:c r="BI274" s="32"/>
      <x:c r="BJ274" s="32"/>
      <x:c r="BK274" s="32"/>
      <x:c r="BL274" s="32"/>
      <x:c r="BM274" s="32"/>
    </x:row>
    <x:row r="275">
      <x:c r="A275" s="32"/>
      <x:c r="B275" s="32"/>
      <x:c r="C275" s="42"/>
      <x:c r="D275" s="32"/>
      <x:c r="E275" s="32"/>
      <x:c r="F275" s="32"/>
      <x:c r="G275" s="32"/>
      <x:c r="H275" s="32"/>
      <x:c r="I275" s="32"/>
      <x:c r="J275" s="32"/>
      <x:c r="K275" s="32"/>
      <x:c r="L275" s="32"/>
      <x:c r="M275" s="32"/>
      <x:c r="N275" s="32"/>
      <x:c r="O275" s="32"/>
      <x:c r="P275" s="32"/>
      <x:c r="Q275" s="32"/>
      <x:c r="R275" s="32"/>
      <x:c r="S275" s="32"/>
      <x:c r="T275" s="43" t="str">
        <x:f>IFERROR(S275/L275,"")</x:f>
      </x:c>
      <x:c r="U275" s="32"/>
      <x:c r="V275" s="32"/>
      <x:c r="W275" s="32"/>
      <x:c r="X275" s="32"/>
      <x:c r="Y275" s="32"/>
      <x:c r="Z275" s="32"/>
      <x:c r="AA275" s="32"/>
      <x:c r="AB275" s="32"/>
      <x:c r="AC275" s="32"/>
      <x:c r="AD275" s="32"/>
      <x:c r="AE275" s="32"/>
      <x:c r="AF275" s="32"/>
      <x:c r="AG275" s="32"/>
      <x:c r="AH275" s="32"/>
      <x:c r="AI275" s="32"/>
      <x:c r="AJ275" s="32"/>
      <x:c r="AK275" s="32"/>
      <x:c r="AL275" s="32"/>
      <x:c r="AM275" s="32"/>
      <x:c r="AN275" s="32"/>
      <x:c r="AO275" s="32"/>
      <x:c r="AP275" s="32"/>
      <x:c r="AQ275" s="32"/>
      <x:c r="AR275" s="32"/>
      <x:c r="AS275" s="32"/>
      <x:c r="AT275" s="32"/>
      <x:c r="AU275" s="32"/>
      <x:c r="AV275" s="32"/>
      <x:c r="AW275" s="32"/>
      <x:c r="AX275" s="32"/>
      <x:c r="AZ275" s="32"/>
      <x:c r="BA275" s="32"/>
      <x:c r="BB275" s="32"/>
      <x:c r="BC275" s="32"/>
      <x:c r="BD275" s="32"/>
      <x:c r="BE275" s="32"/>
      <x:c r="BF275" s="32"/>
      <x:c r="BG275" s="32"/>
      <x:c r="BH275" s="32"/>
      <x:c r="BI275" s="32"/>
      <x:c r="BJ275" s="32"/>
      <x:c r="BK275" s="32"/>
      <x:c r="BL275" s="32"/>
      <x:c r="BM275" s="32"/>
    </x:row>
    <x:row r="276">
      <x:c r="A276" s="32"/>
      <x:c r="B276" s="32"/>
      <x:c r="C276" s="42"/>
      <x:c r="D276" s="32"/>
      <x:c r="E276" s="32"/>
      <x:c r="F276" s="32"/>
      <x:c r="G276" s="32"/>
      <x:c r="H276" s="32"/>
      <x:c r="I276" s="32"/>
      <x:c r="J276" s="32"/>
      <x:c r="K276" s="32"/>
      <x:c r="L276" s="32"/>
      <x:c r="M276" s="32"/>
      <x:c r="N276" s="32"/>
      <x:c r="O276" s="32"/>
      <x:c r="P276" s="32"/>
      <x:c r="Q276" s="32"/>
      <x:c r="R276" s="32"/>
      <x:c r="S276" s="32"/>
      <x:c r="T276" s="43" t="str">
        <x:f>IFERROR(S276/L276,"")</x:f>
      </x:c>
      <x:c r="U276" s="32"/>
      <x:c r="V276" s="32"/>
      <x:c r="W276" s="32"/>
      <x:c r="X276" s="32"/>
      <x:c r="Y276" s="32"/>
      <x:c r="Z276" s="32"/>
      <x:c r="AA276" s="32"/>
      <x:c r="AB276" s="32"/>
      <x:c r="AC276" s="32"/>
      <x:c r="AD276" s="32"/>
      <x:c r="AE276" s="32"/>
      <x:c r="AF276" s="32"/>
      <x:c r="AG276" s="32"/>
      <x:c r="AH276" s="32"/>
      <x:c r="AI276" s="32"/>
      <x:c r="AJ276" s="32"/>
      <x:c r="AK276" s="32"/>
      <x:c r="AL276" s="32"/>
      <x:c r="AM276" s="32"/>
      <x:c r="AN276" s="32"/>
      <x:c r="AO276" s="32"/>
      <x:c r="AP276" s="32"/>
      <x:c r="AQ276" s="32"/>
      <x:c r="AR276" s="32"/>
      <x:c r="AS276" s="32"/>
      <x:c r="AT276" s="32"/>
      <x:c r="AU276" s="32"/>
      <x:c r="AV276" s="32"/>
      <x:c r="AW276" s="32"/>
      <x:c r="AX276" s="32"/>
      <x:c r="AZ276" s="32"/>
      <x:c r="BA276" s="32"/>
      <x:c r="BB276" s="32"/>
      <x:c r="BC276" s="32"/>
      <x:c r="BD276" s="32"/>
      <x:c r="BE276" s="32"/>
      <x:c r="BF276" s="32"/>
      <x:c r="BG276" s="32"/>
      <x:c r="BH276" s="32"/>
      <x:c r="BI276" s="32"/>
      <x:c r="BJ276" s="32"/>
      <x:c r="BK276" s="32"/>
      <x:c r="BL276" s="32"/>
      <x:c r="BM276" s="32"/>
    </x:row>
    <x:row r="277">
      <x:c r="A277" s="32"/>
      <x:c r="B277" s="32"/>
      <x:c r="C277" s="42"/>
      <x:c r="D277" s="32"/>
      <x:c r="E277" s="32"/>
      <x:c r="F277" s="32"/>
      <x:c r="G277" s="32"/>
      <x:c r="H277" s="32"/>
      <x:c r="I277" s="32"/>
      <x:c r="J277" s="32"/>
      <x:c r="K277" s="32"/>
      <x:c r="L277" s="32"/>
      <x:c r="M277" s="32"/>
      <x:c r="N277" s="32"/>
      <x:c r="O277" s="32"/>
      <x:c r="P277" s="32"/>
      <x:c r="Q277" s="32"/>
      <x:c r="R277" s="32"/>
      <x:c r="S277" s="32"/>
      <x:c r="T277" s="43" t="str">
        <x:f>IFERROR(S277/L277,"")</x:f>
      </x:c>
      <x:c r="U277" s="32"/>
      <x:c r="V277" s="32"/>
      <x:c r="W277" s="32"/>
      <x:c r="X277" s="32"/>
      <x:c r="Y277" s="32"/>
      <x:c r="Z277" s="32"/>
      <x:c r="AA277" s="32"/>
      <x:c r="AB277" s="32"/>
      <x:c r="AC277" s="32"/>
      <x:c r="AD277" s="32"/>
      <x:c r="AE277" s="32"/>
      <x:c r="AF277" s="32"/>
      <x:c r="AG277" s="32"/>
      <x:c r="AH277" s="32"/>
      <x:c r="AI277" s="32"/>
      <x:c r="AJ277" s="32"/>
      <x:c r="AK277" s="32"/>
      <x:c r="AL277" s="32"/>
      <x:c r="AM277" s="32"/>
      <x:c r="AN277" s="32"/>
      <x:c r="AO277" s="32"/>
      <x:c r="AP277" s="32"/>
      <x:c r="AQ277" s="32"/>
      <x:c r="AR277" s="32"/>
      <x:c r="AS277" s="32"/>
      <x:c r="AT277" s="32"/>
      <x:c r="AU277" s="32"/>
      <x:c r="AV277" s="32"/>
      <x:c r="AW277" s="32"/>
      <x:c r="AX277" s="32"/>
      <x:c r="AZ277" s="32"/>
      <x:c r="BA277" s="32"/>
      <x:c r="BB277" s="32"/>
      <x:c r="BC277" s="32"/>
      <x:c r="BD277" s="32"/>
      <x:c r="BE277" s="32"/>
      <x:c r="BF277" s="32"/>
      <x:c r="BG277" s="32"/>
      <x:c r="BH277" s="32"/>
      <x:c r="BI277" s="32"/>
      <x:c r="BJ277" s="32"/>
      <x:c r="BK277" s="32"/>
      <x:c r="BL277" s="32"/>
      <x:c r="BM277" s="32"/>
    </x:row>
    <x:row r="278">
      <x:c r="A278" s="32"/>
      <x:c r="B278" s="32"/>
      <x:c r="C278" s="42"/>
      <x:c r="D278" s="32"/>
      <x:c r="E278" s="32"/>
      <x:c r="F278" s="32"/>
      <x:c r="G278" s="32"/>
      <x:c r="H278" s="32"/>
      <x:c r="I278" s="32"/>
      <x:c r="J278" s="32"/>
      <x:c r="K278" s="32"/>
      <x:c r="L278" s="32"/>
      <x:c r="M278" s="32"/>
      <x:c r="N278" s="32"/>
      <x:c r="O278" s="32"/>
      <x:c r="P278" s="32"/>
      <x:c r="Q278" s="32"/>
      <x:c r="R278" s="32"/>
      <x:c r="S278" s="32"/>
      <x:c r="T278" s="43" t="str">
        <x:f>IFERROR(S278/L278,"")</x:f>
      </x:c>
      <x:c r="U278" s="32"/>
      <x:c r="V278" s="32"/>
      <x:c r="W278" s="32"/>
      <x:c r="X278" s="32"/>
      <x:c r="Y278" s="32"/>
      <x:c r="Z278" s="32"/>
      <x:c r="AA278" s="32"/>
      <x:c r="AB278" s="32"/>
      <x:c r="AC278" s="32"/>
      <x:c r="AD278" s="32"/>
      <x:c r="AE278" s="32"/>
      <x:c r="AF278" s="32"/>
      <x:c r="AG278" s="32"/>
      <x:c r="AH278" s="32"/>
      <x:c r="AI278" s="32"/>
      <x:c r="AJ278" s="32"/>
      <x:c r="AK278" s="32"/>
      <x:c r="AL278" s="32"/>
      <x:c r="AM278" s="32"/>
      <x:c r="AN278" s="32"/>
      <x:c r="AO278" s="32"/>
      <x:c r="AP278" s="32"/>
      <x:c r="AQ278" s="32"/>
      <x:c r="AR278" s="32"/>
      <x:c r="AS278" s="32"/>
      <x:c r="AT278" s="32"/>
      <x:c r="AU278" s="32"/>
      <x:c r="AV278" s="32"/>
      <x:c r="AW278" s="32"/>
      <x:c r="AX278" s="32"/>
      <x:c r="AZ278" s="32"/>
      <x:c r="BA278" s="32"/>
      <x:c r="BB278" s="32"/>
      <x:c r="BC278" s="32"/>
      <x:c r="BD278" s="32"/>
      <x:c r="BE278" s="32"/>
      <x:c r="BF278" s="32"/>
      <x:c r="BG278" s="32"/>
      <x:c r="BH278" s="32"/>
      <x:c r="BI278" s="32"/>
      <x:c r="BJ278" s="32"/>
      <x:c r="BK278" s="32"/>
      <x:c r="BL278" s="32"/>
      <x:c r="BM278" s="32"/>
    </x:row>
    <x:row r="279">
      <x:c r="A279" s="32"/>
      <x:c r="B279" s="32"/>
      <x:c r="C279" s="42"/>
      <x:c r="D279" s="32"/>
      <x:c r="E279" s="32"/>
      <x:c r="F279" s="32"/>
      <x:c r="G279" s="32"/>
      <x:c r="H279" s="32"/>
      <x:c r="I279" s="32"/>
      <x:c r="J279" s="32"/>
      <x:c r="K279" s="32"/>
      <x:c r="L279" s="32"/>
      <x:c r="M279" s="32"/>
      <x:c r="N279" s="32"/>
      <x:c r="O279" s="32"/>
      <x:c r="P279" s="32"/>
      <x:c r="Q279" s="32"/>
      <x:c r="R279" s="32"/>
      <x:c r="S279" s="32"/>
      <x:c r="T279" s="43" t="str">
        <x:f>IFERROR(S279/L279,"")</x:f>
      </x:c>
      <x:c r="U279" s="32"/>
      <x:c r="V279" s="32"/>
      <x:c r="W279" s="32"/>
      <x:c r="X279" s="32"/>
      <x:c r="Y279" s="32"/>
      <x:c r="Z279" s="32"/>
      <x:c r="AA279" s="32"/>
      <x:c r="AB279" s="32"/>
      <x:c r="AC279" s="32"/>
      <x:c r="AD279" s="32"/>
      <x:c r="AE279" s="32"/>
      <x:c r="AF279" s="32"/>
      <x:c r="AG279" s="32"/>
      <x:c r="AH279" s="32"/>
      <x:c r="AI279" s="32"/>
      <x:c r="AJ279" s="32"/>
      <x:c r="AK279" s="32"/>
      <x:c r="AL279" s="32"/>
      <x:c r="AM279" s="32"/>
      <x:c r="AN279" s="32"/>
      <x:c r="AO279" s="32"/>
      <x:c r="AP279" s="32"/>
      <x:c r="AQ279" s="32"/>
      <x:c r="AR279" s="32"/>
      <x:c r="AS279" s="32"/>
      <x:c r="AT279" s="32"/>
      <x:c r="AU279" s="32"/>
      <x:c r="AV279" s="32"/>
      <x:c r="AW279" s="32"/>
      <x:c r="AX279" s="32"/>
      <x:c r="AZ279" s="32"/>
      <x:c r="BA279" s="32"/>
      <x:c r="BB279" s="32"/>
      <x:c r="BC279" s="32"/>
      <x:c r="BD279" s="32"/>
      <x:c r="BE279" s="32"/>
      <x:c r="BF279" s="32"/>
      <x:c r="BG279" s="32"/>
      <x:c r="BH279" s="32"/>
      <x:c r="BI279" s="32"/>
      <x:c r="BJ279" s="32"/>
      <x:c r="BK279" s="32"/>
      <x:c r="BL279" s="32"/>
      <x:c r="BM279" s="32"/>
    </x:row>
    <x:row r="280">
      <x:c r="A280" s="32"/>
      <x:c r="B280" s="32"/>
      <x:c r="C280" s="42"/>
      <x:c r="D280" s="32"/>
      <x:c r="E280" s="32"/>
      <x:c r="F280" s="32"/>
      <x:c r="G280" s="32"/>
      <x:c r="H280" s="32"/>
      <x:c r="I280" s="32"/>
      <x:c r="J280" s="32"/>
      <x:c r="K280" s="32"/>
      <x:c r="L280" s="32"/>
      <x:c r="M280" s="32"/>
      <x:c r="N280" s="32"/>
      <x:c r="O280" s="32"/>
      <x:c r="P280" s="32"/>
      <x:c r="Q280" s="32"/>
      <x:c r="R280" s="32"/>
      <x:c r="S280" s="32"/>
      <x:c r="T280" s="43" t="str">
        <x:f>IFERROR(S280/L280,"")</x:f>
      </x:c>
      <x:c r="U280" s="32"/>
      <x:c r="V280" s="32"/>
      <x:c r="W280" s="32"/>
      <x:c r="X280" s="32"/>
      <x:c r="Y280" s="32"/>
      <x:c r="Z280" s="32"/>
      <x:c r="AA280" s="32"/>
      <x:c r="AB280" s="32"/>
      <x:c r="AC280" s="32"/>
      <x:c r="AD280" s="32"/>
      <x:c r="AE280" s="32"/>
      <x:c r="AF280" s="32"/>
      <x:c r="AG280" s="32"/>
      <x:c r="AH280" s="32"/>
      <x:c r="AI280" s="32"/>
      <x:c r="AJ280" s="32"/>
      <x:c r="AK280" s="32"/>
      <x:c r="AL280" s="32"/>
      <x:c r="AM280" s="32"/>
      <x:c r="AN280" s="32"/>
      <x:c r="AO280" s="32"/>
      <x:c r="AP280" s="32"/>
      <x:c r="AQ280" s="32"/>
      <x:c r="AR280" s="32"/>
      <x:c r="AS280" s="32"/>
      <x:c r="AT280" s="32"/>
      <x:c r="AU280" s="32"/>
      <x:c r="AV280" s="32"/>
      <x:c r="AW280" s="32"/>
      <x:c r="AX280" s="32"/>
      <x:c r="AZ280" s="32"/>
      <x:c r="BA280" s="32"/>
      <x:c r="BB280" s="32"/>
      <x:c r="BC280" s="32"/>
      <x:c r="BD280" s="32"/>
      <x:c r="BE280" s="32"/>
      <x:c r="BF280" s="32"/>
      <x:c r="BG280" s="32"/>
      <x:c r="BH280" s="32"/>
      <x:c r="BI280" s="32"/>
      <x:c r="BJ280" s="32"/>
      <x:c r="BK280" s="32"/>
      <x:c r="BL280" s="32"/>
      <x:c r="BM280" s="32"/>
    </x:row>
    <x:row r="281">
      <x:c r="A281" s="32"/>
      <x:c r="B281" s="32"/>
      <x:c r="C281" s="42"/>
      <x:c r="D281" s="32"/>
      <x:c r="E281" s="32"/>
      <x:c r="F281" s="32"/>
      <x:c r="G281" s="32"/>
      <x:c r="H281" s="32"/>
      <x:c r="I281" s="32"/>
      <x:c r="J281" s="32"/>
      <x:c r="K281" s="32"/>
      <x:c r="L281" s="32"/>
      <x:c r="M281" s="32"/>
      <x:c r="N281" s="32"/>
      <x:c r="O281" s="32"/>
      <x:c r="P281" s="32"/>
      <x:c r="Q281" s="32"/>
      <x:c r="R281" s="32"/>
      <x:c r="S281" s="32"/>
      <x:c r="T281" s="43" t="str">
        <x:f>IFERROR(S281/L281,"")</x:f>
      </x:c>
      <x:c r="U281" s="32"/>
      <x:c r="V281" s="32"/>
      <x:c r="W281" s="32"/>
      <x:c r="X281" s="32"/>
      <x:c r="Y281" s="32"/>
      <x:c r="Z281" s="32"/>
      <x:c r="AA281" s="32"/>
      <x:c r="AB281" s="32"/>
      <x:c r="AC281" s="32"/>
      <x:c r="AD281" s="32"/>
      <x:c r="AE281" s="32"/>
      <x:c r="AF281" s="32"/>
      <x:c r="AG281" s="32"/>
      <x:c r="AH281" s="32"/>
      <x:c r="AI281" s="32"/>
      <x:c r="AJ281" s="32"/>
      <x:c r="AK281" s="32"/>
      <x:c r="AL281" s="32"/>
      <x:c r="AM281" s="32"/>
      <x:c r="AN281" s="32"/>
      <x:c r="AO281" s="32"/>
      <x:c r="AP281" s="32"/>
      <x:c r="AQ281" s="32"/>
      <x:c r="AR281" s="32"/>
      <x:c r="AS281" s="32"/>
      <x:c r="AT281" s="32"/>
      <x:c r="AU281" s="32"/>
      <x:c r="AV281" s="32"/>
      <x:c r="AW281" s="32"/>
      <x:c r="AX281" s="32"/>
      <x:c r="AZ281" s="32"/>
      <x:c r="BA281" s="32"/>
      <x:c r="BB281" s="32"/>
      <x:c r="BC281" s="32"/>
      <x:c r="BD281" s="32"/>
      <x:c r="BE281" s="32"/>
      <x:c r="BF281" s="32"/>
      <x:c r="BG281" s="32"/>
      <x:c r="BH281" s="32"/>
      <x:c r="BI281" s="32"/>
      <x:c r="BJ281" s="32"/>
      <x:c r="BK281" s="32"/>
      <x:c r="BL281" s="32"/>
      <x:c r="BM281" s="32"/>
    </x:row>
    <x:row r="282">
      <x:c r="A282" s="32"/>
      <x:c r="B282" s="32"/>
      <x:c r="C282" s="42"/>
      <x:c r="D282" s="32"/>
      <x:c r="E282" s="32"/>
      <x:c r="F282" s="32"/>
      <x:c r="G282" s="32"/>
      <x:c r="H282" s="32"/>
      <x:c r="I282" s="32"/>
      <x:c r="J282" s="32"/>
      <x:c r="K282" s="32"/>
      <x:c r="L282" s="32"/>
      <x:c r="M282" s="32"/>
      <x:c r="N282" s="32"/>
      <x:c r="O282" s="32"/>
      <x:c r="P282" s="32"/>
      <x:c r="Q282" s="32"/>
      <x:c r="R282" s="32"/>
      <x:c r="S282" s="32"/>
      <x:c r="T282" s="43" t="str">
        <x:f>IFERROR(S282/L282,"")</x:f>
      </x:c>
      <x:c r="U282" s="32"/>
      <x:c r="V282" s="32"/>
      <x:c r="W282" s="32"/>
      <x:c r="X282" s="32"/>
      <x:c r="Y282" s="32"/>
      <x:c r="Z282" s="32"/>
      <x:c r="AA282" s="32"/>
      <x:c r="AB282" s="32"/>
      <x:c r="AC282" s="32"/>
      <x:c r="AD282" s="32"/>
      <x:c r="AE282" s="32"/>
      <x:c r="AF282" s="32"/>
      <x:c r="AG282" s="32"/>
      <x:c r="AH282" s="32"/>
      <x:c r="AI282" s="32"/>
      <x:c r="AJ282" s="32"/>
      <x:c r="AK282" s="32"/>
      <x:c r="AL282" s="32"/>
      <x:c r="AM282" s="32"/>
      <x:c r="AN282" s="32"/>
      <x:c r="AO282" s="32"/>
      <x:c r="AP282" s="32"/>
      <x:c r="AQ282" s="32"/>
      <x:c r="AR282" s="32"/>
      <x:c r="AS282" s="32"/>
      <x:c r="AT282" s="32"/>
      <x:c r="AU282" s="32"/>
      <x:c r="AV282" s="32"/>
      <x:c r="AW282" s="32"/>
      <x:c r="AX282" s="32"/>
      <x:c r="AZ282" s="32"/>
      <x:c r="BA282" s="32"/>
      <x:c r="BB282" s="32"/>
      <x:c r="BC282" s="32"/>
      <x:c r="BD282" s="32"/>
      <x:c r="BE282" s="32"/>
      <x:c r="BF282" s="32"/>
      <x:c r="BG282" s="32"/>
      <x:c r="BH282" s="32"/>
      <x:c r="BI282" s="32"/>
      <x:c r="BJ282" s="32"/>
      <x:c r="BK282" s="32"/>
      <x:c r="BL282" s="32"/>
      <x:c r="BM282" s="32"/>
    </x:row>
    <x:row r="283">
      <x:c r="A283" s="32"/>
      <x:c r="B283" s="32"/>
      <x:c r="C283" s="42"/>
      <x:c r="D283" s="32"/>
      <x:c r="E283" s="32"/>
      <x:c r="F283" s="32"/>
      <x:c r="G283" s="32"/>
      <x:c r="H283" s="32"/>
      <x:c r="I283" s="32"/>
      <x:c r="J283" s="32"/>
      <x:c r="K283" s="32"/>
      <x:c r="L283" s="32"/>
      <x:c r="M283" s="32"/>
      <x:c r="N283" s="32"/>
      <x:c r="O283" s="32"/>
      <x:c r="P283" s="32"/>
      <x:c r="Q283" s="32"/>
      <x:c r="R283" s="32"/>
      <x:c r="S283" s="32"/>
      <x:c r="T283" s="43" t="str">
        <x:f>IFERROR(S283/L283,"")</x:f>
      </x:c>
      <x:c r="U283" s="32"/>
      <x:c r="V283" s="32"/>
      <x:c r="W283" s="32"/>
      <x:c r="X283" s="32"/>
      <x:c r="Y283" s="32"/>
      <x:c r="Z283" s="32"/>
      <x:c r="AA283" s="32"/>
      <x:c r="AB283" s="32"/>
      <x:c r="AC283" s="32"/>
      <x:c r="AD283" s="32"/>
      <x:c r="AE283" s="32"/>
      <x:c r="AF283" s="32"/>
      <x:c r="AG283" s="32"/>
      <x:c r="AH283" s="32"/>
      <x:c r="AI283" s="32"/>
      <x:c r="AJ283" s="32"/>
      <x:c r="AK283" s="32"/>
      <x:c r="AL283" s="32"/>
      <x:c r="AM283" s="32"/>
      <x:c r="AN283" s="32"/>
      <x:c r="AO283" s="32"/>
      <x:c r="AP283" s="32"/>
      <x:c r="AQ283" s="32"/>
      <x:c r="AR283" s="32"/>
      <x:c r="AS283" s="32"/>
      <x:c r="AT283" s="32"/>
      <x:c r="AU283" s="32"/>
      <x:c r="AV283" s="32"/>
      <x:c r="AW283" s="32"/>
      <x:c r="AX283" s="32"/>
      <x:c r="AZ283" s="32"/>
      <x:c r="BA283" s="32"/>
      <x:c r="BB283" s="32"/>
      <x:c r="BC283" s="32"/>
      <x:c r="BD283" s="32"/>
      <x:c r="BE283" s="32"/>
      <x:c r="BF283" s="32"/>
      <x:c r="BG283" s="32"/>
      <x:c r="BH283" s="32"/>
      <x:c r="BI283" s="32"/>
      <x:c r="BJ283" s="32"/>
      <x:c r="BK283" s="32"/>
      <x:c r="BL283" s="32"/>
      <x:c r="BM283" s="32"/>
    </x:row>
    <x:row r="284">
      <x:c r="A284" s="32"/>
      <x:c r="B284" s="32"/>
      <x:c r="C284" s="42"/>
      <x:c r="D284" s="32"/>
      <x:c r="E284" s="32"/>
      <x:c r="F284" s="32"/>
      <x:c r="G284" s="32"/>
      <x:c r="H284" s="32"/>
      <x:c r="I284" s="32"/>
      <x:c r="J284" s="32"/>
      <x:c r="K284" s="32"/>
      <x:c r="L284" s="32"/>
      <x:c r="M284" s="32"/>
      <x:c r="N284" s="32"/>
      <x:c r="O284" s="32"/>
      <x:c r="P284" s="32"/>
      <x:c r="Q284" s="32"/>
      <x:c r="R284" s="32"/>
      <x:c r="S284" s="32"/>
      <x:c r="T284" s="43" t="str">
        <x:f>IFERROR(S284/L284,"")</x:f>
      </x:c>
      <x:c r="U284" s="32"/>
      <x:c r="V284" s="32"/>
      <x:c r="W284" s="32"/>
      <x:c r="X284" s="32"/>
      <x:c r="Y284" s="32"/>
      <x:c r="Z284" s="32"/>
      <x:c r="AA284" s="32"/>
      <x:c r="AB284" s="32"/>
      <x:c r="AC284" s="32"/>
      <x:c r="AD284" s="32"/>
      <x:c r="AE284" s="32"/>
      <x:c r="AF284" s="32"/>
      <x:c r="AG284" s="32"/>
      <x:c r="AH284" s="32"/>
      <x:c r="AI284" s="32"/>
      <x:c r="AJ284" s="32"/>
      <x:c r="AK284" s="32"/>
      <x:c r="AL284" s="32"/>
      <x:c r="AM284" s="32"/>
      <x:c r="AN284" s="32"/>
      <x:c r="AO284" s="32"/>
      <x:c r="AP284" s="32"/>
      <x:c r="AQ284" s="32"/>
      <x:c r="AR284" s="32"/>
      <x:c r="AS284" s="32"/>
      <x:c r="AT284" s="32"/>
      <x:c r="AU284" s="32"/>
      <x:c r="AV284" s="32"/>
      <x:c r="AW284" s="32"/>
      <x:c r="AX284" s="32"/>
      <x:c r="AZ284" s="32"/>
      <x:c r="BA284" s="32"/>
      <x:c r="BB284" s="32"/>
      <x:c r="BC284" s="32"/>
      <x:c r="BD284" s="32"/>
      <x:c r="BE284" s="32"/>
      <x:c r="BF284" s="32"/>
      <x:c r="BG284" s="32"/>
      <x:c r="BH284" s="32"/>
      <x:c r="BI284" s="32"/>
      <x:c r="BJ284" s="32"/>
      <x:c r="BK284" s="32"/>
      <x:c r="BL284" s="32"/>
      <x:c r="BM284" s="32"/>
    </x:row>
    <x:row r="285">
      <x:c r="A285" s="32"/>
      <x:c r="B285" s="32"/>
      <x:c r="C285" s="42"/>
      <x:c r="D285" s="32"/>
      <x:c r="E285" s="32"/>
      <x:c r="F285" s="32"/>
      <x:c r="G285" s="32"/>
      <x:c r="H285" s="32"/>
      <x:c r="I285" s="32"/>
      <x:c r="J285" s="32"/>
      <x:c r="K285" s="32"/>
      <x:c r="L285" s="32"/>
      <x:c r="M285" s="32"/>
      <x:c r="N285" s="32"/>
      <x:c r="O285" s="32"/>
      <x:c r="P285" s="32"/>
      <x:c r="Q285" s="32"/>
      <x:c r="R285" s="32"/>
      <x:c r="S285" s="32"/>
      <x:c r="T285" s="43" t="str">
        <x:f>IFERROR(S285/L285,"")</x:f>
      </x:c>
      <x:c r="U285" s="32"/>
      <x:c r="V285" s="32"/>
      <x:c r="W285" s="32"/>
      <x:c r="X285" s="32"/>
      <x:c r="Y285" s="32"/>
      <x:c r="Z285" s="32"/>
      <x:c r="AA285" s="32"/>
      <x:c r="AB285" s="32"/>
      <x:c r="AC285" s="32"/>
      <x:c r="AD285" s="32"/>
      <x:c r="AE285" s="32"/>
      <x:c r="AF285" s="32"/>
      <x:c r="AG285" s="32"/>
      <x:c r="AH285" s="32"/>
      <x:c r="AI285" s="32"/>
      <x:c r="AJ285" s="32"/>
      <x:c r="AK285" s="32"/>
      <x:c r="AL285" s="32"/>
      <x:c r="AM285" s="32"/>
      <x:c r="AN285" s="32"/>
      <x:c r="AO285" s="32"/>
      <x:c r="AP285" s="32"/>
      <x:c r="AQ285" s="32"/>
      <x:c r="AR285" s="32"/>
      <x:c r="AS285" s="32"/>
      <x:c r="AT285" s="32"/>
      <x:c r="AU285" s="32"/>
      <x:c r="AV285" s="32"/>
      <x:c r="AW285" s="32"/>
      <x:c r="AX285" s="32"/>
      <x:c r="AZ285" s="32"/>
      <x:c r="BA285" s="32"/>
      <x:c r="BB285" s="32"/>
      <x:c r="BC285" s="32"/>
      <x:c r="BD285" s="32"/>
      <x:c r="BE285" s="32"/>
      <x:c r="BF285" s="32"/>
      <x:c r="BG285" s="32"/>
      <x:c r="BH285" s="32"/>
      <x:c r="BI285" s="32"/>
      <x:c r="BJ285" s="32"/>
      <x:c r="BK285" s="32"/>
      <x:c r="BL285" s="32"/>
      <x:c r="BM285" s="32"/>
    </x:row>
    <x:row r="286">
      <x:c r="A286" s="32"/>
      <x:c r="B286" s="32"/>
      <x:c r="C286" s="42"/>
      <x:c r="D286" s="32"/>
      <x:c r="E286" s="32"/>
      <x:c r="F286" s="32"/>
      <x:c r="G286" s="32"/>
      <x:c r="H286" s="32"/>
      <x:c r="I286" s="32"/>
      <x:c r="J286" s="32"/>
      <x:c r="K286" s="32"/>
      <x:c r="L286" s="32"/>
      <x:c r="M286" s="32"/>
      <x:c r="N286" s="32"/>
      <x:c r="O286" s="32"/>
      <x:c r="P286" s="32"/>
      <x:c r="Q286" s="32"/>
      <x:c r="R286" s="32"/>
      <x:c r="S286" s="32"/>
      <x:c r="T286" s="43" t="str">
        <x:f>IFERROR(S286/L286,"")</x:f>
      </x:c>
      <x:c r="U286" s="32"/>
      <x:c r="V286" s="32"/>
      <x:c r="W286" s="32"/>
      <x:c r="X286" s="32"/>
      <x:c r="Y286" s="32"/>
      <x:c r="Z286" s="32"/>
      <x:c r="AA286" s="32"/>
      <x:c r="AB286" s="32"/>
      <x:c r="AC286" s="32"/>
      <x:c r="AD286" s="32"/>
      <x:c r="AE286" s="32"/>
      <x:c r="AF286" s="32"/>
      <x:c r="AG286" s="32"/>
      <x:c r="AH286" s="32"/>
      <x:c r="AI286" s="32"/>
      <x:c r="AJ286" s="32"/>
      <x:c r="AK286" s="32"/>
      <x:c r="AL286" s="32"/>
      <x:c r="AM286" s="32"/>
      <x:c r="AN286" s="32"/>
      <x:c r="AO286" s="32"/>
      <x:c r="AP286" s="32"/>
      <x:c r="AQ286" s="32"/>
      <x:c r="AR286" s="32"/>
      <x:c r="AS286" s="32"/>
      <x:c r="AT286" s="32"/>
      <x:c r="AU286" s="32"/>
      <x:c r="AV286" s="32"/>
      <x:c r="AW286" s="32"/>
      <x:c r="AX286" s="32"/>
      <x:c r="AZ286" s="32"/>
      <x:c r="BA286" s="32"/>
      <x:c r="BB286" s="32"/>
      <x:c r="BC286" s="32"/>
      <x:c r="BD286" s="32"/>
      <x:c r="BE286" s="32"/>
      <x:c r="BF286" s="32"/>
      <x:c r="BG286" s="32"/>
      <x:c r="BH286" s="32"/>
      <x:c r="BI286" s="32"/>
      <x:c r="BJ286" s="32"/>
      <x:c r="BK286" s="32"/>
      <x:c r="BL286" s="32"/>
      <x:c r="BM286" s="32"/>
    </x:row>
    <x:row r="287">
      <x:c r="A287" s="32"/>
      <x:c r="B287" s="32"/>
      <x:c r="C287" s="42"/>
      <x:c r="D287" s="32"/>
      <x:c r="E287" s="32"/>
      <x:c r="F287" s="32"/>
      <x:c r="G287" s="32"/>
      <x:c r="H287" s="32"/>
      <x:c r="I287" s="32"/>
      <x:c r="J287" s="32"/>
      <x:c r="K287" s="32"/>
      <x:c r="L287" s="32"/>
      <x:c r="M287" s="32"/>
      <x:c r="N287" s="32"/>
      <x:c r="O287" s="32"/>
      <x:c r="P287" s="32"/>
      <x:c r="Q287" s="32"/>
      <x:c r="R287" s="32"/>
      <x:c r="S287" s="32"/>
      <x:c r="T287" s="43" t="str">
        <x:f>IFERROR(S287/L287,"")</x:f>
      </x:c>
      <x:c r="U287" s="32"/>
      <x:c r="V287" s="32"/>
      <x:c r="W287" s="32"/>
      <x:c r="X287" s="32"/>
      <x:c r="Y287" s="32"/>
      <x:c r="Z287" s="32"/>
      <x:c r="AA287" s="32"/>
      <x:c r="AB287" s="32"/>
      <x:c r="AC287" s="32"/>
      <x:c r="AD287" s="32"/>
      <x:c r="AE287" s="32"/>
      <x:c r="AF287" s="32"/>
      <x:c r="AG287" s="32"/>
      <x:c r="AH287" s="32"/>
      <x:c r="AI287" s="32"/>
      <x:c r="AJ287" s="32"/>
      <x:c r="AK287" s="32"/>
      <x:c r="AL287" s="32"/>
      <x:c r="AM287" s="32"/>
      <x:c r="AN287" s="32"/>
      <x:c r="AO287" s="32"/>
      <x:c r="AP287" s="32"/>
      <x:c r="AQ287" s="32"/>
      <x:c r="AR287" s="32"/>
      <x:c r="AS287" s="32"/>
      <x:c r="AT287" s="32"/>
      <x:c r="AU287" s="32"/>
      <x:c r="AV287" s="32"/>
      <x:c r="AW287" s="32"/>
      <x:c r="AX287" s="32"/>
      <x:c r="AZ287" s="32"/>
      <x:c r="BA287" s="32"/>
      <x:c r="BB287" s="32"/>
      <x:c r="BC287" s="32"/>
      <x:c r="BD287" s="32"/>
      <x:c r="BE287" s="32"/>
      <x:c r="BF287" s="32"/>
      <x:c r="BG287" s="32"/>
      <x:c r="BH287" s="32"/>
      <x:c r="BI287" s="32"/>
      <x:c r="BJ287" s="32"/>
      <x:c r="BK287" s="32"/>
      <x:c r="BL287" s="32"/>
      <x:c r="BM287" s="32"/>
    </x:row>
    <x:row r="288">
      <x:c r="A288" s="32"/>
      <x:c r="B288" s="32"/>
      <x:c r="C288" s="42"/>
      <x:c r="D288" s="32"/>
      <x:c r="E288" s="32"/>
      <x:c r="F288" s="32"/>
      <x:c r="G288" s="32"/>
      <x:c r="H288" s="32"/>
      <x:c r="I288" s="32"/>
      <x:c r="J288" s="32"/>
      <x:c r="K288" s="32"/>
      <x:c r="L288" s="32"/>
      <x:c r="M288" s="32"/>
      <x:c r="N288" s="32"/>
      <x:c r="O288" s="32"/>
      <x:c r="P288" s="32"/>
      <x:c r="Q288" s="32"/>
      <x:c r="R288" s="32"/>
      <x:c r="S288" s="32"/>
      <x:c r="T288" s="43" t="str">
        <x:f>IFERROR(S288/L288,"")</x:f>
      </x:c>
      <x:c r="U288" s="32"/>
      <x:c r="V288" s="32"/>
      <x:c r="W288" s="32"/>
      <x:c r="X288" s="32"/>
      <x:c r="Y288" s="32"/>
      <x:c r="Z288" s="32"/>
      <x:c r="AA288" s="32"/>
      <x:c r="AB288" s="32"/>
      <x:c r="AC288" s="32"/>
      <x:c r="AD288" s="32"/>
      <x:c r="AE288" s="32"/>
      <x:c r="AF288" s="32"/>
      <x:c r="AG288" s="32"/>
      <x:c r="AH288" s="32"/>
      <x:c r="AI288" s="32"/>
      <x:c r="AJ288" s="32"/>
      <x:c r="AK288" s="32"/>
      <x:c r="AL288" s="32"/>
      <x:c r="AM288" s="32"/>
      <x:c r="AN288" s="32"/>
      <x:c r="AO288" s="32"/>
      <x:c r="AP288" s="32"/>
      <x:c r="AQ288" s="32"/>
      <x:c r="AR288" s="32"/>
      <x:c r="AS288" s="32"/>
      <x:c r="AT288" s="32"/>
      <x:c r="AU288" s="32"/>
      <x:c r="AV288" s="32"/>
      <x:c r="AW288" s="32"/>
      <x:c r="AX288" s="32"/>
      <x:c r="AZ288" s="32"/>
      <x:c r="BA288" s="32"/>
      <x:c r="BB288" s="32"/>
      <x:c r="BC288" s="32"/>
      <x:c r="BD288" s="32"/>
      <x:c r="BE288" s="32"/>
      <x:c r="BF288" s="32"/>
      <x:c r="BG288" s="32"/>
      <x:c r="BH288" s="32"/>
      <x:c r="BI288" s="32"/>
      <x:c r="BJ288" s="32"/>
      <x:c r="BK288" s="32"/>
      <x:c r="BL288" s="32"/>
      <x:c r="BM288" s="32"/>
    </x:row>
    <x:row r="289">
      <x:c r="A289" s="32"/>
      <x:c r="B289" s="32"/>
      <x:c r="C289" s="42"/>
      <x:c r="D289" s="32"/>
      <x:c r="E289" s="32"/>
      <x:c r="F289" s="32"/>
      <x:c r="G289" s="32"/>
      <x:c r="H289" s="32"/>
      <x:c r="I289" s="32"/>
      <x:c r="J289" s="32"/>
      <x:c r="K289" s="32"/>
      <x:c r="L289" s="32"/>
      <x:c r="M289" s="32"/>
      <x:c r="N289" s="32"/>
      <x:c r="O289" s="32"/>
      <x:c r="P289" s="32"/>
      <x:c r="Q289" s="32"/>
      <x:c r="R289" s="32"/>
      <x:c r="S289" s="32"/>
      <x:c r="T289" s="43" t="str">
        <x:f>IFERROR(S289/L289,"")</x:f>
      </x:c>
      <x:c r="U289" s="32"/>
      <x:c r="V289" s="32"/>
      <x:c r="W289" s="32"/>
      <x:c r="X289" s="32"/>
      <x:c r="Y289" s="32"/>
      <x:c r="Z289" s="32"/>
      <x:c r="AA289" s="32"/>
      <x:c r="AB289" s="32"/>
      <x:c r="AC289" s="32"/>
      <x:c r="AD289" s="32"/>
      <x:c r="AE289" s="32"/>
      <x:c r="AF289" s="32"/>
      <x:c r="AG289" s="32"/>
      <x:c r="AH289" s="32"/>
      <x:c r="AI289" s="32"/>
      <x:c r="AJ289" s="32"/>
      <x:c r="AK289" s="32"/>
      <x:c r="AL289" s="32"/>
      <x:c r="AM289" s="32"/>
      <x:c r="AN289" s="32"/>
      <x:c r="AO289" s="32"/>
      <x:c r="AP289" s="32"/>
      <x:c r="AQ289" s="32"/>
      <x:c r="AR289" s="32"/>
      <x:c r="AS289" s="32"/>
      <x:c r="AT289" s="32"/>
      <x:c r="AU289" s="32"/>
      <x:c r="AV289" s="32"/>
      <x:c r="AW289" s="32"/>
      <x:c r="AX289" s="32"/>
      <x:c r="AZ289" s="32"/>
      <x:c r="BA289" s="32"/>
      <x:c r="BB289" s="32"/>
      <x:c r="BC289" s="32"/>
      <x:c r="BD289" s="32"/>
      <x:c r="BE289" s="32"/>
      <x:c r="BF289" s="32"/>
      <x:c r="BG289" s="32"/>
      <x:c r="BH289" s="32"/>
      <x:c r="BI289" s="32"/>
      <x:c r="BJ289" s="32"/>
      <x:c r="BK289" s="32"/>
      <x:c r="BL289" s="32"/>
      <x:c r="BM289" s="32"/>
    </x:row>
    <x:row r="290">
      <x:c r="A290" s="32"/>
      <x:c r="B290" s="32"/>
      <x:c r="C290" s="42"/>
      <x:c r="D290" s="32"/>
      <x:c r="E290" s="32"/>
      <x:c r="F290" s="32"/>
      <x:c r="G290" s="32"/>
      <x:c r="H290" s="32"/>
      <x:c r="I290" s="32"/>
      <x:c r="J290" s="32"/>
      <x:c r="K290" s="32"/>
      <x:c r="L290" s="32"/>
      <x:c r="M290" s="32"/>
      <x:c r="N290" s="32"/>
      <x:c r="O290" s="32"/>
      <x:c r="P290" s="32"/>
      <x:c r="Q290" s="32"/>
      <x:c r="R290" s="32"/>
      <x:c r="S290" s="32"/>
      <x:c r="T290" s="43" t="str">
        <x:f>IFERROR(S290/L290,"")</x:f>
      </x:c>
      <x:c r="U290" s="32"/>
      <x:c r="V290" s="32"/>
      <x:c r="W290" s="32"/>
      <x:c r="X290" s="32"/>
      <x:c r="Y290" s="32"/>
      <x:c r="Z290" s="32"/>
      <x:c r="AA290" s="32"/>
      <x:c r="AB290" s="32"/>
      <x:c r="AC290" s="32"/>
      <x:c r="AD290" s="32"/>
      <x:c r="AE290" s="32"/>
      <x:c r="AF290" s="32"/>
      <x:c r="AG290" s="32"/>
      <x:c r="AH290" s="32"/>
      <x:c r="AI290" s="32"/>
      <x:c r="AJ290" s="32"/>
      <x:c r="AK290" s="32"/>
      <x:c r="AL290" s="32"/>
      <x:c r="AM290" s="32"/>
      <x:c r="AN290" s="32"/>
      <x:c r="AO290" s="32"/>
      <x:c r="AP290" s="32"/>
      <x:c r="AQ290" s="32"/>
      <x:c r="AR290" s="32"/>
      <x:c r="AS290" s="32"/>
      <x:c r="AT290" s="32"/>
      <x:c r="AU290" s="32"/>
      <x:c r="AV290" s="32"/>
      <x:c r="AW290" s="32"/>
      <x:c r="AX290" s="32"/>
      <x:c r="AZ290" s="32"/>
      <x:c r="BA290" s="32"/>
      <x:c r="BB290" s="32"/>
      <x:c r="BC290" s="32"/>
      <x:c r="BD290" s="32"/>
      <x:c r="BE290" s="32"/>
      <x:c r="BF290" s="32"/>
      <x:c r="BG290" s="32"/>
      <x:c r="BH290" s="32"/>
      <x:c r="BI290" s="32"/>
      <x:c r="BJ290" s="32"/>
      <x:c r="BK290" s="32"/>
      <x:c r="BL290" s="32"/>
      <x:c r="BM290" s="32"/>
    </x:row>
    <x:row r="291">
      <x:c r="A291" s="32"/>
      <x:c r="B291" s="32"/>
      <x:c r="C291" s="42"/>
      <x:c r="D291" s="32"/>
      <x:c r="E291" s="32"/>
      <x:c r="F291" s="32"/>
      <x:c r="G291" s="32"/>
      <x:c r="H291" s="32"/>
      <x:c r="I291" s="32"/>
      <x:c r="J291" s="32"/>
      <x:c r="K291" s="32"/>
      <x:c r="L291" s="32"/>
      <x:c r="M291" s="32"/>
      <x:c r="N291" s="32"/>
      <x:c r="O291" s="32"/>
      <x:c r="P291" s="32"/>
      <x:c r="Q291" s="32"/>
      <x:c r="R291" s="32"/>
      <x:c r="S291" s="32"/>
      <x:c r="T291" s="43" t="str">
        <x:f>IFERROR(S291/L291,"")</x:f>
      </x:c>
      <x:c r="U291" s="32"/>
      <x:c r="V291" s="32"/>
      <x:c r="W291" s="32"/>
      <x:c r="X291" s="32"/>
      <x:c r="Y291" s="32"/>
      <x:c r="Z291" s="32"/>
      <x:c r="AA291" s="32"/>
      <x:c r="AB291" s="32"/>
      <x:c r="AC291" s="32"/>
      <x:c r="AD291" s="32"/>
      <x:c r="AE291" s="32"/>
      <x:c r="AF291" s="32"/>
      <x:c r="AG291" s="32"/>
      <x:c r="AH291" s="32"/>
      <x:c r="AI291" s="32"/>
      <x:c r="AJ291" s="32"/>
      <x:c r="AK291" s="32"/>
      <x:c r="AL291" s="32"/>
      <x:c r="AM291" s="32"/>
      <x:c r="AN291" s="32"/>
      <x:c r="AO291" s="32"/>
      <x:c r="AP291" s="32"/>
      <x:c r="AQ291" s="32"/>
      <x:c r="AR291" s="32"/>
      <x:c r="AS291" s="32"/>
      <x:c r="AT291" s="32"/>
      <x:c r="AU291" s="32"/>
      <x:c r="AV291" s="32"/>
      <x:c r="AW291" s="32"/>
      <x:c r="AX291" s="32"/>
      <x:c r="AZ291" s="32"/>
      <x:c r="BA291" s="32"/>
      <x:c r="BB291" s="32"/>
      <x:c r="BC291" s="32"/>
      <x:c r="BD291" s="32"/>
      <x:c r="BE291" s="32"/>
      <x:c r="BF291" s="32"/>
      <x:c r="BG291" s="32"/>
      <x:c r="BH291" s="32"/>
      <x:c r="BI291" s="32"/>
      <x:c r="BJ291" s="32"/>
      <x:c r="BK291" s="32"/>
      <x:c r="BL291" s="32"/>
      <x:c r="BM291" s="32"/>
    </x:row>
    <x:row r="292">
      <x:c r="A292" s="32"/>
      <x:c r="B292" s="32"/>
      <x:c r="C292" s="42"/>
      <x:c r="D292" s="32"/>
      <x:c r="E292" s="32"/>
      <x:c r="F292" s="32"/>
      <x:c r="G292" s="32"/>
      <x:c r="H292" s="32"/>
      <x:c r="I292" s="32"/>
      <x:c r="J292" s="32"/>
      <x:c r="K292" s="32"/>
      <x:c r="L292" s="32"/>
      <x:c r="M292" s="32"/>
      <x:c r="N292" s="32"/>
      <x:c r="O292" s="32"/>
      <x:c r="P292" s="32"/>
      <x:c r="Q292" s="32"/>
      <x:c r="R292" s="32"/>
      <x:c r="S292" s="32"/>
      <x:c r="T292" s="43" t="str">
        <x:f>IFERROR(S292/L292,"")</x:f>
      </x:c>
      <x:c r="U292" s="32"/>
      <x:c r="V292" s="32"/>
      <x:c r="W292" s="32"/>
      <x:c r="X292" s="32"/>
      <x:c r="Y292" s="32"/>
      <x:c r="Z292" s="32"/>
      <x:c r="AA292" s="32"/>
      <x:c r="AB292" s="32"/>
      <x:c r="AC292" s="32"/>
      <x:c r="AD292" s="32"/>
      <x:c r="AE292" s="32"/>
      <x:c r="AF292" s="32"/>
      <x:c r="AG292" s="32"/>
      <x:c r="AH292" s="32"/>
      <x:c r="AI292" s="32"/>
      <x:c r="AJ292" s="32"/>
      <x:c r="AK292" s="32"/>
      <x:c r="AL292" s="32"/>
      <x:c r="AM292" s="32"/>
      <x:c r="AN292" s="32"/>
      <x:c r="AO292" s="32"/>
      <x:c r="AP292" s="32"/>
      <x:c r="AQ292" s="32"/>
      <x:c r="AR292" s="32"/>
      <x:c r="AS292" s="32"/>
      <x:c r="AT292" s="32"/>
      <x:c r="AU292" s="32"/>
      <x:c r="AV292" s="32"/>
      <x:c r="AW292" s="32"/>
      <x:c r="AX292" s="32"/>
      <x:c r="AZ292" s="32"/>
      <x:c r="BA292" s="32"/>
      <x:c r="BB292" s="32"/>
      <x:c r="BC292" s="32"/>
      <x:c r="BD292" s="32"/>
      <x:c r="BE292" s="32"/>
      <x:c r="BF292" s="32"/>
      <x:c r="BG292" s="32"/>
      <x:c r="BH292" s="32"/>
      <x:c r="BI292" s="32"/>
      <x:c r="BJ292" s="32"/>
      <x:c r="BK292" s="32"/>
      <x:c r="BL292" s="32"/>
      <x:c r="BM292" s="32"/>
    </x:row>
    <x:row r="293">
      <x:c r="A293" s="32"/>
      <x:c r="B293" s="32"/>
      <x:c r="C293" s="42"/>
      <x:c r="D293" s="32"/>
      <x:c r="E293" s="32"/>
      <x:c r="F293" s="32"/>
      <x:c r="G293" s="32"/>
      <x:c r="H293" s="32"/>
      <x:c r="I293" s="32"/>
      <x:c r="J293" s="32"/>
      <x:c r="K293" s="32"/>
      <x:c r="L293" s="32"/>
      <x:c r="M293" s="32"/>
      <x:c r="N293" s="32"/>
      <x:c r="O293" s="32"/>
      <x:c r="P293" s="32"/>
      <x:c r="Q293" s="32"/>
      <x:c r="R293" s="32"/>
      <x:c r="S293" s="32"/>
      <x:c r="T293" s="43" t="str">
        <x:f>IFERROR(S293/L293,"")</x:f>
      </x:c>
      <x:c r="U293" s="32"/>
      <x:c r="V293" s="32"/>
      <x:c r="W293" s="32"/>
      <x:c r="X293" s="32"/>
      <x:c r="Y293" s="32"/>
      <x:c r="Z293" s="32"/>
      <x:c r="AA293" s="32"/>
      <x:c r="AB293" s="32"/>
      <x:c r="AC293" s="32"/>
      <x:c r="AD293" s="32"/>
      <x:c r="AE293" s="32"/>
      <x:c r="AF293" s="32"/>
      <x:c r="AG293" s="32"/>
      <x:c r="AH293" s="32"/>
      <x:c r="AI293" s="32"/>
      <x:c r="AJ293" s="32"/>
      <x:c r="AK293" s="32"/>
      <x:c r="AL293" s="32"/>
      <x:c r="AM293" s="32"/>
      <x:c r="AN293" s="32"/>
      <x:c r="AO293" s="32"/>
      <x:c r="AP293" s="32"/>
      <x:c r="AQ293" s="32"/>
      <x:c r="AR293" s="32"/>
      <x:c r="AS293" s="32"/>
      <x:c r="AT293" s="32"/>
      <x:c r="AU293" s="32"/>
      <x:c r="AV293" s="32"/>
      <x:c r="AW293" s="32"/>
      <x:c r="AX293" s="32"/>
      <x:c r="AZ293" s="32"/>
      <x:c r="BA293" s="32"/>
      <x:c r="BB293" s="32"/>
      <x:c r="BC293" s="32"/>
      <x:c r="BD293" s="32"/>
      <x:c r="BE293" s="32"/>
      <x:c r="BF293" s="32"/>
      <x:c r="BG293" s="32"/>
      <x:c r="BH293" s="32"/>
      <x:c r="BI293" s="32"/>
      <x:c r="BJ293" s="32"/>
      <x:c r="BK293" s="32"/>
      <x:c r="BL293" s="32"/>
      <x:c r="BM293" s="32"/>
    </x:row>
    <x:row r="294">
      <x:c r="A294" s="32"/>
      <x:c r="B294" s="32"/>
      <x:c r="C294" s="42"/>
      <x:c r="D294" s="32"/>
      <x:c r="E294" s="32"/>
      <x:c r="F294" s="32"/>
      <x:c r="G294" s="32"/>
      <x:c r="H294" s="32"/>
      <x:c r="I294" s="32"/>
      <x:c r="J294" s="32"/>
      <x:c r="K294" s="32"/>
      <x:c r="L294" s="32"/>
      <x:c r="M294" s="32"/>
      <x:c r="N294" s="32"/>
      <x:c r="O294" s="32"/>
      <x:c r="P294" s="32"/>
      <x:c r="Q294" s="32"/>
      <x:c r="R294" s="32"/>
      <x:c r="S294" s="32"/>
      <x:c r="T294" s="43" t="str">
        <x:f>IFERROR(S294/L294,"")</x:f>
      </x:c>
      <x:c r="U294" s="32"/>
      <x:c r="V294" s="32"/>
      <x:c r="W294" s="32"/>
      <x:c r="X294" s="32"/>
      <x:c r="Y294" s="32"/>
      <x:c r="Z294" s="32"/>
      <x:c r="AA294" s="32"/>
      <x:c r="AB294" s="32"/>
      <x:c r="AC294" s="32"/>
      <x:c r="AD294" s="32"/>
      <x:c r="AE294" s="32"/>
      <x:c r="AF294" s="32"/>
      <x:c r="AG294" s="32"/>
      <x:c r="AH294" s="32"/>
      <x:c r="AI294" s="32"/>
      <x:c r="AJ294" s="32"/>
      <x:c r="AK294" s="32"/>
      <x:c r="AL294" s="32"/>
      <x:c r="AM294" s="32"/>
      <x:c r="AN294" s="32"/>
      <x:c r="AO294" s="32"/>
      <x:c r="AP294" s="32"/>
      <x:c r="AQ294" s="32"/>
      <x:c r="AR294" s="32"/>
      <x:c r="AS294" s="32"/>
      <x:c r="AT294" s="32"/>
      <x:c r="AU294" s="32"/>
      <x:c r="AV294" s="32"/>
      <x:c r="AW294" s="32"/>
      <x:c r="AX294" s="32"/>
      <x:c r="AZ294" s="32"/>
      <x:c r="BA294" s="32"/>
      <x:c r="BB294" s="32"/>
      <x:c r="BC294" s="32"/>
      <x:c r="BD294" s="32"/>
      <x:c r="BE294" s="32"/>
      <x:c r="BF294" s="32"/>
      <x:c r="BG294" s="32"/>
      <x:c r="BH294" s="32"/>
      <x:c r="BI294" s="32"/>
      <x:c r="BJ294" s="32"/>
      <x:c r="BK294" s="32"/>
      <x:c r="BL294" s="32"/>
      <x:c r="BM294" s="32"/>
    </x:row>
    <x:row r="295">
      <x:c r="A295" s="32"/>
      <x:c r="B295" s="32"/>
      <x:c r="C295" s="42"/>
      <x:c r="D295" s="32"/>
      <x:c r="E295" s="32"/>
      <x:c r="F295" s="32"/>
      <x:c r="G295" s="32"/>
      <x:c r="H295" s="32"/>
      <x:c r="I295" s="32"/>
      <x:c r="J295" s="32"/>
      <x:c r="K295" s="32"/>
      <x:c r="L295" s="32"/>
      <x:c r="M295" s="32"/>
      <x:c r="N295" s="32"/>
      <x:c r="O295" s="32"/>
      <x:c r="P295" s="32"/>
      <x:c r="Q295" s="32"/>
      <x:c r="R295" s="32"/>
      <x:c r="S295" s="32"/>
      <x:c r="T295" s="43" t="str">
        <x:f>IFERROR(S295/L295,"")</x:f>
      </x:c>
      <x:c r="U295" s="32"/>
      <x:c r="V295" s="32"/>
      <x:c r="W295" s="32"/>
      <x:c r="X295" s="32"/>
      <x:c r="Y295" s="32"/>
      <x:c r="Z295" s="32"/>
      <x:c r="AA295" s="32"/>
      <x:c r="AB295" s="32"/>
      <x:c r="AC295" s="32"/>
      <x:c r="AD295" s="32"/>
      <x:c r="AE295" s="32"/>
      <x:c r="AF295" s="32"/>
      <x:c r="AG295" s="32"/>
      <x:c r="AH295" s="32"/>
      <x:c r="AI295" s="32"/>
      <x:c r="AJ295" s="32"/>
      <x:c r="AK295" s="32"/>
      <x:c r="AL295" s="32"/>
      <x:c r="AM295" s="32"/>
      <x:c r="AN295" s="32"/>
      <x:c r="AO295" s="32"/>
      <x:c r="AP295" s="32"/>
      <x:c r="AQ295" s="32"/>
      <x:c r="AR295" s="32"/>
      <x:c r="AS295" s="32"/>
      <x:c r="AT295" s="32"/>
      <x:c r="AU295" s="32"/>
      <x:c r="AV295" s="32"/>
      <x:c r="AW295" s="32"/>
      <x:c r="AX295" s="32"/>
      <x:c r="AZ295" s="32"/>
      <x:c r="BA295" s="32"/>
      <x:c r="BB295" s="32"/>
      <x:c r="BC295" s="32"/>
      <x:c r="BD295" s="32"/>
      <x:c r="BE295" s="32"/>
      <x:c r="BF295" s="32"/>
      <x:c r="BG295" s="32"/>
      <x:c r="BH295" s="32"/>
      <x:c r="BI295" s="32"/>
      <x:c r="BJ295" s="32"/>
      <x:c r="BK295" s="32"/>
      <x:c r="BL295" s="32"/>
      <x:c r="BM295" s="32"/>
    </x:row>
    <x:row r="296">
      <x:c r="A296" s="32"/>
      <x:c r="B296" s="32"/>
      <x:c r="C296" s="42"/>
      <x:c r="D296" s="32"/>
      <x:c r="E296" s="32"/>
      <x:c r="F296" s="32"/>
      <x:c r="G296" s="32"/>
      <x:c r="H296" s="32"/>
      <x:c r="I296" s="32"/>
      <x:c r="J296" s="32"/>
      <x:c r="K296" s="32"/>
      <x:c r="L296" s="32"/>
      <x:c r="M296" s="32"/>
      <x:c r="N296" s="32"/>
      <x:c r="O296" s="32"/>
      <x:c r="P296" s="32"/>
      <x:c r="Q296" s="32"/>
      <x:c r="R296" s="32"/>
      <x:c r="S296" s="32"/>
      <x:c r="T296" s="43" t="str">
        <x:f>IFERROR(S296/L296,"")</x:f>
      </x:c>
      <x:c r="U296" s="32"/>
      <x:c r="V296" s="32"/>
      <x:c r="W296" s="32"/>
      <x:c r="X296" s="32"/>
      <x:c r="Y296" s="32"/>
      <x:c r="Z296" s="32"/>
      <x:c r="AA296" s="32"/>
      <x:c r="AB296" s="32"/>
      <x:c r="AC296" s="32"/>
      <x:c r="AD296" s="32"/>
      <x:c r="AE296" s="32"/>
      <x:c r="AF296" s="32"/>
      <x:c r="AG296" s="32"/>
      <x:c r="AH296" s="32"/>
      <x:c r="AI296" s="32"/>
      <x:c r="AJ296" s="32"/>
      <x:c r="AK296" s="32"/>
      <x:c r="AL296" s="32"/>
      <x:c r="AM296" s="32"/>
      <x:c r="AN296" s="32"/>
      <x:c r="AO296" s="32"/>
      <x:c r="AP296" s="32"/>
      <x:c r="AQ296" s="32"/>
      <x:c r="AR296" s="32"/>
      <x:c r="AS296" s="32"/>
      <x:c r="AT296" s="32"/>
      <x:c r="AU296" s="32"/>
      <x:c r="AV296" s="32"/>
      <x:c r="AW296" s="32"/>
      <x:c r="AX296" s="32"/>
      <x:c r="AZ296" s="32"/>
      <x:c r="BA296" s="32"/>
      <x:c r="BB296" s="32"/>
      <x:c r="BC296" s="32"/>
      <x:c r="BD296" s="32"/>
      <x:c r="BE296" s="32"/>
      <x:c r="BF296" s="32"/>
      <x:c r="BG296" s="32"/>
      <x:c r="BH296" s="32"/>
      <x:c r="BI296" s="32"/>
      <x:c r="BJ296" s="32"/>
      <x:c r="BK296" s="32"/>
      <x:c r="BL296" s="32"/>
      <x:c r="BM296" s="32"/>
    </x:row>
    <x:row r="297">
      <x:c r="A297" s="32"/>
      <x:c r="B297" s="32"/>
      <x:c r="C297" s="42"/>
      <x:c r="D297" s="32"/>
      <x:c r="E297" s="32"/>
      <x:c r="F297" s="32"/>
      <x:c r="G297" s="32"/>
      <x:c r="H297" s="32"/>
      <x:c r="I297" s="32"/>
      <x:c r="J297" s="32"/>
      <x:c r="K297" s="32"/>
      <x:c r="L297" s="32"/>
      <x:c r="M297" s="32"/>
      <x:c r="N297" s="32"/>
      <x:c r="O297" s="32"/>
      <x:c r="P297" s="32"/>
      <x:c r="Q297" s="32"/>
      <x:c r="R297" s="32"/>
      <x:c r="S297" s="32"/>
      <x:c r="T297" s="43" t="str">
        <x:f>IFERROR(S297/L297,"")</x:f>
      </x:c>
      <x:c r="U297" s="32"/>
      <x:c r="V297" s="32"/>
      <x:c r="W297" s="32"/>
      <x:c r="X297" s="32"/>
      <x:c r="Y297" s="32"/>
      <x:c r="Z297" s="32"/>
      <x:c r="AA297" s="32"/>
      <x:c r="AB297" s="32"/>
      <x:c r="AC297" s="32"/>
      <x:c r="AD297" s="32"/>
      <x:c r="AE297" s="32"/>
      <x:c r="AF297" s="32"/>
      <x:c r="AG297" s="32"/>
      <x:c r="AH297" s="32"/>
      <x:c r="AI297" s="32"/>
      <x:c r="AJ297" s="32"/>
      <x:c r="AK297" s="32"/>
      <x:c r="AL297" s="32"/>
      <x:c r="AM297" s="32"/>
      <x:c r="AN297" s="32"/>
      <x:c r="AO297" s="32"/>
      <x:c r="AP297" s="32"/>
      <x:c r="AQ297" s="32"/>
      <x:c r="AR297" s="32"/>
      <x:c r="AS297" s="32"/>
      <x:c r="AT297" s="32"/>
      <x:c r="AU297" s="32"/>
      <x:c r="AV297" s="32"/>
      <x:c r="AW297" s="32"/>
      <x:c r="AX297" s="32"/>
      <x:c r="AZ297" s="32"/>
      <x:c r="BA297" s="32"/>
      <x:c r="BB297" s="32"/>
      <x:c r="BC297" s="32"/>
      <x:c r="BD297" s="32"/>
      <x:c r="BE297" s="32"/>
      <x:c r="BF297" s="32"/>
      <x:c r="BG297" s="32"/>
      <x:c r="BH297" s="32"/>
      <x:c r="BI297" s="32"/>
      <x:c r="BJ297" s="32"/>
      <x:c r="BK297" s="32"/>
      <x:c r="BL297" s="32"/>
      <x:c r="BM297" s="32"/>
    </x:row>
    <x:row r="298">
      <x:c r="A298" s="32"/>
      <x:c r="B298" s="32"/>
      <x:c r="C298" s="42"/>
      <x:c r="D298" s="32"/>
      <x:c r="E298" s="32"/>
      <x:c r="F298" s="32"/>
      <x:c r="G298" s="32"/>
      <x:c r="H298" s="32"/>
      <x:c r="I298" s="32"/>
      <x:c r="J298" s="32"/>
      <x:c r="K298" s="32"/>
      <x:c r="L298" s="32"/>
      <x:c r="M298" s="32"/>
      <x:c r="N298" s="32"/>
      <x:c r="O298" s="32"/>
      <x:c r="P298" s="32"/>
      <x:c r="Q298" s="32"/>
      <x:c r="R298" s="32"/>
      <x:c r="S298" s="32"/>
      <x:c r="T298" s="43" t="str">
        <x:f>IFERROR(S298/L298,"")</x:f>
      </x:c>
      <x:c r="U298" s="32"/>
      <x:c r="V298" s="32"/>
      <x:c r="W298" s="32"/>
      <x:c r="X298" s="32"/>
      <x:c r="Y298" s="32"/>
      <x:c r="Z298" s="32"/>
      <x:c r="AA298" s="32"/>
      <x:c r="AB298" s="32"/>
      <x:c r="AC298" s="32"/>
      <x:c r="AD298" s="32"/>
      <x:c r="AE298" s="32"/>
      <x:c r="AF298" s="32"/>
      <x:c r="AG298" s="32"/>
      <x:c r="AH298" s="32"/>
      <x:c r="AI298" s="32"/>
      <x:c r="AJ298" s="32"/>
      <x:c r="AK298" s="32"/>
      <x:c r="AL298" s="32"/>
      <x:c r="AM298" s="32"/>
      <x:c r="AN298" s="32"/>
      <x:c r="AO298" s="32"/>
      <x:c r="AP298" s="32"/>
      <x:c r="AQ298" s="32"/>
      <x:c r="AR298" s="32"/>
      <x:c r="AS298" s="32"/>
      <x:c r="AT298" s="32"/>
      <x:c r="AU298" s="32"/>
      <x:c r="AV298" s="32"/>
      <x:c r="AW298" s="32"/>
      <x:c r="AX298" s="32"/>
      <x:c r="AZ298" s="32"/>
      <x:c r="BA298" s="32"/>
      <x:c r="BB298" s="32"/>
      <x:c r="BC298" s="32"/>
      <x:c r="BD298" s="32"/>
      <x:c r="BE298" s="32"/>
      <x:c r="BF298" s="32"/>
      <x:c r="BG298" s="32"/>
      <x:c r="BH298" s="32"/>
      <x:c r="BI298" s="32"/>
      <x:c r="BJ298" s="32"/>
      <x:c r="BK298" s="32"/>
      <x:c r="BL298" s="32"/>
      <x:c r="BM298" s="32"/>
    </x:row>
    <x:row r="299">
      <x:c r="A299" s="32"/>
      <x:c r="B299" s="32"/>
      <x:c r="C299" s="42"/>
      <x:c r="D299" s="32"/>
      <x:c r="E299" s="32"/>
      <x:c r="F299" s="32"/>
      <x:c r="G299" s="32"/>
      <x:c r="H299" s="32"/>
      <x:c r="I299" s="32"/>
      <x:c r="J299" s="32"/>
      <x:c r="K299" s="32"/>
      <x:c r="L299" s="32"/>
      <x:c r="M299" s="32"/>
      <x:c r="N299" s="32"/>
      <x:c r="O299" s="32"/>
      <x:c r="P299" s="32"/>
      <x:c r="Q299" s="32"/>
      <x:c r="R299" s="32"/>
      <x:c r="S299" s="32"/>
      <x:c r="T299" s="43" t="str">
        <x:f>IFERROR(S299/L299,"")</x:f>
      </x:c>
      <x:c r="U299" s="32"/>
      <x:c r="V299" s="32"/>
      <x:c r="W299" s="32"/>
      <x:c r="X299" s="32"/>
      <x:c r="Y299" s="32"/>
      <x:c r="Z299" s="32"/>
      <x:c r="AA299" s="32"/>
      <x:c r="AB299" s="32"/>
      <x:c r="AC299" s="32"/>
      <x:c r="AD299" s="32"/>
      <x:c r="AE299" s="32"/>
      <x:c r="AF299" s="32"/>
      <x:c r="AG299" s="32"/>
      <x:c r="AH299" s="32"/>
      <x:c r="AI299" s="32"/>
      <x:c r="AJ299" s="32"/>
      <x:c r="AK299" s="32"/>
      <x:c r="AL299" s="32"/>
      <x:c r="AM299" s="32"/>
      <x:c r="AN299" s="32"/>
      <x:c r="AO299" s="32"/>
      <x:c r="AP299" s="32"/>
      <x:c r="AQ299" s="32"/>
      <x:c r="AR299" s="32"/>
      <x:c r="AS299" s="32"/>
      <x:c r="AT299" s="32"/>
      <x:c r="AU299" s="32"/>
      <x:c r="AV299" s="32"/>
      <x:c r="AW299" s="32"/>
      <x:c r="AX299" s="32"/>
      <x:c r="AZ299" s="32"/>
      <x:c r="BA299" s="32"/>
      <x:c r="BB299" s="32"/>
      <x:c r="BC299" s="32"/>
      <x:c r="BD299" s="32"/>
      <x:c r="BE299" s="32"/>
      <x:c r="BF299" s="32"/>
      <x:c r="BG299" s="32"/>
      <x:c r="BH299" s="32"/>
      <x:c r="BI299" s="32"/>
      <x:c r="BJ299" s="32"/>
      <x:c r="BK299" s="32"/>
      <x:c r="BL299" s="32"/>
      <x:c r="BM299" s="32"/>
    </x:row>
    <x:row r="300">
      <x:c r="A300" s="32"/>
      <x:c r="B300" s="32"/>
      <x:c r="C300" s="42"/>
      <x:c r="D300" s="32"/>
      <x:c r="E300" s="32"/>
      <x:c r="F300" s="32"/>
      <x:c r="G300" s="32"/>
      <x:c r="H300" s="32"/>
      <x:c r="I300" s="32"/>
      <x:c r="J300" s="32"/>
      <x:c r="K300" s="32"/>
      <x:c r="L300" s="32"/>
      <x:c r="M300" s="32"/>
      <x:c r="N300" s="32"/>
      <x:c r="O300" s="32"/>
      <x:c r="P300" s="32"/>
      <x:c r="Q300" s="32"/>
      <x:c r="R300" s="32"/>
      <x:c r="S300" s="32"/>
      <x:c r="T300" s="43" t="str">
        <x:f>IFERROR(S300/L300,"")</x:f>
      </x:c>
      <x:c r="U300" s="32"/>
      <x:c r="V300" s="32"/>
      <x:c r="W300" s="32"/>
      <x:c r="X300" s="32"/>
      <x:c r="Y300" s="32"/>
      <x:c r="Z300" s="32"/>
      <x:c r="AA300" s="32"/>
      <x:c r="AB300" s="32"/>
      <x:c r="AC300" s="32"/>
      <x:c r="AD300" s="32"/>
      <x:c r="AE300" s="32"/>
      <x:c r="AF300" s="32"/>
      <x:c r="AG300" s="32"/>
      <x:c r="AH300" s="32"/>
      <x:c r="AI300" s="32"/>
      <x:c r="AJ300" s="32"/>
      <x:c r="AK300" s="32"/>
      <x:c r="AL300" s="32"/>
      <x:c r="AM300" s="32"/>
      <x:c r="AN300" s="32"/>
      <x:c r="AO300" s="32"/>
      <x:c r="AP300" s="32"/>
      <x:c r="AQ300" s="32"/>
      <x:c r="AR300" s="32"/>
      <x:c r="AS300" s="32"/>
      <x:c r="AT300" s="32"/>
      <x:c r="AU300" s="32"/>
      <x:c r="AV300" s="32"/>
      <x:c r="AW300" s="32"/>
      <x:c r="AX300" s="32"/>
      <x:c r="AZ300" s="32"/>
      <x:c r="BA300" s="32"/>
      <x:c r="BB300" s="32"/>
      <x:c r="BC300" s="32"/>
      <x:c r="BD300" s="32"/>
      <x:c r="BE300" s="32"/>
      <x:c r="BF300" s="32"/>
      <x:c r="BG300" s="32"/>
      <x:c r="BH300" s="32"/>
      <x:c r="BI300" s="32"/>
      <x:c r="BJ300" s="32"/>
      <x:c r="BK300" s="32"/>
      <x:c r="BL300" s="32"/>
      <x:c r="BM300" s="32"/>
    </x:row>
    <x:row r="301">
      <x:c r="A301" s="32"/>
      <x:c r="B301" s="32"/>
      <x:c r="C301" s="42"/>
      <x:c r="D301" s="32"/>
      <x:c r="E301" s="32"/>
      <x:c r="F301" s="32"/>
      <x:c r="G301" s="32"/>
      <x:c r="H301" s="32"/>
      <x:c r="I301" s="32"/>
      <x:c r="J301" s="32"/>
      <x:c r="K301" s="32"/>
      <x:c r="L301" s="32"/>
      <x:c r="M301" s="32"/>
      <x:c r="N301" s="32"/>
      <x:c r="O301" s="32"/>
      <x:c r="P301" s="32"/>
      <x:c r="Q301" s="32"/>
      <x:c r="R301" s="32"/>
      <x:c r="S301" s="32"/>
      <x:c r="T301" s="43" t="str">
        <x:f>IFERROR(S301/L301,"")</x:f>
      </x:c>
      <x:c r="U301" s="32"/>
      <x:c r="V301" s="32"/>
      <x:c r="W301" s="32"/>
      <x:c r="X301" s="32"/>
      <x:c r="Y301" s="32"/>
      <x:c r="Z301" s="32"/>
      <x:c r="AA301" s="32"/>
      <x:c r="AB301" s="32"/>
      <x:c r="AC301" s="32"/>
      <x:c r="AD301" s="32"/>
      <x:c r="AE301" s="32"/>
      <x:c r="AF301" s="32"/>
      <x:c r="AG301" s="32"/>
      <x:c r="AH301" s="32"/>
      <x:c r="AI301" s="32"/>
      <x:c r="AJ301" s="32"/>
      <x:c r="AK301" s="32"/>
      <x:c r="AL301" s="32"/>
      <x:c r="AM301" s="32"/>
      <x:c r="AN301" s="32"/>
      <x:c r="AO301" s="32"/>
      <x:c r="AP301" s="32"/>
      <x:c r="AQ301" s="32"/>
      <x:c r="AR301" s="32"/>
      <x:c r="AS301" s="32"/>
      <x:c r="AT301" s="32"/>
      <x:c r="AU301" s="32"/>
      <x:c r="AV301" s="32"/>
      <x:c r="AW301" s="32"/>
      <x:c r="AX301" s="32"/>
      <x:c r="AZ301" s="32"/>
      <x:c r="BA301" s="32"/>
      <x:c r="BB301" s="32"/>
      <x:c r="BC301" s="32"/>
      <x:c r="BD301" s="32"/>
      <x:c r="BE301" s="32"/>
      <x:c r="BF301" s="32"/>
      <x:c r="BG301" s="32"/>
      <x:c r="BH301" s="32"/>
      <x:c r="BI301" s="32"/>
      <x:c r="BJ301" s="32"/>
      <x:c r="BK301" s="32"/>
      <x:c r="BL301" s="32"/>
      <x:c r="BM301" s="32"/>
    </x:row>
    <x:row r="302">
      <x:c r="A302" s="32"/>
      <x:c r="B302" s="32"/>
      <x:c r="C302" s="42"/>
      <x:c r="D302" s="32"/>
      <x:c r="E302" s="32"/>
      <x:c r="F302" s="32"/>
      <x:c r="G302" s="32"/>
      <x:c r="H302" s="32"/>
      <x:c r="I302" s="32"/>
      <x:c r="J302" s="32"/>
      <x:c r="K302" s="32"/>
      <x:c r="L302" s="32"/>
      <x:c r="M302" s="32"/>
      <x:c r="N302" s="32"/>
      <x:c r="O302" s="32"/>
      <x:c r="P302" s="32"/>
      <x:c r="Q302" s="32"/>
      <x:c r="R302" s="32"/>
      <x:c r="S302" s="32"/>
      <x:c r="T302" s="43" t="str">
        <x:f>IFERROR(S302/L302,"")</x:f>
      </x:c>
      <x:c r="U302" s="32"/>
      <x:c r="V302" s="32"/>
      <x:c r="W302" s="32"/>
      <x:c r="X302" s="32"/>
      <x:c r="Y302" s="32"/>
      <x:c r="Z302" s="32"/>
      <x:c r="AA302" s="32"/>
      <x:c r="AB302" s="32"/>
      <x:c r="AC302" s="32"/>
      <x:c r="AD302" s="32"/>
      <x:c r="AE302" s="32"/>
      <x:c r="AF302" s="32"/>
      <x:c r="AG302" s="32"/>
      <x:c r="AH302" s="32"/>
      <x:c r="AI302" s="32"/>
      <x:c r="AJ302" s="32"/>
      <x:c r="AK302" s="32"/>
      <x:c r="AL302" s="32"/>
      <x:c r="AM302" s="32"/>
      <x:c r="AN302" s="32"/>
      <x:c r="AO302" s="32"/>
      <x:c r="AP302" s="32"/>
      <x:c r="AQ302" s="32"/>
      <x:c r="AR302" s="32"/>
      <x:c r="AS302" s="32"/>
      <x:c r="AT302" s="32"/>
      <x:c r="AU302" s="32"/>
      <x:c r="AV302" s="32"/>
      <x:c r="AW302" s="32"/>
      <x:c r="AX302" s="32"/>
      <x:c r="AZ302" s="32"/>
      <x:c r="BA302" s="32"/>
      <x:c r="BB302" s="32"/>
      <x:c r="BC302" s="32"/>
      <x:c r="BD302" s="32"/>
      <x:c r="BE302" s="32"/>
      <x:c r="BF302" s="32"/>
      <x:c r="BG302" s="32"/>
      <x:c r="BH302" s="32"/>
      <x:c r="BI302" s="32"/>
      <x:c r="BJ302" s="32"/>
      <x:c r="BK302" s="32"/>
      <x:c r="BL302" s="32"/>
      <x:c r="BM302" s="32"/>
    </x:row>
    <x:row r="303">
      <x:c r="A303" s="32"/>
      <x:c r="B303" s="32"/>
      <x:c r="C303" s="42"/>
      <x:c r="D303" s="32"/>
      <x:c r="E303" s="32"/>
      <x:c r="F303" s="32"/>
      <x:c r="G303" s="32"/>
      <x:c r="H303" s="32"/>
      <x:c r="I303" s="32"/>
      <x:c r="J303" s="32"/>
      <x:c r="K303" s="32"/>
      <x:c r="L303" s="32"/>
      <x:c r="M303" s="32"/>
      <x:c r="N303" s="32"/>
      <x:c r="O303" s="32"/>
      <x:c r="P303" s="32"/>
      <x:c r="Q303" s="32"/>
      <x:c r="R303" s="32"/>
      <x:c r="S303" s="32"/>
      <x:c r="T303" s="43" t="str">
        <x:f>IFERROR(S303/L303,"")</x:f>
      </x:c>
      <x:c r="U303" s="32"/>
      <x:c r="V303" s="32"/>
      <x:c r="W303" s="32"/>
      <x:c r="X303" s="32"/>
      <x:c r="Y303" s="32"/>
      <x:c r="Z303" s="32"/>
      <x:c r="AA303" s="32"/>
      <x:c r="AB303" s="32"/>
      <x:c r="AC303" s="32"/>
      <x:c r="AD303" s="32"/>
      <x:c r="AE303" s="32"/>
      <x:c r="AF303" s="32"/>
      <x:c r="AG303" s="32"/>
      <x:c r="AH303" s="32"/>
      <x:c r="AI303" s="32"/>
      <x:c r="AJ303" s="32"/>
      <x:c r="AK303" s="32"/>
      <x:c r="AL303" s="32"/>
      <x:c r="AM303" s="32"/>
      <x:c r="AN303" s="32"/>
      <x:c r="AO303" s="32"/>
      <x:c r="AP303" s="32"/>
      <x:c r="AQ303" s="32"/>
      <x:c r="AR303" s="32"/>
      <x:c r="AS303" s="32"/>
      <x:c r="AT303" s="32"/>
      <x:c r="AU303" s="32"/>
      <x:c r="AV303" s="32"/>
      <x:c r="AW303" s="32"/>
      <x:c r="AX303" s="32"/>
      <x:c r="AZ303" s="32"/>
      <x:c r="BA303" s="32"/>
      <x:c r="BB303" s="32"/>
      <x:c r="BC303" s="32"/>
      <x:c r="BD303" s="32"/>
      <x:c r="BE303" s="32"/>
      <x:c r="BF303" s="32"/>
      <x:c r="BG303" s="32"/>
      <x:c r="BH303" s="32"/>
      <x:c r="BI303" s="32"/>
      <x:c r="BJ303" s="32"/>
      <x:c r="BK303" s="32"/>
      <x:c r="BL303" s="32"/>
      <x:c r="BM303" s="32"/>
    </x:row>
    <x:row r="304">
      <x:c r="A304" s="32"/>
      <x:c r="B304" s="32"/>
      <x:c r="C304" s="42"/>
      <x:c r="D304" s="32"/>
      <x:c r="E304" s="32"/>
      <x:c r="F304" s="32"/>
      <x:c r="G304" s="32"/>
      <x:c r="H304" s="32"/>
      <x:c r="I304" s="32"/>
      <x:c r="J304" s="32"/>
      <x:c r="K304" s="32"/>
      <x:c r="L304" s="32"/>
      <x:c r="M304" s="32"/>
      <x:c r="N304" s="32"/>
      <x:c r="O304" s="32"/>
      <x:c r="P304" s="32"/>
      <x:c r="Q304" s="32"/>
      <x:c r="R304" s="32"/>
      <x:c r="S304" s="32"/>
      <x:c r="T304" s="43" t="str">
        <x:f>IFERROR(S304/L304,"")</x:f>
      </x:c>
      <x:c r="U304" s="32"/>
      <x:c r="V304" s="32"/>
      <x:c r="W304" s="32"/>
      <x:c r="X304" s="32"/>
      <x:c r="Y304" s="32"/>
      <x:c r="Z304" s="32"/>
      <x:c r="AA304" s="32"/>
      <x:c r="AB304" s="32"/>
      <x:c r="AC304" s="32"/>
      <x:c r="AD304" s="32"/>
      <x:c r="AE304" s="32"/>
      <x:c r="AF304" s="32"/>
      <x:c r="AG304" s="32"/>
      <x:c r="AH304" s="32"/>
      <x:c r="AI304" s="32"/>
      <x:c r="AJ304" s="32"/>
      <x:c r="AK304" s="32"/>
      <x:c r="AL304" s="32"/>
      <x:c r="AM304" s="32"/>
      <x:c r="AN304" s="32"/>
      <x:c r="AO304" s="32"/>
      <x:c r="AP304" s="32"/>
      <x:c r="AQ304" s="32"/>
      <x:c r="AR304" s="32"/>
      <x:c r="AS304" s="32"/>
      <x:c r="AT304" s="32"/>
      <x:c r="AU304" s="32"/>
      <x:c r="AV304" s="32"/>
      <x:c r="AW304" s="32"/>
      <x:c r="AX304" s="32"/>
      <x:c r="AZ304" s="32"/>
      <x:c r="BA304" s="32"/>
      <x:c r="BB304" s="32"/>
      <x:c r="BC304" s="32"/>
      <x:c r="BD304" s="32"/>
      <x:c r="BE304" s="32"/>
      <x:c r="BF304" s="32"/>
      <x:c r="BG304" s="32"/>
      <x:c r="BH304" s="32"/>
      <x:c r="BI304" s="32"/>
      <x:c r="BJ304" s="32"/>
      <x:c r="BK304" s="32"/>
      <x:c r="BL304" s="32"/>
      <x:c r="BM304" s="32"/>
    </x:row>
    <x:row r="305">
      <x:c r="A305" s="32"/>
      <x:c r="B305" s="32"/>
      <x:c r="C305" s="42"/>
      <x:c r="D305" s="32"/>
      <x:c r="E305" s="32"/>
      <x:c r="F305" s="32"/>
      <x:c r="G305" s="32"/>
      <x:c r="H305" s="32"/>
      <x:c r="I305" s="32"/>
      <x:c r="J305" s="32"/>
      <x:c r="K305" s="32"/>
      <x:c r="L305" s="32"/>
      <x:c r="M305" s="32"/>
      <x:c r="N305" s="32"/>
      <x:c r="O305" s="32"/>
      <x:c r="P305" s="32"/>
      <x:c r="Q305" s="32"/>
      <x:c r="R305" s="32"/>
      <x:c r="S305" s="32"/>
      <x:c r="T305" s="43" t="str">
        <x:f>IFERROR(S305/L305,"")</x:f>
      </x:c>
      <x:c r="U305" s="32"/>
      <x:c r="V305" s="32"/>
      <x:c r="W305" s="32"/>
      <x:c r="X305" s="32"/>
      <x:c r="Y305" s="32"/>
      <x:c r="Z305" s="32"/>
      <x:c r="AA305" s="32"/>
      <x:c r="AB305" s="32"/>
      <x:c r="AC305" s="32"/>
      <x:c r="AD305" s="32"/>
      <x:c r="AE305" s="32"/>
      <x:c r="AF305" s="32"/>
      <x:c r="AG305" s="32"/>
      <x:c r="AH305" s="32"/>
      <x:c r="AI305" s="32"/>
      <x:c r="AJ305" s="32"/>
      <x:c r="AK305" s="32"/>
      <x:c r="AL305" s="32"/>
      <x:c r="AM305" s="32"/>
      <x:c r="AN305" s="32"/>
      <x:c r="AO305" s="32"/>
      <x:c r="AP305" s="32"/>
      <x:c r="AQ305" s="32"/>
      <x:c r="AR305" s="32"/>
      <x:c r="AS305" s="32"/>
      <x:c r="AT305" s="32"/>
      <x:c r="AU305" s="32"/>
      <x:c r="AV305" s="32"/>
      <x:c r="AW305" s="32"/>
      <x:c r="AX305" s="32"/>
      <x:c r="AZ305" s="32"/>
      <x:c r="BA305" s="32"/>
      <x:c r="BB305" s="32"/>
      <x:c r="BC305" s="32"/>
      <x:c r="BD305" s="32"/>
      <x:c r="BE305" s="32"/>
      <x:c r="BF305" s="32"/>
      <x:c r="BG305" s="32"/>
      <x:c r="BH305" s="32"/>
      <x:c r="BI305" s="32"/>
      <x:c r="BJ305" s="32"/>
      <x:c r="BK305" s="32"/>
      <x:c r="BL305" s="32"/>
      <x:c r="BM305" s="32"/>
    </x:row>
    <x:row r="306">
      <x:c r="A306" s="32"/>
      <x:c r="B306" s="32"/>
      <x:c r="C306" s="42"/>
      <x:c r="D306" s="32"/>
      <x:c r="E306" s="32"/>
      <x:c r="F306" s="32"/>
      <x:c r="G306" s="32"/>
      <x:c r="H306" s="32"/>
      <x:c r="I306" s="32"/>
      <x:c r="J306" s="32"/>
      <x:c r="K306" s="32"/>
      <x:c r="L306" s="32"/>
      <x:c r="M306" s="32"/>
      <x:c r="N306" s="32"/>
      <x:c r="O306" s="32"/>
      <x:c r="P306" s="32"/>
      <x:c r="Q306" s="32"/>
      <x:c r="R306" s="32"/>
      <x:c r="S306" s="32"/>
      <x:c r="T306" s="43" t="str">
        <x:f>IFERROR(S306/L306,"")</x:f>
      </x:c>
      <x:c r="U306" s="32"/>
      <x:c r="V306" s="32"/>
      <x:c r="W306" s="32"/>
      <x:c r="X306" s="32"/>
      <x:c r="Y306" s="32"/>
      <x:c r="Z306" s="32"/>
      <x:c r="AA306" s="32"/>
      <x:c r="AB306" s="32"/>
      <x:c r="AC306" s="32"/>
      <x:c r="AD306" s="32"/>
      <x:c r="AE306" s="32"/>
      <x:c r="AF306" s="32"/>
      <x:c r="AG306" s="32"/>
      <x:c r="AH306" s="32"/>
      <x:c r="AI306" s="32"/>
      <x:c r="AJ306" s="32"/>
      <x:c r="AK306" s="32"/>
      <x:c r="AL306" s="32"/>
      <x:c r="AM306" s="32"/>
      <x:c r="AN306" s="32"/>
      <x:c r="AO306" s="32"/>
      <x:c r="AP306" s="32"/>
      <x:c r="AQ306" s="32"/>
      <x:c r="AR306" s="32"/>
      <x:c r="AS306" s="32"/>
      <x:c r="AT306" s="32"/>
      <x:c r="AU306" s="32"/>
      <x:c r="AV306" s="32"/>
      <x:c r="AW306" s="32"/>
      <x:c r="AX306" s="32"/>
      <x:c r="AZ306" s="32"/>
      <x:c r="BA306" s="32"/>
      <x:c r="BB306" s="32"/>
      <x:c r="BC306" s="32"/>
      <x:c r="BD306" s="32"/>
      <x:c r="BE306" s="32"/>
      <x:c r="BF306" s="32"/>
      <x:c r="BG306" s="32"/>
      <x:c r="BH306" s="32"/>
      <x:c r="BI306" s="32"/>
      <x:c r="BJ306" s="32"/>
      <x:c r="BK306" s="32"/>
      <x:c r="BL306" s="32"/>
      <x:c r="BM306" s="32"/>
    </x:row>
    <x:row r="307">
      <x:c r="A307" s="32"/>
      <x:c r="B307" s="32"/>
      <x:c r="C307" s="42"/>
      <x:c r="D307" s="32"/>
      <x:c r="E307" s="32"/>
      <x:c r="F307" s="32"/>
      <x:c r="G307" s="32"/>
      <x:c r="H307" s="32"/>
      <x:c r="I307" s="32"/>
      <x:c r="J307" s="32"/>
      <x:c r="K307" s="32"/>
      <x:c r="L307" s="32"/>
      <x:c r="M307" s="32"/>
      <x:c r="N307" s="32"/>
      <x:c r="O307" s="32"/>
      <x:c r="P307" s="32"/>
      <x:c r="Q307" s="32"/>
      <x:c r="R307" s="32"/>
      <x:c r="S307" s="32"/>
      <x:c r="T307" s="43" t="str">
        <x:f>IFERROR(S307/L307,"")</x:f>
      </x:c>
      <x:c r="U307" s="32"/>
      <x:c r="V307" s="32"/>
      <x:c r="W307" s="32"/>
      <x:c r="X307" s="32"/>
      <x:c r="Y307" s="32"/>
      <x:c r="Z307" s="32"/>
      <x:c r="AA307" s="32"/>
      <x:c r="AB307" s="32"/>
      <x:c r="AC307" s="32"/>
      <x:c r="AD307" s="32"/>
      <x:c r="AE307" s="32"/>
      <x:c r="AF307" s="32"/>
      <x:c r="AG307" s="32"/>
      <x:c r="AH307" s="32"/>
      <x:c r="AI307" s="32"/>
      <x:c r="AJ307" s="32"/>
      <x:c r="AK307" s="32"/>
      <x:c r="AL307" s="32"/>
      <x:c r="AM307" s="32"/>
      <x:c r="AN307" s="32"/>
      <x:c r="AO307" s="32"/>
      <x:c r="AP307" s="32"/>
      <x:c r="AQ307" s="32"/>
      <x:c r="AR307" s="32"/>
      <x:c r="AS307" s="32"/>
      <x:c r="AT307" s="32"/>
      <x:c r="AU307" s="32"/>
      <x:c r="AV307" s="32"/>
      <x:c r="AW307" s="32"/>
      <x:c r="AX307" s="32"/>
      <x:c r="AZ307" s="32"/>
      <x:c r="BA307" s="32"/>
      <x:c r="BB307" s="32"/>
      <x:c r="BC307" s="32"/>
      <x:c r="BD307" s="32"/>
      <x:c r="BE307" s="32"/>
      <x:c r="BF307" s="32"/>
      <x:c r="BG307" s="32"/>
      <x:c r="BH307" s="32"/>
      <x:c r="BI307" s="32"/>
      <x:c r="BJ307" s="32"/>
      <x:c r="BK307" s="32"/>
      <x:c r="BL307" s="32"/>
      <x:c r="BM307" s="32"/>
    </x:row>
    <x:row r="308">
      <x:c r="A308" s="32"/>
      <x:c r="B308" s="32"/>
      <x:c r="C308" s="42"/>
      <x:c r="D308" s="32"/>
      <x:c r="E308" s="32"/>
      <x:c r="F308" s="32"/>
      <x:c r="G308" s="32"/>
      <x:c r="H308" s="32"/>
      <x:c r="I308" s="32"/>
      <x:c r="J308" s="32"/>
      <x:c r="K308" s="32"/>
      <x:c r="L308" s="32"/>
      <x:c r="M308" s="32"/>
      <x:c r="N308" s="32"/>
      <x:c r="O308" s="32"/>
      <x:c r="P308" s="32"/>
      <x:c r="Q308" s="32"/>
      <x:c r="R308" s="32"/>
      <x:c r="S308" s="32"/>
      <x:c r="T308" s="43" t="str">
        <x:f>IFERROR(S308/L308,"")</x:f>
      </x:c>
      <x:c r="U308" s="32"/>
      <x:c r="V308" s="32"/>
      <x:c r="W308" s="32"/>
      <x:c r="X308" s="32"/>
      <x:c r="Y308" s="32"/>
      <x:c r="Z308" s="32"/>
      <x:c r="AA308" s="32"/>
      <x:c r="AB308" s="32"/>
      <x:c r="AC308" s="32"/>
      <x:c r="AD308" s="32"/>
      <x:c r="AE308" s="32"/>
      <x:c r="AF308" s="32"/>
      <x:c r="AG308" s="32"/>
      <x:c r="AH308" s="32"/>
      <x:c r="AI308" s="32"/>
      <x:c r="AJ308" s="32"/>
      <x:c r="AK308" s="32"/>
      <x:c r="AL308" s="32"/>
      <x:c r="AM308" s="32"/>
      <x:c r="AN308" s="32"/>
      <x:c r="AO308" s="32"/>
      <x:c r="AP308" s="32"/>
      <x:c r="AQ308" s="32"/>
      <x:c r="AR308" s="32"/>
      <x:c r="AS308" s="32"/>
      <x:c r="AT308" s="32"/>
      <x:c r="AU308" s="32"/>
      <x:c r="AV308" s="32"/>
      <x:c r="AW308" s="32"/>
      <x:c r="AX308" s="32"/>
      <x:c r="AZ308" s="32"/>
      <x:c r="BA308" s="32"/>
      <x:c r="BB308" s="32"/>
      <x:c r="BC308" s="32"/>
      <x:c r="BD308" s="32"/>
      <x:c r="BE308" s="32"/>
      <x:c r="BF308" s="32"/>
      <x:c r="BG308" s="32"/>
      <x:c r="BH308" s="32"/>
      <x:c r="BI308" s="32"/>
      <x:c r="BJ308" s="32"/>
      <x:c r="BK308" s="32"/>
      <x:c r="BL308" s="32"/>
      <x:c r="BM308" s="32"/>
    </x:row>
    <x:row r="309">
      <x:c r="A309" s="32"/>
      <x:c r="B309" s="32"/>
      <x:c r="C309" s="42"/>
      <x:c r="D309" s="32"/>
      <x:c r="E309" s="32"/>
      <x:c r="F309" s="32"/>
      <x:c r="G309" s="32"/>
      <x:c r="H309" s="32"/>
      <x:c r="I309" s="32"/>
      <x:c r="J309" s="32"/>
      <x:c r="K309" s="32"/>
      <x:c r="L309" s="32"/>
      <x:c r="M309" s="32"/>
      <x:c r="N309" s="32"/>
      <x:c r="O309" s="32"/>
      <x:c r="P309" s="32"/>
      <x:c r="Q309" s="32"/>
      <x:c r="R309" s="32"/>
      <x:c r="S309" s="32"/>
      <x:c r="T309" s="43" t="str">
        <x:f>IFERROR(S309/L309,"")</x:f>
      </x:c>
      <x:c r="U309" s="32"/>
      <x:c r="V309" s="32"/>
      <x:c r="W309" s="32"/>
      <x:c r="X309" s="32"/>
      <x:c r="Y309" s="32"/>
      <x:c r="Z309" s="32"/>
      <x:c r="AA309" s="32"/>
      <x:c r="AB309" s="32"/>
      <x:c r="AC309" s="32"/>
      <x:c r="AD309" s="32"/>
      <x:c r="AE309" s="32"/>
      <x:c r="AF309" s="32"/>
      <x:c r="AG309" s="32"/>
      <x:c r="AH309" s="32"/>
      <x:c r="AI309" s="32"/>
      <x:c r="AJ309" s="32"/>
      <x:c r="AK309" s="32"/>
      <x:c r="AL309" s="32"/>
      <x:c r="AM309" s="32"/>
      <x:c r="AN309" s="32"/>
      <x:c r="AO309" s="32"/>
      <x:c r="AP309" s="32"/>
      <x:c r="AQ309" s="32"/>
      <x:c r="AR309" s="32"/>
      <x:c r="AS309" s="32"/>
      <x:c r="AT309" s="32"/>
      <x:c r="AU309" s="32"/>
      <x:c r="AV309" s="32"/>
      <x:c r="AW309" s="32"/>
      <x:c r="AX309" s="32"/>
      <x:c r="AZ309" s="32"/>
      <x:c r="BA309" s="32"/>
      <x:c r="BB309" s="32"/>
      <x:c r="BC309" s="32"/>
      <x:c r="BD309" s="32"/>
      <x:c r="BE309" s="32"/>
      <x:c r="BF309" s="32"/>
      <x:c r="BG309" s="32"/>
      <x:c r="BH309" s="32"/>
      <x:c r="BI309" s="32"/>
      <x:c r="BJ309" s="32"/>
      <x:c r="BK309" s="32"/>
      <x:c r="BL309" s="32"/>
      <x:c r="BM309" s="32"/>
    </x:row>
    <x:row r="310">
      <x:c r="A310" s="32"/>
      <x:c r="B310" s="32"/>
      <x:c r="C310" s="42"/>
      <x:c r="D310" s="32"/>
      <x:c r="E310" s="32"/>
      <x:c r="F310" s="32"/>
      <x:c r="G310" s="32"/>
      <x:c r="H310" s="32"/>
      <x:c r="I310" s="32"/>
      <x:c r="J310" s="32"/>
      <x:c r="K310" s="32"/>
      <x:c r="L310" s="32"/>
      <x:c r="M310" s="32"/>
      <x:c r="N310" s="32"/>
      <x:c r="O310" s="32"/>
      <x:c r="P310" s="32"/>
      <x:c r="Q310" s="32"/>
      <x:c r="R310" s="32"/>
      <x:c r="S310" s="32"/>
      <x:c r="T310" s="43" t="str">
        <x:f>IFERROR(S310/L310,"")</x:f>
      </x:c>
      <x:c r="U310" s="32"/>
      <x:c r="V310" s="32"/>
      <x:c r="W310" s="32"/>
      <x:c r="X310" s="32"/>
      <x:c r="Y310" s="32"/>
      <x:c r="Z310" s="32"/>
      <x:c r="AA310" s="32"/>
      <x:c r="AB310" s="32"/>
      <x:c r="AC310" s="32"/>
      <x:c r="AD310" s="32"/>
      <x:c r="AE310" s="32"/>
      <x:c r="AF310" s="32"/>
      <x:c r="AG310" s="32"/>
      <x:c r="AH310" s="32"/>
      <x:c r="AI310" s="32"/>
      <x:c r="AJ310" s="32"/>
      <x:c r="AK310" s="32"/>
      <x:c r="AL310" s="32"/>
      <x:c r="AM310" s="32"/>
      <x:c r="AN310" s="32"/>
      <x:c r="AO310" s="32"/>
      <x:c r="AP310" s="32"/>
      <x:c r="AQ310" s="32"/>
      <x:c r="AR310" s="32"/>
      <x:c r="AS310" s="32"/>
      <x:c r="AT310" s="32"/>
      <x:c r="AU310" s="32"/>
      <x:c r="AV310" s="32"/>
      <x:c r="AW310" s="32"/>
      <x:c r="AX310" s="32"/>
      <x:c r="AZ310" s="32"/>
      <x:c r="BA310" s="32"/>
      <x:c r="BB310" s="32"/>
      <x:c r="BC310" s="32"/>
      <x:c r="BD310" s="32"/>
      <x:c r="BE310" s="32"/>
      <x:c r="BF310" s="32"/>
      <x:c r="BG310" s="32"/>
      <x:c r="BH310" s="32"/>
      <x:c r="BI310" s="32"/>
      <x:c r="BJ310" s="32"/>
      <x:c r="BK310" s="32"/>
      <x:c r="BL310" s="32"/>
      <x:c r="BM310" s="32"/>
    </x:row>
    <x:row r="311">
      <x:c r="A311" s="32"/>
      <x:c r="B311" s="32"/>
      <x:c r="C311" s="42"/>
      <x:c r="D311" s="32"/>
      <x:c r="E311" s="32"/>
      <x:c r="F311" s="32"/>
      <x:c r="G311" s="32"/>
      <x:c r="H311" s="32"/>
      <x:c r="I311" s="32"/>
      <x:c r="J311" s="32"/>
      <x:c r="K311" s="32"/>
      <x:c r="L311" s="32"/>
      <x:c r="M311" s="32"/>
      <x:c r="N311" s="32"/>
      <x:c r="O311" s="32"/>
      <x:c r="P311" s="32"/>
      <x:c r="Q311" s="32"/>
      <x:c r="R311" s="32"/>
      <x:c r="S311" s="32"/>
      <x:c r="T311" s="43" t="str">
        <x:f>IFERROR(S311/L311,"")</x:f>
      </x:c>
      <x:c r="U311" s="32"/>
      <x:c r="V311" s="32"/>
      <x:c r="W311" s="32"/>
      <x:c r="X311" s="32"/>
      <x:c r="Y311" s="32"/>
      <x:c r="Z311" s="32"/>
      <x:c r="AA311" s="32"/>
      <x:c r="AB311" s="32"/>
      <x:c r="AC311" s="32"/>
      <x:c r="AD311" s="32"/>
      <x:c r="AE311" s="32"/>
      <x:c r="AF311" s="32"/>
      <x:c r="AG311" s="32"/>
      <x:c r="AH311" s="32"/>
      <x:c r="AI311" s="32"/>
      <x:c r="AJ311" s="32"/>
      <x:c r="AK311" s="32"/>
      <x:c r="AL311" s="32"/>
      <x:c r="AM311" s="32"/>
      <x:c r="AN311" s="32"/>
      <x:c r="AO311" s="32"/>
      <x:c r="AP311" s="32"/>
      <x:c r="AQ311" s="32"/>
      <x:c r="AR311" s="32"/>
      <x:c r="AS311" s="32"/>
      <x:c r="AT311" s="32"/>
      <x:c r="AU311" s="32"/>
      <x:c r="AV311" s="32"/>
      <x:c r="AW311" s="32"/>
      <x:c r="AX311" s="32"/>
      <x:c r="AZ311" s="32"/>
      <x:c r="BA311" s="32"/>
      <x:c r="BB311" s="32"/>
      <x:c r="BC311" s="32"/>
      <x:c r="BD311" s="32"/>
      <x:c r="BE311" s="32"/>
      <x:c r="BF311" s="32"/>
      <x:c r="BG311" s="32"/>
      <x:c r="BH311" s="32"/>
      <x:c r="BI311" s="32"/>
      <x:c r="BJ311" s="32"/>
      <x:c r="BK311" s="32"/>
      <x:c r="BL311" s="32"/>
      <x:c r="BM311" s="32"/>
    </x:row>
    <x:row r="312">
      <x:c r="A312" s="32"/>
      <x:c r="B312" s="32"/>
      <x:c r="C312" s="42"/>
      <x:c r="D312" s="32"/>
      <x:c r="E312" s="32"/>
      <x:c r="F312" s="32"/>
      <x:c r="G312" s="32"/>
      <x:c r="H312" s="32"/>
      <x:c r="I312" s="32"/>
      <x:c r="J312" s="32"/>
      <x:c r="K312" s="32"/>
      <x:c r="L312" s="32"/>
      <x:c r="M312" s="32"/>
      <x:c r="N312" s="32"/>
      <x:c r="O312" s="32"/>
      <x:c r="P312" s="32"/>
      <x:c r="Q312" s="32"/>
      <x:c r="R312" s="32"/>
      <x:c r="S312" s="32"/>
      <x:c r="T312" s="43" t="str">
        <x:f>IFERROR(S312/L312,"")</x:f>
      </x:c>
      <x:c r="U312" s="32"/>
      <x:c r="V312" s="32"/>
      <x:c r="W312" s="32"/>
      <x:c r="X312" s="32"/>
      <x:c r="Y312" s="32"/>
      <x:c r="Z312" s="32"/>
      <x:c r="AA312" s="32"/>
      <x:c r="AB312" s="32"/>
      <x:c r="AC312" s="32"/>
      <x:c r="AD312" s="32"/>
      <x:c r="AE312" s="32"/>
      <x:c r="AF312" s="32"/>
      <x:c r="AG312" s="32"/>
      <x:c r="AH312" s="32"/>
      <x:c r="AI312" s="32"/>
      <x:c r="AJ312" s="32"/>
      <x:c r="AK312" s="32"/>
      <x:c r="AL312" s="32"/>
      <x:c r="AM312" s="32"/>
      <x:c r="AN312" s="32"/>
      <x:c r="AO312" s="32"/>
      <x:c r="AP312" s="32"/>
      <x:c r="AQ312" s="32"/>
      <x:c r="AR312" s="32"/>
      <x:c r="AS312" s="32"/>
      <x:c r="AT312" s="32"/>
      <x:c r="AU312" s="32"/>
      <x:c r="AV312" s="32"/>
      <x:c r="AW312" s="32"/>
      <x:c r="AX312" s="32"/>
      <x:c r="AZ312" s="32"/>
      <x:c r="BA312" s="32"/>
      <x:c r="BB312" s="32"/>
      <x:c r="BC312" s="32"/>
      <x:c r="BD312" s="32"/>
      <x:c r="BE312" s="32"/>
      <x:c r="BF312" s="32"/>
      <x:c r="BG312" s="32"/>
      <x:c r="BH312" s="32"/>
      <x:c r="BI312" s="32"/>
      <x:c r="BJ312" s="32"/>
      <x:c r="BK312" s="32"/>
      <x:c r="BL312" s="32"/>
      <x:c r="BM312" s="32"/>
    </x:row>
    <x:row r="313">
      <x:c r="A313" s="32"/>
      <x:c r="B313" s="32"/>
      <x:c r="C313" s="42"/>
      <x:c r="D313" s="32"/>
      <x:c r="E313" s="32"/>
      <x:c r="F313" s="32"/>
      <x:c r="G313" s="32"/>
      <x:c r="H313" s="32"/>
      <x:c r="I313" s="32"/>
      <x:c r="J313" s="32"/>
      <x:c r="K313" s="32"/>
      <x:c r="L313" s="32"/>
      <x:c r="M313" s="32"/>
      <x:c r="N313" s="32"/>
      <x:c r="O313" s="32"/>
      <x:c r="P313" s="32"/>
      <x:c r="Q313" s="32"/>
      <x:c r="R313" s="32"/>
      <x:c r="S313" s="32"/>
      <x:c r="T313" s="43" t="str">
        <x:f>IFERROR(S313/L313,"")</x:f>
      </x:c>
      <x:c r="U313" s="32"/>
      <x:c r="V313" s="32"/>
      <x:c r="W313" s="32"/>
      <x:c r="X313" s="32"/>
      <x:c r="Y313" s="32"/>
      <x:c r="Z313" s="32"/>
      <x:c r="AA313" s="32"/>
      <x:c r="AB313" s="32"/>
      <x:c r="AC313" s="32"/>
      <x:c r="AD313" s="32"/>
      <x:c r="AE313" s="32"/>
      <x:c r="AF313" s="32"/>
      <x:c r="AG313" s="32"/>
      <x:c r="AH313" s="32"/>
      <x:c r="AI313" s="32"/>
      <x:c r="AJ313" s="32"/>
      <x:c r="AK313" s="32"/>
      <x:c r="AL313" s="32"/>
      <x:c r="AM313" s="32"/>
      <x:c r="AN313" s="32"/>
      <x:c r="AO313" s="32"/>
      <x:c r="AP313" s="32"/>
      <x:c r="AQ313" s="32"/>
      <x:c r="AR313" s="32"/>
      <x:c r="AS313" s="32"/>
      <x:c r="AT313" s="32"/>
      <x:c r="AU313" s="32"/>
      <x:c r="AV313" s="32"/>
      <x:c r="AW313" s="32"/>
      <x:c r="AX313" s="32"/>
      <x:c r="AZ313" s="32"/>
      <x:c r="BA313" s="32"/>
      <x:c r="BB313" s="32"/>
      <x:c r="BC313" s="32"/>
      <x:c r="BD313" s="32"/>
      <x:c r="BE313" s="32"/>
      <x:c r="BF313" s="32"/>
      <x:c r="BG313" s="32"/>
      <x:c r="BH313" s="32"/>
      <x:c r="BI313" s="32"/>
      <x:c r="BJ313" s="32"/>
      <x:c r="BK313" s="32"/>
      <x:c r="BL313" s="32"/>
      <x:c r="BM313" s="32"/>
    </x:row>
    <x:row r="314">
      <x:c r="A314" s="32"/>
      <x:c r="B314" s="32"/>
      <x:c r="C314" s="42"/>
      <x:c r="D314" s="32"/>
      <x:c r="E314" s="32"/>
      <x:c r="F314" s="32"/>
      <x:c r="G314" s="32"/>
      <x:c r="H314" s="32"/>
      <x:c r="I314" s="32"/>
      <x:c r="J314" s="32"/>
      <x:c r="K314" s="32"/>
      <x:c r="L314" s="32"/>
      <x:c r="M314" s="32"/>
      <x:c r="N314" s="32"/>
      <x:c r="O314" s="32"/>
      <x:c r="P314" s="32"/>
      <x:c r="Q314" s="32"/>
      <x:c r="R314" s="32"/>
      <x:c r="S314" s="32"/>
      <x:c r="T314" s="43" t="str">
        <x:f>IFERROR(S314/L314,"")</x:f>
      </x:c>
      <x:c r="U314" s="32"/>
      <x:c r="V314" s="32"/>
      <x:c r="W314" s="32"/>
      <x:c r="X314" s="32"/>
      <x:c r="Y314" s="32"/>
      <x:c r="Z314" s="32"/>
      <x:c r="AA314" s="32"/>
      <x:c r="AB314" s="32"/>
      <x:c r="AC314" s="32"/>
      <x:c r="AD314" s="32"/>
      <x:c r="AE314" s="32"/>
      <x:c r="AF314" s="32"/>
      <x:c r="AG314" s="32"/>
      <x:c r="AH314" s="32"/>
      <x:c r="AI314" s="32"/>
      <x:c r="AJ314" s="32"/>
      <x:c r="AK314" s="32"/>
      <x:c r="AL314" s="32"/>
      <x:c r="AM314" s="32"/>
      <x:c r="AN314" s="32"/>
      <x:c r="AO314" s="32"/>
      <x:c r="AP314" s="32"/>
      <x:c r="AQ314" s="32"/>
      <x:c r="AR314" s="32"/>
      <x:c r="AS314" s="32"/>
      <x:c r="AT314" s="32"/>
      <x:c r="AU314" s="32"/>
      <x:c r="AV314" s="32"/>
      <x:c r="AW314" s="32"/>
      <x:c r="AX314" s="32"/>
      <x:c r="AZ314" s="32"/>
      <x:c r="BA314" s="32"/>
      <x:c r="BB314" s="32"/>
      <x:c r="BC314" s="32"/>
      <x:c r="BD314" s="32"/>
      <x:c r="BE314" s="32"/>
      <x:c r="BF314" s="32"/>
      <x:c r="BG314" s="32"/>
      <x:c r="BH314" s="32"/>
      <x:c r="BI314" s="32"/>
      <x:c r="BJ314" s="32"/>
      <x:c r="BK314" s="32"/>
      <x:c r="BL314" s="32"/>
      <x:c r="BM314" s="32"/>
    </x:row>
    <x:row r="315">
      <x:c r="A315" s="32"/>
      <x:c r="B315" s="32"/>
      <x:c r="C315" s="42"/>
      <x:c r="D315" s="32"/>
      <x:c r="E315" s="32"/>
      <x:c r="F315" s="32"/>
      <x:c r="G315" s="32"/>
      <x:c r="H315" s="32"/>
      <x:c r="I315" s="32"/>
      <x:c r="J315" s="32"/>
      <x:c r="K315" s="32"/>
      <x:c r="L315" s="32"/>
      <x:c r="M315" s="32"/>
      <x:c r="N315" s="32"/>
      <x:c r="O315" s="32"/>
      <x:c r="P315" s="32"/>
      <x:c r="Q315" s="32"/>
      <x:c r="R315" s="32"/>
      <x:c r="S315" s="32"/>
      <x:c r="T315" s="43" t="str">
        <x:f>IFERROR(S315/L315,"")</x:f>
      </x:c>
      <x:c r="U315" s="32"/>
      <x:c r="V315" s="32"/>
      <x:c r="W315" s="32"/>
      <x:c r="X315" s="32"/>
      <x:c r="Y315" s="32"/>
      <x:c r="Z315" s="32"/>
      <x:c r="AA315" s="32"/>
      <x:c r="AB315" s="32"/>
      <x:c r="AC315" s="32"/>
      <x:c r="AD315" s="32"/>
      <x:c r="AE315" s="32"/>
      <x:c r="AF315" s="32"/>
      <x:c r="AG315" s="32"/>
      <x:c r="AH315" s="32"/>
      <x:c r="AI315" s="32"/>
      <x:c r="AJ315" s="32"/>
      <x:c r="AK315" s="32"/>
      <x:c r="AL315" s="32"/>
      <x:c r="AM315" s="32"/>
      <x:c r="AN315" s="32"/>
      <x:c r="AO315" s="32"/>
      <x:c r="AP315" s="32"/>
      <x:c r="AQ315" s="32"/>
      <x:c r="AR315" s="32"/>
      <x:c r="AS315" s="32"/>
      <x:c r="AT315" s="32"/>
      <x:c r="AU315" s="32"/>
      <x:c r="AV315" s="32"/>
      <x:c r="AW315" s="32"/>
      <x:c r="AX315" s="32"/>
      <x:c r="AZ315" s="32"/>
      <x:c r="BA315" s="32"/>
      <x:c r="BB315" s="32"/>
      <x:c r="BC315" s="32"/>
      <x:c r="BD315" s="32"/>
      <x:c r="BE315" s="32"/>
      <x:c r="BF315" s="32"/>
      <x:c r="BG315" s="32"/>
      <x:c r="BH315" s="32"/>
      <x:c r="BI315" s="32"/>
      <x:c r="BJ315" s="32"/>
      <x:c r="BK315" s="32"/>
      <x:c r="BL315" s="32"/>
      <x:c r="BM315" s="32"/>
    </x:row>
    <x:row r="316">
      <x:c r="A316" s="32"/>
      <x:c r="B316" s="32"/>
      <x:c r="C316" s="42"/>
      <x:c r="D316" s="32"/>
      <x:c r="E316" s="32"/>
      <x:c r="F316" s="32"/>
      <x:c r="G316" s="32"/>
      <x:c r="H316" s="32"/>
      <x:c r="I316" s="32"/>
      <x:c r="J316" s="32"/>
      <x:c r="K316" s="32"/>
      <x:c r="L316" s="32"/>
      <x:c r="M316" s="32"/>
      <x:c r="N316" s="32"/>
      <x:c r="O316" s="32"/>
      <x:c r="P316" s="32"/>
      <x:c r="Q316" s="32"/>
      <x:c r="R316" s="32"/>
      <x:c r="S316" s="32"/>
      <x:c r="T316" s="43" t="str">
        <x:f>IFERROR(S316/L316,"")</x:f>
      </x:c>
      <x:c r="U316" s="32"/>
      <x:c r="V316" s="32"/>
      <x:c r="W316" s="32"/>
      <x:c r="X316" s="32"/>
      <x:c r="Y316" s="32"/>
      <x:c r="Z316" s="32"/>
      <x:c r="AA316" s="32"/>
      <x:c r="AB316" s="32"/>
      <x:c r="AC316" s="32"/>
      <x:c r="AD316" s="32"/>
      <x:c r="AE316" s="32"/>
      <x:c r="AF316" s="32"/>
      <x:c r="AG316" s="32"/>
      <x:c r="AH316" s="32"/>
      <x:c r="AI316" s="32"/>
      <x:c r="AJ316" s="32"/>
      <x:c r="AK316" s="32"/>
      <x:c r="AL316" s="32"/>
      <x:c r="AM316" s="32"/>
      <x:c r="AN316" s="32"/>
      <x:c r="AO316" s="32"/>
      <x:c r="AP316" s="32"/>
      <x:c r="AQ316" s="32"/>
      <x:c r="AR316" s="32"/>
      <x:c r="AS316" s="32"/>
      <x:c r="AT316" s="32"/>
      <x:c r="AU316" s="32"/>
      <x:c r="AV316" s="32"/>
      <x:c r="AW316" s="32"/>
      <x:c r="AX316" s="32"/>
      <x:c r="AZ316" s="32"/>
      <x:c r="BA316" s="32"/>
      <x:c r="BB316" s="32"/>
      <x:c r="BC316" s="32"/>
      <x:c r="BD316" s="32"/>
      <x:c r="BE316" s="32"/>
      <x:c r="BF316" s="32"/>
      <x:c r="BG316" s="32"/>
      <x:c r="BH316" s="32"/>
      <x:c r="BI316" s="32"/>
      <x:c r="BJ316" s="32"/>
      <x:c r="BK316" s="32"/>
      <x:c r="BL316" s="32"/>
      <x:c r="BM316" s="32"/>
    </x:row>
    <x:row r="317">
      <x:c r="A317" s="32"/>
      <x:c r="B317" s="32"/>
      <x:c r="C317" s="42"/>
      <x:c r="D317" s="32"/>
      <x:c r="E317" s="32"/>
      <x:c r="F317" s="32"/>
      <x:c r="G317" s="32"/>
      <x:c r="H317" s="32"/>
      <x:c r="I317" s="32"/>
      <x:c r="J317" s="32"/>
      <x:c r="K317" s="32"/>
      <x:c r="L317" s="32"/>
      <x:c r="M317" s="32"/>
      <x:c r="N317" s="32"/>
      <x:c r="O317" s="32"/>
      <x:c r="P317" s="32"/>
      <x:c r="Q317" s="32"/>
      <x:c r="R317" s="32"/>
      <x:c r="S317" s="32"/>
      <x:c r="T317" s="43" t="str">
        <x:f>IFERROR(S317/L317,"")</x:f>
      </x:c>
      <x:c r="U317" s="32"/>
      <x:c r="V317" s="32"/>
      <x:c r="W317" s="32"/>
      <x:c r="X317" s="32"/>
      <x:c r="Y317" s="32"/>
      <x:c r="Z317" s="32"/>
      <x:c r="AA317" s="32"/>
      <x:c r="AB317" s="32"/>
      <x:c r="AC317" s="32"/>
      <x:c r="AD317" s="32"/>
      <x:c r="AE317" s="32"/>
      <x:c r="AF317" s="32"/>
      <x:c r="AG317" s="32"/>
      <x:c r="AH317" s="32"/>
      <x:c r="AI317" s="32"/>
      <x:c r="AJ317" s="32"/>
      <x:c r="AK317" s="32"/>
      <x:c r="AL317" s="32"/>
      <x:c r="AM317" s="32"/>
      <x:c r="AN317" s="32"/>
      <x:c r="AO317" s="32"/>
      <x:c r="AP317" s="32"/>
      <x:c r="AQ317" s="32"/>
      <x:c r="AR317" s="32"/>
      <x:c r="AS317" s="32"/>
      <x:c r="AT317" s="32"/>
      <x:c r="AU317" s="32"/>
      <x:c r="AV317" s="32"/>
      <x:c r="AW317" s="32"/>
      <x:c r="AX317" s="32"/>
      <x:c r="AZ317" s="32"/>
      <x:c r="BA317" s="32"/>
      <x:c r="BB317" s="32"/>
      <x:c r="BC317" s="32"/>
      <x:c r="BD317" s="32"/>
      <x:c r="BE317" s="32"/>
      <x:c r="BF317" s="32"/>
      <x:c r="BG317" s="32"/>
      <x:c r="BH317" s="32"/>
      <x:c r="BI317" s="32"/>
      <x:c r="BJ317" s="32"/>
      <x:c r="BK317" s="32"/>
      <x:c r="BL317" s="32"/>
      <x:c r="BM317" s="32"/>
    </x:row>
    <x:row r="318">
      <x:c r="A318" s="32"/>
      <x:c r="B318" s="32"/>
      <x:c r="C318" s="42"/>
      <x:c r="D318" s="32"/>
      <x:c r="E318" s="32"/>
      <x:c r="F318" s="32"/>
      <x:c r="G318" s="32"/>
      <x:c r="H318" s="32"/>
      <x:c r="I318" s="32"/>
      <x:c r="J318" s="32"/>
      <x:c r="K318" s="32"/>
      <x:c r="L318" s="32"/>
      <x:c r="M318" s="32"/>
      <x:c r="N318" s="32"/>
      <x:c r="O318" s="32"/>
      <x:c r="P318" s="32"/>
      <x:c r="Q318" s="32"/>
      <x:c r="R318" s="32"/>
      <x:c r="S318" s="32"/>
      <x:c r="T318" s="43" t="str">
        <x:f>IFERROR(S318/L318,"")</x:f>
      </x:c>
      <x:c r="U318" s="32"/>
      <x:c r="V318" s="32"/>
      <x:c r="W318" s="32"/>
      <x:c r="X318" s="32"/>
      <x:c r="Y318" s="32"/>
      <x:c r="Z318" s="32"/>
      <x:c r="AA318" s="32"/>
      <x:c r="AB318" s="32"/>
      <x:c r="AC318" s="32"/>
      <x:c r="AD318" s="32"/>
      <x:c r="AE318" s="32"/>
      <x:c r="AF318" s="32"/>
      <x:c r="AG318" s="32"/>
      <x:c r="AH318" s="32"/>
      <x:c r="AI318" s="32"/>
      <x:c r="AJ318" s="32"/>
      <x:c r="AK318" s="32"/>
      <x:c r="AL318" s="32"/>
      <x:c r="AM318" s="32"/>
      <x:c r="AN318" s="32"/>
      <x:c r="AO318" s="32"/>
      <x:c r="AP318" s="32"/>
      <x:c r="AQ318" s="32"/>
      <x:c r="AR318" s="32"/>
      <x:c r="AS318" s="32"/>
      <x:c r="AT318" s="32"/>
      <x:c r="AU318" s="32"/>
      <x:c r="AV318" s="32"/>
      <x:c r="AW318" s="32"/>
      <x:c r="AX318" s="32"/>
      <x:c r="AZ318" s="32"/>
      <x:c r="BA318" s="32"/>
      <x:c r="BB318" s="32"/>
      <x:c r="BC318" s="32"/>
      <x:c r="BD318" s="32"/>
      <x:c r="BE318" s="32"/>
      <x:c r="BF318" s="32"/>
      <x:c r="BG318" s="32"/>
      <x:c r="BH318" s="32"/>
      <x:c r="BI318" s="32"/>
      <x:c r="BJ318" s="32"/>
      <x:c r="BK318" s="32"/>
      <x:c r="BL318" s="32"/>
      <x:c r="BM318" s="32"/>
    </x:row>
    <x:row r="319">
      <x:c r="A319" s="32"/>
      <x:c r="B319" s="32"/>
      <x:c r="C319" s="42"/>
      <x:c r="D319" s="32"/>
      <x:c r="E319" s="32"/>
      <x:c r="F319" s="32"/>
      <x:c r="G319" s="32"/>
      <x:c r="H319" s="32"/>
      <x:c r="I319" s="32"/>
      <x:c r="J319" s="32"/>
      <x:c r="K319" s="32"/>
      <x:c r="L319" s="32"/>
      <x:c r="M319" s="32"/>
      <x:c r="N319" s="32"/>
      <x:c r="O319" s="32"/>
      <x:c r="P319" s="32"/>
      <x:c r="Q319" s="32"/>
      <x:c r="R319" s="32"/>
      <x:c r="S319" s="32"/>
      <x:c r="T319" s="43" t="str">
        <x:f>IFERROR(S319/L319,"")</x:f>
      </x:c>
      <x:c r="U319" s="32"/>
      <x:c r="V319" s="32"/>
      <x:c r="W319" s="32"/>
      <x:c r="X319" s="32"/>
      <x:c r="Y319" s="32"/>
      <x:c r="Z319" s="32"/>
      <x:c r="AA319" s="32"/>
      <x:c r="AB319" s="32"/>
      <x:c r="AC319" s="32"/>
      <x:c r="AD319" s="32"/>
      <x:c r="AE319" s="32"/>
      <x:c r="AF319" s="32"/>
      <x:c r="AG319" s="32"/>
      <x:c r="AH319" s="32"/>
      <x:c r="AI319" s="32"/>
      <x:c r="AJ319" s="32"/>
      <x:c r="AK319" s="32"/>
      <x:c r="AL319" s="32"/>
      <x:c r="AM319" s="32"/>
      <x:c r="AN319" s="32"/>
      <x:c r="AO319" s="32"/>
      <x:c r="AP319" s="32"/>
      <x:c r="AQ319" s="32"/>
      <x:c r="AR319" s="32"/>
      <x:c r="AS319" s="32"/>
      <x:c r="AT319" s="32"/>
      <x:c r="AU319" s="32"/>
      <x:c r="AV319" s="32"/>
      <x:c r="AW319" s="32"/>
      <x:c r="AX319" s="32"/>
      <x:c r="AZ319" s="32"/>
      <x:c r="BA319" s="32"/>
      <x:c r="BB319" s="32"/>
      <x:c r="BC319" s="32"/>
      <x:c r="BD319" s="32"/>
      <x:c r="BE319" s="32"/>
      <x:c r="BF319" s="32"/>
      <x:c r="BG319" s="32"/>
      <x:c r="BH319" s="32"/>
      <x:c r="BI319" s="32"/>
      <x:c r="BJ319" s="32"/>
      <x:c r="BK319" s="32"/>
      <x:c r="BL319" s="32"/>
      <x:c r="BM319" s="32"/>
    </x:row>
    <x:row r="320">
      <x:c r="A320" s="32"/>
      <x:c r="B320" s="32"/>
      <x:c r="C320" s="42"/>
      <x:c r="D320" s="32"/>
      <x:c r="E320" s="32"/>
      <x:c r="F320" s="32"/>
      <x:c r="G320" s="32"/>
      <x:c r="H320" s="32"/>
      <x:c r="I320" s="32"/>
      <x:c r="J320" s="32"/>
      <x:c r="K320" s="32"/>
      <x:c r="L320" s="32"/>
      <x:c r="M320" s="32"/>
      <x:c r="N320" s="32"/>
      <x:c r="O320" s="32"/>
      <x:c r="P320" s="32"/>
      <x:c r="Q320" s="32"/>
      <x:c r="R320" s="32"/>
      <x:c r="S320" s="32"/>
      <x:c r="T320" s="43" t="str">
        <x:f>IFERROR(S320/L320,"")</x:f>
      </x:c>
      <x:c r="U320" s="32"/>
      <x:c r="V320" s="32"/>
      <x:c r="W320" s="32"/>
      <x:c r="X320" s="32"/>
      <x:c r="Y320" s="32"/>
      <x:c r="Z320" s="32"/>
      <x:c r="AA320" s="32"/>
      <x:c r="AB320" s="32"/>
      <x:c r="AC320" s="32"/>
      <x:c r="AD320" s="32"/>
      <x:c r="AE320" s="32"/>
      <x:c r="AF320" s="32"/>
      <x:c r="AG320" s="32"/>
      <x:c r="AH320" s="32"/>
      <x:c r="AI320" s="32"/>
      <x:c r="AJ320" s="32"/>
      <x:c r="AK320" s="32"/>
      <x:c r="AL320" s="32"/>
      <x:c r="AM320" s="32"/>
      <x:c r="AN320" s="32"/>
      <x:c r="AO320" s="32"/>
      <x:c r="AP320" s="32"/>
      <x:c r="AQ320" s="32"/>
      <x:c r="AR320" s="32"/>
      <x:c r="AS320" s="32"/>
      <x:c r="AT320" s="32"/>
      <x:c r="AU320" s="32"/>
      <x:c r="AV320" s="32"/>
      <x:c r="AW320" s="32"/>
      <x:c r="AX320" s="32"/>
      <x:c r="AZ320" s="32"/>
      <x:c r="BA320" s="32"/>
      <x:c r="BB320" s="32"/>
      <x:c r="BC320" s="32"/>
      <x:c r="BD320" s="32"/>
      <x:c r="BE320" s="32"/>
      <x:c r="BF320" s="32"/>
      <x:c r="BG320" s="32"/>
      <x:c r="BH320" s="32"/>
      <x:c r="BI320" s="32"/>
      <x:c r="BJ320" s="32"/>
      <x:c r="BK320" s="32"/>
      <x:c r="BL320" s="32"/>
      <x:c r="BM320" s="32"/>
    </x:row>
    <x:row r="321">
      <x:c r="A321" s="32"/>
      <x:c r="B321" s="32"/>
      <x:c r="C321" s="42"/>
      <x:c r="D321" s="32"/>
      <x:c r="E321" s="32"/>
      <x:c r="F321" s="32"/>
      <x:c r="G321" s="32"/>
      <x:c r="H321" s="32"/>
      <x:c r="I321" s="32"/>
      <x:c r="J321" s="32"/>
      <x:c r="K321" s="32"/>
      <x:c r="L321" s="32"/>
      <x:c r="M321" s="32"/>
      <x:c r="N321" s="32"/>
      <x:c r="O321" s="32"/>
      <x:c r="P321" s="32"/>
      <x:c r="Q321" s="32"/>
      <x:c r="R321" s="32"/>
      <x:c r="S321" s="32"/>
      <x:c r="T321" s="43" t="str">
        <x:f>IFERROR(S321/L321,"")</x:f>
      </x:c>
      <x:c r="U321" s="32"/>
      <x:c r="V321" s="32"/>
      <x:c r="W321" s="32"/>
      <x:c r="X321" s="32"/>
      <x:c r="Y321" s="32"/>
      <x:c r="Z321" s="32"/>
      <x:c r="AA321" s="32"/>
      <x:c r="AB321" s="32"/>
      <x:c r="AC321" s="32"/>
      <x:c r="AD321" s="32"/>
      <x:c r="AE321" s="32"/>
      <x:c r="AF321" s="32"/>
      <x:c r="AG321" s="32"/>
      <x:c r="AH321" s="32"/>
      <x:c r="AI321" s="32"/>
      <x:c r="AJ321" s="32"/>
      <x:c r="AK321" s="32"/>
      <x:c r="AL321" s="32"/>
      <x:c r="AM321" s="32"/>
      <x:c r="AN321" s="32"/>
      <x:c r="AO321" s="32"/>
      <x:c r="AP321" s="32"/>
      <x:c r="AQ321" s="32"/>
      <x:c r="AR321" s="32"/>
      <x:c r="AS321" s="32"/>
      <x:c r="AT321" s="32"/>
      <x:c r="AU321" s="32"/>
      <x:c r="AV321" s="32"/>
      <x:c r="AW321" s="32"/>
      <x:c r="AX321" s="32"/>
      <x:c r="AZ321" s="32"/>
      <x:c r="BA321" s="32"/>
      <x:c r="BB321" s="32"/>
      <x:c r="BC321" s="32"/>
      <x:c r="BD321" s="32"/>
      <x:c r="BE321" s="32"/>
      <x:c r="BF321" s="32"/>
      <x:c r="BG321" s="32"/>
      <x:c r="BH321" s="32"/>
      <x:c r="BI321" s="32"/>
      <x:c r="BJ321" s="32"/>
      <x:c r="BK321" s="32"/>
      <x:c r="BL321" s="32"/>
      <x:c r="BM321" s="32"/>
    </x:row>
    <x:row r="322">
      <x:c r="A322" s="32"/>
      <x:c r="B322" s="32"/>
      <x:c r="C322" s="42"/>
      <x:c r="D322" s="32"/>
      <x:c r="E322" s="32"/>
      <x:c r="F322" s="32"/>
      <x:c r="G322" s="32"/>
      <x:c r="H322" s="32"/>
      <x:c r="I322" s="32"/>
      <x:c r="J322" s="32"/>
      <x:c r="K322" s="32"/>
      <x:c r="L322" s="32"/>
      <x:c r="M322" s="32"/>
      <x:c r="N322" s="32"/>
      <x:c r="O322" s="32"/>
      <x:c r="P322" s="32"/>
      <x:c r="Q322" s="32"/>
      <x:c r="R322" s="32"/>
      <x:c r="S322" s="32"/>
      <x:c r="T322" s="43" t="str">
        <x:f>IFERROR(S322/L322,"")</x:f>
      </x:c>
      <x:c r="U322" s="32"/>
      <x:c r="V322" s="32"/>
      <x:c r="W322" s="32"/>
      <x:c r="X322" s="32"/>
      <x:c r="Y322" s="32"/>
      <x:c r="Z322" s="32"/>
      <x:c r="AA322" s="32"/>
      <x:c r="AB322" s="32"/>
      <x:c r="AC322" s="32"/>
      <x:c r="AD322" s="32"/>
      <x:c r="AE322" s="32"/>
      <x:c r="AF322" s="32"/>
      <x:c r="AG322" s="32"/>
      <x:c r="AH322" s="32"/>
      <x:c r="AI322" s="32"/>
      <x:c r="AJ322" s="32"/>
      <x:c r="AK322" s="32"/>
      <x:c r="AL322" s="32"/>
      <x:c r="AM322" s="32"/>
      <x:c r="AN322" s="32"/>
      <x:c r="AO322" s="32"/>
      <x:c r="AP322" s="32"/>
      <x:c r="AQ322" s="32"/>
      <x:c r="AR322" s="32"/>
      <x:c r="AS322" s="32"/>
      <x:c r="AT322" s="32"/>
      <x:c r="AU322" s="32"/>
      <x:c r="AV322" s="32"/>
      <x:c r="AW322" s="32"/>
      <x:c r="AX322" s="32"/>
      <x:c r="AZ322" s="32"/>
      <x:c r="BA322" s="32"/>
      <x:c r="BB322" s="32"/>
      <x:c r="BC322" s="32"/>
      <x:c r="BD322" s="32"/>
      <x:c r="BE322" s="32"/>
      <x:c r="BF322" s="32"/>
      <x:c r="BG322" s="32"/>
      <x:c r="BH322" s="32"/>
      <x:c r="BI322" s="32"/>
      <x:c r="BJ322" s="32"/>
      <x:c r="BK322" s="32"/>
      <x:c r="BL322" s="32"/>
      <x:c r="BM322" s="32"/>
    </x:row>
    <x:row r="323">
      <x:c r="A323" s="32"/>
      <x:c r="B323" s="32"/>
      <x:c r="C323" s="42"/>
      <x:c r="D323" s="32"/>
      <x:c r="E323" s="32"/>
      <x:c r="F323" s="32"/>
      <x:c r="G323" s="32"/>
      <x:c r="H323" s="32"/>
      <x:c r="I323" s="32"/>
      <x:c r="J323" s="32"/>
      <x:c r="K323" s="32"/>
      <x:c r="L323" s="32"/>
      <x:c r="M323" s="32"/>
      <x:c r="N323" s="32"/>
      <x:c r="O323" s="32"/>
      <x:c r="P323" s="32"/>
      <x:c r="Q323" s="32"/>
      <x:c r="R323" s="32"/>
      <x:c r="S323" s="32"/>
      <x:c r="T323" s="43" t="str">
        <x:f>IFERROR(S323/L323,"")</x:f>
      </x:c>
      <x:c r="U323" s="32"/>
      <x:c r="V323" s="32"/>
      <x:c r="W323" s="32"/>
      <x:c r="X323" s="32"/>
      <x:c r="Y323" s="32"/>
      <x:c r="Z323" s="32"/>
      <x:c r="AA323" s="32"/>
      <x:c r="AB323" s="32"/>
      <x:c r="AC323" s="32"/>
      <x:c r="AD323" s="32"/>
      <x:c r="AE323" s="32"/>
      <x:c r="AF323" s="32"/>
      <x:c r="AG323" s="32"/>
      <x:c r="AH323" s="32"/>
      <x:c r="AI323" s="32"/>
      <x:c r="AJ323" s="32"/>
      <x:c r="AK323" s="32"/>
      <x:c r="AL323" s="32"/>
      <x:c r="AM323" s="32"/>
      <x:c r="AN323" s="32"/>
      <x:c r="AO323" s="32"/>
      <x:c r="AP323" s="32"/>
      <x:c r="AQ323" s="32"/>
      <x:c r="AR323" s="32"/>
      <x:c r="AS323" s="32"/>
      <x:c r="AT323" s="32"/>
      <x:c r="AU323" s="32"/>
      <x:c r="AV323" s="32"/>
      <x:c r="AW323" s="32"/>
      <x:c r="AX323" s="32"/>
      <x:c r="AZ323" s="32"/>
      <x:c r="BA323" s="32"/>
      <x:c r="BB323" s="32"/>
      <x:c r="BC323" s="32"/>
      <x:c r="BD323" s="32"/>
      <x:c r="BE323" s="32"/>
      <x:c r="BF323" s="32"/>
      <x:c r="BG323" s="32"/>
      <x:c r="BH323" s="32"/>
      <x:c r="BI323" s="32"/>
      <x:c r="BJ323" s="32"/>
      <x:c r="BK323" s="32"/>
      <x:c r="BL323" s="32"/>
      <x:c r="BM323" s="32"/>
    </x:row>
    <x:row r="324">
      <x:c r="A324" s="32"/>
      <x:c r="B324" s="32"/>
      <x:c r="C324" s="42"/>
      <x:c r="D324" s="32"/>
      <x:c r="E324" s="32"/>
      <x:c r="F324" s="32"/>
      <x:c r="G324" s="32"/>
      <x:c r="H324" s="32"/>
      <x:c r="I324" s="32"/>
      <x:c r="J324" s="32"/>
      <x:c r="K324" s="32"/>
      <x:c r="L324" s="32"/>
      <x:c r="M324" s="32"/>
      <x:c r="N324" s="32"/>
      <x:c r="O324" s="32"/>
      <x:c r="P324" s="32"/>
      <x:c r="Q324" s="32"/>
      <x:c r="R324" s="32"/>
      <x:c r="S324" s="32"/>
      <x:c r="T324" s="43" t="str">
        <x:f>IFERROR(S324/L324,"")</x:f>
      </x:c>
      <x:c r="U324" s="32"/>
      <x:c r="V324" s="32"/>
      <x:c r="W324" s="32"/>
      <x:c r="X324" s="32"/>
      <x:c r="Y324" s="32"/>
      <x:c r="Z324" s="32"/>
      <x:c r="AA324" s="32"/>
      <x:c r="AB324" s="32"/>
      <x:c r="AC324" s="32"/>
      <x:c r="AD324" s="32"/>
      <x:c r="AE324" s="32"/>
      <x:c r="AF324" s="32"/>
      <x:c r="AG324" s="32"/>
      <x:c r="AH324" s="32"/>
      <x:c r="AI324" s="32"/>
      <x:c r="AJ324" s="32"/>
      <x:c r="AK324" s="32"/>
      <x:c r="AL324" s="32"/>
      <x:c r="AM324" s="32"/>
      <x:c r="AN324" s="32"/>
      <x:c r="AO324" s="32"/>
      <x:c r="AP324" s="32"/>
      <x:c r="AQ324" s="32"/>
      <x:c r="AR324" s="32"/>
      <x:c r="AS324" s="32"/>
      <x:c r="AT324" s="32"/>
      <x:c r="AU324" s="32"/>
      <x:c r="AV324" s="32"/>
      <x:c r="AW324" s="32"/>
      <x:c r="AX324" s="32"/>
      <x:c r="AZ324" s="32"/>
      <x:c r="BA324" s="32"/>
      <x:c r="BB324" s="32"/>
      <x:c r="BC324" s="32"/>
      <x:c r="BD324" s="32"/>
      <x:c r="BE324" s="32"/>
      <x:c r="BF324" s="32"/>
      <x:c r="BG324" s="32"/>
      <x:c r="BH324" s="32"/>
      <x:c r="BI324" s="32"/>
      <x:c r="BJ324" s="32"/>
      <x:c r="BK324" s="32"/>
      <x:c r="BL324" s="32"/>
      <x:c r="BM324" s="32"/>
    </x:row>
    <x:row r="325">
      <x:c r="A325" s="32"/>
      <x:c r="B325" s="32"/>
      <x:c r="C325" s="42"/>
      <x:c r="D325" s="32"/>
      <x:c r="E325" s="32"/>
      <x:c r="F325" s="32"/>
      <x:c r="G325" s="32"/>
      <x:c r="H325" s="32"/>
      <x:c r="I325" s="32"/>
      <x:c r="J325" s="32"/>
      <x:c r="K325" s="32"/>
      <x:c r="L325" s="32"/>
      <x:c r="M325" s="32"/>
      <x:c r="N325" s="32"/>
      <x:c r="O325" s="32"/>
      <x:c r="P325" s="32"/>
      <x:c r="Q325" s="32"/>
      <x:c r="R325" s="32"/>
      <x:c r="S325" s="32"/>
      <x:c r="T325" s="43" t="str">
        <x:f>IFERROR(S325/L325,"")</x:f>
      </x:c>
      <x:c r="U325" s="32"/>
      <x:c r="V325" s="32"/>
      <x:c r="W325" s="32"/>
      <x:c r="X325" s="32"/>
      <x:c r="Y325" s="32"/>
      <x:c r="Z325" s="32"/>
      <x:c r="AA325" s="32"/>
      <x:c r="AB325" s="32"/>
      <x:c r="AC325" s="32"/>
      <x:c r="AD325" s="32"/>
      <x:c r="AE325" s="32"/>
      <x:c r="AF325" s="32"/>
      <x:c r="AG325" s="32"/>
      <x:c r="AH325" s="32"/>
      <x:c r="AI325" s="32"/>
      <x:c r="AJ325" s="32"/>
      <x:c r="AK325" s="32"/>
      <x:c r="AL325" s="32"/>
      <x:c r="AM325" s="32"/>
      <x:c r="AN325" s="32"/>
      <x:c r="AO325" s="32"/>
      <x:c r="AP325" s="32"/>
      <x:c r="AQ325" s="32"/>
      <x:c r="AR325" s="32"/>
      <x:c r="AS325" s="32"/>
      <x:c r="AT325" s="32"/>
      <x:c r="AU325" s="32"/>
      <x:c r="AV325" s="32"/>
      <x:c r="AW325" s="32"/>
      <x:c r="AX325" s="32"/>
      <x:c r="AZ325" s="32"/>
      <x:c r="BA325" s="32"/>
      <x:c r="BB325" s="32"/>
      <x:c r="BC325" s="32"/>
      <x:c r="BD325" s="32"/>
      <x:c r="BE325" s="32"/>
      <x:c r="BF325" s="32"/>
      <x:c r="BG325" s="32"/>
      <x:c r="BH325" s="32"/>
      <x:c r="BI325" s="32"/>
      <x:c r="BJ325" s="32"/>
      <x:c r="BK325" s="32"/>
      <x:c r="BL325" s="32"/>
      <x:c r="BM325" s="32"/>
    </x:row>
    <x:row r="326">
      <x:c r="A326" s="32"/>
      <x:c r="B326" s="32"/>
      <x:c r="C326" s="42"/>
      <x:c r="D326" s="32"/>
      <x:c r="E326" s="32"/>
      <x:c r="F326" s="32"/>
      <x:c r="G326" s="32"/>
      <x:c r="H326" s="32"/>
      <x:c r="I326" s="32"/>
      <x:c r="J326" s="32"/>
      <x:c r="K326" s="32"/>
      <x:c r="L326" s="32"/>
      <x:c r="M326" s="32"/>
      <x:c r="N326" s="32"/>
      <x:c r="O326" s="32"/>
      <x:c r="P326" s="32"/>
      <x:c r="Q326" s="32"/>
      <x:c r="R326" s="32"/>
      <x:c r="S326" s="32"/>
      <x:c r="T326" s="43" t="str">
        <x:f>IFERROR(S326/L326,"")</x:f>
      </x:c>
      <x:c r="U326" s="32"/>
      <x:c r="V326" s="32"/>
      <x:c r="W326" s="32"/>
      <x:c r="X326" s="32"/>
      <x:c r="Y326" s="32"/>
      <x:c r="Z326" s="32"/>
      <x:c r="AA326" s="32"/>
      <x:c r="AB326" s="32"/>
      <x:c r="AC326" s="32"/>
      <x:c r="AD326" s="32"/>
      <x:c r="AE326" s="32"/>
      <x:c r="AF326" s="32"/>
      <x:c r="AG326" s="32"/>
      <x:c r="AH326" s="32"/>
      <x:c r="AI326" s="32"/>
      <x:c r="AJ326" s="32"/>
      <x:c r="AK326" s="32"/>
      <x:c r="AL326" s="32"/>
      <x:c r="AM326" s="32"/>
      <x:c r="AN326" s="32"/>
      <x:c r="AO326" s="32"/>
      <x:c r="AP326" s="32"/>
      <x:c r="AQ326" s="32"/>
      <x:c r="AR326" s="32"/>
      <x:c r="AS326" s="32"/>
      <x:c r="AT326" s="32"/>
      <x:c r="AU326" s="32"/>
      <x:c r="AV326" s="32"/>
      <x:c r="AW326" s="32"/>
      <x:c r="AX326" s="32"/>
      <x:c r="AZ326" s="32"/>
      <x:c r="BA326" s="32"/>
      <x:c r="BB326" s="32"/>
      <x:c r="BC326" s="32"/>
      <x:c r="BD326" s="32"/>
      <x:c r="BE326" s="32"/>
      <x:c r="BF326" s="32"/>
      <x:c r="BG326" s="32"/>
      <x:c r="BH326" s="32"/>
      <x:c r="BI326" s="32"/>
      <x:c r="BJ326" s="32"/>
      <x:c r="BK326" s="32"/>
      <x:c r="BL326" s="32"/>
      <x:c r="BM326" s="32"/>
    </x:row>
    <x:row r="327">
      <x:c r="A327" s="32"/>
      <x:c r="B327" s="32"/>
      <x:c r="C327" s="42"/>
      <x:c r="D327" s="32"/>
      <x:c r="E327" s="32"/>
      <x:c r="F327" s="32"/>
      <x:c r="G327" s="32"/>
      <x:c r="H327" s="32"/>
      <x:c r="I327" s="32"/>
      <x:c r="J327" s="32"/>
      <x:c r="K327" s="32"/>
      <x:c r="L327" s="32"/>
      <x:c r="M327" s="32"/>
      <x:c r="N327" s="32"/>
      <x:c r="O327" s="32"/>
      <x:c r="P327" s="32"/>
      <x:c r="Q327" s="32"/>
      <x:c r="R327" s="32"/>
      <x:c r="S327" s="32"/>
      <x:c r="T327" s="43" t="str">
        <x:f>IFERROR(S327/L327,"")</x:f>
      </x:c>
      <x:c r="U327" s="32"/>
      <x:c r="V327" s="32"/>
      <x:c r="W327" s="32"/>
      <x:c r="X327" s="32"/>
      <x:c r="Y327" s="32"/>
      <x:c r="Z327" s="32"/>
      <x:c r="AA327" s="32"/>
      <x:c r="AB327" s="32"/>
      <x:c r="AC327" s="32"/>
      <x:c r="AD327" s="32"/>
      <x:c r="AE327" s="32"/>
      <x:c r="AF327" s="32"/>
      <x:c r="AG327" s="32"/>
      <x:c r="AH327" s="32"/>
      <x:c r="AI327" s="32"/>
      <x:c r="AJ327" s="32"/>
      <x:c r="AK327" s="32"/>
      <x:c r="AL327" s="32"/>
      <x:c r="AM327" s="32"/>
      <x:c r="AN327" s="32"/>
      <x:c r="AO327" s="32"/>
      <x:c r="AP327" s="32"/>
      <x:c r="AQ327" s="32"/>
      <x:c r="AR327" s="32"/>
      <x:c r="AS327" s="32"/>
      <x:c r="AT327" s="32"/>
      <x:c r="AU327" s="32"/>
      <x:c r="AV327" s="32"/>
      <x:c r="AW327" s="32"/>
      <x:c r="AX327" s="32"/>
      <x:c r="AZ327" s="32"/>
      <x:c r="BA327" s="32"/>
      <x:c r="BB327" s="32"/>
      <x:c r="BC327" s="32"/>
      <x:c r="BD327" s="32"/>
      <x:c r="BE327" s="32"/>
      <x:c r="BF327" s="32"/>
      <x:c r="BG327" s="32"/>
      <x:c r="BH327" s="32"/>
      <x:c r="BI327" s="32"/>
      <x:c r="BJ327" s="32"/>
      <x:c r="BK327" s="32"/>
      <x:c r="BL327" s="32"/>
      <x:c r="BM327" s="32"/>
    </x:row>
    <x:row r="328">
      <x:c r="A328" s="32"/>
      <x:c r="B328" s="32"/>
      <x:c r="C328" s="42"/>
      <x:c r="D328" s="32"/>
      <x:c r="E328" s="32"/>
      <x:c r="F328" s="32"/>
      <x:c r="G328" s="32"/>
      <x:c r="H328" s="32"/>
      <x:c r="I328" s="32"/>
      <x:c r="J328" s="32"/>
      <x:c r="K328" s="32"/>
      <x:c r="L328" s="32"/>
      <x:c r="M328" s="32"/>
      <x:c r="N328" s="32"/>
      <x:c r="O328" s="32"/>
      <x:c r="P328" s="32"/>
      <x:c r="Q328" s="32"/>
      <x:c r="R328" s="32"/>
      <x:c r="S328" s="32"/>
      <x:c r="T328" s="43" t="str">
        <x:f>IFERROR(S328/L328,"")</x:f>
      </x:c>
      <x:c r="U328" s="32"/>
      <x:c r="V328" s="32"/>
      <x:c r="W328" s="32"/>
      <x:c r="X328" s="32"/>
      <x:c r="Y328" s="32"/>
      <x:c r="Z328" s="32"/>
      <x:c r="AA328" s="32"/>
      <x:c r="AB328" s="32"/>
      <x:c r="AC328" s="32"/>
      <x:c r="AD328" s="32"/>
      <x:c r="AE328" s="32"/>
      <x:c r="AF328" s="32"/>
      <x:c r="AG328" s="32"/>
      <x:c r="AH328" s="32"/>
      <x:c r="AI328" s="32"/>
      <x:c r="AJ328" s="32"/>
      <x:c r="AK328" s="32"/>
      <x:c r="AL328" s="32"/>
      <x:c r="AM328" s="32"/>
      <x:c r="AN328" s="32"/>
      <x:c r="AO328" s="32"/>
      <x:c r="AP328" s="32"/>
      <x:c r="AQ328" s="32"/>
      <x:c r="AR328" s="32"/>
      <x:c r="AS328" s="32"/>
      <x:c r="AT328" s="32"/>
      <x:c r="AU328" s="32"/>
      <x:c r="AV328" s="32"/>
      <x:c r="AW328" s="32"/>
      <x:c r="AX328" s="32"/>
      <x:c r="AZ328" s="32"/>
      <x:c r="BA328" s="32"/>
      <x:c r="BB328" s="32"/>
      <x:c r="BC328" s="32"/>
      <x:c r="BD328" s="32"/>
      <x:c r="BE328" s="32"/>
      <x:c r="BF328" s="32"/>
      <x:c r="BG328" s="32"/>
      <x:c r="BH328" s="32"/>
      <x:c r="BI328" s="32"/>
      <x:c r="BJ328" s="32"/>
      <x:c r="BK328" s="32"/>
      <x:c r="BL328" s="32"/>
      <x:c r="BM328" s="32"/>
    </x:row>
    <x:row r="329">
      <x:c r="A329" s="32"/>
      <x:c r="B329" s="32"/>
      <x:c r="C329" s="42"/>
      <x:c r="D329" s="32"/>
      <x:c r="E329" s="32"/>
      <x:c r="F329" s="32"/>
      <x:c r="G329" s="32"/>
      <x:c r="H329" s="32"/>
      <x:c r="I329" s="32"/>
      <x:c r="J329" s="32"/>
      <x:c r="K329" s="32"/>
      <x:c r="L329" s="32"/>
      <x:c r="M329" s="32"/>
      <x:c r="N329" s="32"/>
      <x:c r="O329" s="32"/>
      <x:c r="P329" s="32"/>
      <x:c r="Q329" s="32"/>
      <x:c r="R329" s="32"/>
      <x:c r="S329" s="32"/>
      <x:c r="T329" s="43" t="str">
        <x:f>IFERROR(S329/L329,"")</x:f>
      </x:c>
      <x:c r="U329" s="32"/>
      <x:c r="V329" s="32"/>
      <x:c r="W329" s="32"/>
      <x:c r="X329" s="32"/>
      <x:c r="Y329" s="32"/>
      <x:c r="Z329" s="32"/>
      <x:c r="AA329" s="32"/>
      <x:c r="AB329" s="32"/>
      <x:c r="AC329" s="32"/>
      <x:c r="AD329" s="32"/>
      <x:c r="AE329" s="32"/>
      <x:c r="AF329" s="32"/>
      <x:c r="AG329" s="32"/>
      <x:c r="AH329" s="32"/>
      <x:c r="AI329" s="32"/>
      <x:c r="AJ329" s="32"/>
      <x:c r="AK329" s="32"/>
      <x:c r="AL329" s="32"/>
      <x:c r="AM329" s="32"/>
      <x:c r="AN329" s="32"/>
      <x:c r="AO329" s="32"/>
      <x:c r="AP329" s="32"/>
      <x:c r="AQ329" s="32"/>
      <x:c r="AR329" s="32"/>
      <x:c r="AS329" s="32"/>
      <x:c r="AT329" s="32"/>
      <x:c r="AU329" s="32"/>
      <x:c r="AV329" s="32"/>
      <x:c r="AW329" s="32"/>
      <x:c r="AX329" s="32"/>
      <x:c r="AZ329" s="32"/>
      <x:c r="BA329" s="32"/>
      <x:c r="BB329" s="32"/>
      <x:c r="BC329" s="32"/>
      <x:c r="BD329" s="32"/>
      <x:c r="BE329" s="32"/>
      <x:c r="BF329" s="32"/>
      <x:c r="BG329" s="32"/>
      <x:c r="BH329" s="32"/>
      <x:c r="BI329" s="32"/>
      <x:c r="BJ329" s="32"/>
      <x:c r="BK329" s="32"/>
      <x:c r="BL329" s="32"/>
      <x:c r="BM329" s="32"/>
    </x:row>
    <x:row r="330">
      <x:c r="A330" s="32"/>
      <x:c r="B330" s="32"/>
      <x:c r="C330" s="42"/>
      <x:c r="D330" s="32"/>
      <x:c r="E330" s="32"/>
      <x:c r="F330" s="32"/>
      <x:c r="G330" s="32"/>
      <x:c r="H330" s="32"/>
      <x:c r="I330" s="32"/>
      <x:c r="J330" s="32"/>
      <x:c r="K330" s="32"/>
      <x:c r="L330" s="32"/>
      <x:c r="M330" s="32"/>
      <x:c r="N330" s="32"/>
      <x:c r="O330" s="32"/>
      <x:c r="P330" s="32"/>
      <x:c r="Q330" s="32"/>
      <x:c r="R330" s="32"/>
      <x:c r="S330" s="32"/>
      <x:c r="T330" s="43" t="str">
        <x:f>IFERROR(S330/L330,"")</x:f>
      </x:c>
      <x:c r="U330" s="32"/>
      <x:c r="V330" s="32"/>
      <x:c r="W330" s="32"/>
      <x:c r="X330" s="32"/>
      <x:c r="Y330" s="32"/>
      <x:c r="Z330" s="32"/>
      <x:c r="AA330" s="32"/>
      <x:c r="AB330" s="32"/>
      <x:c r="AC330" s="32"/>
      <x:c r="AD330" s="32"/>
      <x:c r="AE330" s="32"/>
      <x:c r="AF330" s="32"/>
      <x:c r="AG330" s="32"/>
      <x:c r="AH330" s="32"/>
      <x:c r="AI330" s="32"/>
      <x:c r="AJ330" s="32"/>
      <x:c r="AK330" s="32"/>
      <x:c r="AL330" s="32"/>
      <x:c r="AM330" s="32"/>
      <x:c r="AN330" s="32"/>
      <x:c r="AO330" s="32"/>
      <x:c r="AP330" s="32"/>
      <x:c r="AQ330" s="32"/>
      <x:c r="AR330" s="32"/>
      <x:c r="AS330" s="32"/>
      <x:c r="AT330" s="32"/>
      <x:c r="AU330" s="32"/>
      <x:c r="AV330" s="32"/>
      <x:c r="AW330" s="32"/>
      <x:c r="AX330" s="32"/>
      <x:c r="AZ330" s="32"/>
      <x:c r="BA330" s="32"/>
      <x:c r="BB330" s="32"/>
      <x:c r="BC330" s="32"/>
      <x:c r="BD330" s="32"/>
      <x:c r="BE330" s="32"/>
      <x:c r="BF330" s="32"/>
      <x:c r="BG330" s="32"/>
      <x:c r="BH330" s="32"/>
      <x:c r="BI330" s="32"/>
      <x:c r="BJ330" s="32"/>
      <x:c r="BK330" s="32"/>
      <x:c r="BL330" s="32"/>
      <x:c r="BM330" s="32"/>
    </x:row>
    <x:row r="331">
      <x:c r="A331" s="32"/>
      <x:c r="B331" s="32"/>
      <x:c r="C331" s="42"/>
      <x:c r="D331" s="32"/>
      <x:c r="E331" s="32"/>
      <x:c r="F331" s="32"/>
      <x:c r="G331" s="32"/>
      <x:c r="H331" s="32"/>
      <x:c r="I331" s="32"/>
      <x:c r="J331" s="32"/>
      <x:c r="K331" s="32"/>
      <x:c r="L331" s="32"/>
      <x:c r="M331" s="32"/>
      <x:c r="N331" s="32"/>
      <x:c r="O331" s="32"/>
      <x:c r="P331" s="32"/>
      <x:c r="Q331" s="32"/>
      <x:c r="R331" s="32"/>
      <x:c r="S331" s="32"/>
      <x:c r="T331" s="43" t="str">
        <x:f>IFERROR(S331/L331,"")</x:f>
      </x:c>
      <x:c r="U331" s="32"/>
      <x:c r="V331" s="32"/>
      <x:c r="W331" s="32"/>
      <x:c r="X331" s="32"/>
      <x:c r="Y331" s="32"/>
      <x:c r="Z331" s="32"/>
      <x:c r="AA331" s="32"/>
      <x:c r="AB331" s="32"/>
      <x:c r="AC331" s="32"/>
      <x:c r="AD331" s="32"/>
      <x:c r="AE331" s="32"/>
      <x:c r="AF331" s="32"/>
      <x:c r="AG331" s="32"/>
      <x:c r="AH331" s="32"/>
      <x:c r="AI331" s="32"/>
      <x:c r="AJ331" s="32"/>
      <x:c r="AK331" s="32"/>
      <x:c r="AL331" s="32"/>
      <x:c r="AM331" s="32"/>
      <x:c r="AN331" s="32"/>
      <x:c r="AO331" s="32"/>
      <x:c r="AP331" s="32"/>
      <x:c r="AQ331" s="32"/>
      <x:c r="AR331" s="32"/>
      <x:c r="AS331" s="32"/>
      <x:c r="AT331" s="32"/>
      <x:c r="AU331" s="32"/>
      <x:c r="AV331" s="32"/>
      <x:c r="AW331" s="32"/>
      <x:c r="AX331" s="32"/>
      <x:c r="AZ331" s="32"/>
      <x:c r="BA331" s="32"/>
      <x:c r="BB331" s="32"/>
      <x:c r="BC331" s="32"/>
      <x:c r="BD331" s="32"/>
      <x:c r="BE331" s="32"/>
      <x:c r="BF331" s="32"/>
      <x:c r="BG331" s="32"/>
      <x:c r="BH331" s="32"/>
      <x:c r="BI331" s="32"/>
      <x:c r="BJ331" s="32"/>
      <x:c r="BK331" s="32"/>
      <x:c r="BL331" s="32"/>
      <x:c r="BM331" s="32"/>
    </x:row>
    <x:row r="332">
      <x:c r="A332" s="32"/>
      <x:c r="B332" s="32"/>
      <x:c r="C332" s="42"/>
      <x:c r="D332" s="32"/>
      <x:c r="E332" s="32"/>
      <x:c r="F332" s="32"/>
      <x:c r="G332" s="32"/>
      <x:c r="H332" s="32"/>
      <x:c r="I332" s="32"/>
      <x:c r="J332" s="32"/>
      <x:c r="K332" s="32"/>
      <x:c r="L332" s="32"/>
      <x:c r="M332" s="32"/>
      <x:c r="N332" s="32"/>
      <x:c r="O332" s="32"/>
      <x:c r="P332" s="32"/>
      <x:c r="Q332" s="32"/>
      <x:c r="R332" s="32"/>
      <x:c r="S332" s="32"/>
      <x:c r="T332" s="43" t="str">
        <x:f>IFERROR(S332/L332,"")</x:f>
      </x:c>
      <x:c r="U332" s="32"/>
      <x:c r="V332" s="32"/>
      <x:c r="W332" s="32"/>
      <x:c r="X332" s="32"/>
      <x:c r="Y332" s="32"/>
      <x:c r="Z332" s="32"/>
      <x:c r="AA332" s="32"/>
      <x:c r="AB332" s="32"/>
      <x:c r="AC332" s="32"/>
      <x:c r="AD332" s="32"/>
      <x:c r="AE332" s="32"/>
      <x:c r="AF332" s="32"/>
      <x:c r="AG332" s="32"/>
      <x:c r="AH332" s="32"/>
      <x:c r="AI332" s="32"/>
      <x:c r="AJ332" s="32"/>
      <x:c r="AK332" s="32"/>
      <x:c r="AL332" s="32"/>
      <x:c r="AM332" s="32"/>
      <x:c r="AN332" s="32"/>
      <x:c r="AO332" s="32"/>
      <x:c r="AP332" s="32"/>
      <x:c r="AQ332" s="32"/>
      <x:c r="AR332" s="32"/>
      <x:c r="AS332" s="32"/>
      <x:c r="AT332" s="32"/>
      <x:c r="AU332" s="32"/>
      <x:c r="AV332" s="32"/>
      <x:c r="AW332" s="32"/>
      <x:c r="AX332" s="32"/>
      <x:c r="AZ332" s="32"/>
      <x:c r="BA332" s="32"/>
      <x:c r="BB332" s="32"/>
      <x:c r="BC332" s="32"/>
      <x:c r="BD332" s="32"/>
      <x:c r="BE332" s="32"/>
      <x:c r="BF332" s="32"/>
      <x:c r="BG332" s="32"/>
      <x:c r="BH332" s="32"/>
      <x:c r="BI332" s="32"/>
      <x:c r="BJ332" s="32"/>
      <x:c r="BK332" s="32"/>
      <x:c r="BL332" s="32"/>
      <x:c r="BM332" s="32"/>
    </x:row>
    <x:row r="333">
      <x:c r="A333" s="32"/>
      <x:c r="B333" s="32"/>
      <x:c r="C333" s="42"/>
      <x:c r="D333" s="32"/>
      <x:c r="E333" s="32"/>
      <x:c r="F333" s="32"/>
      <x:c r="G333" s="32"/>
      <x:c r="H333" s="32"/>
      <x:c r="I333" s="32"/>
      <x:c r="J333" s="32"/>
      <x:c r="K333" s="32"/>
      <x:c r="L333" s="32"/>
      <x:c r="M333" s="32"/>
      <x:c r="N333" s="32"/>
      <x:c r="O333" s="32"/>
      <x:c r="P333" s="32"/>
      <x:c r="Q333" s="32"/>
      <x:c r="R333" s="32"/>
      <x:c r="S333" s="32"/>
      <x:c r="T333" s="43" t="str">
        <x:f>IFERROR(S333/L333,"")</x:f>
      </x:c>
      <x:c r="U333" s="32"/>
      <x:c r="V333" s="32"/>
      <x:c r="W333" s="32"/>
      <x:c r="X333" s="32"/>
      <x:c r="Y333" s="32"/>
      <x:c r="Z333" s="32"/>
      <x:c r="AA333" s="32"/>
      <x:c r="AB333" s="32"/>
      <x:c r="AC333" s="32"/>
      <x:c r="AD333" s="32"/>
      <x:c r="AE333" s="32"/>
      <x:c r="AF333" s="32"/>
      <x:c r="AG333" s="32"/>
      <x:c r="AH333" s="32"/>
      <x:c r="AI333" s="32"/>
      <x:c r="AJ333" s="32"/>
      <x:c r="AK333" s="32"/>
      <x:c r="AL333" s="32"/>
      <x:c r="AM333" s="32"/>
      <x:c r="AN333" s="32"/>
      <x:c r="AO333" s="32"/>
      <x:c r="AP333" s="32"/>
      <x:c r="AQ333" s="32"/>
      <x:c r="AR333" s="32"/>
      <x:c r="AS333" s="32"/>
      <x:c r="AT333" s="32"/>
      <x:c r="AU333" s="32"/>
      <x:c r="AV333" s="32"/>
      <x:c r="AW333" s="32"/>
      <x:c r="AX333" s="32"/>
      <x:c r="AZ333" s="32"/>
      <x:c r="BA333" s="32"/>
      <x:c r="BB333" s="32"/>
      <x:c r="BC333" s="32"/>
      <x:c r="BD333" s="32"/>
      <x:c r="BE333" s="32"/>
      <x:c r="BF333" s="32"/>
      <x:c r="BG333" s="32"/>
      <x:c r="BH333" s="32"/>
      <x:c r="BI333" s="32"/>
      <x:c r="BJ333" s="32"/>
      <x:c r="BK333" s="32"/>
      <x:c r="BL333" s="32"/>
      <x:c r="BM333" s="32"/>
    </x:row>
    <x:row r="334">
      <x:c r="A334" s="32"/>
      <x:c r="B334" s="32"/>
      <x:c r="C334" s="42"/>
      <x:c r="D334" s="32"/>
      <x:c r="E334" s="32"/>
      <x:c r="F334" s="32"/>
      <x:c r="G334" s="32"/>
      <x:c r="H334" s="32"/>
      <x:c r="I334" s="32"/>
      <x:c r="J334" s="32"/>
      <x:c r="K334" s="32"/>
      <x:c r="L334" s="32"/>
      <x:c r="M334" s="32"/>
      <x:c r="N334" s="32"/>
      <x:c r="O334" s="32"/>
      <x:c r="P334" s="32"/>
      <x:c r="Q334" s="32"/>
      <x:c r="R334" s="32"/>
      <x:c r="S334" s="32"/>
      <x:c r="T334" s="43" t="str">
        <x:f>IFERROR(S334/L334,"")</x:f>
      </x:c>
      <x:c r="U334" s="32"/>
      <x:c r="V334" s="32"/>
      <x:c r="W334" s="32"/>
      <x:c r="X334" s="32"/>
      <x:c r="Y334" s="32"/>
      <x:c r="Z334" s="32"/>
      <x:c r="AA334" s="32"/>
      <x:c r="AB334" s="32"/>
      <x:c r="AC334" s="32"/>
      <x:c r="AD334" s="32"/>
      <x:c r="AE334" s="32"/>
      <x:c r="AF334" s="32"/>
      <x:c r="AG334" s="32"/>
      <x:c r="AH334" s="32"/>
      <x:c r="AI334" s="32"/>
      <x:c r="AJ334" s="32"/>
      <x:c r="AK334" s="32"/>
      <x:c r="AL334" s="32"/>
      <x:c r="AM334" s="32"/>
      <x:c r="AN334" s="32"/>
      <x:c r="AO334" s="32"/>
      <x:c r="AP334" s="32"/>
      <x:c r="AQ334" s="32"/>
      <x:c r="AR334" s="32"/>
      <x:c r="AS334" s="32"/>
      <x:c r="AT334" s="32"/>
      <x:c r="AU334" s="32"/>
      <x:c r="AV334" s="32"/>
      <x:c r="AW334" s="32"/>
      <x:c r="AX334" s="32"/>
      <x:c r="AZ334" s="32"/>
      <x:c r="BA334" s="32"/>
      <x:c r="BB334" s="32"/>
      <x:c r="BC334" s="32"/>
      <x:c r="BD334" s="32"/>
      <x:c r="BE334" s="32"/>
      <x:c r="BF334" s="32"/>
      <x:c r="BG334" s="32"/>
      <x:c r="BH334" s="32"/>
      <x:c r="BI334" s="32"/>
      <x:c r="BJ334" s="32"/>
      <x:c r="BK334" s="32"/>
      <x:c r="BL334" s="32"/>
      <x:c r="BM334" s="32"/>
    </x:row>
    <x:row r="335">
      <x:c r="A335" s="32"/>
      <x:c r="B335" s="32"/>
      <x:c r="C335" s="42"/>
      <x:c r="D335" s="32"/>
      <x:c r="E335" s="32"/>
      <x:c r="F335" s="32"/>
      <x:c r="G335" s="32"/>
      <x:c r="H335" s="32"/>
      <x:c r="I335" s="32"/>
      <x:c r="J335" s="32"/>
      <x:c r="K335" s="32"/>
      <x:c r="L335" s="32"/>
      <x:c r="M335" s="32"/>
      <x:c r="N335" s="32"/>
      <x:c r="O335" s="32"/>
      <x:c r="P335" s="32"/>
      <x:c r="Q335" s="32"/>
      <x:c r="R335" s="32"/>
      <x:c r="S335" s="32"/>
      <x:c r="T335" s="43" t="str">
        <x:f>IFERROR(S335/L335,"")</x:f>
      </x:c>
      <x:c r="U335" s="32"/>
      <x:c r="V335" s="32"/>
      <x:c r="W335" s="32"/>
      <x:c r="X335" s="32"/>
      <x:c r="Y335" s="32"/>
      <x:c r="Z335" s="32"/>
      <x:c r="AA335" s="32"/>
      <x:c r="AB335" s="32"/>
      <x:c r="AC335" s="32"/>
      <x:c r="AD335" s="32"/>
      <x:c r="AE335" s="32"/>
      <x:c r="AF335" s="32"/>
      <x:c r="AG335" s="32"/>
      <x:c r="AH335" s="32"/>
      <x:c r="AI335" s="32"/>
      <x:c r="AJ335" s="32"/>
      <x:c r="AK335" s="32"/>
      <x:c r="AL335" s="32"/>
      <x:c r="AM335" s="32"/>
      <x:c r="AN335" s="32"/>
      <x:c r="AO335" s="32"/>
      <x:c r="AP335" s="32"/>
      <x:c r="AQ335" s="32"/>
      <x:c r="AR335" s="32"/>
      <x:c r="AS335" s="32"/>
      <x:c r="AT335" s="32"/>
      <x:c r="AU335" s="32"/>
      <x:c r="AV335" s="32"/>
      <x:c r="AW335" s="32"/>
      <x:c r="AX335" s="32"/>
      <x:c r="AZ335" s="32"/>
      <x:c r="BA335" s="32"/>
      <x:c r="BB335" s="32"/>
      <x:c r="BC335" s="32"/>
      <x:c r="BD335" s="32"/>
      <x:c r="BE335" s="32"/>
      <x:c r="BF335" s="32"/>
      <x:c r="BG335" s="32"/>
      <x:c r="BH335" s="32"/>
      <x:c r="BI335" s="32"/>
      <x:c r="BJ335" s="32"/>
      <x:c r="BK335" s="32"/>
      <x:c r="BL335" s="32"/>
      <x:c r="BM335" s="32"/>
    </x:row>
    <x:row r="336">
      <x:c r="A336" s="32"/>
      <x:c r="B336" s="32"/>
      <x:c r="C336" s="42"/>
      <x:c r="D336" s="32"/>
      <x:c r="E336" s="32"/>
      <x:c r="F336" s="32"/>
      <x:c r="G336" s="32"/>
      <x:c r="H336" s="32"/>
      <x:c r="I336" s="32"/>
      <x:c r="J336" s="32"/>
      <x:c r="K336" s="32"/>
      <x:c r="L336" s="32"/>
      <x:c r="M336" s="32"/>
      <x:c r="N336" s="32"/>
      <x:c r="O336" s="32"/>
      <x:c r="P336" s="32"/>
      <x:c r="Q336" s="32"/>
      <x:c r="R336" s="32"/>
      <x:c r="S336" s="32"/>
      <x:c r="T336" s="43" t="str">
        <x:f>IFERROR(S336/L336,"")</x:f>
      </x:c>
      <x:c r="U336" s="32"/>
      <x:c r="V336" s="32"/>
      <x:c r="W336" s="32"/>
      <x:c r="X336" s="32"/>
      <x:c r="Y336" s="32"/>
      <x:c r="Z336" s="32"/>
      <x:c r="AA336" s="32"/>
      <x:c r="AB336" s="32"/>
      <x:c r="AC336" s="32"/>
      <x:c r="AD336" s="32"/>
      <x:c r="AE336" s="32"/>
      <x:c r="AF336" s="32"/>
      <x:c r="AG336" s="32"/>
      <x:c r="AH336" s="32"/>
      <x:c r="AI336" s="32"/>
      <x:c r="AJ336" s="32"/>
      <x:c r="AK336" s="32"/>
      <x:c r="AL336" s="32"/>
      <x:c r="AM336" s="32"/>
      <x:c r="AN336" s="32"/>
      <x:c r="AO336" s="32"/>
      <x:c r="AP336" s="32"/>
      <x:c r="AQ336" s="32"/>
      <x:c r="AR336" s="32"/>
      <x:c r="AS336" s="32"/>
      <x:c r="AT336" s="32"/>
      <x:c r="AU336" s="32"/>
      <x:c r="AV336" s="32"/>
      <x:c r="AW336" s="32"/>
      <x:c r="AX336" s="32"/>
      <x:c r="AZ336" s="32"/>
      <x:c r="BA336" s="32"/>
      <x:c r="BB336" s="32"/>
      <x:c r="BC336" s="32"/>
      <x:c r="BD336" s="32"/>
      <x:c r="BE336" s="32"/>
      <x:c r="BF336" s="32"/>
      <x:c r="BG336" s="32"/>
      <x:c r="BH336" s="32"/>
      <x:c r="BI336" s="32"/>
      <x:c r="BJ336" s="32"/>
      <x:c r="BK336" s="32"/>
      <x:c r="BL336" s="32"/>
      <x:c r="BM336" s="32"/>
    </x:row>
    <x:row r="337">
      <x:c r="A337" s="32"/>
      <x:c r="B337" s="32"/>
      <x:c r="C337" s="42"/>
      <x:c r="D337" s="32"/>
      <x:c r="E337" s="32"/>
      <x:c r="F337" s="32"/>
      <x:c r="G337" s="32"/>
      <x:c r="H337" s="32"/>
      <x:c r="I337" s="32"/>
      <x:c r="J337" s="32"/>
      <x:c r="K337" s="32"/>
      <x:c r="L337" s="32"/>
      <x:c r="M337" s="32"/>
      <x:c r="N337" s="32"/>
      <x:c r="O337" s="32"/>
      <x:c r="P337" s="32"/>
      <x:c r="Q337" s="32"/>
      <x:c r="R337" s="32"/>
      <x:c r="S337" s="32"/>
      <x:c r="T337" s="43" t="str">
        <x:f>IFERROR(S337/L337,"")</x:f>
      </x:c>
      <x:c r="U337" s="32"/>
      <x:c r="V337" s="32"/>
      <x:c r="W337" s="32"/>
      <x:c r="X337" s="32"/>
      <x:c r="Y337" s="32"/>
      <x:c r="Z337" s="32"/>
      <x:c r="AA337" s="32"/>
      <x:c r="AB337" s="32"/>
      <x:c r="AC337" s="32"/>
      <x:c r="AD337" s="32"/>
      <x:c r="AE337" s="32"/>
      <x:c r="AF337" s="32"/>
      <x:c r="AG337" s="32"/>
      <x:c r="AH337" s="32"/>
      <x:c r="AI337" s="32"/>
      <x:c r="AJ337" s="32"/>
      <x:c r="AK337" s="32"/>
      <x:c r="AL337" s="32"/>
      <x:c r="AM337" s="32"/>
      <x:c r="AN337" s="32"/>
      <x:c r="AO337" s="32"/>
      <x:c r="AP337" s="32"/>
      <x:c r="AQ337" s="32"/>
      <x:c r="AR337" s="32"/>
      <x:c r="AS337" s="32"/>
      <x:c r="AT337" s="32"/>
      <x:c r="AU337" s="32"/>
      <x:c r="AV337" s="32"/>
      <x:c r="AW337" s="32"/>
      <x:c r="AX337" s="32"/>
      <x:c r="AZ337" s="32"/>
      <x:c r="BA337" s="32"/>
      <x:c r="BB337" s="32"/>
      <x:c r="BC337" s="32"/>
      <x:c r="BD337" s="32"/>
      <x:c r="BE337" s="32"/>
      <x:c r="BF337" s="32"/>
      <x:c r="BG337" s="32"/>
      <x:c r="BH337" s="32"/>
      <x:c r="BI337" s="32"/>
      <x:c r="BJ337" s="32"/>
      <x:c r="BK337" s="32"/>
      <x:c r="BL337" s="32"/>
      <x:c r="BM337" s="32"/>
    </x:row>
    <x:row r="338">
      <x:c r="A338" s="32"/>
      <x:c r="B338" s="32"/>
      <x:c r="C338" s="42"/>
      <x:c r="D338" s="32"/>
      <x:c r="E338" s="32"/>
      <x:c r="F338" s="32"/>
      <x:c r="G338" s="32"/>
      <x:c r="H338" s="32"/>
      <x:c r="I338" s="32"/>
      <x:c r="J338" s="32"/>
      <x:c r="K338" s="32"/>
      <x:c r="L338" s="32"/>
      <x:c r="M338" s="32"/>
      <x:c r="N338" s="32"/>
      <x:c r="O338" s="32"/>
      <x:c r="P338" s="32"/>
      <x:c r="Q338" s="32"/>
      <x:c r="R338" s="32"/>
      <x:c r="S338" s="32"/>
      <x:c r="T338" s="43" t="str">
        <x:f>IFERROR(S338/L338,"")</x:f>
      </x:c>
      <x:c r="U338" s="32"/>
      <x:c r="V338" s="32"/>
      <x:c r="W338" s="32"/>
      <x:c r="X338" s="32"/>
      <x:c r="Y338" s="32"/>
      <x:c r="Z338" s="32"/>
      <x:c r="AA338" s="32"/>
      <x:c r="AB338" s="32"/>
      <x:c r="AC338" s="32"/>
      <x:c r="AD338" s="32"/>
      <x:c r="AE338" s="32"/>
      <x:c r="AF338" s="32"/>
      <x:c r="AG338" s="32"/>
      <x:c r="AH338" s="32"/>
      <x:c r="AI338" s="32"/>
      <x:c r="AJ338" s="32"/>
      <x:c r="AK338" s="32"/>
      <x:c r="AL338" s="32"/>
      <x:c r="AM338" s="32"/>
      <x:c r="AN338" s="32"/>
      <x:c r="AO338" s="32"/>
      <x:c r="AP338" s="32"/>
      <x:c r="AQ338" s="32"/>
      <x:c r="AR338" s="32"/>
      <x:c r="AS338" s="32"/>
      <x:c r="AT338" s="32"/>
      <x:c r="AU338" s="32"/>
      <x:c r="AV338" s="32"/>
      <x:c r="AW338" s="32"/>
      <x:c r="AX338" s="32"/>
      <x:c r="AZ338" s="32"/>
      <x:c r="BA338" s="32"/>
      <x:c r="BB338" s="32"/>
      <x:c r="BC338" s="32"/>
      <x:c r="BD338" s="32"/>
      <x:c r="BE338" s="32"/>
      <x:c r="BF338" s="32"/>
      <x:c r="BG338" s="32"/>
      <x:c r="BH338" s="32"/>
      <x:c r="BI338" s="32"/>
      <x:c r="BJ338" s="32"/>
      <x:c r="BK338" s="32"/>
      <x:c r="BL338" s="32"/>
      <x:c r="BM338" s="32"/>
    </x:row>
    <x:row r="339">
      <x:c r="A339" s="32"/>
      <x:c r="B339" s="32"/>
      <x:c r="C339" s="42"/>
      <x:c r="D339" s="32"/>
      <x:c r="E339" s="32"/>
      <x:c r="F339" s="32"/>
      <x:c r="G339" s="32"/>
      <x:c r="H339" s="32"/>
      <x:c r="I339" s="32"/>
      <x:c r="J339" s="32"/>
      <x:c r="K339" s="32"/>
      <x:c r="L339" s="32"/>
      <x:c r="M339" s="32"/>
      <x:c r="N339" s="32"/>
      <x:c r="O339" s="32"/>
      <x:c r="P339" s="32"/>
      <x:c r="Q339" s="32"/>
      <x:c r="R339" s="32"/>
      <x:c r="S339" s="32"/>
      <x:c r="T339" s="43" t="str">
        <x:f>IFERROR(S339/L339,"")</x:f>
      </x:c>
      <x:c r="U339" s="32"/>
      <x:c r="V339" s="32"/>
      <x:c r="W339" s="32"/>
      <x:c r="X339" s="32"/>
      <x:c r="Y339" s="32"/>
      <x:c r="Z339" s="32"/>
      <x:c r="AA339" s="32"/>
      <x:c r="AB339" s="32"/>
      <x:c r="AC339" s="32"/>
      <x:c r="AD339" s="32"/>
      <x:c r="AE339" s="32"/>
      <x:c r="AF339" s="32"/>
      <x:c r="AG339" s="32"/>
      <x:c r="AH339" s="32"/>
      <x:c r="AI339" s="32"/>
      <x:c r="AJ339" s="32"/>
      <x:c r="AK339" s="32"/>
      <x:c r="AL339" s="32"/>
      <x:c r="AM339" s="32"/>
      <x:c r="AN339" s="32"/>
      <x:c r="AO339" s="32"/>
      <x:c r="AP339" s="32"/>
      <x:c r="AQ339" s="32"/>
      <x:c r="AR339" s="32"/>
      <x:c r="AS339" s="32"/>
      <x:c r="AT339" s="32"/>
      <x:c r="AU339" s="32"/>
      <x:c r="AV339" s="32"/>
      <x:c r="AW339" s="32"/>
      <x:c r="AX339" s="32"/>
      <x:c r="AZ339" s="32"/>
      <x:c r="BA339" s="32"/>
      <x:c r="BB339" s="32"/>
      <x:c r="BC339" s="32"/>
      <x:c r="BD339" s="32"/>
      <x:c r="BE339" s="32"/>
      <x:c r="BF339" s="32"/>
      <x:c r="BG339" s="32"/>
      <x:c r="BH339" s="32"/>
      <x:c r="BI339" s="32"/>
      <x:c r="BJ339" s="32"/>
      <x:c r="BK339" s="32"/>
      <x:c r="BL339" s="32"/>
      <x:c r="BM339" s="32"/>
    </x:row>
    <x:row r="340">
      <x:c r="A340" s="32"/>
      <x:c r="B340" s="32"/>
      <x:c r="C340" s="42"/>
      <x:c r="D340" s="32"/>
      <x:c r="E340" s="32"/>
      <x:c r="F340" s="32"/>
      <x:c r="G340" s="32"/>
      <x:c r="H340" s="32"/>
      <x:c r="I340" s="32"/>
      <x:c r="J340" s="32"/>
      <x:c r="K340" s="32"/>
      <x:c r="L340" s="32"/>
      <x:c r="M340" s="32"/>
      <x:c r="N340" s="32"/>
      <x:c r="O340" s="32"/>
      <x:c r="P340" s="32"/>
      <x:c r="Q340" s="32"/>
      <x:c r="R340" s="32"/>
      <x:c r="S340" s="32"/>
      <x:c r="T340" s="43" t="str">
        <x:f>IFERROR(S340/L340,"")</x:f>
      </x:c>
      <x:c r="U340" s="32"/>
      <x:c r="V340" s="32"/>
      <x:c r="W340" s="32"/>
      <x:c r="X340" s="32"/>
      <x:c r="Y340" s="32"/>
      <x:c r="Z340" s="32"/>
      <x:c r="AA340" s="32"/>
      <x:c r="AB340" s="32"/>
      <x:c r="AC340" s="32"/>
      <x:c r="AD340" s="32"/>
      <x:c r="AE340" s="32"/>
      <x:c r="AF340" s="32"/>
      <x:c r="AG340" s="32"/>
      <x:c r="AH340" s="32"/>
      <x:c r="AI340" s="32"/>
      <x:c r="AJ340" s="32"/>
      <x:c r="AK340" s="32"/>
      <x:c r="AL340" s="32"/>
      <x:c r="AM340" s="32"/>
      <x:c r="AN340" s="32"/>
      <x:c r="AO340" s="32"/>
      <x:c r="AP340" s="32"/>
      <x:c r="AQ340" s="32"/>
      <x:c r="AR340" s="32"/>
      <x:c r="AS340" s="32"/>
      <x:c r="AT340" s="32"/>
      <x:c r="AU340" s="32"/>
      <x:c r="AV340" s="32"/>
      <x:c r="AW340" s="32"/>
      <x:c r="AX340" s="32"/>
      <x:c r="AZ340" s="32"/>
      <x:c r="BA340" s="32"/>
      <x:c r="BB340" s="32"/>
      <x:c r="BC340" s="32"/>
      <x:c r="BD340" s="32"/>
      <x:c r="BE340" s="32"/>
      <x:c r="BF340" s="32"/>
      <x:c r="BG340" s="32"/>
      <x:c r="BH340" s="32"/>
      <x:c r="BI340" s="32"/>
      <x:c r="BJ340" s="32"/>
      <x:c r="BK340" s="32"/>
      <x:c r="BL340" s="32"/>
      <x:c r="BM340" s="32"/>
    </x:row>
    <x:row r="341">
      <x:c r="A341" s="32"/>
      <x:c r="B341" s="32"/>
      <x:c r="C341" s="42"/>
      <x:c r="D341" s="32"/>
      <x:c r="E341" s="32"/>
      <x:c r="F341" s="32"/>
      <x:c r="G341" s="32"/>
      <x:c r="H341" s="32"/>
      <x:c r="I341" s="32"/>
      <x:c r="J341" s="32"/>
      <x:c r="K341" s="32"/>
      <x:c r="L341" s="32"/>
      <x:c r="M341" s="32"/>
      <x:c r="N341" s="32"/>
      <x:c r="O341" s="32"/>
      <x:c r="P341" s="32"/>
      <x:c r="Q341" s="32"/>
      <x:c r="R341" s="32"/>
      <x:c r="S341" s="32"/>
      <x:c r="T341" s="43" t="str">
        <x:f>IFERROR(S341/L341,"")</x:f>
      </x:c>
      <x:c r="U341" s="32"/>
      <x:c r="V341" s="32"/>
      <x:c r="W341" s="32"/>
      <x:c r="X341" s="32"/>
      <x:c r="Y341" s="32"/>
      <x:c r="Z341" s="32"/>
      <x:c r="AA341" s="32"/>
      <x:c r="AB341" s="32"/>
      <x:c r="AC341" s="32"/>
      <x:c r="AD341" s="32"/>
      <x:c r="AE341" s="32"/>
      <x:c r="AF341" s="32"/>
      <x:c r="AG341" s="32"/>
      <x:c r="AH341" s="32"/>
      <x:c r="AI341" s="32"/>
      <x:c r="AJ341" s="32"/>
      <x:c r="AK341" s="32"/>
      <x:c r="AL341" s="32"/>
      <x:c r="AM341" s="32"/>
      <x:c r="AN341" s="32"/>
      <x:c r="AO341" s="32"/>
      <x:c r="AP341" s="32"/>
      <x:c r="AQ341" s="32"/>
      <x:c r="AR341" s="32"/>
      <x:c r="AS341" s="32"/>
      <x:c r="AT341" s="32"/>
      <x:c r="AU341" s="32"/>
      <x:c r="AV341" s="32"/>
      <x:c r="AW341" s="32"/>
      <x:c r="AX341" s="32"/>
      <x:c r="AZ341" s="32"/>
      <x:c r="BA341" s="32"/>
      <x:c r="BB341" s="32"/>
      <x:c r="BC341" s="32"/>
      <x:c r="BD341" s="32"/>
      <x:c r="BE341" s="32"/>
      <x:c r="BF341" s="32"/>
      <x:c r="BG341" s="32"/>
      <x:c r="BH341" s="32"/>
      <x:c r="BI341" s="32"/>
      <x:c r="BJ341" s="32"/>
      <x:c r="BK341" s="32"/>
      <x:c r="BL341" s="32"/>
      <x:c r="BM341" s="32"/>
    </x:row>
    <x:row r="342">
      <x:c r="A342" s="32"/>
      <x:c r="B342" s="32"/>
      <x:c r="C342" s="42"/>
      <x:c r="D342" s="32"/>
      <x:c r="E342" s="32"/>
      <x:c r="F342" s="32"/>
      <x:c r="G342" s="32"/>
      <x:c r="H342" s="32"/>
      <x:c r="I342" s="32"/>
      <x:c r="J342" s="32"/>
      <x:c r="K342" s="32"/>
      <x:c r="L342" s="32"/>
      <x:c r="M342" s="32"/>
      <x:c r="N342" s="32"/>
      <x:c r="O342" s="32"/>
      <x:c r="P342" s="32"/>
      <x:c r="Q342" s="32"/>
      <x:c r="R342" s="32"/>
      <x:c r="S342" s="32"/>
      <x:c r="T342" s="43" t="str">
        <x:f>IFERROR(S342/L342,"")</x:f>
      </x:c>
      <x:c r="U342" s="32"/>
      <x:c r="V342" s="32"/>
      <x:c r="W342" s="32"/>
      <x:c r="X342" s="32"/>
      <x:c r="Y342" s="32"/>
      <x:c r="Z342" s="32"/>
      <x:c r="AA342" s="32"/>
      <x:c r="AB342" s="32"/>
      <x:c r="AC342" s="32"/>
      <x:c r="AD342" s="32"/>
      <x:c r="AE342" s="32"/>
      <x:c r="AF342" s="32"/>
      <x:c r="AG342" s="32"/>
      <x:c r="AH342" s="32"/>
      <x:c r="AI342" s="32"/>
      <x:c r="AJ342" s="32"/>
      <x:c r="AK342" s="32"/>
      <x:c r="AL342" s="32"/>
      <x:c r="AM342" s="32"/>
      <x:c r="AN342" s="32"/>
      <x:c r="AO342" s="32"/>
      <x:c r="AP342" s="32"/>
      <x:c r="AQ342" s="32"/>
      <x:c r="AR342" s="32"/>
      <x:c r="AS342" s="32"/>
      <x:c r="AT342" s="32"/>
      <x:c r="AU342" s="32"/>
      <x:c r="AV342" s="32"/>
      <x:c r="AW342" s="32"/>
      <x:c r="AX342" s="32"/>
      <x:c r="AZ342" s="32"/>
      <x:c r="BA342" s="32"/>
      <x:c r="BB342" s="32"/>
      <x:c r="BC342" s="32"/>
      <x:c r="BD342" s="32"/>
      <x:c r="BE342" s="32"/>
      <x:c r="BF342" s="32"/>
      <x:c r="BG342" s="32"/>
      <x:c r="BH342" s="32"/>
      <x:c r="BI342" s="32"/>
      <x:c r="BJ342" s="32"/>
      <x:c r="BK342" s="32"/>
      <x:c r="BL342" s="32"/>
      <x:c r="BM342" s="32"/>
    </x:row>
    <x:row r="343">
      <x:c r="A343" s="32"/>
      <x:c r="B343" s="32"/>
      <x:c r="C343" s="42"/>
      <x:c r="D343" s="32"/>
      <x:c r="E343" s="32"/>
      <x:c r="F343" s="32"/>
      <x:c r="G343" s="32"/>
      <x:c r="H343" s="32"/>
      <x:c r="I343" s="32"/>
      <x:c r="J343" s="32"/>
      <x:c r="K343" s="32"/>
      <x:c r="L343" s="32"/>
      <x:c r="M343" s="32"/>
      <x:c r="N343" s="32"/>
      <x:c r="O343" s="32"/>
      <x:c r="P343" s="32"/>
      <x:c r="Q343" s="32"/>
      <x:c r="R343" s="32"/>
      <x:c r="S343" s="32"/>
      <x:c r="T343" s="43" t="str">
        <x:f>IFERROR(S343/L343,"")</x:f>
      </x:c>
      <x:c r="U343" s="32"/>
      <x:c r="V343" s="32"/>
      <x:c r="W343" s="32"/>
      <x:c r="X343" s="32"/>
      <x:c r="Y343" s="32"/>
      <x:c r="Z343" s="32"/>
      <x:c r="AA343" s="32"/>
      <x:c r="AB343" s="32"/>
      <x:c r="AC343" s="32"/>
      <x:c r="AD343" s="32"/>
      <x:c r="AE343" s="32"/>
      <x:c r="AF343" s="32"/>
      <x:c r="AG343" s="32"/>
      <x:c r="AH343" s="32"/>
      <x:c r="AI343" s="32"/>
      <x:c r="AJ343" s="32"/>
      <x:c r="AK343" s="32"/>
      <x:c r="AL343" s="32"/>
      <x:c r="AM343" s="32"/>
      <x:c r="AN343" s="32"/>
      <x:c r="AO343" s="32"/>
      <x:c r="AP343" s="32"/>
      <x:c r="AQ343" s="32"/>
      <x:c r="AR343" s="32"/>
      <x:c r="AS343" s="32"/>
      <x:c r="AT343" s="32"/>
      <x:c r="AU343" s="32"/>
      <x:c r="AV343" s="32"/>
      <x:c r="AW343" s="32"/>
      <x:c r="AX343" s="32"/>
      <x:c r="AZ343" s="32"/>
      <x:c r="BA343" s="32"/>
      <x:c r="BB343" s="32"/>
      <x:c r="BC343" s="32"/>
      <x:c r="BD343" s="32"/>
      <x:c r="BE343" s="32"/>
      <x:c r="BF343" s="32"/>
      <x:c r="BG343" s="32"/>
      <x:c r="BH343" s="32"/>
      <x:c r="BI343" s="32"/>
      <x:c r="BJ343" s="32"/>
      <x:c r="BK343" s="32"/>
      <x:c r="BL343" s="32"/>
      <x:c r="BM343" s="32"/>
    </x:row>
    <x:row r="344">
      <x:c r="A344" s="32"/>
      <x:c r="B344" s="32"/>
      <x:c r="C344" s="42"/>
      <x:c r="D344" s="32"/>
      <x:c r="E344" s="32"/>
      <x:c r="F344" s="32"/>
      <x:c r="G344" s="32"/>
      <x:c r="H344" s="32"/>
      <x:c r="I344" s="32"/>
      <x:c r="J344" s="32"/>
      <x:c r="K344" s="32"/>
      <x:c r="L344" s="32"/>
      <x:c r="M344" s="32"/>
      <x:c r="N344" s="32"/>
      <x:c r="O344" s="32"/>
      <x:c r="P344" s="32"/>
      <x:c r="Q344" s="32"/>
      <x:c r="R344" s="32"/>
      <x:c r="S344" s="32"/>
      <x:c r="T344" s="43" t="str">
        <x:f>IFERROR(S344/L344,"")</x:f>
      </x:c>
      <x:c r="U344" s="32"/>
      <x:c r="V344" s="32"/>
      <x:c r="W344" s="32"/>
      <x:c r="X344" s="32"/>
      <x:c r="Y344" s="32"/>
      <x:c r="Z344" s="32"/>
      <x:c r="AA344" s="32"/>
      <x:c r="AB344" s="32"/>
      <x:c r="AC344" s="32"/>
      <x:c r="AD344" s="32"/>
      <x:c r="AE344" s="32"/>
      <x:c r="AF344" s="32"/>
      <x:c r="AG344" s="32"/>
      <x:c r="AH344" s="32"/>
      <x:c r="AI344" s="32"/>
      <x:c r="AJ344" s="32"/>
      <x:c r="AK344" s="32"/>
      <x:c r="AL344" s="32"/>
      <x:c r="AM344" s="32"/>
      <x:c r="AN344" s="32"/>
      <x:c r="AO344" s="32"/>
      <x:c r="AP344" s="32"/>
      <x:c r="AQ344" s="32"/>
      <x:c r="AR344" s="32"/>
      <x:c r="AS344" s="32"/>
      <x:c r="AT344" s="32"/>
      <x:c r="AU344" s="32"/>
      <x:c r="AV344" s="32"/>
      <x:c r="AW344" s="32"/>
      <x:c r="AX344" s="32"/>
      <x:c r="AZ344" s="32"/>
      <x:c r="BA344" s="32"/>
      <x:c r="BB344" s="32"/>
      <x:c r="BC344" s="32"/>
      <x:c r="BD344" s="32"/>
      <x:c r="BE344" s="32"/>
      <x:c r="BF344" s="32"/>
      <x:c r="BG344" s="32"/>
      <x:c r="BH344" s="32"/>
      <x:c r="BI344" s="32"/>
      <x:c r="BJ344" s="32"/>
      <x:c r="BK344" s="32"/>
      <x:c r="BL344" s="32"/>
      <x:c r="BM344" s="32"/>
    </x:row>
    <x:row r="345">
      <x:c r="A345" s="32"/>
      <x:c r="B345" s="32"/>
      <x:c r="C345" s="42"/>
      <x:c r="D345" s="32"/>
      <x:c r="E345" s="32"/>
      <x:c r="F345" s="32"/>
      <x:c r="G345" s="32"/>
      <x:c r="H345" s="32"/>
      <x:c r="I345" s="32"/>
      <x:c r="J345" s="32"/>
      <x:c r="K345" s="32"/>
      <x:c r="L345" s="32"/>
      <x:c r="M345" s="32"/>
      <x:c r="N345" s="32"/>
      <x:c r="O345" s="32"/>
      <x:c r="P345" s="32"/>
      <x:c r="Q345" s="32"/>
      <x:c r="R345" s="32"/>
      <x:c r="S345" s="32"/>
      <x:c r="T345" s="43" t="str">
        <x:f>IFERROR(S345/L345,"")</x:f>
      </x:c>
      <x:c r="U345" s="32"/>
      <x:c r="V345" s="32"/>
      <x:c r="W345" s="32"/>
      <x:c r="X345" s="32"/>
      <x:c r="Y345" s="32"/>
      <x:c r="Z345" s="32"/>
      <x:c r="AA345" s="32"/>
      <x:c r="AB345" s="32"/>
      <x:c r="AC345" s="32"/>
      <x:c r="AD345" s="32"/>
      <x:c r="AE345" s="32"/>
      <x:c r="AF345" s="32"/>
      <x:c r="AG345" s="32"/>
      <x:c r="AH345" s="32"/>
      <x:c r="AI345" s="32"/>
      <x:c r="AJ345" s="32"/>
      <x:c r="AK345" s="32"/>
      <x:c r="AL345" s="32"/>
      <x:c r="AM345" s="32"/>
      <x:c r="AN345" s="32"/>
      <x:c r="AO345" s="32"/>
      <x:c r="AP345" s="32"/>
      <x:c r="AQ345" s="32"/>
      <x:c r="AR345" s="32"/>
      <x:c r="AS345" s="32"/>
      <x:c r="AT345" s="32"/>
      <x:c r="AU345" s="32"/>
      <x:c r="AV345" s="32"/>
      <x:c r="AW345" s="32"/>
      <x:c r="AX345" s="32"/>
      <x:c r="AZ345" s="32"/>
      <x:c r="BA345" s="32"/>
      <x:c r="BB345" s="32"/>
      <x:c r="BC345" s="32"/>
      <x:c r="BD345" s="32"/>
      <x:c r="BE345" s="32"/>
      <x:c r="BF345" s="32"/>
      <x:c r="BG345" s="32"/>
      <x:c r="BH345" s="32"/>
      <x:c r="BI345" s="32"/>
      <x:c r="BJ345" s="32"/>
      <x:c r="BK345" s="32"/>
      <x:c r="BL345" s="32"/>
      <x:c r="BM345" s="32"/>
    </x:row>
    <x:row r="346">
      <x:c r="A346" s="32"/>
      <x:c r="B346" s="32"/>
      <x:c r="C346" s="42"/>
      <x:c r="D346" s="32"/>
      <x:c r="E346" s="32"/>
      <x:c r="F346" s="32"/>
      <x:c r="G346" s="32"/>
      <x:c r="H346" s="32"/>
      <x:c r="I346" s="32"/>
      <x:c r="J346" s="32"/>
      <x:c r="K346" s="32"/>
      <x:c r="L346" s="32"/>
      <x:c r="M346" s="32"/>
      <x:c r="N346" s="32"/>
      <x:c r="O346" s="32"/>
      <x:c r="P346" s="32"/>
      <x:c r="Q346" s="32"/>
      <x:c r="R346" s="32"/>
      <x:c r="S346" s="32"/>
      <x:c r="T346" s="43" t="str">
        <x:f>IFERROR(S346/L346,"")</x:f>
      </x:c>
      <x:c r="U346" s="32"/>
      <x:c r="V346" s="32"/>
      <x:c r="W346" s="32"/>
      <x:c r="X346" s="32"/>
      <x:c r="Y346" s="32"/>
      <x:c r="Z346" s="32"/>
      <x:c r="AA346" s="32"/>
      <x:c r="AB346" s="32"/>
      <x:c r="AC346" s="32"/>
      <x:c r="AD346" s="32"/>
      <x:c r="AE346" s="32"/>
      <x:c r="AF346" s="32"/>
      <x:c r="AG346" s="32"/>
      <x:c r="AH346" s="32"/>
      <x:c r="AI346" s="32"/>
      <x:c r="AJ346" s="32"/>
      <x:c r="AK346" s="32"/>
      <x:c r="AL346" s="32"/>
      <x:c r="AM346" s="32"/>
      <x:c r="AN346" s="32"/>
      <x:c r="AO346" s="32"/>
      <x:c r="AP346" s="32"/>
      <x:c r="AQ346" s="32"/>
      <x:c r="AR346" s="32"/>
      <x:c r="AS346" s="32"/>
      <x:c r="AT346" s="32"/>
      <x:c r="AU346" s="32"/>
      <x:c r="AV346" s="32"/>
      <x:c r="AW346" s="32"/>
      <x:c r="AX346" s="32"/>
      <x:c r="AZ346" s="32"/>
      <x:c r="BA346" s="32"/>
      <x:c r="BB346" s="32"/>
      <x:c r="BC346" s="32"/>
      <x:c r="BD346" s="32"/>
      <x:c r="BE346" s="32"/>
      <x:c r="BF346" s="32"/>
      <x:c r="BG346" s="32"/>
      <x:c r="BH346" s="32"/>
      <x:c r="BI346" s="32"/>
      <x:c r="BJ346" s="32"/>
      <x:c r="BK346" s="32"/>
      <x:c r="BL346" s="32"/>
      <x:c r="BM346" s="32"/>
    </x:row>
    <x:row r="347">
      <x:c r="A347" s="32"/>
      <x:c r="B347" s="32"/>
      <x:c r="C347" s="42"/>
      <x:c r="D347" s="32"/>
      <x:c r="E347" s="32"/>
      <x:c r="F347" s="32"/>
      <x:c r="G347" s="32"/>
      <x:c r="H347" s="32"/>
      <x:c r="I347" s="32"/>
      <x:c r="J347" s="32"/>
      <x:c r="K347" s="32"/>
      <x:c r="L347" s="32"/>
      <x:c r="M347" s="32"/>
      <x:c r="N347" s="32"/>
      <x:c r="O347" s="32"/>
      <x:c r="P347" s="32"/>
      <x:c r="Q347" s="32"/>
      <x:c r="R347" s="32"/>
      <x:c r="S347" s="32"/>
      <x:c r="T347" s="43" t="str">
        <x:f>IFERROR(S347/L347,"")</x:f>
      </x:c>
      <x:c r="U347" s="32"/>
      <x:c r="V347" s="32"/>
      <x:c r="W347" s="32"/>
      <x:c r="X347" s="32"/>
      <x:c r="Y347" s="32"/>
      <x:c r="Z347" s="32"/>
      <x:c r="AA347" s="32"/>
      <x:c r="AB347" s="32"/>
      <x:c r="AC347" s="32"/>
      <x:c r="AD347" s="32"/>
      <x:c r="AE347" s="32"/>
      <x:c r="AF347" s="32"/>
      <x:c r="AG347" s="32"/>
      <x:c r="AH347" s="32"/>
      <x:c r="AI347" s="32"/>
      <x:c r="AJ347" s="32"/>
      <x:c r="AK347" s="32"/>
      <x:c r="AL347" s="32"/>
      <x:c r="AM347" s="32"/>
      <x:c r="AN347" s="32"/>
      <x:c r="AO347" s="32"/>
      <x:c r="AP347" s="32"/>
      <x:c r="AQ347" s="32"/>
      <x:c r="AR347" s="32"/>
      <x:c r="AS347" s="32"/>
      <x:c r="AT347" s="32"/>
      <x:c r="AU347" s="32"/>
      <x:c r="AV347" s="32"/>
      <x:c r="AW347" s="32"/>
      <x:c r="AX347" s="32"/>
      <x:c r="AZ347" s="32"/>
      <x:c r="BA347" s="32"/>
      <x:c r="BB347" s="32"/>
      <x:c r="BC347" s="32"/>
      <x:c r="BD347" s="32"/>
      <x:c r="BE347" s="32"/>
      <x:c r="BF347" s="32"/>
      <x:c r="BG347" s="32"/>
      <x:c r="BH347" s="32"/>
      <x:c r="BI347" s="32"/>
      <x:c r="BJ347" s="32"/>
      <x:c r="BK347" s="32"/>
      <x:c r="BL347" s="32"/>
      <x:c r="BM347" s="32"/>
    </x:row>
    <x:row r="348">
      <x:c r="A348" s="32"/>
      <x:c r="B348" s="32"/>
      <x:c r="C348" s="42"/>
      <x:c r="D348" s="32"/>
      <x:c r="E348" s="32"/>
      <x:c r="F348" s="32"/>
      <x:c r="G348" s="32"/>
      <x:c r="H348" s="32"/>
      <x:c r="I348" s="32"/>
      <x:c r="J348" s="32"/>
      <x:c r="K348" s="32"/>
      <x:c r="L348" s="32"/>
      <x:c r="M348" s="32"/>
      <x:c r="N348" s="32"/>
      <x:c r="O348" s="32"/>
      <x:c r="P348" s="32"/>
      <x:c r="Q348" s="32"/>
      <x:c r="R348" s="32"/>
      <x:c r="S348" s="32"/>
      <x:c r="T348" s="43" t="str">
        <x:f>IFERROR(S348/L348,"")</x:f>
      </x:c>
      <x:c r="U348" s="32"/>
      <x:c r="V348" s="32"/>
      <x:c r="W348" s="32"/>
      <x:c r="X348" s="32"/>
      <x:c r="Y348" s="32"/>
      <x:c r="Z348" s="32"/>
      <x:c r="AA348" s="32"/>
      <x:c r="AB348" s="32"/>
      <x:c r="AC348" s="32"/>
      <x:c r="AD348" s="32"/>
      <x:c r="AE348" s="32"/>
      <x:c r="AF348" s="32"/>
      <x:c r="AG348" s="32"/>
      <x:c r="AH348" s="32"/>
      <x:c r="AI348" s="32"/>
      <x:c r="AJ348" s="32"/>
      <x:c r="AK348" s="32"/>
      <x:c r="AL348" s="32"/>
      <x:c r="AM348" s="32"/>
      <x:c r="AN348" s="32"/>
      <x:c r="AO348" s="32"/>
      <x:c r="AP348" s="32"/>
      <x:c r="AQ348" s="32"/>
      <x:c r="AR348" s="32"/>
      <x:c r="AS348" s="32"/>
      <x:c r="AT348" s="32"/>
      <x:c r="AU348" s="32"/>
      <x:c r="AV348" s="32"/>
      <x:c r="AW348" s="32"/>
      <x:c r="AX348" s="32"/>
      <x:c r="AZ348" s="32"/>
      <x:c r="BA348" s="32"/>
      <x:c r="BB348" s="32"/>
      <x:c r="BC348" s="32"/>
      <x:c r="BD348" s="32"/>
      <x:c r="BE348" s="32"/>
      <x:c r="BF348" s="32"/>
      <x:c r="BG348" s="32"/>
      <x:c r="BH348" s="32"/>
      <x:c r="BI348" s="32"/>
      <x:c r="BJ348" s="32"/>
      <x:c r="BK348" s="32"/>
      <x:c r="BL348" s="32"/>
      <x:c r="BM348" s="32"/>
    </x:row>
    <x:row r="349">
      <x:c r="A349" s="32"/>
      <x:c r="B349" s="32"/>
      <x:c r="C349" s="42"/>
      <x:c r="D349" s="32"/>
      <x:c r="E349" s="32"/>
      <x:c r="F349" s="32"/>
      <x:c r="G349" s="32"/>
      <x:c r="H349" s="32"/>
      <x:c r="I349" s="32"/>
      <x:c r="J349" s="32"/>
      <x:c r="K349" s="32"/>
      <x:c r="L349" s="32"/>
      <x:c r="M349" s="32"/>
      <x:c r="N349" s="32"/>
      <x:c r="O349" s="32"/>
      <x:c r="P349" s="32"/>
      <x:c r="Q349" s="32"/>
      <x:c r="R349" s="32"/>
      <x:c r="S349" s="32"/>
      <x:c r="T349" s="43" t="str">
        <x:f>IFERROR(S349/L349,"")</x:f>
      </x:c>
      <x:c r="U349" s="32"/>
      <x:c r="V349" s="32"/>
      <x:c r="W349" s="32"/>
      <x:c r="X349" s="32"/>
      <x:c r="Y349" s="32"/>
      <x:c r="Z349" s="32"/>
      <x:c r="AA349" s="32"/>
      <x:c r="AB349" s="32"/>
      <x:c r="AC349" s="32"/>
      <x:c r="AD349" s="32"/>
      <x:c r="AE349" s="32"/>
      <x:c r="AF349" s="32"/>
      <x:c r="AG349" s="32"/>
      <x:c r="AH349" s="32"/>
      <x:c r="AI349" s="32"/>
      <x:c r="AJ349" s="32"/>
      <x:c r="AK349" s="32"/>
      <x:c r="AL349" s="32"/>
      <x:c r="AM349" s="32"/>
      <x:c r="AN349" s="32"/>
      <x:c r="AO349" s="32"/>
      <x:c r="AP349" s="32"/>
      <x:c r="AQ349" s="32"/>
      <x:c r="AR349" s="32"/>
      <x:c r="AS349" s="32"/>
      <x:c r="AT349" s="32"/>
      <x:c r="AU349" s="32"/>
      <x:c r="AV349" s="32"/>
      <x:c r="AW349" s="32"/>
      <x:c r="AX349" s="32"/>
      <x:c r="AZ349" s="32"/>
      <x:c r="BA349" s="32"/>
      <x:c r="BB349" s="32"/>
      <x:c r="BC349" s="32"/>
      <x:c r="BD349" s="32"/>
      <x:c r="BE349" s="32"/>
      <x:c r="BF349" s="32"/>
      <x:c r="BG349" s="32"/>
      <x:c r="BH349" s="32"/>
      <x:c r="BI349" s="32"/>
      <x:c r="BJ349" s="32"/>
      <x:c r="BK349" s="32"/>
      <x:c r="BL349" s="32"/>
      <x:c r="BM349" s="32"/>
    </x:row>
    <x:row r="350">
      <x:c r="A350" s="32"/>
      <x:c r="B350" s="32"/>
      <x:c r="C350" s="42"/>
      <x:c r="D350" s="32"/>
      <x:c r="E350" s="32"/>
      <x:c r="F350" s="32"/>
      <x:c r="G350" s="32"/>
      <x:c r="H350" s="32"/>
      <x:c r="I350" s="32"/>
      <x:c r="J350" s="32"/>
      <x:c r="K350" s="32"/>
      <x:c r="L350" s="32"/>
      <x:c r="M350" s="32"/>
      <x:c r="N350" s="32"/>
      <x:c r="O350" s="32"/>
      <x:c r="P350" s="32"/>
      <x:c r="Q350" s="32"/>
      <x:c r="R350" s="32"/>
      <x:c r="S350" s="32"/>
      <x:c r="T350" s="43" t="str">
        <x:f>IFERROR(S350/L350,"")</x:f>
      </x:c>
      <x:c r="U350" s="32"/>
      <x:c r="V350" s="32"/>
      <x:c r="W350" s="32"/>
      <x:c r="X350" s="32"/>
      <x:c r="Y350" s="32"/>
      <x:c r="Z350" s="32"/>
      <x:c r="AA350" s="32"/>
      <x:c r="AB350" s="32"/>
      <x:c r="AC350" s="32"/>
      <x:c r="AD350" s="32"/>
      <x:c r="AE350" s="32"/>
      <x:c r="AF350" s="32"/>
      <x:c r="AG350" s="32"/>
      <x:c r="AH350" s="32"/>
      <x:c r="AI350" s="32"/>
      <x:c r="AJ350" s="32"/>
      <x:c r="AK350" s="32"/>
      <x:c r="AL350" s="32"/>
      <x:c r="AM350" s="32"/>
      <x:c r="AN350" s="32"/>
      <x:c r="AO350" s="32"/>
      <x:c r="AP350" s="32"/>
      <x:c r="AQ350" s="32"/>
      <x:c r="AR350" s="32"/>
      <x:c r="AS350" s="32"/>
      <x:c r="AT350" s="32"/>
      <x:c r="AU350" s="32"/>
      <x:c r="AV350" s="32"/>
      <x:c r="AW350" s="32"/>
      <x:c r="AX350" s="32"/>
      <x:c r="AZ350" s="32"/>
      <x:c r="BA350" s="32"/>
      <x:c r="BB350" s="32"/>
      <x:c r="BC350" s="32"/>
      <x:c r="BD350" s="32"/>
      <x:c r="BE350" s="32"/>
      <x:c r="BF350" s="32"/>
      <x:c r="BG350" s="32"/>
      <x:c r="BH350" s="32"/>
      <x:c r="BI350" s="32"/>
      <x:c r="BJ350" s="32"/>
      <x:c r="BK350" s="32"/>
      <x:c r="BL350" s="32"/>
      <x:c r="BM350" s="32"/>
    </x:row>
    <x:row r="351">
      <x:c r="A351" s="32"/>
      <x:c r="B351" s="32"/>
      <x:c r="C351" s="42"/>
      <x:c r="D351" s="32"/>
      <x:c r="E351" s="32"/>
      <x:c r="F351" s="32"/>
      <x:c r="G351" s="32"/>
      <x:c r="H351" s="32"/>
      <x:c r="I351" s="32"/>
      <x:c r="J351" s="32"/>
      <x:c r="K351" s="32"/>
      <x:c r="L351" s="32"/>
      <x:c r="M351" s="32"/>
      <x:c r="N351" s="32"/>
      <x:c r="O351" s="32"/>
      <x:c r="P351" s="32"/>
      <x:c r="Q351" s="32"/>
      <x:c r="R351" s="32"/>
      <x:c r="S351" s="32"/>
      <x:c r="T351" s="43" t="str">
        <x:f>IFERROR(S351/L351,"")</x:f>
      </x:c>
      <x:c r="U351" s="32"/>
      <x:c r="V351" s="32"/>
      <x:c r="W351" s="32"/>
      <x:c r="X351" s="32"/>
      <x:c r="Y351" s="32"/>
      <x:c r="Z351" s="32"/>
      <x:c r="AA351" s="32"/>
      <x:c r="AB351" s="32"/>
      <x:c r="AC351" s="32"/>
      <x:c r="AD351" s="32"/>
      <x:c r="AE351" s="32"/>
      <x:c r="AF351" s="32"/>
      <x:c r="AG351" s="32"/>
      <x:c r="AH351" s="32"/>
      <x:c r="AI351" s="32"/>
      <x:c r="AJ351" s="32"/>
      <x:c r="AK351" s="32"/>
      <x:c r="AL351" s="32"/>
      <x:c r="AM351" s="32"/>
      <x:c r="AN351" s="32"/>
      <x:c r="AO351" s="32"/>
      <x:c r="AP351" s="32"/>
      <x:c r="AQ351" s="32"/>
      <x:c r="AR351" s="32"/>
      <x:c r="AS351" s="32"/>
      <x:c r="AT351" s="32"/>
      <x:c r="AU351" s="32"/>
      <x:c r="AV351" s="32"/>
      <x:c r="AW351" s="32"/>
      <x:c r="AX351" s="32"/>
      <x:c r="AZ351" s="32"/>
      <x:c r="BA351" s="32"/>
      <x:c r="BB351" s="32"/>
      <x:c r="BC351" s="32"/>
      <x:c r="BD351" s="32"/>
      <x:c r="BE351" s="32"/>
      <x:c r="BF351" s="32"/>
      <x:c r="BG351" s="32"/>
      <x:c r="BH351" s="32"/>
      <x:c r="BI351" s="32"/>
      <x:c r="BJ351" s="32"/>
      <x:c r="BK351" s="32"/>
      <x:c r="BL351" s="32"/>
      <x:c r="BM351" s="32"/>
    </x:row>
    <x:row r="352">
      <x:c r="A352" s="32"/>
      <x:c r="B352" s="32"/>
      <x:c r="C352" s="42"/>
      <x:c r="D352" s="32"/>
      <x:c r="E352" s="32"/>
      <x:c r="F352" s="32"/>
      <x:c r="G352" s="32"/>
      <x:c r="H352" s="32"/>
      <x:c r="I352" s="32"/>
      <x:c r="J352" s="32"/>
      <x:c r="K352" s="32"/>
      <x:c r="L352" s="32"/>
      <x:c r="M352" s="32"/>
      <x:c r="N352" s="32"/>
      <x:c r="O352" s="32"/>
      <x:c r="P352" s="32"/>
      <x:c r="Q352" s="32"/>
      <x:c r="R352" s="32"/>
      <x:c r="S352" s="32"/>
      <x:c r="T352" s="43" t="str">
        <x:f>IFERROR(S352/L352,"")</x:f>
      </x:c>
      <x:c r="U352" s="32"/>
      <x:c r="V352" s="32"/>
      <x:c r="W352" s="32"/>
      <x:c r="X352" s="32"/>
      <x:c r="Y352" s="32"/>
      <x:c r="Z352" s="32"/>
      <x:c r="AA352" s="32"/>
      <x:c r="AB352" s="32"/>
      <x:c r="AC352" s="32"/>
      <x:c r="AD352" s="32"/>
      <x:c r="AE352" s="32"/>
      <x:c r="AF352" s="32"/>
      <x:c r="AG352" s="32"/>
      <x:c r="AH352" s="32"/>
      <x:c r="AI352" s="32"/>
      <x:c r="AJ352" s="32"/>
      <x:c r="AK352" s="32"/>
      <x:c r="AL352" s="32"/>
      <x:c r="AM352" s="32"/>
      <x:c r="AN352" s="32"/>
      <x:c r="AO352" s="32"/>
      <x:c r="AP352" s="32"/>
      <x:c r="AQ352" s="32"/>
      <x:c r="AR352" s="32"/>
      <x:c r="AS352" s="32"/>
      <x:c r="AT352" s="32"/>
      <x:c r="AU352" s="32"/>
      <x:c r="AV352" s="32"/>
      <x:c r="AW352" s="32"/>
      <x:c r="AX352" s="32"/>
      <x:c r="AZ352" s="32"/>
      <x:c r="BA352" s="32"/>
      <x:c r="BB352" s="32"/>
      <x:c r="BC352" s="32"/>
      <x:c r="BD352" s="32"/>
      <x:c r="BE352" s="32"/>
      <x:c r="BF352" s="32"/>
      <x:c r="BG352" s="32"/>
      <x:c r="BH352" s="32"/>
      <x:c r="BI352" s="32"/>
      <x:c r="BJ352" s="32"/>
      <x:c r="BK352" s="32"/>
      <x:c r="BL352" s="32"/>
      <x:c r="BM352" s="32"/>
    </x:row>
    <x:row r="353">
      <x:c r="A353" s="32"/>
      <x:c r="B353" s="32"/>
      <x:c r="C353" s="42"/>
      <x:c r="D353" s="32"/>
      <x:c r="E353" s="32"/>
      <x:c r="F353" s="32"/>
      <x:c r="G353" s="32"/>
      <x:c r="H353" s="32"/>
      <x:c r="I353" s="32"/>
      <x:c r="J353" s="32"/>
      <x:c r="K353" s="32"/>
      <x:c r="L353" s="32"/>
      <x:c r="M353" s="32"/>
      <x:c r="N353" s="32"/>
      <x:c r="O353" s="32"/>
      <x:c r="P353" s="32"/>
      <x:c r="Q353" s="32"/>
      <x:c r="R353" s="32"/>
      <x:c r="S353" s="32"/>
      <x:c r="T353" s="43" t="str">
        <x:f>IFERROR(S353/L353,"")</x:f>
      </x:c>
      <x:c r="U353" s="32"/>
      <x:c r="V353" s="32"/>
      <x:c r="W353" s="32"/>
      <x:c r="X353" s="32"/>
      <x:c r="Y353" s="32"/>
      <x:c r="Z353" s="32"/>
      <x:c r="AA353" s="32"/>
      <x:c r="AB353" s="32"/>
      <x:c r="AC353" s="32"/>
      <x:c r="AD353" s="32"/>
      <x:c r="AE353" s="32"/>
      <x:c r="AF353" s="32"/>
      <x:c r="AG353" s="32"/>
      <x:c r="AH353" s="32"/>
      <x:c r="AI353" s="32"/>
      <x:c r="AJ353" s="32"/>
      <x:c r="AK353" s="32"/>
      <x:c r="AL353" s="32"/>
      <x:c r="AM353" s="32"/>
      <x:c r="AN353" s="32"/>
      <x:c r="AO353" s="32"/>
      <x:c r="AP353" s="32"/>
      <x:c r="AQ353" s="32"/>
      <x:c r="AR353" s="32"/>
      <x:c r="AS353" s="32"/>
      <x:c r="AT353" s="32"/>
      <x:c r="AU353" s="32"/>
      <x:c r="AV353" s="32"/>
      <x:c r="AW353" s="32"/>
      <x:c r="AX353" s="32"/>
      <x:c r="AZ353" s="32"/>
      <x:c r="BA353" s="32"/>
      <x:c r="BB353" s="32"/>
      <x:c r="BC353" s="32"/>
      <x:c r="BD353" s="32"/>
      <x:c r="BE353" s="32"/>
      <x:c r="BF353" s="32"/>
      <x:c r="BG353" s="32"/>
      <x:c r="BH353" s="32"/>
      <x:c r="BI353" s="32"/>
      <x:c r="BJ353" s="32"/>
      <x:c r="BK353" s="32"/>
      <x:c r="BL353" s="32"/>
      <x:c r="BM353" s="32"/>
    </x:row>
    <x:row r="354">
      <x:c r="A354" s="32"/>
      <x:c r="B354" s="32"/>
      <x:c r="C354" s="42"/>
      <x:c r="D354" s="32"/>
      <x:c r="E354" s="32"/>
      <x:c r="F354" s="32"/>
      <x:c r="G354" s="32"/>
      <x:c r="H354" s="32"/>
      <x:c r="I354" s="32"/>
      <x:c r="J354" s="32"/>
      <x:c r="K354" s="32"/>
      <x:c r="L354" s="32"/>
      <x:c r="M354" s="32"/>
      <x:c r="N354" s="32"/>
      <x:c r="O354" s="32"/>
      <x:c r="P354" s="32"/>
      <x:c r="Q354" s="32"/>
      <x:c r="R354" s="32"/>
      <x:c r="S354" s="32"/>
      <x:c r="T354" s="43" t="str">
        <x:f>IFERROR(S354/L354,"")</x:f>
      </x:c>
      <x:c r="U354" s="32"/>
      <x:c r="V354" s="32"/>
      <x:c r="W354" s="32"/>
      <x:c r="X354" s="32"/>
      <x:c r="Y354" s="32"/>
      <x:c r="Z354" s="32"/>
      <x:c r="AA354" s="32"/>
      <x:c r="AB354" s="32"/>
      <x:c r="AC354" s="32"/>
      <x:c r="AD354" s="32"/>
      <x:c r="AE354" s="32"/>
      <x:c r="AF354" s="32"/>
      <x:c r="AG354" s="32"/>
      <x:c r="AH354" s="32"/>
      <x:c r="AI354" s="32"/>
      <x:c r="AJ354" s="32"/>
      <x:c r="AK354" s="32"/>
      <x:c r="AL354" s="32"/>
      <x:c r="AM354" s="32"/>
      <x:c r="AN354" s="32"/>
      <x:c r="AO354" s="32"/>
      <x:c r="AP354" s="32"/>
      <x:c r="AQ354" s="32"/>
      <x:c r="AR354" s="32"/>
      <x:c r="AS354" s="32"/>
      <x:c r="AT354" s="32"/>
      <x:c r="AU354" s="32"/>
      <x:c r="AV354" s="32"/>
      <x:c r="AW354" s="32"/>
      <x:c r="AX354" s="32"/>
      <x:c r="AZ354" s="32"/>
      <x:c r="BA354" s="32"/>
      <x:c r="BB354" s="32"/>
      <x:c r="BC354" s="32"/>
      <x:c r="BD354" s="32"/>
      <x:c r="BE354" s="32"/>
      <x:c r="BF354" s="32"/>
      <x:c r="BG354" s="32"/>
      <x:c r="BH354" s="32"/>
      <x:c r="BI354" s="32"/>
      <x:c r="BJ354" s="32"/>
      <x:c r="BK354" s="32"/>
      <x:c r="BL354" s="32"/>
      <x:c r="BM354" s="32"/>
    </x:row>
    <x:row r="355">
      <x:c r="A355" s="32"/>
      <x:c r="B355" s="32"/>
      <x:c r="C355" s="42"/>
      <x:c r="D355" s="32"/>
      <x:c r="E355" s="32"/>
      <x:c r="F355" s="32"/>
      <x:c r="G355" s="32"/>
      <x:c r="H355" s="32"/>
      <x:c r="I355" s="32"/>
      <x:c r="J355" s="32"/>
      <x:c r="K355" s="32"/>
      <x:c r="L355" s="32"/>
      <x:c r="M355" s="32"/>
      <x:c r="N355" s="32"/>
      <x:c r="O355" s="32"/>
      <x:c r="P355" s="32"/>
      <x:c r="Q355" s="32"/>
      <x:c r="R355" s="32"/>
      <x:c r="S355" s="32"/>
      <x:c r="T355" s="43" t="str">
        <x:f>IFERROR(S355/L355,"")</x:f>
      </x:c>
      <x:c r="U355" s="32"/>
      <x:c r="V355" s="32"/>
      <x:c r="W355" s="32"/>
      <x:c r="X355" s="32"/>
      <x:c r="Y355" s="32"/>
      <x:c r="Z355" s="32"/>
      <x:c r="AA355" s="32"/>
      <x:c r="AB355" s="32"/>
      <x:c r="AC355" s="32"/>
      <x:c r="AD355" s="32"/>
      <x:c r="AE355" s="32"/>
      <x:c r="AF355" s="32"/>
      <x:c r="AG355" s="32"/>
      <x:c r="AH355" s="32"/>
      <x:c r="AI355" s="32"/>
      <x:c r="AJ355" s="32"/>
      <x:c r="AK355" s="32"/>
      <x:c r="AL355" s="32"/>
      <x:c r="AM355" s="32"/>
      <x:c r="AN355" s="32"/>
      <x:c r="AO355" s="32"/>
      <x:c r="AP355" s="32"/>
      <x:c r="AQ355" s="32"/>
      <x:c r="AR355" s="32"/>
      <x:c r="AS355" s="32"/>
      <x:c r="AT355" s="32"/>
      <x:c r="AU355" s="32"/>
      <x:c r="AV355" s="32"/>
      <x:c r="AW355" s="32"/>
      <x:c r="AX355" s="32"/>
      <x:c r="AZ355" s="32"/>
      <x:c r="BA355" s="32"/>
      <x:c r="BB355" s="32"/>
      <x:c r="BC355" s="32"/>
      <x:c r="BD355" s="32"/>
      <x:c r="BE355" s="32"/>
      <x:c r="BF355" s="32"/>
      <x:c r="BG355" s="32"/>
      <x:c r="BH355" s="32"/>
      <x:c r="BI355" s="32"/>
      <x:c r="BJ355" s="32"/>
      <x:c r="BK355" s="32"/>
      <x:c r="BL355" s="32"/>
      <x:c r="BM355" s="32"/>
    </x:row>
    <x:row r="356">
      <x:c r="A356" s="32"/>
      <x:c r="B356" s="32"/>
      <x:c r="C356" s="42"/>
      <x:c r="D356" s="32"/>
      <x:c r="E356" s="32"/>
      <x:c r="F356" s="32"/>
      <x:c r="G356" s="32"/>
      <x:c r="H356" s="32"/>
      <x:c r="I356" s="32"/>
      <x:c r="J356" s="32"/>
      <x:c r="K356" s="32"/>
      <x:c r="L356" s="32"/>
      <x:c r="M356" s="32"/>
      <x:c r="N356" s="32"/>
      <x:c r="O356" s="32"/>
      <x:c r="P356" s="32"/>
      <x:c r="Q356" s="32"/>
      <x:c r="R356" s="32"/>
      <x:c r="S356" s="32"/>
      <x:c r="T356" s="43" t="str">
        <x:f>IFERROR(S356/L356,"")</x:f>
      </x:c>
      <x:c r="U356" s="32"/>
      <x:c r="V356" s="32"/>
      <x:c r="W356" s="32"/>
      <x:c r="X356" s="32"/>
      <x:c r="Y356" s="32"/>
      <x:c r="Z356" s="32"/>
      <x:c r="AA356" s="32"/>
      <x:c r="AB356" s="32"/>
      <x:c r="AC356" s="32"/>
      <x:c r="AD356" s="32"/>
      <x:c r="AE356" s="32"/>
      <x:c r="AF356" s="32"/>
      <x:c r="AG356" s="32"/>
      <x:c r="AH356" s="32"/>
      <x:c r="AI356" s="32"/>
      <x:c r="AJ356" s="32"/>
      <x:c r="AK356" s="32"/>
      <x:c r="AL356" s="32"/>
      <x:c r="AM356" s="32"/>
      <x:c r="AN356" s="32"/>
      <x:c r="AO356" s="32"/>
      <x:c r="AP356" s="32"/>
      <x:c r="AQ356" s="32"/>
      <x:c r="AR356" s="32"/>
      <x:c r="AS356" s="32"/>
      <x:c r="AT356" s="32"/>
      <x:c r="AU356" s="32"/>
      <x:c r="AV356" s="32"/>
      <x:c r="AW356" s="32"/>
      <x:c r="AX356" s="32"/>
      <x:c r="AZ356" s="32"/>
      <x:c r="BA356" s="32"/>
      <x:c r="BB356" s="32"/>
      <x:c r="BC356" s="32"/>
      <x:c r="BD356" s="32"/>
      <x:c r="BE356" s="32"/>
      <x:c r="BF356" s="32"/>
      <x:c r="BG356" s="32"/>
      <x:c r="BH356" s="32"/>
      <x:c r="BI356" s="32"/>
      <x:c r="BJ356" s="32"/>
      <x:c r="BK356" s="32"/>
      <x:c r="BL356" s="32"/>
      <x:c r="BM356" s="32"/>
    </x:row>
    <x:row r="357">
      <x:c r="A357" s="32"/>
      <x:c r="B357" s="32"/>
      <x:c r="C357" s="42"/>
      <x:c r="D357" s="32"/>
      <x:c r="E357" s="32"/>
      <x:c r="F357" s="32"/>
      <x:c r="G357" s="32"/>
      <x:c r="H357" s="32"/>
      <x:c r="I357" s="32"/>
      <x:c r="J357" s="32"/>
      <x:c r="K357" s="32"/>
      <x:c r="L357" s="32"/>
      <x:c r="M357" s="32"/>
      <x:c r="N357" s="32"/>
      <x:c r="O357" s="32"/>
      <x:c r="P357" s="32"/>
      <x:c r="Q357" s="32"/>
      <x:c r="R357" s="32"/>
      <x:c r="S357" s="32"/>
      <x:c r="T357" s="43" t="str">
        <x:f>IFERROR(S357/L357,"")</x:f>
      </x:c>
      <x:c r="U357" s="32"/>
      <x:c r="V357" s="32"/>
      <x:c r="W357" s="32"/>
      <x:c r="X357" s="32"/>
      <x:c r="Y357" s="32"/>
      <x:c r="Z357" s="32"/>
      <x:c r="AA357" s="32"/>
      <x:c r="AB357" s="32"/>
      <x:c r="AC357" s="32"/>
      <x:c r="AD357" s="32"/>
      <x:c r="AE357" s="32"/>
      <x:c r="AF357" s="32"/>
      <x:c r="AG357" s="32"/>
      <x:c r="AH357" s="32"/>
      <x:c r="AI357" s="32"/>
      <x:c r="AJ357" s="32"/>
      <x:c r="AK357" s="32"/>
      <x:c r="AL357" s="32"/>
      <x:c r="AM357" s="32"/>
      <x:c r="AN357" s="32"/>
      <x:c r="AO357" s="32"/>
      <x:c r="AP357" s="32"/>
      <x:c r="AQ357" s="32"/>
      <x:c r="AR357" s="32"/>
      <x:c r="AS357" s="32"/>
      <x:c r="AT357" s="32"/>
      <x:c r="AU357" s="32"/>
      <x:c r="AV357" s="32"/>
      <x:c r="AW357" s="32"/>
      <x:c r="AX357" s="32"/>
      <x:c r="AZ357" s="32"/>
      <x:c r="BA357" s="32"/>
      <x:c r="BB357" s="32"/>
      <x:c r="BC357" s="32"/>
      <x:c r="BD357" s="32"/>
      <x:c r="BE357" s="32"/>
      <x:c r="BF357" s="32"/>
      <x:c r="BG357" s="32"/>
      <x:c r="BH357" s="32"/>
      <x:c r="BI357" s="32"/>
      <x:c r="BJ357" s="32"/>
      <x:c r="BK357" s="32"/>
      <x:c r="BL357" s="32"/>
      <x:c r="BM357" s="32"/>
    </x:row>
    <x:row r="358">
      <x:c r="A358" s="32"/>
      <x:c r="B358" s="32"/>
      <x:c r="C358" s="42"/>
      <x:c r="D358" s="32"/>
      <x:c r="E358" s="32"/>
      <x:c r="F358" s="32"/>
      <x:c r="G358" s="32"/>
      <x:c r="H358" s="32"/>
      <x:c r="I358" s="32"/>
      <x:c r="J358" s="32"/>
      <x:c r="K358" s="32"/>
      <x:c r="L358" s="32"/>
      <x:c r="M358" s="32"/>
      <x:c r="N358" s="32"/>
      <x:c r="O358" s="32"/>
      <x:c r="P358" s="32"/>
      <x:c r="Q358" s="32"/>
      <x:c r="R358" s="32"/>
      <x:c r="S358" s="32"/>
      <x:c r="T358" s="43" t="str">
        <x:f>IFERROR(S358/L358,"")</x:f>
      </x:c>
      <x:c r="U358" s="32"/>
      <x:c r="V358" s="32"/>
      <x:c r="W358" s="32"/>
      <x:c r="X358" s="32"/>
      <x:c r="Y358" s="32"/>
      <x:c r="Z358" s="32"/>
      <x:c r="AA358" s="32"/>
      <x:c r="AB358" s="32"/>
      <x:c r="AC358" s="32"/>
      <x:c r="AD358" s="32"/>
      <x:c r="AE358" s="32"/>
      <x:c r="AF358" s="32"/>
      <x:c r="AG358" s="32"/>
      <x:c r="AH358" s="32"/>
      <x:c r="AI358" s="32"/>
      <x:c r="AJ358" s="32"/>
      <x:c r="AK358" s="32"/>
      <x:c r="AL358" s="32"/>
      <x:c r="AM358" s="32"/>
      <x:c r="AN358" s="32"/>
      <x:c r="AO358" s="32"/>
      <x:c r="AP358" s="32"/>
      <x:c r="AQ358" s="32"/>
      <x:c r="AR358" s="32"/>
      <x:c r="AS358" s="32"/>
      <x:c r="AT358" s="32"/>
      <x:c r="AU358" s="32"/>
      <x:c r="AV358" s="32"/>
      <x:c r="AW358" s="32"/>
      <x:c r="AX358" s="32"/>
      <x:c r="AZ358" s="32"/>
      <x:c r="BA358" s="32"/>
      <x:c r="BB358" s="32"/>
      <x:c r="BC358" s="32"/>
      <x:c r="BD358" s="32"/>
      <x:c r="BE358" s="32"/>
      <x:c r="BF358" s="32"/>
      <x:c r="BG358" s="32"/>
      <x:c r="BH358" s="32"/>
      <x:c r="BI358" s="32"/>
      <x:c r="BJ358" s="32"/>
      <x:c r="BK358" s="32"/>
      <x:c r="BL358" s="32"/>
      <x:c r="BM358" s="32"/>
    </x:row>
    <x:row r="359">
      <x:c r="A359" s="32"/>
      <x:c r="B359" s="32"/>
      <x:c r="C359" s="42"/>
      <x:c r="D359" s="32"/>
      <x:c r="E359" s="32"/>
      <x:c r="F359" s="32"/>
      <x:c r="G359" s="32"/>
      <x:c r="H359" s="32"/>
      <x:c r="I359" s="32"/>
      <x:c r="J359" s="32"/>
      <x:c r="K359" s="32"/>
      <x:c r="L359" s="32"/>
      <x:c r="M359" s="32"/>
      <x:c r="N359" s="32"/>
      <x:c r="O359" s="32"/>
      <x:c r="P359" s="32"/>
      <x:c r="Q359" s="32"/>
      <x:c r="R359" s="32"/>
      <x:c r="S359" s="32"/>
      <x:c r="T359" s="43" t="str">
        <x:f>IFERROR(S359/L359,"")</x:f>
      </x:c>
      <x:c r="U359" s="32"/>
      <x:c r="V359" s="32"/>
      <x:c r="W359" s="32"/>
      <x:c r="X359" s="32"/>
      <x:c r="Y359" s="32"/>
      <x:c r="Z359" s="32"/>
      <x:c r="AA359" s="32"/>
      <x:c r="AB359" s="32"/>
      <x:c r="AC359" s="32"/>
      <x:c r="AD359" s="32"/>
      <x:c r="AE359" s="32"/>
      <x:c r="AF359" s="32"/>
      <x:c r="AG359" s="32"/>
      <x:c r="AH359" s="32"/>
      <x:c r="AI359" s="32"/>
      <x:c r="AJ359" s="32"/>
      <x:c r="AK359" s="32"/>
      <x:c r="AL359" s="32"/>
      <x:c r="AM359" s="32"/>
      <x:c r="AN359" s="32"/>
      <x:c r="AO359" s="32"/>
      <x:c r="AP359" s="32"/>
      <x:c r="AQ359" s="32"/>
      <x:c r="AR359" s="32"/>
      <x:c r="AS359" s="32"/>
      <x:c r="AT359" s="32"/>
      <x:c r="AU359" s="32"/>
      <x:c r="AV359" s="32"/>
      <x:c r="AW359" s="32"/>
      <x:c r="AX359" s="32"/>
      <x:c r="AZ359" s="32"/>
      <x:c r="BA359" s="32"/>
      <x:c r="BB359" s="32"/>
      <x:c r="BC359" s="32"/>
      <x:c r="BD359" s="32"/>
      <x:c r="BE359" s="32"/>
      <x:c r="BF359" s="32"/>
      <x:c r="BG359" s="32"/>
      <x:c r="BH359" s="32"/>
      <x:c r="BI359" s="32"/>
      <x:c r="BJ359" s="32"/>
      <x:c r="BK359" s="32"/>
      <x:c r="BL359" s="32"/>
      <x:c r="BM359" s="32"/>
    </x:row>
    <x:row r="360">
      <x:c r="A360" s="32"/>
      <x:c r="B360" s="32"/>
      <x:c r="C360" s="42"/>
      <x:c r="D360" s="32"/>
      <x:c r="E360" s="32"/>
      <x:c r="F360" s="32"/>
      <x:c r="G360" s="32"/>
      <x:c r="H360" s="32"/>
      <x:c r="I360" s="32"/>
      <x:c r="J360" s="32"/>
      <x:c r="K360" s="32"/>
      <x:c r="L360" s="32"/>
      <x:c r="M360" s="32"/>
      <x:c r="N360" s="32"/>
      <x:c r="O360" s="32"/>
      <x:c r="P360" s="32"/>
      <x:c r="Q360" s="32"/>
      <x:c r="R360" s="32"/>
      <x:c r="S360" s="32"/>
      <x:c r="T360" s="43" t="str">
        <x:f>IFERROR(S360/L360,"")</x:f>
      </x:c>
      <x:c r="U360" s="32"/>
      <x:c r="V360" s="32"/>
      <x:c r="W360" s="32"/>
      <x:c r="X360" s="32"/>
      <x:c r="Y360" s="32"/>
      <x:c r="Z360" s="32"/>
      <x:c r="AA360" s="32"/>
      <x:c r="AB360" s="32"/>
      <x:c r="AC360" s="32"/>
      <x:c r="AD360" s="32"/>
      <x:c r="AE360" s="32"/>
      <x:c r="AF360" s="32"/>
      <x:c r="AG360" s="32"/>
      <x:c r="AH360" s="32"/>
      <x:c r="AI360" s="32"/>
      <x:c r="AJ360" s="32"/>
      <x:c r="AK360" s="32"/>
      <x:c r="AL360" s="32"/>
      <x:c r="AM360" s="32"/>
      <x:c r="AN360" s="32"/>
      <x:c r="AO360" s="32"/>
      <x:c r="AP360" s="32"/>
      <x:c r="AQ360" s="32"/>
      <x:c r="AR360" s="32"/>
      <x:c r="AS360" s="32"/>
      <x:c r="AT360" s="32"/>
      <x:c r="AU360" s="32"/>
      <x:c r="AV360" s="32"/>
      <x:c r="AW360" s="32"/>
      <x:c r="AX360" s="32"/>
      <x:c r="AZ360" s="32"/>
      <x:c r="BA360" s="32"/>
      <x:c r="BB360" s="32"/>
      <x:c r="BC360" s="32"/>
      <x:c r="BD360" s="32"/>
      <x:c r="BE360" s="32"/>
      <x:c r="BF360" s="32"/>
      <x:c r="BG360" s="32"/>
      <x:c r="BH360" s="32"/>
      <x:c r="BI360" s="32"/>
      <x:c r="BJ360" s="32"/>
      <x:c r="BK360" s="32"/>
      <x:c r="BL360" s="32"/>
      <x:c r="BM360" s="32"/>
    </x:row>
    <x:row r="361">
      <x:c r="A361" s="32"/>
      <x:c r="B361" s="32"/>
      <x:c r="C361" s="42"/>
      <x:c r="D361" s="32"/>
      <x:c r="E361" s="32"/>
      <x:c r="F361" s="32"/>
      <x:c r="G361" s="32"/>
      <x:c r="H361" s="32"/>
      <x:c r="I361" s="32"/>
      <x:c r="J361" s="32"/>
      <x:c r="K361" s="32"/>
      <x:c r="L361" s="32"/>
      <x:c r="M361" s="32"/>
      <x:c r="N361" s="32"/>
      <x:c r="O361" s="32"/>
      <x:c r="P361" s="32"/>
      <x:c r="Q361" s="32"/>
      <x:c r="R361" s="32"/>
      <x:c r="S361" s="32"/>
      <x:c r="T361" s="43" t="str">
        <x:f>IFERROR(S361/L361,"")</x:f>
      </x:c>
      <x:c r="U361" s="32"/>
      <x:c r="V361" s="32"/>
      <x:c r="W361" s="32"/>
      <x:c r="X361" s="32"/>
      <x:c r="Y361" s="32"/>
      <x:c r="Z361" s="32"/>
      <x:c r="AA361" s="32"/>
      <x:c r="AB361" s="32"/>
      <x:c r="AC361" s="32"/>
      <x:c r="AD361" s="32"/>
      <x:c r="AE361" s="32"/>
      <x:c r="AF361" s="32"/>
      <x:c r="AG361" s="32"/>
      <x:c r="AH361" s="32"/>
      <x:c r="AI361" s="32"/>
      <x:c r="AJ361" s="32"/>
      <x:c r="AK361" s="32"/>
      <x:c r="AL361" s="32"/>
      <x:c r="AM361" s="32"/>
      <x:c r="AN361" s="32"/>
      <x:c r="AO361" s="32"/>
      <x:c r="AP361" s="32"/>
      <x:c r="AQ361" s="32"/>
      <x:c r="AR361" s="32"/>
      <x:c r="AS361" s="32"/>
      <x:c r="AT361" s="32"/>
      <x:c r="AU361" s="32"/>
      <x:c r="AV361" s="32"/>
      <x:c r="AW361" s="32"/>
      <x:c r="AX361" s="32"/>
      <x:c r="AZ361" s="32"/>
      <x:c r="BA361" s="32"/>
      <x:c r="BB361" s="32"/>
      <x:c r="BC361" s="32"/>
      <x:c r="BD361" s="32"/>
      <x:c r="BE361" s="32"/>
      <x:c r="BF361" s="32"/>
      <x:c r="BG361" s="32"/>
      <x:c r="BH361" s="32"/>
      <x:c r="BI361" s="32"/>
      <x:c r="BJ361" s="32"/>
      <x:c r="BK361" s="32"/>
      <x:c r="BL361" s="32"/>
      <x:c r="BM361" s="32"/>
    </x:row>
    <x:row r="362">
      <x:c r="A362" s="32"/>
      <x:c r="B362" s="32"/>
      <x:c r="C362" s="42"/>
      <x:c r="D362" s="32"/>
      <x:c r="E362" s="32"/>
      <x:c r="F362" s="32"/>
      <x:c r="G362" s="32"/>
      <x:c r="H362" s="32"/>
      <x:c r="I362" s="32"/>
      <x:c r="J362" s="32"/>
      <x:c r="K362" s="32"/>
      <x:c r="L362" s="32"/>
      <x:c r="M362" s="32"/>
      <x:c r="N362" s="32"/>
      <x:c r="O362" s="32"/>
      <x:c r="P362" s="32"/>
      <x:c r="Q362" s="32"/>
      <x:c r="R362" s="32"/>
      <x:c r="S362" s="32"/>
      <x:c r="T362" s="43" t="str">
        <x:f>IFERROR(S362/L362,"")</x:f>
      </x:c>
      <x:c r="U362" s="32"/>
      <x:c r="V362" s="32"/>
      <x:c r="W362" s="32"/>
      <x:c r="X362" s="32"/>
      <x:c r="Y362" s="32"/>
      <x:c r="Z362" s="32"/>
      <x:c r="AA362" s="32"/>
      <x:c r="AB362" s="32"/>
      <x:c r="AC362" s="32"/>
      <x:c r="AD362" s="32"/>
      <x:c r="AE362" s="32"/>
      <x:c r="AF362" s="32"/>
      <x:c r="AG362" s="32"/>
      <x:c r="AH362" s="32"/>
      <x:c r="AI362" s="32"/>
      <x:c r="AJ362" s="32"/>
      <x:c r="AK362" s="32"/>
      <x:c r="AL362" s="32"/>
      <x:c r="AM362" s="32"/>
      <x:c r="AN362" s="32"/>
      <x:c r="AO362" s="32"/>
      <x:c r="AP362" s="32"/>
      <x:c r="AQ362" s="32"/>
      <x:c r="AR362" s="32"/>
      <x:c r="AS362" s="32"/>
      <x:c r="AT362" s="32"/>
      <x:c r="AU362" s="32"/>
      <x:c r="AV362" s="32"/>
      <x:c r="AW362" s="32"/>
      <x:c r="AX362" s="32"/>
      <x:c r="AZ362" s="32"/>
      <x:c r="BA362" s="32"/>
      <x:c r="BB362" s="32"/>
      <x:c r="BC362" s="32"/>
      <x:c r="BD362" s="32"/>
      <x:c r="BE362" s="32"/>
      <x:c r="BF362" s="32"/>
      <x:c r="BG362" s="32"/>
      <x:c r="BH362" s="32"/>
      <x:c r="BI362" s="32"/>
      <x:c r="BJ362" s="32"/>
      <x:c r="BK362" s="32"/>
      <x:c r="BL362" s="32"/>
      <x:c r="BM362" s="32"/>
    </x:row>
    <x:row r="363">
      <x:c r="A363" s="32"/>
      <x:c r="B363" s="32"/>
      <x:c r="C363" s="42"/>
      <x:c r="D363" s="32"/>
      <x:c r="E363" s="32"/>
      <x:c r="F363" s="32"/>
      <x:c r="G363" s="32"/>
      <x:c r="H363" s="32"/>
      <x:c r="I363" s="32"/>
      <x:c r="J363" s="32"/>
      <x:c r="K363" s="32"/>
      <x:c r="L363" s="32"/>
      <x:c r="M363" s="32"/>
      <x:c r="N363" s="32"/>
      <x:c r="O363" s="32"/>
      <x:c r="P363" s="32"/>
      <x:c r="Q363" s="32"/>
      <x:c r="R363" s="32"/>
      <x:c r="S363" s="32"/>
      <x:c r="T363" s="43" t="str">
        <x:f>IFERROR(S363/L363,"")</x:f>
      </x:c>
      <x:c r="U363" s="32"/>
      <x:c r="V363" s="32"/>
      <x:c r="W363" s="32"/>
      <x:c r="X363" s="32"/>
      <x:c r="Y363" s="32"/>
      <x:c r="Z363" s="32"/>
      <x:c r="AA363" s="32"/>
      <x:c r="AB363" s="32"/>
      <x:c r="AC363" s="32"/>
      <x:c r="AD363" s="32"/>
      <x:c r="AE363" s="32"/>
      <x:c r="AF363" s="32"/>
      <x:c r="AG363" s="32"/>
      <x:c r="AH363" s="32"/>
      <x:c r="AI363" s="32"/>
      <x:c r="AJ363" s="32"/>
      <x:c r="AK363" s="32"/>
      <x:c r="AL363" s="32"/>
      <x:c r="AM363" s="32"/>
      <x:c r="AN363" s="32"/>
      <x:c r="AO363" s="32"/>
      <x:c r="AP363" s="32"/>
      <x:c r="AQ363" s="32"/>
      <x:c r="AR363" s="32"/>
      <x:c r="AS363" s="32"/>
      <x:c r="AT363" s="32"/>
      <x:c r="AU363" s="32"/>
      <x:c r="AV363" s="32"/>
      <x:c r="AW363" s="32"/>
      <x:c r="AX363" s="32"/>
      <x:c r="AZ363" s="32"/>
      <x:c r="BA363" s="32"/>
      <x:c r="BB363" s="32"/>
      <x:c r="BC363" s="32"/>
      <x:c r="BD363" s="32"/>
      <x:c r="BE363" s="32"/>
      <x:c r="BF363" s="32"/>
      <x:c r="BG363" s="32"/>
      <x:c r="BH363" s="32"/>
      <x:c r="BI363" s="32"/>
      <x:c r="BJ363" s="32"/>
      <x:c r="BK363" s="32"/>
      <x:c r="BL363" s="32"/>
      <x:c r="BM363" s="32"/>
    </x:row>
    <x:row r="364">
      <x:c r="A364" s="32"/>
      <x:c r="B364" s="32"/>
      <x:c r="C364" s="42"/>
      <x:c r="D364" s="32"/>
      <x:c r="E364" s="32"/>
      <x:c r="F364" s="32"/>
      <x:c r="G364" s="32"/>
      <x:c r="H364" s="32"/>
      <x:c r="I364" s="32"/>
      <x:c r="J364" s="32"/>
      <x:c r="K364" s="32"/>
      <x:c r="L364" s="32"/>
      <x:c r="M364" s="32"/>
      <x:c r="N364" s="32"/>
      <x:c r="O364" s="32"/>
      <x:c r="P364" s="32"/>
      <x:c r="Q364" s="32"/>
      <x:c r="R364" s="32"/>
      <x:c r="S364" s="32"/>
      <x:c r="T364" s="43" t="str">
        <x:f>IFERROR(S364/L364,"")</x:f>
      </x:c>
      <x:c r="U364" s="32"/>
      <x:c r="V364" s="32"/>
      <x:c r="W364" s="32"/>
      <x:c r="X364" s="32"/>
      <x:c r="Y364" s="32"/>
      <x:c r="Z364" s="32"/>
      <x:c r="AA364" s="32"/>
      <x:c r="AB364" s="32"/>
      <x:c r="AC364" s="32"/>
      <x:c r="AD364" s="32"/>
      <x:c r="AE364" s="32"/>
      <x:c r="AF364" s="32"/>
      <x:c r="AG364" s="32"/>
      <x:c r="AH364" s="32"/>
      <x:c r="AI364" s="32"/>
      <x:c r="AJ364" s="32"/>
      <x:c r="AK364" s="32"/>
      <x:c r="AL364" s="32"/>
      <x:c r="AM364" s="32"/>
      <x:c r="AN364" s="32"/>
      <x:c r="AO364" s="32"/>
      <x:c r="AP364" s="32"/>
      <x:c r="AQ364" s="32"/>
      <x:c r="AR364" s="32"/>
      <x:c r="AS364" s="32"/>
      <x:c r="AT364" s="32"/>
      <x:c r="AU364" s="32"/>
      <x:c r="AV364" s="32"/>
      <x:c r="AW364" s="32"/>
      <x:c r="AX364" s="32"/>
      <x:c r="AZ364" s="32"/>
      <x:c r="BA364" s="32"/>
      <x:c r="BB364" s="32"/>
      <x:c r="BC364" s="32"/>
      <x:c r="BD364" s="32"/>
      <x:c r="BE364" s="32"/>
      <x:c r="BF364" s="32"/>
      <x:c r="BG364" s="32"/>
      <x:c r="BH364" s="32"/>
      <x:c r="BI364" s="32"/>
      <x:c r="BJ364" s="32"/>
      <x:c r="BK364" s="32"/>
      <x:c r="BL364" s="32"/>
      <x:c r="BM364" s="32"/>
    </x:row>
    <x:row r="365">
      <x:c r="A365" s="32"/>
      <x:c r="B365" s="32"/>
      <x:c r="C365" s="42"/>
      <x:c r="D365" s="32"/>
      <x:c r="E365" s="32"/>
      <x:c r="F365" s="32"/>
      <x:c r="G365" s="32"/>
      <x:c r="H365" s="32"/>
      <x:c r="I365" s="32"/>
      <x:c r="J365" s="32"/>
      <x:c r="K365" s="32"/>
      <x:c r="L365" s="32"/>
      <x:c r="M365" s="32"/>
      <x:c r="N365" s="32"/>
      <x:c r="O365" s="32"/>
      <x:c r="P365" s="32"/>
      <x:c r="Q365" s="32"/>
      <x:c r="R365" s="32"/>
      <x:c r="S365" s="32"/>
      <x:c r="T365" s="43" t="str">
        <x:f>IFERROR(S365/L365,"")</x:f>
      </x:c>
      <x:c r="U365" s="32"/>
      <x:c r="V365" s="32"/>
      <x:c r="W365" s="32"/>
      <x:c r="X365" s="32"/>
      <x:c r="Y365" s="32"/>
      <x:c r="Z365" s="32"/>
      <x:c r="AA365" s="32"/>
      <x:c r="AB365" s="32"/>
      <x:c r="AC365" s="32"/>
      <x:c r="AD365" s="32"/>
      <x:c r="AE365" s="32"/>
      <x:c r="AF365" s="32"/>
      <x:c r="AG365" s="32"/>
      <x:c r="AH365" s="32"/>
      <x:c r="AI365" s="32"/>
      <x:c r="AJ365" s="32"/>
      <x:c r="AK365" s="32"/>
      <x:c r="AL365" s="32"/>
      <x:c r="AM365" s="32"/>
      <x:c r="AN365" s="32"/>
      <x:c r="AO365" s="32"/>
      <x:c r="AP365" s="32"/>
      <x:c r="AQ365" s="32"/>
      <x:c r="AR365" s="32"/>
      <x:c r="AS365" s="32"/>
      <x:c r="AT365" s="32"/>
      <x:c r="AU365" s="32"/>
      <x:c r="AV365" s="32"/>
      <x:c r="AW365" s="32"/>
      <x:c r="AX365" s="32"/>
      <x:c r="AZ365" s="32"/>
      <x:c r="BA365" s="32"/>
      <x:c r="BB365" s="32"/>
      <x:c r="BC365" s="32"/>
      <x:c r="BD365" s="32"/>
      <x:c r="BE365" s="32"/>
      <x:c r="BF365" s="32"/>
      <x:c r="BG365" s="32"/>
      <x:c r="BH365" s="32"/>
      <x:c r="BI365" s="32"/>
      <x:c r="BJ365" s="32"/>
      <x:c r="BK365" s="32"/>
      <x:c r="BL365" s="32"/>
      <x:c r="BM365" s="32"/>
    </x:row>
    <x:row r="366">
      <x:c r="A366" s="32"/>
      <x:c r="B366" s="32"/>
      <x:c r="C366" s="42"/>
      <x:c r="D366" s="32"/>
      <x:c r="E366" s="32"/>
      <x:c r="F366" s="32"/>
      <x:c r="G366" s="32"/>
      <x:c r="H366" s="32"/>
      <x:c r="I366" s="32"/>
      <x:c r="J366" s="32"/>
      <x:c r="K366" s="32"/>
      <x:c r="L366" s="32"/>
      <x:c r="M366" s="32"/>
      <x:c r="N366" s="32"/>
      <x:c r="O366" s="32"/>
      <x:c r="P366" s="32"/>
      <x:c r="Q366" s="32"/>
      <x:c r="R366" s="32"/>
      <x:c r="S366" s="32"/>
      <x:c r="T366" s="43" t="str">
        <x:f>IFERROR(S366/L366,"")</x:f>
      </x:c>
      <x:c r="U366" s="32"/>
      <x:c r="V366" s="32"/>
      <x:c r="W366" s="32"/>
      <x:c r="X366" s="32"/>
      <x:c r="Y366" s="32"/>
      <x:c r="Z366" s="32"/>
      <x:c r="AA366" s="32"/>
      <x:c r="AB366" s="32"/>
      <x:c r="AC366" s="32"/>
      <x:c r="AD366" s="32"/>
      <x:c r="AE366" s="32"/>
      <x:c r="AF366" s="32"/>
      <x:c r="AG366" s="32"/>
      <x:c r="AH366" s="32"/>
      <x:c r="AI366" s="32"/>
      <x:c r="AJ366" s="32"/>
      <x:c r="AK366" s="32"/>
      <x:c r="AL366" s="32"/>
      <x:c r="AM366" s="32"/>
      <x:c r="AN366" s="32"/>
      <x:c r="AO366" s="32"/>
      <x:c r="AP366" s="32"/>
      <x:c r="AQ366" s="32"/>
      <x:c r="AR366" s="32"/>
      <x:c r="AS366" s="32"/>
      <x:c r="AT366" s="32"/>
      <x:c r="AU366" s="32"/>
      <x:c r="AV366" s="32"/>
      <x:c r="AW366" s="32"/>
      <x:c r="AX366" s="32"/>
      <x:c r="AZ366" s="32"/>
      <x:c r="BA366" s="32"/>
      <x:c r="BB366" s="32"/>
      <x:c r="BC366" s="32"/>
      <x:c r="BD366" s="32"/>
      <x:c r="BE366" s="32"/>
      <x:c r="BF366" s="32"/>
      <x:c r="BG366" s="32"/>
      <x:c r="BH366" s="32"/>
      <x:c r="BI366" s="32"/>
      <x:c r="BJ366" s="32"/>
      <x:c r="BK366" s="32"/>
      <x:c r="BL366" s="32"/>
      <x:c r="BM366" s="32"/>
    </x:row>
    <x:row r="367">
      <x:c r="A367" s="32"/>
      <x:c r="B367" s="32"/>
      <x:c r="C367" s="42"/>
      <x:c r="D367" s="32"/>
      <x:c r="E367" s="32"/>
      <x:c r="F367" s="32"/>
      <x:c r="G367" s="32"/>
      <x:c r="H367" s="32"/>
      <x:c r="I367" s="32"/>
      <x:c r="J367" s="32"/>
      <x:c r="K367" s="32"/>
      <x:c r="L367" s="32"/>
      <x:c r="M367" s="32"/>
      <x:c r="N367" s="32"/>
      <x:c r="O367" s="32"/>
      <x:c r="P367" s="32"/>
      <x:c r="Q367" s="32"/>
      <x:c r="R367" s="32"/>
      <x:c r="S367" s="32"/>
      <x:c r="T367" s="43" t="str">
        <x:f>IFERROR(S367/L367,"")</x:f>
      </x:c>
      <x:c r="U367" s="32"/>
      <x:c r="V367" s="32"/>
      <x:c r="W367" s="32"/>
      <x:c r="X367" s="32"/>
      <x:c r="Y367" s="32"/>
      <x:c r="Z367" s="32"/>
      <x:c r="AA367" s="32"/>
      <x:c r="AB367" s="32"/>
      <x:c r="AC367" s="32"/>
      <x:c r="AD367" s="32"/>
      <x:c r="AE367" s="32"/>
      <x:c r="AF367" s="32"/>
      <x:c r="AG367" s="32"/>
      <x:c r="AH367" s="32"/>
      <x:c r="AI367" s="32"/>
      <x:c r="AJ367" s="32"/>
      <x:c r="AK367" s="32"/>
      <x:c r="AL367" s="32"/>
      <x:c r="AM367" s="32"/>
      <x:c r="AN367" s="32"/>
      <x:c r="AO367" s="32"/>
      <x:c r="AP367" s="32"/>
      <x:c r="AQ367" s="32"/>
      <x:c r="AR367" s="32"/>
      <x:c r="AS367" s="32"/>
      <x:c r="AT367" s="32"/>
      <x:c r="AU367" s="32"/>
      <x:c r="AV367" s="32"/>
      <x:c r="AW367" s="32"/>
      <x:c r="AX367" s="32"/>
      <x:c r="AZ367" s="32"/>
      <x:c r="BA367" s="32"/>
      <x:c r="BB367" s="32"/>
      <x:c r="BC367" s="32"/>
      <x:c r="BD367" s="32"/>
      <x:c r="BE367" s="32"/>
      <x:c r="BF367" s="32"/>
      <x:c r="BG367" s="32"/>
      <x:c r="BH367" s="32"/>
      <x:c r="BI367" s="32"/>
      <x:c r="BJ367" s="32"/>
      <x:c r="BK367" s="32"/>
      <x:c r="BL367" s="32"/>
      <x:c r="BM367" s="32"/>
    </x:row>
    <x:row r="368">
      <x:c r="A368" s="32"/>
      <x:c r="B368" s="32"/>
      <x:c r="C368" s="42"/>
      <x:c r="D368" s="32"/>
      <x:c r="E368" s="32"/>
      <x:c r="F368" s="32"/>
      <x:c r="G368" s="32"/>
      <x:c r="H368" s="32"/>
      <x:c r="I368" s="32"/>
      <x:c r="J368" s="32"/>
      <x:c r="K368" s="32"/>
      <x:c r="L368" s="32"/>
      <x:c r="M368" s="32"/>
      <x:c r="N368" s="32"/>
      <x:c r="O368" s="32"/>
      <x:c r="P368" s="32"/>
      <x:c r="Q368" s="32"/>
      <x:c r="R368" s="32"/>
      <x:c r="S368" s="32"/>
      <x:c r="T368" s="43" t="str">
        <x:f>IFERROR(S368/L368,"")</x:f>
      </x:c>
      <x:c r="U368" s="32"/>
      <x:c r="V368" s="32"/>
      <x:c r="W368" s="32"/>
      <x:c r="X368" s="32"/>
      <x:c r="Y368" s="32"/>
      <x:c r="Z368" s="32"/>
      <x:c r="AA368" s="32"/>
      <x:c r="AB368" s="32"/>
      <x:c r="AC368" s="32"/>
      <x:c r="AD368" s="32"/>
      <x:c r="AE368" s="32"/>
      <x:c r="AF368" s="32"/>
      <x:c r="AG368" s="32"/>
      <x:c r="AH368" s="32"/>
      <x:c r="AI368" s="32"/>
      <x:c r="AJ368" s="32"/>
      <x:c r="AK368" s="32"/>
      <x:c r="AL368" s="32"/>
      <x:c r="AM368" s="32"/>
      <x:c r="AN368" s="32"/>
      <x:c r="AO368" s="32"/>
      <x:c r="AP368" s="32"/>
      <x:c r="AQ368" s="32"/>
      <x:c r="AR368" s="32"/>
      <x:c r="AS368" s="32"/>
      <x:c r="AT368" s="32"/>
      <x:c r="AU368" s="32"/>
      <x:c r="AV368" s="32"/>
      <x:c r="AW368" s="32"/>
      <x:c r="AX368" s="32"/>
      <x:c r="AZ368" s="32"/>
      <x:c r="BA368" s="32"/>
      <x:c r="BB368" s="32"/>
      <x:c r="BC368" s="32"/>
      <x:c r="BD368" s="32"/>
      <x:c r="BE368" s="32"/>
      <x:c r="BF368" s="32"/>
      <x:c r="BG368" s="32"/>
      <x:c r="BH368" s="32"/>
      <x:c r="BI368" s="32"/>
      <x:c r="BJ368" s="32"/>
      <x:c r="BK368" s="32"/>
      <x:c r="BL368" s="32"/>
      <x:c r="BM368" s="32"/>
    </x:row>
    <x:row r="369">
      <x:c r="A369" s="32"/>
      <x:c r="B369" s="32"/>
      <x:c r="C369" s="42"/>
      <x:c r="D369" s="32"/>
      <x:c r="E369" s="32"/>
      <x:c r="F369" s="32"/>
      <x:c r="G369" s="32"/>
      <x:c r="H369" s="32"/>
      <x:c r="I369" s="32"/>
      <x:c r="J369" s="32"/>
      <x:c r="K369" s="32"/>
      <x:c r="L369" s="32"/>
      <x:c r="M369" s="32"/>
      <x:c r="N369" s="32"/>
      <x:c r="O369" s="32"/>
      <x:c r="P369" s="32"/>
      <x:c r="Q369" s="32"/>
      <x:c r="R369" s="32"/>
      <x:c r="S369" s="32"/>
      <x:c r="T369" s="43" t="str">
        <x:f>IFERROR(S369/L369,"")</x:f>
      </x:c>
      <x:c r="U369" s="32"/>
      <x:c r="V369" s="32"/>
      <x:c r="W369" s="32"/>
      <x:c r="X369" s="32"/>
      <x:c r="Y369" s="32"/>
      <x:c r="Z369" s="32"/>
      <x:c r="AA369" s="32"/>
      <x:c r="AB369" s="32"/>
      <x:c r="AC369" s="32"/>
      <x:c r="AD369" s="32"/>
      <x:c r="AE369" s="32"/>
      <x:c r="AF369" s="32"/>
      <x:c r="AG369" s="32"/>
      <x:c r="AH369" s="32"/>
      <x:c r="AI369" s="32"/>
      <x:c r="AJ369" s="32"/>
      <x:c r="AK369" s="32"/>
      <x:c r="AL369" s="32"/>
      <x:c r="AM369" s="32"/>
      <x:c r="AN369" s="32"/>
      <x:c r="AO369" s="32"/>
      <x:c r="AP369" s="32"/>
      <x:c r="AQ369" s="32"/>
      <x:c r="AR369" s="32"/>
      <x:c r="AS369" s="32"/>
      <x:c r="AT369" s="32"/>
      <x:c r="AU369" s="32"/>
      <x:c r="AV369" s="32"/>
      <x:c r="AW369" s="32"/>
      <x:c r="AX369" s="32"/>
      <x:c r="AZ369" s="32"/>
      <x:c r="BA369" s="32"/>
      <x:c r="BB369" s="32"/>
      <x:c r="BC369" s="32"/>
      <x:c r="BD369" s="32"/>
      <x:c r="BE369" s="32"/>
      <x:c r="BF369" s="32"/>
      <x:c r="BG369" s="32"/>
      <x:c r="BH369" s="32"/>
      <x:c r="BI369" s="32"/>
      <x:c r="BJ369" s="32"/>
      <x:c r="BK369" s="32"/>
      <x:c r="BL369" s="32"/>
      <x:c r="BM369" s="32"/>
    </x:row>
    <x:row r="370">
      <x:c r="A370" s="32"/>
      <x:c r="B370" s="32"/>
      <x:c r="C370" s="42"/>
      <x:c r="D370" s="32"/>
      <x:c r="E370" s="32"/>
      <x:c r="F370" s="32"/>
      <x:c r="G370" s="32"/>
      <x:c r="H370" s="32"/>
      <x:c r="I370" s="32"/>
      <x:c r="J370" s="32"/>
      <x:c r="K370" s="32"/>
      <x:c r="L370" s="32"/>
      <x:c r="M370" s="32"/>
      <x:c r="N370" s="32"/>
      <x:c r="O370" s="32"/>
      <x:c r="P370" s="32"/>
      <x:c r="Q370" s="32"/>
      <x:c r="R370" s="32"/>
      <x:c r="S370" s="32"/>
      <x:c r="T370" s="43" t="str">
        <x:f>IFERROR(S370/L370,"")</x:f>
      </x:c>
      <x:c r="U370" s="32"/>
      <x:c r="V370" s="32"/>
      <x:c r="W370" s="32"/>
      <x:c r="X370" s="32"/>
      <x:c r="Y370" s="32"/>
      <x:c r="Z370" s="32"/>
      <x:c r="AA370" s="32"/>
      <x:c r="AB370" s="32"/>
      <x:c r="AC370" s="32"/>
      <x:c r="AD370" s="32"/>
      <x:c r="AE370" s="32"/>
      <x:c r="AF370" s="32"/>
      <x:c r="AG370" s="32"/>
      <x:c r="AH370" s="32"/>
      <x:c r="AI370" s="32"/>
      <x:c r="AJ370" s="32"/>
      <x:c r="AK370" s="32"/>
      <x:c r="AL370" s="32"/>
      <x:c r="AM370" s="32"/>
      <x:c r="AN370" s="32"/>
      <x:c r="AO370" s="32"/>
      <x:c r="AP370" s="32"/>
      <x:c r="AQ370" s="32"/>
      <x:c r="AR370" s="32"/>
      <x:c r="AS370" s="32"/>
      <x:c r="AT370" s="32"/>
      <x:c r="AU370" s="32"/>
      <x:c r="AV370" s="32"/>
      <x:c r="AW370" s="32"/>
      <x:c r="AX370" s="32"/>
      <x:c r="AZ370" s="32"/>
      <x:c r="BA370" s="32"/>
      <x:c r="BB370" s="32"/>
      <x:c r="BC370" s="32"/>
      <x:c r="BD370" s="32"/>
      <x:c r="BE370" s="32"/>
      <x:c r="BF370" s="32"/>
      <x:c r="BG370" s="32"/>
      <x:c r="BH370" s="32"/>
      <x:c r="BI370" s="32"/>
      <x:c r="BJ370" s="32"/>
      <x:c r="BK370" s="32"/>
      <x:c r="BL370" s="32"/>
      <x:c r="BM370" s="32"/>
    </x:row>
    <x:row r="371">
      <x:c r="A371" s="32"/>
      <x:c r="B371" s="32"/>
      <x:c r="C371" s="42"/>
      <x:c r="D371" s="32"/>
      <x:c r="E371" s="32"/>
      <x:c r="F371" s="32"/>
      <x:c r="G371" s="32"/>
      <x:c r="H371" s="32"/>
      <x:c r="I371" s="32"/>
      <x:c r="J371" s="32"/>
      <x:c r="K371" s="32"/>
      <x:c r="L371" s="32"/>
      <x:c r="M371" s="32"/>
      <x:c r="N371" s="32"/>
      <x:c r="O371" s="32"/>
      <x:c r="P371" s="32"/>
      <x:c r="Q371" s="32"/>
      <x:c r="R371" s="32"/>
      <x:c r="S371" s="32"/>
      <x:c r="T371" s="43" t="str">
        <x:f>IFERROR(S371/L371,"")</x:f>
      </x:c>
      <x:c r="U371" s="32"/>
      <x:c r="V371" s="32"/>
      <x:c r="W371" s="32"/>
      <x:c r="X371" s="32"/>
      <x:c r="Y371" s="32"/>
      <x:c r="Z371" s="32"/>
      <x:c r="AA371" s="32"/>
      <x:c r="AB371" s="32"/>
      <x:c r="AC371" s="32"/>
      <x:c r="AD371" s="32"/>
      <x:c r="AE371" s="32"/>
      <x:c r="AF371" s="32"/>
      <x:c r="AG371" s="32"/>
      <x:c r="AH371" s="32"/>
      <x:c r="AI371" s="32"/>
      <x:c r="AJ371" s="32"/>
      <x:c r="AK371" s="32"/>
      <x:c r="AL371" s="32"/>
      <x:c r="AM371" s="32"/>
      <x:c r="AN371" s="32"/>
      <x:c r="AO371" s="32"/>
      <x:c r="AP371" s="32"/>
      <x:c r="AQ371" s="32"/>
      <x:c r="AR371" s="32"/>
      <x:c r="AS371" s="32"/>
      <x:c r="AT371" s="32"/>
      <x:c r="AU371" s="32"/>
      <x:c r="AV371" s="32"/>
      <x:c r="AW371" s="32"/>
      <x:c r="AX371" s="32"/>
      <x:c r="AZ371" s="32"/>
      <x:c r="BA371" s="32"/>
      <x:c r="BB371" s="32"/>
      <x:c r="BC371" s="32"/>
      <x:c r="BD371" s="32"/>
      <x:c r="BE371" s="32"/>
      <x:c r="BF371" s="32"/>
      <x:c r="BG371" s="32"/>
      <x:c r="BH371" s="32"/>
      <x:c r="BI371" s="32"/>
      <x:c r="BJ371" s="32"/>
      <x:c r="BK371" s="32"/>
      <x:c r="BL371" s="32"/>
      <x:c r="BM371" s="32"/>
    </x:row>
    <x:row r="372">
      <x:c r="A372" s="32"/>
      <x:c r="B372" s="32"/>
      <x:c r="C372" s="42"/>
      <x:c r="D372" s="32"/>
      <x:c r="E372" s="32"/>
      <x:c r="F372" s="32"/>
      <x:c r="G372" s="32"/>
      <x:c r="H372" s="32"/>
      <x:c r="I372" s="32"/>
      <x:c r="J372" s="32"/>
      <x:c r="K372" s="32"/>
      <x:c r="L372" s="32"/>
      <x:c r="M372" s="32"/>
      <x:c r="N372" s="32"/>
      <x:c r="O372" s="32"/>
      <x:c r="P372" s="32"/>
      <x:c r="Q372" s="32"/>
      <x:c r="R372" s="32"/>
      <x:c r="S372" s="32"/>
      <x:c r="T372" s="43" t="str">
        <x:f>IFERROR(S372/L372,"")</x:f>
      </x:c>
      <x:c r="U372" s="32"/>
      <x:c r="V372" s="32"/>
      <x:c r="W372" s="32"/>
      <x:c r="X372" s="32"/>
      <x:c r="Y372" s="32"/>
      <x:c r="Z372" s="32"/>
      <x:c r="AA372" s="32"/>
      <x:c r="AB372" s="32"/>
      <x:c r="AC372" s="32"/>
      <x:c r="AD372" s="32"/>
      <x:c r="AE372" s="32"/>
      <x:c r="AF372" s="32"/>
      <x:c r="AG372" s="32"/>
      <x:c r="AH372" s="32"/>
      <x:c r="AI372" s="32"/>
      <x:c r="AJ372" s="32"/>
      <x:c r="AK372" s="32"/>
      <x:c r="AL372" s="32"/>
      <x:c r="AM372" s="32"/>
      <x:c r="AN372" s="32"/>
      <x:c r="AO372" s="32"/>
      <x:c r="AP372" s="32"/>
      <x:c r="AQ372" s="32"/>
      <x:c r="AR372" s="32"/>
      <x:c r="AS372" s="32"/>
      <x:c r="AT372" s="32"/>
      <x:c r="AU372" s="32"/>
      <x:c r="AV372" s="32"/>
      <x:c r="AW372" s="32"/>
      <x:c r="AX372" s="32"/>
      <x:c r="AZ372" s="32"/>
      <x:c r="BA372" s="32"/>
      <x:c r="BB372" s="32"/>
      <x:c r="BC372" s="32"/>
      <x:c r="BD372" s="32"/>
      <x:c r="BE372" s="32"/>
      <x:c r="BF372" s="32"/>
      <x:c r="BG372" s="32"/>
      <x:c r="BH372" s="32"/>
      <x:c r="BI372" s="32"/>
      <x:c r="BJ372" s="32"/>
      <x:c r="BK372" s="32"/>
      <x:c r="BL372" s="32"/>
      <x:c r="BM372" s="32"/>
    </x:row>
    <x:row r="373">
      <x:c r="A373" s="32"/>
      <x:c r="B373" s="32"/>
      <x:c r="C373" s="42"/>
      <x:c r="D373" s="32"/>
      <x:c r="E373" s="32"/>
      <x:c r="F373" s="32"/>
      <x:c r="G373" s="32"/>
      <x:c r="H373" s="32"/>
      <x:c r="I373" s="32"/>
      <x:c r="J373" s="32"/>
      <x:c r="K373" s="32"/>
      <x:c r="L373" s="32"/>
      <x:c r="M373" s="32"/>
      <x:c r="N373" s="32"/>
      <x:c r="O373" s="32"/>
      <x:c r="P373" s="32"/>
      <x:c r="Q373" s="32"/>
      <x:c r="R373" s="32"/>
      <x:c r="S373" s="32"/>
      <x:c r="T373" s="43" t="str">
        <x:f>IFERROR(S373/L373,"")</x:f>
      </x:c>
      <x:c r="U373" s="32"/>
      <x:c r="V373" s="32"/>
      <x:c r="W373" s="32"/>
      <x:c r="X373" s="32"/>
      <x:c r="Y373" s="32"/>
      <x:c r="Z373" s="32"/>
      <x:c r="AA373" s="32"/>
      <x:c r="AB373" s="32"/>
      <x:c r="AC373" s="32"/>
      <x:c r="AD373" s="32"/>
      <x:c r="AE373" s="32"/>
      <x:c r="AF373" s="32"/>
      <x:c r="AG373" s="32"/>
      <x:c r="AH373" s="32"/>
      <x:c r="AI373" s="32"/>
      <x:c r="AJ373" s="32"/>
      <x:c r="AK373" s="32"/>
      <x:c r="AL373" s="32"/>
      <x:c r="AM373" s="32"/>
      <x:c r="AN373" s="32"/>
      <x:c r="AO373" s="32"/>
      <x:c r="AP373" s="32"/>
      <x:c r="AQ373" s="32"/>
      <x:c r="AR373" s="32"/>
      <x:c r="AS373" s="32"/>
      <x:c r="AT373" s="32"/>
      <x:c r="AU373" s="32"/>
      <x:c r="AV373" s="32"/>
      <x:c r="AW373" s="32"/>
      <x:c r="AX373" s="32"/>
      <x:c r="AZ373" s="32"/>
      <x:c r="BA373" s="32"/>
      <x:c r="BB373" s="32"/>
      <x:c r="BC373" s="32"/>
      <x:c r="BD373" s="32"/>
      <x:c r="BE373" s="32"/>
      <x:c r="BF373" s="32"/>
      <x:c r="BG373" s="32"/>
      <x:c r="BH373" s="32"/>
      <x:c r="BI373" s="32"/>
      <x:c r="BJ373" s="32"/>
      <x:c r="BK373" s="32"/>
      <x:c r="BL373" s="32"/>
      <x:c r="BM373" s="32"/>
    </x:row>
    <x:row r="374">
      <x:c r="A374" s="32"/>
      <x:c r="B374" s="32"/>
      <x:c r="C374" s="42"/>
      <x:c r="D374" s="32"/>
      <x:c r="E374" s="32"/>
      <x:c r="F374" s="32"/>
      <x:c r="G374" s="32"/>
      <x:c r="H374" s="32"/>
      <x:c r="I374" s="32"/>
      <x:c r="J374" s="32"/>
      <x:c r="K374" s="32"/>
      <x:c r="L374" s="32"/>
      <x:c r="M374" s="32"/>
      <x:c r="N374" s="32"/>
      <x:c r="O374" s="32"/>
      <x:c r="P374" s="32"/>
      <x:c r="Q374" s="32"/>
      <x:c r="R374" s="32"/>
      <x:c r="S374" s="32"/>
      <x:c r="T374" s="43" t="str">
        <x:f>IFERROR(S374/L374,"")</x:f>
      </x:c>
      <x:c r="U374" s="32"/>
      <x:c r="V374" s="32"/>
      <x:c r="W374" s="32"/>
      <x:c r="X374" s="32"/>
      <x:c r="Y374" s="32"/>
      <x:c r="Z374" s="32"/>
      <x:c r="AA374" s="32"/>
      <x:c r="AB374" s="32"/>
      <x:c r="AC374" s="32"/>
      <x:c r="AD374" s="32"/>
      <x:c r="AE374" s="32"/>
      <x:c r="AF374" s="32"/>
      <x:c r="AG374" s="32"/>
      <x:c r="AH374" s="32"/>
      <x:c r="AI374" s="32"/>
      <x:c r="AJ374" s="32"/>
      <x:c r="AK374" s="32"/>
      <x:c r="AL374" s="32"/>
      <x:c r="AM374" s="32"/>
      <x:c r="AN374" s="32"/>
      <x:c r="AO374" s="32"/>
      <x:c r="AP374" s="32"/>
      <x:c r="AQ374" s="32"/>
      <x:c r="AR374" s="32"/>
      <x:c r="AS374" s="32"/>
      <x:c r="AT374" s="32"/>
      <x:c r="AU374" s="32"/>
      <x:c r="AV374" s="32"/>
      <x:c r="AW374" s="32"/>
      <x:c r="AX374" s="32"/>
      <x:c r="AZ374" s="32"/>
      <x:c r="BA374" s="32"/>
      <x:c r="BB374" s="32"/>
      <x:c r="BC374" s="32"/>
      <x:c r="BD374" s="32"/>
      <x:c r="BE374" s="32"/>
      <x:c r="BF374" s="32"/>
      <x:c r="BG374" s="32"/>
      <x:c r="BH374" s="32"/>
      <x:c r="BI374" s="32"/>
      <x:c r="BJ374" s="32"/>
      <x:c r="BK374" s="32"/>
      <x:c r="BL374" s="32"/>
      <x:c r="BM374" s="32"/>
    </x:row>
    <x:row r="375">
      <x:c r="A375" s="32"/>
      <x:c r="B375" s="32"/>
      <x:c r="C375" s="42"/>
      <x:c r="D375" s="32"/>
      <x:c r="E375" s="32"/>
      <x:c r="F375" s="32"/>
      <x:c r="G375" s="32"/>
      <x:c r="H375" s="32"/>
      <x:c r="I375" s="32"/>
      <x:c r="J375" s="32"/>
      <x:c r="K375" s="32"/>
      <x:c r="L375" s="32"/>
      <x:c r="M375" s="32"/>
      <x:c r="N375" s="32"/>
      <x:c r="O375" s="32"/>
      <x:c r="P375" s="32"/>
      <x:c r="Q375" s="32"/>
      <x:c r="R375" s="32"/>
      <x:c r="S375" s="32"/>
      <x:c r="T375" s="43" t="str">
        <x:f>IFERROR(S375/L375,"")</x:f>
      </x:c>
      <x:c r="U375" s="32"/>
      <x:c r="V375" s="32"/>
      <x:c r="W375" s="32"/>
      <x:c r="X375" s="32"/>
      <x:c r="Y375" s="32"/>
      <x:c r="Z375" s="32"/>
      <x:c r="AA375" s="32"/>
      <x:c r="AB375" s="32"/>
      <x:c r="AC375" s="32"/>
      <x:c r="AD375" s="32"/>
      <x:c r="AE375" s="32"/>
      <x:c r="AF375" s="32"/>
      <x:c r="AG375" s="32"/>
      <x:c r="AH375" s="32"/>
      <x:c r="AI375" s="32"/>
      <x:c r="AJ375" s="32"/>
      <x:c r="AK375" s="32"/>
      <x:c r="AL375" s="32"/>
      <x:c r="AM375" s="32"/>
      <x:c r="AN375" s="32"/>
      <x:c r="AO375" s="32"/>
      <x:c r="AP375" s="32"/>
      <x:c r="AQ375" s="32"/>
      <x:c r="AR375" s="32"/>
      <x:c r="AS375" s="32"/>
      <x:c r="AT375" s="32"/>
      <x:c r="AU375" s="32"/>
      <x:c r="AV375" s="32"/>
      <x:c r="AW375" s="32"/>
      <x:c r="AX375" s="32"/>
      <x:c r="AZ375" s="32"/>
      <x:c r="BA375" s="32"/>
      <x:c r="BB375" s="32"/>
      <x:c r="BC375" s="32"/>
      <x:c r="BD375" s="32"/>
      <x:c r="BE375" s="32"/>
      <x:c r="BF375" s="32"/>
      <x:c r="BG375" s="32"/>
      <x:c r="BH375" s="32"/>
      <x:c r="BI375" s="32"/>
      <x:c r="BJ375" s="32"/>
      <x:c r="BK375" s="32"/>
      <x:c r="BL375" s="32"/>
      <x:c r="BM375" s="32"/>
    </x:row>
    <x:row r="376">
      <x:c r="A376" s="32"/>
      <x:c r="B376" s="32"/>
      <x:c r="C376" s="42"/>
      <x:c r="D376" s="32"/>
      <x:c r="E376" s="32"/>
      <x:c r="F376" s="32"/>
      <x:c r="G376" s="32"/>
      <x:c r="H376" s="32"/>
      <x:c r="I376" s="32"/>
      <x:c r="J376" s="32"/>
      <x:c r="K376" s="32"/>
      <x:c r="L376" s="32"/>
      <x:c r="M376" s="32"/>
      <x:c r="N376" s="32"/>
      <x:c r="O376" s="32"/>
      <x:c r="P376" s="32"/>
      <x:c r="Q376" s="32"/>
      <x:c r="R376" s="32"/>
      <x:c r="S376" s="32"/>
      <x:c r="T376" s="43" t="str">
        <x:f>IFERROR(S376/L376,"")</x:f>
      </x:c>
      <x:c r="U376" s="32"/>
      <x:c r="V376" s="32"/>
      <x:c r="W376" s="32"/>
      <x:c r="X376" s="32"/>
      <x:c r="Y376" s="32"/>
      <x:c r="Z376" s="32"/>
      <x:c r="AA376" s="32"/>
      <x:c r="AB376" s="32"/>
      <x:c r="AC376" s="32"/>
      <x:c r="AD376" s="32"/>
      <x:c r="AE376" s="32"/>
      <x:c r="AF376" s="32"/>
      <x:c r="AG376" s="32"/>
      <x:c r="AH376" s="32"/>
      <x:c r="AI376" s="32"/>
      <x:c r="AJ376" s="32"/>
      <x:c r="AK376" s="32"/>
      <x:c r="AL376" s="32"/>
      <x:c r="AM376" s="32"/>
      <x:c r="AN376" s="32"/>
      <x:c r="AO376" s="32"/>
      <x:c r="AP376" s="32"/>
      <x:c r="AQ376" s="32"/>
      <x:c r="AR376" s="32"/>
      <x:c r="AS376" s="32"/>
      <x:c r="AT376" s="32"/>
      <x:c r="AU376" s="32"/>
      <x:c r="AV376" s="32"/>
      <x:c r="AW376" s="32"/>
      <x:c r="AX376" s="32"/>
      <x:c r="AZ376" s="32"/>
      <x:c r="BA376" s="32"/>
      <x:c r="BB376" s="32"/>
      <x:c r="BC376" s="32"/>
      <x:c r="BD376" s="32"/>
      <x:c r="BE376" s="32"/>
      <x:c r="BF376" s="32"/>
      <x:c r="BG376" s="32"/>
      <x:c r="BH376" s="32"/>
      <x:c r="BI376" s="32"/>
      <x:c r="BJ376" s="32"/>
      <x:c r="BK376" s="32"/>
      <x:c r="BL376" s="32"/>
      <x:c r="BM376" s="32"/>
    </x:row>
    <x:row r="377">
      <x:c r="A377" s="32"/>
      <x:c r="B377" s="32"/>
      <x:c r="C377" s="42"/>
      <x:c r="D377" s="32"/>
      <x:c r="E377" s="32"/>
      <x:c r="F377" s="32"/>
      <x:c r="G377" s="32"/>
      <x:c r="H377" s="32"/>
      <x:c r="I377" s="32"/>
      <x:c r="J377" s="32"/>
      <x:c r="K377" s="32"/>
      <x:c r="L377" s="32"/>
      <x:c r="M377" s="32"/>
      <x:c r="N377" s="32"/>
      <x:c r="O377" s="32"/>
      <x:c r="P377" s="32"/>
      <x:c r="Q377" s="32"/>
      <x:c r="R377" s="32"/>
      <x:c r="S377" s="32"/>
      <x:c r="T377" s="43" t="str">
        <x:f>IFERROR(S377/L377,"")</x:f>
      </x:c>
      <x:c r="U377" s="32"/>
      <x:c r="V377" s="32"/>
      <x:c r="W377" s="32"/>
      <x:c r="X377" s="32"/>
      <x:c r="Y377" s="32"/>
      <x:c r="Z377" s="32"/>
      <x:c r="AA377" s="32"/>
      <x:c r="AB377" s="32"/>
      <x:c r="AC377" s="32"/>
      <x:c r="AD377" s="32"/>
      <x:c r="AE377" s="32"/>
      <x:c r="AF377" s="32"/>
      <x:c r="AG377" s="32"/>
      <x:c r="AH377" s="32"/>
      <x:c r="AI377" s="32"/>
      <x:c r="AJ377" s="32"/>
      <x:c r="AK377" s="32"/>
      <x:c r="AL377" s="32"/>
      <x:c r="AM377" s="32"/>
      <x:c r="AN377" s="32"/>
      <x:c r="AO377" s="32"/>
      <x:c r="AP377" s="32"/>
      <x:c r="AQ377" s="32"/>
      <x:c r="AR377" s="32"/>
      <x:c r="AS377" s="32"/>
      <x:c r="AT377" s="32"/>
      <x:c r="AU377" s="32"/>
      <x:c r="AV377" s="32"/>
      <x:c r="AW377" s="32"/>
      <x:c r="AX377" s="32"/>
      <x:c r="AZ377" s="32"/>
      <x:c r="BA377" s="32"/>
      <x:c r="BB377" s="32"/>
      <x:c r="BC377" s="32"/>
      <x:c r="BD377" s="32"/>
      <x:c r="BE377" s="32"/>
      <x:c r="BF377" s="32"/>
      <x:c r="BG377" s="32"/>
      <x:c r="BH377" s="32"/>
      <x:c r="BI377" s="32"/>
      <x:c r="BJ377" s="32"/>
      <x:c r="BK377" s="32"/>
      <x:c r="BL377" s="32"/>
      <x:c r="BM377" s="32"/>
    </x:row>
    <x:row r="378">
      <x:c r="A378" s="32"/>
      <x:c r="B378" s="32"/>
      <x:c r="C378" s="42"/>
      <x:c r="D378" s="32"/>
      <x:c r="E378" s="32"/>
      <x:c r="F378" s="32"/>
      <x:c r="G378" s="32"/>
      <x:c r="H378" s="32"/>
      <x:c r="I378" s="32"/>
      <x:c r="J378" s="32"/>
      <x:c r="K378" s="32"/>
      <x:c r="L378" s="32"/>
      <x:c r="M378" s="32"/>
      <x:c r="N378" s="32"/>
      <x:c r="O378" s="32"/>
      <x:c r="P378" s="32"/>
      <x:c r="Q378" s="32"/>
      <x:c r="R378" s="32"/>
      <x:c r="S378" s="32"/>
      <x:c r="T378" s="43" t="str">
        <x:f>IFERROR(S378/L378,"")</x:f>
      </x:c>
      <x:c r="U378" s="32"/>
      <x:c r="V378" s="32"/>
      <x:c r="W378" s="32"/>
      <x:c r="X378" s="32"/>
      <x:c r="Y378" s="32"/>
      <x:c r="Z378" s="32"/>
      <x:c r="AA378" s="32"/>
      <x:c r="AB378" s="32"/>
      <x:c r="AC378" s="32"/>
      <x:c r="AD378" s="32"/>
      <x:c r="AE378" s="32"/>
      <x:c r="AF378" s="32"/>
      <x:c r="AG378" s="32"/>
      <x:c r="AH378" s="32"/>
      <x:c r="AI378" s="32"/>
      <x:c r="AJ378" s="32"/>
      <x:c r="AK378" s="32"/>
      <x:c r="AL378" s="32"/>
      <x:c r="AM378" s="32"/>
      <x:c r="AN378" s="32"/>
      <x:c r="AO378" s="32"/>
      <x:c r="AP378" s="32"/>
      <x:c r="AQ378" s="32"/>
      <x:c r="AR378" s="32"/>
      <x:c r="AS378" s="32"/>
      <x:c r="AT378" s="32"/>
      <x:c r="AU378" s="32"/>
      <x:c r="AV378" s="32"/>
      <x:c r="AW378" s="32"/>
      <x:c r="AX378" s="32"/>
      <x:c r="AZ378" s="32"/>
      <x:c r="BA378" s="32"/>
      <x:c r="BB378" s="32"/>
      <x:c r="BC378" s="32"/>
      <x:c r="BD378" s="32"/>
      <x:c r="BE378" s="32"/>
      <x:c r="BF378" s="32"/>
      <x:c r="BG378" s="32"/>
      <x:c r="BH378" s="32"/>
      <x:c r="BI378" s="32"/>
      <x:c r="BJ378" s="32"/>
      <x:c r="BK378" s="32"/>
      <x:c r="BL378" s="32"/>
      <x:c r="BM378" s="32"/>
    </x:row>
    <x:row r="379">
      <x:c r="A379" s="32"/>
      <x:c r="B379" s="32"/>
      <x:c r="C379" s="42"/>
      <x:c r="D379" s="32"/>
      <x:c r="E379" s="32"/>
      <x:c r="F379" s="32"/>
      <x:c r="G379" s="32"/>
      <x:c r="H379" s="32"/>
      <x:c r="I379" s="32"/>
      <x:c r="J379" s="32"/>
      <x:c r="K379" s="32"/>
      <x:c r="L379" s="32"/>
      <x:c r="M379" s="32"/>
      <x:c r="N379" s="32"/>
      <x:c r="O379" s="32"/>
      <x:c r="P379" s="32"/>
      <x:c r="Q379" s="32"/>
      <x:c r="R379" s="32"/>
      <x:c r="S379" s="32"/>
      <x:c r="T379" s="43" t="str">
        <x:f>IFERROR(S379/L379,"")</x:f>
      </x:c>
      <x:c r="U379" s="32"/>
      <x:c r="V379" s="32"/>
      <x:c r="W379" s="32"/>
      <x:c r="X379" s="32"/>
      <x:c r="Y379" s="32"/>
      <x:c r="Z379" s="32"/>
      <x:c r="AA379" s="32"/>
      <x:c r="AB379" s="32"/>
      <x:c r="AC379" s="32"/>
      <x:c r="AD379" s="32"/>
      <x:c r="AE379" s="32"/>
      <x:c r="AF379" s="32"/>
      <x:c r="AG379" s="32"/>
      <x:c r="AH379" s="32"/>
      <x:c r="AI379" s="32"/>
      <x:c r="AJ379" s="32"/>
      <x:c r="AK379" s="32"/>
      <x:c r="AL379" s="32"/>
      <x:c r="AM379" s="32"/>
      <x:c r="AN379" s="32"/>
      <x:c r="AO379" s="32"/>
      <x:c r="AP379" s="32"/>
      <x:c r="AQ379" s="32"/>
      <x:c r="AR379" s="32"/>
      <x:c r="AS379" s="32"/>
      <x:c r="AT379" s="32"/>
      <x:c r="AU379" s="32"/>
      <x:c r="AV379" s="32"/>
      <x:c r="AW379" s="32"/>
      <x:c r="AX379" s="32"/>
      <x:c r="AZ379" s="32"/>
      <x:c r="BA379" s="32"/>
      <x:c r="BB379" s="32"/>
      <x:c r="BC379" s="32"/>
      <x:c r="BD379" s="32"/>
      <x:c r="BE379" s="32"/>
      <x:c r="BF379" s="32"/>
      <x:c r="BG379" s="32"/>
      <x:c r="BH379" s="32"/>
      <x:c r="BI379" s="32"/>
      <x:c r="BJ379" s="32"/>
      <x:c r="BK379" s="32"/>
      <x:c r="BL379" s="32"/>
      <x:c r="BM379" s="32"/>
    </x:row>
    <x:row r="380">
      <x:c r="A380" s="32"/>
      <x:c r="B380" s="32"/>
      <x:c r="C380" s="42"/>
      <x:c r="D380" s="32"/>
      <x:c r="E380" s="32"/>
      <x:c r="F380" s="32"/>
      <x:c r="G380" s="32"/>
      <x:c r="H380" s="32"/>
      <x:c r="I380" s="32"/>
      <x:c r="J380" s="32"/>
      <x:c r="K380" s="32"/>
      <x:c r="L380" s="32"/>
      <x:c r="M380" s="32"/>
      <x:c r="N380" s="32"/>
      <x:c r="O380" s="32"/>
      <x:c r="P380" s="32"/>
      <x:c r="Q380" s="32"/>
      <x:c r="R380" s="32"/>
      <x:c r="S380" s="32"/>
      <x:c r="T380" s="43" t="str">
        <x:f>IFERROR(S380/L380,"")</x:f>
      </x:c>
      <x:c r="U380" s="32"/>
      <x:c r="V380" s="32"/>
      <x:c r="W380" s="32"/>
      <x:c r="X380" s="32"/>
      <x:c r="Y380" s="32"/>
      <x:c r="Z380" s="32"/>
      <x:c r="AA380" s="32"/>
      <x:c r="AB380" s="32"/>
      <x:c r="AC380" s="32"/>
      <x:c r="AD380" s="32"/>
      <x:c r="AE380" s="32"/>
      <x:c r="AF380" s="32"/>
      <x:c r="AG380" s="32"/>
      <x:c r="AH380" s="32"/>
      <x:c r="AI380" s="32"/>
      <x:c r="AJ380" s="32"/>
      <x:c r="AK380" s="32"/>
      <x:c r="AL380" s="32"/>
      <x:c r="AM380" s="32"/>
      <x:c r="AN380" s="32"/>
      <x:c r="AO380" s="32"/>
      <x:c r="AP380" s="32"/>
      <x:c r="AQ380" s="32"/>
      <x:c r="AR380" s="32"/>
      <x:c r="AS380" s="32"/>
      <x:c r="AT380" s="32"/>
      <x:c r="AU380" s="32"/>
      <x:c r="AV380" s="32"/>
      <x:c r="AW380" s="32"/>
      <x:c r="AX380" s="32"/>
      <x:c r="AZ380" s="32"/>
      <x:c r="BA380" s="32"/>
      <x:c r="BB380" s="32"/>
      <x:c r="BC380" s="32"/>
      <x:c r="BD380" s="32"/>
      <x:c r="BE380" s="32"/>
      <x:c r="BF380" s="32"/>
      <x:c r="BG380" s="32"/>
      <x:c r="BH380" s="32"/>
      <x:c r="BI380" s="32"/>
      <x:c r="BJ380" s="32"/>
      <x:c r="BK380" s="32"/>
      <x:c r="BL380" s="32"/>
      <x:c r="BM380" s="32"/>
    </x:row>
    <x:row r="381">
      <x:c r="A381" s="32"/>
      <x:c r="B381" s="32"/>
      <x:c r="C381" s="42"/>
      <x:c r="D381" s="32"/>
      <x:c r="E381" s="32"/>
      <x:c r="F381" s="32"/>
      <x:c r="G381" s="32"/>
      <x:c r="H381" s="32"/>
      <x:c r="I381" s="32"/>
      <x:c r="J381" s="32"/>
      <x:c r="K381" s="32"/>
      <x:c r="L381" s="32"/>
      <x:c r="M381" s="32"/>
      <x:c r="N381" s="32"/>
      <x:c r="O381" s="32"/>
      <x:c r="P381" s="32"/>
      <x:c r="Q381" s="32"/>
      <x:c r="R381" s="32"/>
      <x:c r="S381" s="32"/>
      <x:c r="T381" s="43" t="str">
        <x:f>IFERROR(S381/L381,"")</x:f>
      </x:c>
      <x:c r="U381" s="32"/>
      <x:c r="V381" s="32"/>
      <x:c r="W381" s="32"/>
      <x:c r="X381" s="32"/>
      <x:c r="Y381" s="32"/>
      <x:c r="Z381" s="32"/>
      <x:c r="AA381" s="32"/>
      <x:c r="AB381" s="32"/>
      <x:c r="AC381" s="32"/>
      <x:c r="AD381" s="32"/>
      <x:c r="AE381" s="32"/>
      <x:c r="AF381" s="32"/>
      <x:c r="AG381" s="32"/>
      <x:c r="AH381" s="32"/>
      <x:c r="AI381" s="32"/>
      <x:c r="AJ381" s="32"/>
      <x:c r="AK381" s="32"/>
      <x:c r="AL381" s="32"/>
      <x:c r="AM381" s="32"/>
      <x:c r="AN381" s="32"/>
      <x:c r="AO381" s="32"/>
      <x:c r="AP381" s="32"/>
      <x:c r="AQ381" s="32"/>
      <x:c r="AR381" s="32"/>
      <x:c r="AS381" s="32"/>
      <x:c r="AT381" s="32"/>
      <x:c r="AU381" s="32"/>
      <x:c r="AV381" s="32"/>
      <x:c r="AW381" s="32"/>
      <x:c r="AX381" s="32"/>
      <x:c r="AZ381" s="32"/>
      <x:c r="BA381" s="32"/>
      <x:c r="BB381" s="32"/>
      <x:c r="BC381" s="32"/>
      <x:c r="BD381" s="32"/>
      <x:c r="BE381" s="32"/>
      <x:c r="BF381" s="32"/>
      <x:c r="BG381" s="32"/>
      <x:c r="BH381" s="32"/>
      <x:c r="BI381" s="32"/>
      <x:c r="BJ381" s="32"/>
      <x:c r="BK381" s="32"/>
      <x:c r="BL381" s="32"/>
      <x:c r="BM381" s="32"/>
    </x:row>
    <x:row r="382">
      <x:c r="A382" s="32"/>
      <x:c r="B382" s="32"/>
      <x:c r="C382" s="42"/>
      <x:c r="D382" s="32"/>
      <x:c r="E382" s="32"/>
      <x:c r="F382" s="32"/>
      <x:c r="G382" s="32"/>
      <x:c r="H382" s="32"/>
      <x:c r="I382" s="32"/>
      <x:c r="J382" s="32"/>
      <x:c r="K382" s="32"/>
      <x:c r="L382" s="32"/>
      <x:c r="M382" s="32"/>
      <x:c r="N382" s="32"/>
      <x:c r="O382" s="32"/>
      <x:c r="P382" s="32"/>
      <x:c r="Q382" s="32"/>
      <x:c r="R382" s="32"/>
      <x:c r="S382" s="32"/>
      <x:c r="T382" s="43" t="str">
        <x:f>IFERROR(S382/L382,"")</x:f>
      </x:c>
      <x:c r="U382" s="32"/>
      <x:c r="V382" s="32"/>
      <x:c r="W382" s="32"/>
      <x:c r="X382" s="32"/>
      <x:c r="Y382" s="32"/>
      <x:c r="Z382" s="32"/>
      <x:c r="AA382" s="32"/>
      <x:c r="AB382" s="32"/>
      <x:c r="AC382" s="32"/>
      <x:c r="AD382" s="32"/>
      <x:c r="AE382" s="32"/>
      <x:c r="AF382" s="32"/>
      <x:c r="AG382" s="32"/>
      <x:c r="AH382" s="32"/>
      <x:c r="AI382" s="32"/>
      <x:c r="AJ382" s="32"/>
      <x:c r="AK382" s="32"/>
      <x:c r="AL382" s="32"/>
      <x:c r="AM382" s="32"/>
      <x:c r="AN382" s="32"/>
      <x:c r="AO382" s="32"/>
      <x:c r="AP382" s="32"/>
      <x:c r="AQ382" s="32"/>
      <x:c r="AR382" s="32"/>
      <x:c r="AS382" s="32"/>
      <x:c r="AT382" s="32"/>
      <x:c r="AU382" s="32"/>
      <x:c r="AV382" s="32"/>
      <x:c r="AW382" s="32"/>
      <x:c r="AX382" s="32"/>
      <x:c r="AZ382" s="32"/>
      <x:c r="BA382" s="32"/>
      <x:c r="BB382" s="32"/>
      <x:c r="BC382" s="32"/>
      <x:c r="BD382" s="32"/>
      <x:c r="BE382" s="32"/>
      <x:c r="BF382" s="32"/>
      <x:c r="BG382" s="32"/>
      <x:c r="BH382" s="32"/>
      <x:c r="BI382" s="32"/>
      <x:c r="BJ382" s="32"/>
      <x:c r="BK382" s="32"/>
      <x:c r="BL382" s="32"/>
      <x:c r="BM382" s="32"/>
    </x:row>
    <x:row r="383">
      <x:c r="A383" s="32"/>
      <x:c r="B383" s="32"/>
      <x:c r="C383" s="42"/>
      <x:c r="D383" s="32"/>
      <x:c r="E383" s="32"/>
      <x:c r="F383" s="32"/>
      <x:c r="G383" s="32"/>
      <x:c r="H383" s="32"/>
      <x:c r="I383" s="32"/>
      <x:c r="J383" s="32"/>
      <x:c r="K383" s="32"/>
      <x:c r="L383" s="32"/>
      <x:c r="M383" s="32"/>
      <x:c r="N383" s="32"/>
      <x:c r="O383" s="32"/>
      <x:c r="P383" s="32"/>
      <x:c r="Q383" s="32"/>
      <x:c r="R383" s="32"/>
      <x:c r="S383" s="32"/>
      <x:c r="T383" s="43" t="str">
        <x:f>IFERROR(S383/L383,"")</x:f>
      </x:c>
      <x:c r="U383" s="32"/>
      <x:c r="V383" s="32"/>
      <x:c r="W383" s="32"/>
      <x:c r="X383" s="32"/>
      <x:c r="Y383" s="32"/>
      <x:c r="Z383" s="32"/>
      <x:c r="AA383" s="32"/>
      <x:c r="AB383" s="32"/>
      <x:c r="AC383" s="32"/>
      <x:c r="AD383" s="32"/>
      <x:c r="AE383" s="32"/>
      <x:c r="AF383" s="32"/>
      <x:c r="AG383" s="32"/>
      <x:c r="AH383" s="32"/>
      <x:c r="AI383" s="32"/>
      <x:c r="AJ383" s="32"/>
      <x:c r="AK383" s="32"/>
      <x:c r="AL383" s="32"/>
      <x:c r="AM383" s="32"/>
      <x:c r="AN383" s="32"/>
      <x:c r="AO383" s="32"/>
      <x:c r="AP383" s="32"/>
      <x:c r="AQ383" s="32"/>
      <x:c r="AR383" s="32"/>
      <x:c r="AS383" s="32"/>
      <x:c r="AT383" s="32"/>
      <x:c r="AU383" s="32"/>
      <x:c r="AV383" s="32"/>
      <x:c r="AW383" s="32"/>
      <x:c r="AX383" s="32"/>
      <x:c r="AZ383" s="32"/>
      <x:c r="BA383" s="32"/>
      <x:c r="BB383" s="32"/>
      <x:c r="BC383" s="32"/>
      <x:c r="BD383" s="32"/>
      <x:c r="BE383" s="32"/>
      <x:c r="BF383" s="32"/>
      <x:c r="BG383" s="32"/>
      <x:c r="BH383" s="32"/>
      <x:c r="BI383" s="32"/>
      <x:c r="BJ383" s="32"/>
      <x:c r="BK383" s="32"/>
      <x:c r="BL383" s="32"/>
      <x:c r="BM383" s="32"/>
    </x:row>
    <x:row r="384">
      <x:c r="A384" s="32"/>
      <x:c r="B384" s="32"/>
      <x:c r="C384" s="42"/>
      <x:c r="D384" s="32"/>
      <x:c r="E384" s="32"/>
      <x:c r="F384" s="32"/>
      <x:c r="G384" s="32"/>
      <x:c r="H384" s="32"/>
      <x:c r="I384" s="32"/>
      <x:c r="J384" s="32"/>
      <x:c r="K384" s="32"/>
      <x:c r="L384" s="32"/>
      <x:c r="M384" s="32"/>
      <x:c r="N384" s="32"/>
      <x:c r="O384" s="32"/>
      <x:c r="P384" s="32"/>
      <x:c r="Q384" s="32"/>
      <x:c r="R384" s="32"/>
      <x:c r="S384" s="32"/>
      <x:c r="T384" s="43" t="str">
        <x:f>IFERROR(S384/L384,"")</x:f>
      </x:c>
      <x:c r="U384" s="32"/>
      <x:c r="V384" s="32"/>
      <x:c r="W384" s="32"/>
      <x:c r="X384" s="32"/>
      <x:c r="Y384" s="32"/>
      <x:c r="Z384" s="32"/>
      <x:c r="AA384" s="32"/>
      <x:c r="AB384" s="32"/>
      <x:c r="AC384" s="32"/>
      <x:c r="AD384" s="32"/>
      <x:c r="AE384" s="32"/>
      <x:c r="AF384" s="32"/>
      <x:c r="AG384" s="32"/>
      <x:c r="AH384" s="32"/>
      <x:c r="AI384" s="32"/>
      <x:c r="AJ384" s="32"/>
      <x:c r="AK384" s="32"/>
      <x:c r="AL384" s="32"/>
      <x:c r="AM384" s="32"/>
      <x:c r="AN384" s="32"/>
      <x:c r="AO384" s="32"/>
      <x:c r="AP384" s="32"/>
      <x:c r="AQ384" s="32"/>
      <x:c r="AR384" s="32"/>
      <x:c r="AS384" s="32"/>
      <x:c r="AT384" s="32"/>
      <x:c r="AU384" s="32"/>
      <x:c r="AV384" s="32"/>
      <x:c r="AW384" s="32"/>
      <x:c r="AX384" s="32"/>
      <x:c r="AZ384" s="32"/>
      <x:c r="BA384" s="32"/>
      <x:c r="BB384" s="32"/>
      <x:c r="BC384" s="32"/>
      <x:c r="BD384" s="32"/>
      <x:c r="BE384" s="32"/>
      <x:c r="BF384" s="32"/>
      <x:c r="BG384" s="32"/>
      <x:c r="BH384" s="32"/>
      <x:c r="BI384" s="32"/>
      <x:c r="BJ384" s="32"/>
      <x:c r="BK384" s="32"/>
      <x:c r="BL384" s="32"/>
      <x:c r="BM384" s="32"/>
    </x:row>
    <x:row r="385">
      <x:c r="A385" s="32"/>
      <x:c r="B385" s="32"/>
      <x:c r="C385" s="42"/>
      <x:c r="D385" s="32"/>
      <x:c r="E385" s="32"/>
      <x:c r="F385" s="32"/>
      <x:c r="G385" s="32"/>
      <x:c r="H385" s="32"/>
      <x:c r="I385" s="32"/>
      <x:c r="J385" s="32"/>
      <x:c r="K385" s="32"/>
      <x:c r="L385" s="32"/>
      <x:c r="M385" s="32"/>
      <x:c r="N385" s="32"/>
      <x:c r="O385" s="32"/>
      <x:c r="P385" s="32"/>
      <x:c r="Q385" s="32"/>
      <x:c r="R385" s="32"/>
      <x:c r="S385" s="32"/>
      <x:c r="T385" s="43" t="str">
        <x:f>IFERROR(S385/L385,"")</x:f>
      </x:c>
      <x:c r="U385" s="32"/>
      <x:c r="V385" s="32"/>
      <x:c r="W385" s="32"/>
      <x:c r="X385" s="32"/>
      <x:c r="Y385" s="32"/>
      <x:c r="Z385" s="32"/>
      <x:c r="AA385" s="32"/>
      <x:c r="AB385" s="32"/>
      <x:c r="AC385" s="32"/>
      <x:c r="AD385" s="32"/>
      <x:c r="AE385" s="32"/>
      <x:c r="AF385" s="32"/>
      <x:c r="AG385" s="32"/>
      <x:c r="AH385" s="32"/>
      <x:c r="AI385" s="32"/>
      <x:c r="AJ385" s="32"/>
      <x:c r="AK385" s="32"/>
      <x:c r="AL385" s="32"/>
      <x:c r="AM385" s="32"/>
      <x:c r="AN385" s="32"/>
      <x:c r="AO385" s="32"/>
      <x:c r="AP385" s="32"/>
      <x:c r="AQ385" s="32"/>
      <x:c r="AR385" s="32"/>
      <x:c r="AS385" s="32"/>
      <x:c r="AT385" s="32"/>
      <x:c r="AU385" s="32"/>
      <x:c r="AV385" s="32"/>
      <x:c r="AW385" s="32"/>
      <x:c r="AX385" s="32"/>
      <x:c r="AZ385" s="32"/>
      <x:c r="BA385" s="32"/>
      <x:c r="BB385" s="32"/>
      <x:c r="BC385" s="32"/>
      <x:c r="BD385" s="32"/>
      <x:c r="BE385" s="32"/>
      <x:c r="BF385" s="32"/>
      <x:c r="BG385" s="32"/>
      <x:c r="BH385" s="32"/>
      <x:c r="BI385" s="32"/>
      <x:c r="BJ385" s="32"/>
      <x:c r="BK385" s="32"/>
      <x:c r="BL385" s="32"/>
      <x:c r="BM385" s="32"/>
    </x:row>
    <x:row r="386">
      <x:c r="A386" s="32"/>
      <x:c r="B386" s="32"/>
      <x:c r="C386" s="42"/>
      <x:c r="D386" s="32"/>
      <x:c r="E386" s="32"/>
      <x:c r="F386" s="32"/>
      <x:c r="G386" s="32"/>
      <x:c r="H386" s="32"/>
      <x:c r="I386" s="32"/>
      <x:c r="J386" s="32"/>
      <x:c r="K386" s="32"/>
      <x:c r="L386" s="32"/>
      <x:c r="M386" s="32"/>
      <x:c r="N386" s="32"/>
      <x:c r="O386" s="32"/>
      <x:c r="P386" s="32"/>
      <x:c r="Q386" s="32"/>
      <x:c r="R386" s="32"/>
      <x:c r="S386" s="32"/>
      <x:c r="T386" s="43" t="str">
        <x:f>IFERROR(S386/L386,"")</x:f>
      </x:c>
      <x:c r="U386" s="32"/>
      <x:c r="V386" s="32"/>
      <x:c r="W386" s="32"/>
      <x:c r="X386" s="32"/>
      <x:c r="Y386" s="32"/>
      <x:c r="Z386" s="32"/>
      <x:c r="AA386" s="32"/>
      <x:c r="AB386" s="32"/>
      <x:c r="AC386" s="32"/>
      <x:c r="AD386" s="32"/>
      <x:c r="AE386" s="32"/>
      <x:c r="AF386" s="32"/>
      <x:c r="AG386" s="32"/>
      <x:c r="AH386" s="32"/>
      <x:c r="AI386" s="32"/>
      <x:c r="AJ386" s="32"/>
      <x:c r="AK386" s="32"/>
      <x:c r="AL386" s="32"/>
      <x:c r="AM386" s="32"/>
      <x:c r="AN386" s="32"/>
      <x:c r="AO386" s="32"/>
      <x:c r="AP386" s="32"/>
      <x:c r="AQ386" s="32"/>
      <x:c r="AR386" s="32"/>
      <x:c r="AS386" s="32"/>
      <x:c r="AT386" s="32"/>
      <x:c r="AU386" s="32"/>
      <x:c r="AV386" s="32"/>
      <x:c r="AW386" s="32"/>
      <x:c r="AX386" s="32"/>
      <x:c r="AZ386" s="32"/>
      <x:c r="BA386" s="32"/>
      <x:c r="BB386" s="32"/>
      <x:c r="BC386" s="32"/>
      <x:c r="BD386" s="32"/>
      <x:c r="BE386" s="32"/>
      <x:c r="BF386" s="32"/>
      <x:c r="BG386" s="32"/>
      <x:c r="BH386" s="32"/>
      <x:c r="BI386" s="32"/>
      <x:c r="BJ386" s="32"/>
      <x:c r="BK386" s="32"/>
      <x:c r="BL386" s="32"/>
      <x:c r="BM386" s="32"/>
    </x:row>
    <x:row r="387">
      <x:c r="A387" s="32"/>
      <x:c r="B387" s="32"/>
      <x:c r="C387" s="42"/>
      <x:c r="D387" s="32"/>
      <x:c r="E387" s="32"/>
      <x:c r="F387" s="32"/>
      <x:c r="G387" s="32"/>
      <x:c r="H387" s="32"/>
      <x:c r="I387" s="32"/>
      <x:c r="J387" s="32"/>
      <x:c r="K387" s="32"/>
      <x:c r="L387" s="32"/>
      <x:c r="M387" s="32"/>
      <x:c r="N387" s="32"/>
      <x:c r="O387" s="32"/>
      <x:c r="P387" s="32"/>
      <x:c r="Q387" s="32"/>
      <x:c r="R387" s="32"/>
      <x:c r="S387" s="32"/>
      <x:c r="T387" s="43" t="str">
        <x:f>IFERROR(S387/L387,"")</x:f>
      </x:c>
      <x:c r="U387" s="32"/>
      <x:c r="V387" s="32"/>
      <x:c r="W387" s="32"/>
      <x:c r="X387" s="32"/>
      <x:c r="Y387" s="32"/>
      <x:c r="Z387" s="32"/>
      <x:c r="AA387" s="32"/>
      <x:c r="AB387" s="32"/>
      <x:c r="AC387" s="32"/>
      <x:c r="AD387" s="32"/>
      <x:c r="AE387" s="32"/>
      <x:c r="AF387" s="32"/>
      <x:c r="AG387" s="32"/>
      <x:c r="AH387" s="32"/>
      <x:c r="AI387" s="32"/>
      <x:c r="AJ387" s="32"/>
      <x:c r="AK387" s="32"/>
      <x:c r="AL387" s="32"/>
      <x:c r="AM387" s="32"/>
      <x:c r="AN387" s="32"/>
      <x:c r="AO387" s="32"/>
      <x:c r="AP387" s="32"/>
      <x:c r="AQ387" s="32"/>
      <x:c r="AR387" s="32"/>
      <x:c r="AS387" s="32"/>
      <x:c r="AT387" s="32"/>
      <x:c r="AU387" s="32"/>
      <x:c r="AV387" s="32"/>
      <x:c r="AW387" s="32"/>
      <x:c r="AX387" s="32"/>
      <x:c r="AZ387" s="32"/>
      <x:c r="BA387" s="32"/>
      <x:c r="BB387" s="32"/>
      <x:c r="BC387" s="32"/>
      <x:c r="BD387" s="32"/>
      <x:c r="BE387" s="32"/>
      <x:c r="BF387" s="32"/>
      <x:c r="BG387" s="32"/>
      <x:c r="BH387" s="32"/>
      <x:c r="BI387" s="32"/>
      <x:c r="BJ387" s="32"/>
      <x:c r="BK387" s="32"/>
      <x:c r="BL387" s="32"/>
      <x:c r="BM387" s="32"/>
    </x:row>
    <x:row r="388">
      <x:c r="A388" s="32"/>
      <x:c r="B388" s="32"/>
      <x:c r="C388" s="42"/>
      <x:c r="D388" s="32"/>
      <x:c r="E388" s="32"/>
      <x:c r="F388" s="32"/>
      <x:c r="G388" s="32"/>
      <x:c r="H388" s="32"/>
      <x:c r="I388" s="32"/>
      <x:c r="J388" s="32"/>
      <x:c r="K388" s="32"/>
      <x:c r="L388" s="32"/>
      <x:c r="M388" s="32"/>
      <x:c r="N388" s="32"/>
      <x:c r="O388" s="32"/>
      <x:c r="P388" s="32"/>
      <x:c r="Q388" s="32"/>
      <x:c r="R388" s="32"/>
      <x:c r="S388" s="32"/>
      <x:c r="T388" s="43" t="str">
        <x:f>IFERROR(S388/L388,"")</x:f>
      </x:c>
      <x:c r="U388" s="32"/>
      <x:c r="V388" s="32"/>
      <x:c r="W388" s="32"/>
      <x:c r="X388" s="32"/>
      <x:c r="Y388" s="32"/>
      <x:c r="Z388" s="32"/>
      <x:c r="AA388" s="32"/>
      <x:c r="AB388" s="32"/>
      <x:c r="AC388" s="32"/>
      <x:c r="AD388" s="32"/>
      <x:c r="AE388" s="32"/>
      <x:c r="AF388" s="32"/>
      <x:c r="AG388" s="32"/>
      <x:c r="AH388" s="32"/>
      <x:c r="AI388" s="32"/>
      <x:c r="AJ388" s="32"/>
      <x:c r="AK388" s="32"/>
      <x:c r="AL388" s="32"/>
      <x:c r="AM388" s="32"/>
      <x:c r="AN388" s="32"/>
      <x:c r="AO388" s="32"/>
      <x:c r="AP388" s="32"/>
      <x:c r="AQ388" s="32"/>
      <x:c r="AR388" s="32"/>
      <x:c r="AS388" s="32"/>
      <x:c r="AT388" s="32"/>
      <x:c r="AU388" s="32"/>
      <x:c r="AV388" s="32"/>
      <x:c r="AW388" s="32"/>
      <x:c r="AX388" s="32"/>
      <x:c r="AZ388" s="32"/>
      <x:c r="BA388" s="32"/>
      <x:c r="BB388" s="32"/>
      <x:c r="BC388" s="32"/>
      <x:c r="BD388" s="32"/>
      <x:c r="BE388" s="32"/>
      <x:c r="BF388" s="32"/>
      <x:c r="BG388" s="32"/>
      <x:c r="BH388" s="32"/>
      <x:c r="BI388" s="32"/>
      <x:c r="BJ388" s="32"/>
      <x:c r="BK388" s="32"/>
      <x:c r="BL388" s="32"/>
      <x:c r="BM388" s="32"/>
    </x:row>
    <x:row r="389">
      <x:c r="A389" s="32"/>
      <x:c r="B389" s="32"/>
      <x:c r="C389" s="42"/>
      <x:c r="D389" s="32"/>
      <x:c r="E389" s="32"/>
      <x:c r="F389" s="32"/>
      <x:c r="G389" s="32"/>
      <x:c r="H389" s="32"/>
      <x:c r="I389" s="32"/>
      <x:c r="J389" s="32"/>
      <x:c r="K389" s="32"/>
      <x:c r="L389" s="32"/>
      <x:c r="M389" s="32"/>
      <x:c r="N389" s="32"/>
      <x:c r="O389" s="32"/>
      <x:c r="P389" s="32"/>
      <x:c r="Q389" s="32"/>
      <x:c r="R389" s="32"/>
      <x:c r="S389" s="32"/>
      <x:c r="T389" s="43" t="str">
        <x:f>IFERROR(S389/L389,"")</x:f>
      </x:c>
      <x:c r="U389" s="32"/>
      <x:c r="V389" s="32"/>
      <x:c r="W389" s="32"/>
      <x:c r="X389" s="32"/>
      <x:c r="Y389" s="32"/>
      <x:c r="Z389" s="32"/>
      <x:c r="AA389" s="32"/>
      <x:c r="AB389" s="32"/>
      <x:c r="AC389" s="32"/>
      <x:c r="AD389" s="32"/>
      <x:c r="AE389" s="32"/>
      <x:c r="AF389" s="32"/>
      <x:c r="AG389" s="32"/>
      <x:c r="AH389" s="32"/>
      <x:c r="AI389" s="32"/>
      <x:c r="AJ389" s="32"/>
      <x:c r="AK389" s="32"/>
      <x:c r="AL389" s="32"/>
      <x:c r="AM389" s="32"/>
      <x:c r="AN389" s="32"/>
      <x:c r="AO389" s="32"/>
      <x:c r="AP389" s="32"/>
      <x:c r="AQ389" s="32"/>
      <x:c r="AR389" s="32"/>
      <x:c r="AS389" s="32"/>
      <x:c r="AT389" s="32"/>
      <x:c r="AU389" s="32"/>
      <x:c r="AV389" s="32"/>
      <x:c r="AW389" s="32"/>
      <x:c r="AX389" s="32"/>
      <x:c r="AZ389" s="32"/>
      <x:c r="BA389" s="32"/>
      <x:c r="BB389" s="32"/>
      <x:c r="BC389" s="32"/>
      <x:c r="BD389" s="32"/>
      <x:c r="BE389" s="32"/>
      <x:c r="BF389" s="32"/>
      <x:c r="BG389" s="32"/>
      <x:c r="BH389" s="32"/>
      <x:c r="BI389" s="32"/>
      <x:c r="BJ389" s="32"/>
      <x:c r="BK389" s="32"/>
      <x:c r="BL389" s="32"/>
      <x:c r="BM389" s="32"/>
    </x:row>
    <x:row r="390">
      <x:c r="A390" s="32"/>
      <x:c r="B390" s="32"/>
      <x:c r="C390" s="42"/>
      <x:c r="D390" s="32"/>
      <x:c r="E390" s="32"/>
      <x:c r="F390" s="32"/>
      <x:c r="G390" s="32"/>
      <x:c r="H390" s="32"/>
      <x:c r="I390" s="32"/>
      <x:c r="J390" s="32"/>
      <x:c r="K390" s="32"/>
      <x:c r="L390" s="32"/>
      <x:c r="M390" s="32"/>
      <x:c r="N390" s="32"/>
      <x:c r="O390" s="32"/>
      <x:c r="P390" s="32"/>
      <x:c r="Q390" s="32"/>
      <x:c r="R390" s="32"/>
      <x:c r="S390" s="32"/>
      <x:c r="T390" s="43" t="str">
        <x:f>IFERROR(S390/L390,"")</x:f>
      </x:c>
      <x:c r="U390" s="32"/>
      <x:c r="V390" s="32"/>
      <x:c r="W390" s="32"/>
      <x:c r="X390" s="32"/>
      <x:c r="Y390" s="32"/>
      <x:c r="Z390" s="32"/>
      <x:c r="AA390" s="32"/>
      <x:c r="AB390" s="32"/>
      <x:c r="AC390" s="32"/>
      <x:c r="AD390" s="32"/>
      <x:c r="AE390" s="32"/>
      <x:c r="AF390" s="32"/>
      <x:c r="AG390" s="32"/>
      <x:c r="AH390" s="32"/>
      <x:c r="AI390" s="32"/>
      <x:c r="AJ390" s="32"/>
      <x:c r="AK390" s="32"/>
      <x:c r="AL390" s="32"/>
      <x:c r="AM390" s="32"/>
      <x:c r="AN390" s="32"/>
      <x:c r="AO390" s="32"/>
      <x:c r="AP390" s="32"/>
      <x:c r="AQ390" s="32"/>
      <x:c r="AR390" s="32"/>
      <x:c r="AS390" s="32"/>
      <x:c r="AT390" s="32"/>
      <x:c r="AU390" s="32"/>
      <x:c r="AV390" s="32"/>
      <x:c r="AW390" s="32"/>
      <x:c r="AX390" s="32"/>
      <x:c r="AZ390" s="32"/>
      <x:c r="BA390" s="32"/>
      <x:c r="BB390" s="32"/>
      <x:c r="BC390" s="32"/>
      <x:c r="BD390" s="32"/>
      <x:c r="BE390" s="32"/>
      <x:c r="BF390" s="32"/>
      <x:c r="BG390" s="32"/>
      <x:c r="BH390" s="32"/>
      <x:c r="BI390" s="32"/>
      <x:c r="BJ390" s="32"/>
      <x:c r="BK390" s="32"/>
      <x:c r="BL390" s="32"/>
      <x:c r="BM390" s="32"/>
    </x:row>
    <x:row r="391">
      <x:c r="A391" s="32"/>
      <x:c r="B391" s="32"/>
      <x:c r="C391" s="42"/>
      <x:c r="D391" s="32"/>
      <x:c r="E391" s="32"/>
      <x:c r="F391" s="32"/>
      <x:c r="G391" s="32"/>
      <x:c r="H391" s="32"/>
      <x:c r="I391" s="32"/>
      <x:c r="J391" s="32"/>
      <x:c r="K391" s="32"/>
      <x:c r="L391" s="32"/>
      <x:c r="M391" s="32"/>
      <x:c r="N391" s="32"/>
      <x:c r="O391" s="32"/>
      <x:c r="P391" s="32"/>
      <x:c r="Q391" s="32"/>
      <x:c r="R391" s="32"/>
      <x:c r="S391" s="32"/>
      <x:c r="T391" s="43" t="str">
        <x:f>IFERROR(S391/L391,"")</x:f>
      </x:c>
      <x:c r="U391" s="32"/>
      <x:c r="V391" s="32"/>
      <x:c r="W391" s="32"/>
      <x:c r="X391" s="32"/>
      <x:c r="Y391" s="32"/>
      <x:c r="Z391" s="32"/>
      <x:c r="AA391" s="32"/>
      <x:c r="AB391" s="32"/>
      <x:c r="AC391" s="32"/>
      <x:c r="AD391" s="32"/>
      <x:c r="AE391" s="32"/>
      <x:c r="AF391" s="32"/>
      <x:c r="AG391" s="32"/>
      <x:c r="AH391" s="32"/>
      <x:c r="AI391" s="32"/>
      <x:c r="AJ391" s="32"/>
      <x:c r="AK391" s="32"/>
      <x:c r="AL391" s="32"/>
      <x:c r="AM391" s="32"/>
      <x:c r="AN391" s="32"/>
      <x:c r="AO391" s="32"/>
      <x:c r="AP391" s="32"/>
      <x:c r="AQ391" s="32"/>
      <x:c r="AR391" s="32"/>
      <x:c r="AS391" s="32"/>
      <x:c r="AT391" s="32"/>
      <x:c r="AU391" s="32"/>
      <x:c r="AV391" s="32"/>
      <x:c r="AW391" s="32"/>
      <x:c r="AX391" s="32"/>
      <x:c r="AZ391" s="32"/>
      <x:c r="BA391" s="32"/>
      <x:c r="BB391" s="32"/>
      <x:c r="BC391" s="32"/>
      <x:c r="BD391" s="32"/>
      <x:c r="BE391" s="32"/>
      <x:c r="BF391" s="32"/>
      <x:c r="BG391" s="32"/>
      <x:c r="BH391" s="32"/>
      <x:c r="BI391" s="32"/>
      <x:c r="BJ391" s="32"/>
      <x:c r="BK391" s="32"/>
      <x:c r="BL391" s="32"/>
      <x:c r="BM391" s="32"/>
    </x:row>
    <x:row r="392">
      <x:c r="A392" s="32"/>
      <x:c r="B392" s="32"/>
      <x:c r="C392" s="42"/>
      <x:c r="D392" s="32"/>
      <x:c r="E392" s="32"/>
      <x:c r="F392" s="32"/>
      <x:c r="G392" s="32"/>
      <x:c r="H392" s="32"/>
      <x:c r="I392" s="32"/>
      <x:c r="J392" s="32"/>
      <x:c r="K392" s="32"/>
      <x:c r="L392" s="32"/>
      <x:c r="M392" s="32"/>
      <x:c r="N392" s="32"/>
      <x:c r="O392" s="32"/>
      <x:c r="P392" s="32"/>
      <x:c r="Q392" s="32"/>
      <x:c r="R392" s="32"/>
      <x:c r="S392" s="32"/>
      <x:c r="T392" s="43" t="str">
        <x:f>IFERROR(S392/L392,"")</x:f>
      </x:c>
      <x:c r="U392" s="32"/>
      <x:c r="V392" s="32"/>
      <x:c r="W392" s="32"/>
      <x:c r="X392" s="32"/>
      <x:c r="Y392" s="32"/>
      <x:c r="Z392" s="32"/>
      <x:c r="AA392" s="32"/>
      <x:c r="AB392" s="32"/>
      <x:c r="AC392" s="32"/>
      <x:c r="AD392" s="32"/>
      <x:c r="AE392" s="32"/>
      <x:c r="AF392" s="32"/>
      <x:c r="AG392" s="32"/>
      <x:c r="AH392" s="32"/>
      <x:c r="AI392" s="32"/>
      <x:c r="AJ392" s="32"/>
      <x:c r="AK392" s="32"/>
      <x:c r="AL392" s="32"/>
      <x:c r="AM392" s="32"/>
      <x:c r="AN392" s="32"/>
      <x:c r="AO392" s="32"/>
      <x:c r="AP392" s="32"/>
      <x:c r="AQ392" s="32"/>
      <x:c r="AR392" s="32"/>
      <x:c r="AS392" s="32"/>
      <x:c r="AT392" s="32"/>
      <x:c r="AU392" s="32"/>
      <x:c r="AV392" s="32"/>
      <x:c r="AW392" s="32"/>
      <x:c r="AX392" s="32"/>
      <x:c r="AZ392" s="32"/>
      <x:c r="BA392" s="32"/>
      <x:c r="BB392" s="32"/>
      <x:c r="BC392" s="32"/>
      <x:c r="BD392" s="32"/>
      <x:c r="BE392" s="32"/>
      <x:c r="BF392" s="32"/>
      <x:c r="BG392" s="32"/>
      <x:c r="BH392" s="32"/>
      <x:c r="BI392" s="32"/>
      <x:c r="BJ392" s="32"/>
      <x:c r="BK392" s="32"/>
      <x:c r="BL392" s="32"/>
      <x:c r="BM392" s="32"/>
    </x:row>
    <x:row r="393">
      <x:c r="A393" s="32"/>
      <x:c r="B393" s="32"/>
      <x:c r="C393" s="42"/>
      <x:c r="D393" s="32"/>
      <x:c r="E393" s="32"/>
      <x:c r="F393" s="32"/>
      <x:c r="G393" s="32"/>
      <x:c r="H393" s="32"/>
      <x:c r="I393" s="32"/>
      <x:c r="J393" s="32"/>
      <x:c r="K393" s="32"/>
      <x:c r="L393" s="32"/>
      <x:c r="M393" s="32"/>
      <x:c r="N393" s="32"/>
      <x:c r="O393" s="32"/>
      <x:c r="P393" s="32"/>
      <x:c r="Q393" s="32"/>
      <x:c r="R393" s="32"/>
      <x:c r="S393" s="32"/>
      <x:c r="T393" s="43" t="str">
        <x:f>IFERROR(S393/L393,"")</x:f>
      </x:c>
      <x:c r="U393" s="32"/>
      <x:c r="V393" s="32"/>
      <x:c r="W393" s="32"/>
      <x:c r="X393" s="32"/>
      <x:c r="Y393" s="32"/>
      <x:c r="Z393" s="32"/>
      <x:c r="AA393" s="32"/>
      <x:c r="AB393" s="32"/>
      <x:c r="AC393" s="32"/>
      <x:c r="AD393" s="32"/>
      <x:c r="AE393" s="32"/>
      <x:c r="AF393" s="32"/>
      <x:c r="AG393" s="32"/>
      <x:c r="AH393" s="32"/>
      <x:c r="AI393" s="32"/>
      <x:c r="AJ393" s="32"/>
      <x:c r="AK393" s="32"/>
      <x:c r="AL393" s="32"/>
      <x:c r="AM393" s="32"/>
      <x:c r="AN393" s="32"/>
      <x:c r="AO393" s="32"/>
      <x:c r="AP393" s="32"/>
      <x:c r="AQ393" s="32"/>
      <x:c r="AR393" s="32"/>
      <x:c r="AS393" s="32"/>
      <x:c r="AT393" s="32"/>
      <x:c r="AU393" s="32"/>
      <x:c r="AV393" s="32"/>
      <x:c r="AW393" s="32"/>
      <x:c r="AX393" s="32"/>
      <x:c r="AZ393" s="32"/>
      <x:c r="BA393" s="32"/>
      <x:c r="BB393" s="32"/>
      <x:c r="BC393" s="32"/>
      <x:c r="BD393" s="32"/>
      <x:c r="BE393" s="32"/>
      <x:c r="BF393" s="32"/>
      <x:c r="BG393" s="32"/>
      <x:c r="BH393" s="32"/>
      <x:c r="BI393" s="32"/>
      <x:c r="BJ393" s="32"/>
      <x:c r="BK393" s="32"/>
      <x:c r="BL393" s="32"/>
      <x:c r="BM393" s="32"/>
    </x:row>
    <x:row r="394">
      <x:c r="A394" s="32"/>
      <x:c r="B394" s="32"/>
      <x:c r="C394" s="42"/>
      <x:c r="D394" s="32"/>
      <x:c r="E394" s="32"/>
      <x:c r="F394" s="32"/>
      <x:c r="G394" s="32"/>
      <x:c r="H394" s="32"/>
      <x:c r="I394" s="32"/>
      <x:c r="J394" s="32"/>
      <x:c r="K394" s="32"/>
      <x:c r="L394" s="32"/>
      <x:c r="M394" s="32"/>
      <x:c r="N394" s="32"/>
      <x:c r="O394" s="32"/>
      <x:c r="P394" s="32"/>
      <x:c r="Q394" s="32"/>
      <x:c r="R394" s="32"/>
      <x:c r="S394" s="32"/>
      <x:c r="T394" s="43" t="str">
        <x:f>IFERROR(S394/L394,"")</x:f>
      </x:c>
      <x:c r="U394" s="32"/>
      <x:c r="V394" s="32"/>
      <x:c r="W394" s="32"/>
      <x:c r="X394" s="32"/>
      <x:c r="Y394" s="32"/>
      <x:c r="Z394" s="32"/>
      <x:c r="AA394" s="32"/>
      <x:c r="AB394" s="32"/>
      <x:c r="AC394" s="32"/>
      <x:c r="AD394" s="32"/>
      <x:c r="AE394" s="32"/>
      <x:c r="AF394" s="32"/>
      <x:c r="AG394" s="32"/>
      <x:c r="AH394" s="32"/>
      <x:c r="AI394" s="32"/>
      <x:c r="AJ394" s="32"/>
      <x:c r="AK394" s="32"/>
      <x:c r="AL394" s="32"/>
      <x:c r="AM394" s="32"/>
      <x:c r="AN394" s="32"/>
      <x:c r="AO394" s="32"/>
      <x:c r="AP394" s="32"/>
      <x:c r="AQ394" s="32"/>
      <x:c r="AR394" s="32"/>
      <x:c r="AS394" s="32"/>
      <x:c r="AT394" s="32"/>
      <x:c r="AU394" s="32"/>
      <x:c r="AV394" s="32"/>
      <x:c r="AW394" s="32"/>
      <x:c r="AX394" s="32"/>
      <x:c r="AZ394" s="32"/>
      <x:c r="BA394" s="32"/>
      <x:c r="BB394" s="32"/>
      <x:c r="BC394" s="32"/>
      <x:c r="BD394" s="32"/>
      <x:c r="BE394" s="32"/>
      <x:c r="BF394" s="32"/>
      <x:c r="BG394" s="32"/>
      <x:c r="BH394" s="32"/>
      <x:c r="BI394" s="32"/>
      <x:c r="BJ394" s="32"/>
      <x:c r="BK394" s="32"/>
      <x:c r="BL394" s="32"/>
      <x:c r="BM394" s="32"/>
    </x:row>
    <x:row r="395">
      <x:c r="A395" s="32"/>
      <x:c r="B395" s="32"/>
      <x:c r="C395" s="42"/>
      <x:c r="D395" s="32"/>
      <x:c r="E395" s="32"/>
      <x:c r="F395" s="32"/>
      <x:c r="G395" s="32"/>
      <x:c r="H395" s="32"/>
      <x:c r="I395" s="32"/>
      <x:c r="J395" s="32"/>
      <x:c r="K395" s="32"/>
      <x:c r="L395" s="32"/>
      <x:c r="M395" s="32"/>
      <x:c r="N395" s="32"/>
      <x:c r="O395" s="32"/>
      <x:c r="P395" s="32"/>
      <x:c r="Q395" s="32"/>
      <x:c r="R395" s="32"/>
      <x:c r="S395" s="32"/>
      <x:c r="T395" s="43" t="str">
        <x:f>IFERROR(S395/L395,"")</x:f>
      </x:c>
      <x:c r="U395" s="32"/>
      <x:c r="V395" s="32"/>
      <x:c r="W395" s="32"/>
      <x:c r="X395" s="32"/>
      <x:c r="Y395" s="32"/>
      <x:c r="Z395" s="32"/>
      <x:c r="AA395" s="32"/>
      <x:c r="AB395" s="32"/>
      <x:c r="AC395" s="32"/>
      <x:c r="AD395" s="32"/>
      <x:c r="AE395" s="32"/>
      <x:c r="AF395" s="32"/>
      <x:c r="AG395" s="32"/>
      <x:c r="AH395" s="32"/>
      <x:c r="AI395" s="32"/>
      <x:c r="AJ395" s="32"/>
      <x:c r="AK395" s="32"/>
      <x:c r="AL395" s="32"/>
      <x:c r="AM395" s="32"/>
      <x:c r="AN395" s="32"/>
      <x:c r="AO395" s="32"/>
      <x:c r="AP395" s="32"/>
      <x:c r="AQ395" s="32"/>
      <x:c r="AR395" s="32"/>
      <x:c r="AS395" s="32"/>
      <x:c r="AT395" s="32"/>
      <x:c r="AU395" s="32"/>
      <x:c r="AV395" s="32"/>
      <x:c r="AW395" s="32"/>
      <x:c r="AX395" s="32"/>
      <x:c r="AZ395" s="32"/>
      <x:c r="BA395" s="32"/>
      <x:c r="BB395" s="32"/>
      <x:c r="BC395" s="32"/>
      <x:c r="BD395" s="32"/>
      <x:c r="BE395" s="32"/>
      <x:c r="BF395" s="32"/>
      <x:c r="BG395" s="32"/>
      <x:c r="BH395" s="32"/>
      <x:c r="BI395" s="32"/>
      <x:c r="BJ395" s="32"/>
      <x:c r="BK395" s="32"/>
      <x:c r="BL395" s="32"/>
      <x:c r="BM395" s="32"/>
    </x:row>
    <x:row r="396">
      <x:c r="A396" s="32"/>
      <x:c r="B396" s="32"/>
      <x:c r="C396" s="42"/>
      <x:c r="D396" s="32"/>
      <x:c r="E396" s="32"/>
      <x:c r="F396" s="32"/>
      <x:c r="G396" s="32"/>
      <x:c r="H396" s="32"/>
      <x:c r="I396" s="32"/>
      <x:c r="J396" s="32"/>
      <x:c r="K396" s="32"/>
      <x:c r="L396" s="32"/>
      <x:c r="M396" s="32"/>
      <x:c r="N396" s="32"/>
      <x:c r="O396" s="32"/>
      <x:c r="P396" s="32"/>
      <x:c r="Q396" s="32"/>
      <x:c r="R396" s="32"/>
      <x:c r="S396" s="32"/>
      <x:c r="T396" s="43" t="str">
        <x:f>IFERROR(S396/L396,"")</x:f>
      </x:c>
      <x:c r="U396" s="32"/>
      <x:c r="V396" s="32"/>
      <x:c r="W396" s="32"/>
      <x:c r="X396" s="32"/>
      <x:c r="Y396" s="32"/>
      <x:c r="Z396" s="32"/>
      <x:c r="AA396" s="32"/>
      <x:c r="AB396" s="32"/>
      <x:c r="AC396" s="32"/>
      <x:c r="AD396" s="32"/>
      <x:c r="AE396" s="32"/>
      <x:c r="AF396" s="32"/>
      <x:c r="AG396" s="32"/>
      <x:c r="AH396" s="32"/>
      <x:c r="AI396" s="32"/>
      <x:c r="AJ396" s="32"/>
      <x:c r="AK396" s="32"/>
      <x:c r="AL396" s="32"/>
      <x:c r="AM396" s="32"/>
      <x:c r="AN396" s="32"/>
      <x:c r="AO396" s="32"/>
      <x:c r="AP396" s="32"/>
      <x:c r="AQ396" s="32"/>
      <x:c r="AR396" s="32"/>
      <x:c r="AS396" s="32"/>
      <x:c r="AT396" s="32"/>
      <x:c r="AU396" s="32"/>
      <x:c r="AV396" s="32"/>
      <x:c r="AW396" s="32"/>
      <x:c r="AX396" s="32"/>
      <x:c r="AZ396" s="32"/>
      <x:c r="BA396" s="32"/>
      <x:c r="BB396" s="32"/>
      <x:c r="BC396" s="32"/>
      <x:c r="BD396" s="32"/>
      <x:c r="BE396" s="32"/>
      <x:c r="BF396" s="32"/>
      <x:c r="BG396" s="32"/>
      <x:c r="BH396" s="32"/>
      <x:c r="BI396" s="32"/>
      <x:c r="BJ396" s="32"/>
      <x:c r="BK396" s="32"/>
      <x:c r="BL396" s="32"/>
      <x:c r="BM396" s="32"/>
    </x:row>
    <x:row r="397">
      <x:c r="A397" s="32"/>
      <x:c r="B397" s="32"/>
      <x:c r="C397" s="42"/>
      <x:c r="D397" s="32"/>
      <x:c r="E397" s="32"/>
      <x:c r="F397" s="32"/>
      <x:c r="G397" s="32"/>
      <x:c r="H397" s="32"/>
      <x:c r="I397" s="32"/>
      <x:c r="J397" s="32"/>
      <x:c r="K397" s="32"/>
      <x:c r="L397" s="32"/>
      <x:c r="M397" s="32"/>
      <x:c r="N397" s="32"/>
      <x:c r="O397" s="32"/>
      <x:c r="P397" s="32"/>
      <x:c r="Q397" s="32"/>
      <x:c r="R397" s="32"/>
      <x:c r="S397" s="32"/>
      <x:c r="T397" s="43" t="str">
        <x:f>IFERROR(S397/L397,"")</x:f>
      </x:c>
      <x:c r="U397" s="32"/>
      <x:c r="V397" s="32"/>
      <x:c r="W397" s="32"/>
      <x:c r="X397" s="32"/>
      <x:c r="Y397" s="32"/>
      <x:c r="Z397" s="32"/>
      <x:c r="AA397" s="32"/>
      <x:c r="AB397" s="32"/>
      <x:c r="AC397" s="32"/>
      <x:c r="AD397" s="32"/>
      <x:c r="AE397" s="32"/>
      <x:c r="AF397" s="32"/>
      <x:c r="AG397" s="32"/>
      <x:c r="AH397" s="32"/>
      <x:c r="AI397" s="32"/>
      <x:c r="AJ397" s="32"/>
      <x:c r="AK397" s="32"/>
      <x:c r="AL397" s="32"/>
      <x:c r="AM397" s="32"/>
      <x:c r="AN397" s="32"/>
      <x:c r="AO397" s="32"/>
      <x:c r="AP397" s="32"/>
      <x:c r="AQ397" s="32"/>
      <x:c r="AR397" s="32"/>
      <x:c r="AS397" s="32"/>
      <x:c r="AT397" s="32"/>
      <x:c r="AU397" s="32"/>
      <x:c r="AV397" s="32"/>
      <x:c r="AW397" s="32"/>
      <x:c r="AX397" s="32"/>
      <x:c r="AZ397" s="32"/>
      <x:c r="BA397" s="32"/>
      <x:c r="BB397" s="32"/>
      <x:c r="BC397" s="32"/>
      <x:c r="BD397" s="32"/>
      <x:c r="BE397" s="32"/>
      <x:c r="BF397" s="32"/>
      <x:c r="BG397" s="32"/>
      <x:c r="BH397" s="32"/>
      <x:c r="BI397" s="32"/>
      <x:c r="BJ397" s="32"/>
      <x:c r="BK397" s="32"/>
      <x:c r="BL397" s="32"/>
      <x:c r="BM397" s="32"/>
    </x:row>
    <x:row r="398">
      <x:c r="A398" s="32"/>
      <x:c r="B398" s="32"/>
      <x:c r="C398" s="42"/>
      <x:c r="D398" s="32"/>
      <x:c r="E398" s="32"/>
      <x:c r="F398" s="32"/>
      <x:c r="G398" s="32"/>
      <x:c r="H398" s="32"/>
      <x:c r="I398" s="32"/>
      <x:c r="J398" s="32"/>
      <x:c r="K398" s="32"/>
      <x:c r="L398" s="32"/>
      <x:c r="M398" s="32"/>
      <x:c r="N398" s="32"/>
      <x:c r="O398" s="32"/>
      <x:c r="P398" s="32"/>
      <x:c r="Q398" s="32"/>
      <x:c r="R398" s="32"/>
      <x:c r="S398" s="32"/>
      <x:c r="T398" s="43" t="str">
        <x:f>IFERROR(S398/L398,"")</x:f>
      </x:c>
      <x:c r="U398" s="32"/>
      <x:c r="V398" s="32"/>
      <x:c r="W398" s="32"/>
      <x:c r="X398" s="32"/>
      <x:c r="Y398" s="32"/>
      <x:c r="Z398" s="32"/>
      <x:c r="AA398" s="32"/>
      <x:c r="AB398" s="32"/>
      <x:c r="AC398" s="32"/>
      <x:c r="AD398" s="32"/>
      <x:c r="AE398" s="32"/>
      <x:c r="AF398" s="32"/>
      <x:c r="AG398" s="32"/>
      <x:c r="AH398" s="32"/>
      <x:c r="AI398" s="32"/>
      <x:c r="AJ398" s="32"/>
      <x:c r="AK398" s="32"/>
      <x:c r="AL398" s="32"/>
      <x:c r="AM398" s="32"/>
      <x:c r="AN398" s="32"/>
      <x:c r="AO398" s="32"/>
      <x:c r="AP398" s="32"/>
      <x:c r="AQ398" s="32"/>
      <x:c r="AR398" s="32"/>
      <x:c r="AS398" s="32"/>
      <x:c r="AT398" s="32"/>
      <x:c r="AU398" s="32"/>
      <x:c r="AV398" s="32"/>
      <x:c r="AW398" s="32"/>
      <x:c r="AX398" s="32"/>
      <x:c r="AZ398" s="32"/>
      <x:c r="BA398" s="32"/>
      <x:c r="BB398" s="32"/>
      <x:c r="BC398" s="32"/>
      <x:c r="BD398" s="32"/>
      <x:c r="BE398" s="32"/>
      <x:c r="BF398" s="32"/>
      <x:c r="BG398" s="32"/>
      <x:c r="BH398" s="32"/>
      <x:c r="BI398" s="32"/>
      <x:c r="BJ398" s="32"/>
      <x:c r="BK398" s="32"/>
      <x:c r="BL398" s="32"/>
      <x:c r="BM398" s="32"/>
    </x:row>
    <x:row r="399">
      <x:c r="A399" s="32"/>
      <x:c r="B399" s="32"/>
      <x:c r="C399" s="42"/>
      <x:c r="D399" s="32"/>
      <x:c r="E399" s="32"/>
      <x:c r="F399" s="32"/>
      <x:c r="G399" s="32"/>
      <x:c r="H399" s="32"/>
      <x:c r="I399" s="32"/>
      <x:c r="J399" s="32"/>
      <x:c r="K399" s="32"/>
      <x:c r="L399" s="32"/>
      <x:c r="M399" s="32"/>
      <x:c r="N399" s="32"/>
      <x:c r="O399" s="32"/>
      <x:c r="P399" s="32"/>
      <x:c r="Q399" s="32"/>
      <x:c r="R399" s="32"/>
      <x:c r="S399" s="32"/>
      <x:c r="T399" s="43" t="str">
        <x:f>IFERROR(S399/L399,"")</x:f>
      </x:c>
      <x:c r="U399" s="32"/>
      <x:c r="V399" s="32"/>
      <x:c r="W399" s="32"/>
      <x:c r="X399" s="32"/>
      <x:c r="Y399" s="32"/>
      <x:c r="Z399" s="32"/>
      <x:c r="AA399" s="32"/>
      <x:c r="AB399" s="32"/>
      <x:c r="AC399" s="32"/>
      <x:c r="AD399" s="32"/>
      <x:c r="AE399" s="32"/>
      <x:c r="AF399" s="32"/>
      <x:c r="AG399" s="32"/>
      <x:c r="AH399" s="32"/>
      <x:c r="AI399" s="32"/>
      <x:c r="AJ399" s="32"/>
      <x:c r="AK399" s="32"/>
      <x:c r="AL399" s="32"/>
      <x:c r="AM399" s="32"/>
      <x:c r="AN399" s="32"/>
      <x:c r="AO399" s="32"/>
      <x:c r="AP399" s="32"/>
      <x:c r="AQ399" s="32"/>
      <x:c r="AR399" s="32"/>
      <x:c r="AS399" s="32"/>
      <x:c r="AT399" s="32"/>
      <x:c r="AU399" s="32"/>
      <x:c r="AV399" s="32"/>
      <x:c r="AW399" s="32"/>
      <x:c r="AX399" s="32"/>
      <x:c r="AZ399" s="32"/>
      <x:c r="BA399" s="32"/>
      <x:c r="BB399" s="32"/>
      <x:c r="BC399" s="32"/>
      <x:c r="BD399" s="32"/>
      <x:c r="BE399" s="32"/>
      <x:c r="BF399" s="32"/>
      <x:c r="BG399" s="32"/>
      <x:c r="BH399" s="32"/>
      <x:c r="BI399" s="32"/>
      <x:c r="BJ399" s="32"/>
      <x:c r="BK399" s="32"/>
      <x:c r="BL399" s="32"/>
      <x:c r="BM399" s="32"/>
    </x:row>
    <x:row r="400">
      <x:c r="A400" s="32"/>
      <x:c r="B400" s="32"/>
      <x:c r="C400" s="42"/>
      <x:c r="D400" s="32"/>
      <x:c r="E400" s="32"/>
      <x:c r="F400" s="32"/>
      <x:c r="G400" s="32"/>
      <x:c r="H400" s="32"/>
      <x:c r="I400" s="32"/>
      <x:c r="J400" s="32"/>
      <x:c r="K400" s="32"/>
      <x:c r="L400" s="32"/>
      <x:c r="M400" s="32"/>
      <x:c r="N400" s="32"/>
      <x:c r="O400" s="32"/>
      <x:c r="P400" s="32"/>
      <x:c r="Q400" s="32"/>
      <x:c r="R400" s="32"/>
      <x:c r="S400" s="32"/>
      <x:c r="T400" s="43" t="str">
        <x:f>IFERROR(S400/L400,"")</x:f>
      </x:c>
      <x:c r="U400" s="32"/>
      <x:c r="V400" s="32"/>
      <x:c r="W400" s="32"/>
      <x:c r="X400" s="32"/>
      <x:c r="Y400" s="32"/>
      <x:c r="Z400" s="32"/>
      <x:c r="AA400" s="32"/>
      <x:c r="AB400" s="32"/>
      <x:c r="AC400" s="32"/>
      <x:c r="AD400" s="32"/>
      <x:c r="AE400" s="32"/>
      <x:c r="AF400" s="32"/>
      <x:c r="AG400" s="32"/>
      <x:c r="AH400" s="32"/>
      <x:c r="AI400" s="32"/>
      <x:c r="AJ400" s="32"/>
      <x:c r="AK400" s="32"/>
      <x:c r="AL400" s="32"/>
      <x:c r="AM400" s="32"/>
      <x:c r="AN400" s="32"/>
      <x:c r="AO400" s="32"/>
      <x:c r="AP400" s="32"/>
      <x:c r="AQ400" s="32"/>
      <x:c r="AR400" s="32"/>
      <x:c r="AS400" s="32"/>
      <x:c r="AT400" s="32"/>
      <x:c r="AU400" s="32"/>
      <x:c r="AV400" s="32"/>
      <x:c r="AW400" s="32"/>
      <x:c r="AX400" s="32"/>
      <x:c r="AZ400" s="32"/>
      <x:c r="BA400" s="32"/>
      <x:c r="BB400" s="32"/>
      <x:c r="BC400" s="32"/>
      <x:c r="BD400" s="32"/>
      <x:c r="BE400" s="32"/>
      <x:c r="BF400" s="32"/>
      <x:c r="BG400" s="32"/>
      <x:c r="BH400" s="32"/>
      <x:c r="BI400" s="32"/>
      <x:c r="BJ400" s="32"/>
      <x:c r="BK400" s="32"/>
      <x:c r="BL400" s="32"/>
      <x:c r="BM400" s="32"/>
    </x:row>
    <x:row r="401">
      <x:c r="A401" s="32"/>
      <x:c r="B401" s="32"/>
      <x:c r="C401" s="42"/>
      <x:c r="D401" s="32"/>
      <x:c r="E401" s="32"/>
      <x:c r="F401" s="32"/>
      <x:c r="G401" s="32"/>
      <x:c r="H401" s="32"/>
      <x:c r="I401" s="32"/>
      <x:c r="J401" s="32"/>
      <x:c r="K401" s="32"/>
      <x:c r="L401" s="32"/>
      <x:c r="M401" s="32"/>
      <x:c r="N401" s="32"/>
      <x:c r="O401" s="32"/>
      <x:c r="P401" s="32"/>
      <x:c r="Q401" s="32"/>
      <x:c r="R401" s="32"/>
      <x:c r="S401" s="32"/>
      <x:c r="T401" s="43" t="str">
        <x:f>IFERROR(S401/L401,"")</x:f>
      </x:c>
      <x:c r="U401" s="32"/>
      <x:c r="V401" s="32"/>
      <x:c r="W401" s="32"/>
      <x:c r="X401" s="32"/>
      <x:c r="Y401" s="32"/>
      <x:c r="Z401" s="32"/>
      <x:c r="AA401" s="32"/>
      <x:c r="AB401" s="32"/>
      <x:c r="AC401" s="32"/>
      <x:c r="AD401" s="32"/>
      <x:c r="AE401" s="32"/>
      <x:c r="AF401" s="32"/>
      <x:c r="AG401" s="32"/>
      <x:c r="AH401" s="32"/>
      <x:c r="AI401" s="32"/>
      <x:c r="AJ401" s="32"/>
      <x:c r="AK401" s="32"/>
      <x:c r="AL401" s="32"/>
      <x:c r="AM401" s="32"/>
      <x:c r="AN401" s="32"/>
      <x:c r="AO401" s="32"/>
      <x:c r="AP401" s="32"/>
      <x:c r="AQ401" s="32"/>
      <x:c r="AR401" s="32"/>
      <x:c r="AS401" s="32"/>
      <x:c r="AT401" s="32"/>
      <x:c r="AU401" s="32"/>
      <x:c r="AV401" s="32"/>
      <x:c r="AW401" s="32"/>
      <x:c r="AX401" s="32"/>
      <x:c r="AZ401" s="32"/>
      <x:c r="BA401" s="32"/>
      <x:c r="BB401" s="32"/>
      <x:c r="BC401" s="32"/>
      <x:c r="BD401" s="32"/>
      <x:c r="BE401" s="32"/>
      <x:c r="BF401" s="32"/>
      <x:c r="BG401" s="32"/>
      <x:c r="BH401" s="32"/>
      <x:c r="BI401" s="32"/>
      <x:c r="BJ401" s="32"/>
      <x:c r="BK401" s="32"/>
      <x:c r="BL401" s="32"/>
      <x:c r="BM401" s="32"/>
    </x:row>
    <x:row r="402">
      <x:c r="A402" s="32"/>
      <x:c r="B402" s="32"/>
      <x:c r="C402" s="42"/>
      <x:c r="D402" s="32"/>
      <x:c r="E402" s="32"/>
      <x:c r="F402" s="32"/>
      <x:c r="G402" s="32"/>
      <x:c r="H402" s="32"/>
      <x:c r="I402" s="32"/>
      <x:c r="J402" s="32"/>
      <x:c r="K402" s="32"/>
      <x:c r="L402" s="32"/>
      <x:c r="M402" s="32"/>
      <x:c r="N402" s="32"/>
      <x:c r="O402" s="32"/>
      <x:c r="P402" s="32"/>
      <x:c r="Q402" s="32"/>
      <x:c r="R402" s="32"/>
      <x:c r="S402" s="32"/>
      <x:c r="T402" s="43" t="str">
        <x:f>IFERROR(S402/L402,"")</x:f>
      </x:c>
      <x:c r="U402" s="32"/>
      <x:c r="V402" s="32"/>
      <x:c r="W402" s="32"/>
      <x:c r="X402" s="32"/>
      <x:c r="Y402" s="32"/>
      <x:c r="Z402" s="32"/>
      <x:c r="AA402" s="32"/>
      <x:c r="AB402" s="32"/>
      <x:c r="AC402" s="32"/>
      <x:c r="AD402" s="32"/>
      <x:c r="AE402" s="32"/>
      <x:c r="AF402" s="32"/>
      <x:c r="AG402" s="32"/>
      <x:c r="AH402" s="32"/>
      <x:c r="AI402" s="32"/>
      <x:c r="AJ402" s="32"/>
      <x:c r="AK402" s="32"/>
      <x:c r="AL402" s="32"/>
      <x:c r="AM402" s="32"/>
      <x:c r="AN402" s="32"/>
      <x:c r="AO402" s="32"/>
      <x:c r="AP402" s="32"/>
      <x:c r="AQ402" s="32"/>
      <x:c r="AR402" s="32"/>
      <x:c r="AS402" s="32"/>
      <x:c r="AT402" s="32"/>
      <x:c r="AU402" s="32"/>
      <x:c r="AV402" s="32"/>
      <x:c r="AW402" s="32"/>
      <x:c r="AX402" s="32"/>
      <x:c r="AZ402" s="32"/>
      <x:c r="BA402" s="32"/>
      <x:c r="BB402" s="32"/>
      <x:c r="BC402" s="32"/>
      <x:c r="BD402" s="32"/>
      <x:c r="BE402" s="32"/>
      <x:c r="BF402" s="32"/>
      <x:c r="BG402" s="32"/>
      <x:c r="BH402" s="32"/>
      <x:c r="BI402" s="32"/>
      <x:c r="BJ402" s="32"/>
      <x:c r="BK402" s="32"/>
      <x:c r="BL402" s="32"/>
      <x:c r="BM402" s="32"/>
    </x:row>
    <x:row r="403">
      <x:c r="A403" s="32"/>
      <x:c r="B403" s="32"/>
      <x:c r="C403" s="42"/>
      <x:c r="D403" s="32"/>
      <x:c r="E403" s="32"/>
      <x:c r="F403" s="32"/>
      <x:c r="G403" s="32"/>
      <x:c r="H403" s="32"/>
      <x:c r="I403" s="32"/>
      <x:c r="J403" s="32"/>
      <x:c r="K403" s="32"/>
      <x:c r="L403" s="32"/>
      <x:c r="M403" s="32"/>
      <x:c r="N403" s="32"/>
      <x:c r="O403" s="32"/>
      <x:c r="P403" s="32"/>
      <x:c r="Q403" s="32"/>
      <x:c r="R403" s="32"/>
      <x:c r="S403" s="32"/>
      <x:c r="T403" s="43" t="str">
        <x:f>IFERROR(S403/L403,"")</x:f>
      </x:c>
      <x:c r="U403" s="32"/>
      <x:c r="V403" s="32"/>
      <x:c r="W403" s="32"/>
      <x:c r="X403" s="32"/>
      <x:c r="Y403" s="32"/>
      <x:c r="Z403" s="32"/>
      <x:c r="AA403" s="32"/>
      <x:c r="AB403" s="32"/>
      <x:c r="AC403" s="32"/>
      <x:c r="AD403" s="32"/>
      <x:c r="AE403" s="32"/>
      <x:c r="AF403" s="32"/>
      <x:c r="AG403" s="32"/>
      <x:c r="AH403" s="32"/>
      <x:c r="AI403" s="32"/>
      <x:c r="AJ403" s="32"/>
      <x:c r="AK403" s="32"/>
      <x:c r="AL403" s="32"/>
      <x:c r="AM403" s="32"/>
      <x:c r="AN403" s="32"/>
      <x:c r="AO403" s="32"/>
      <x:c r="AP403" s="32"/>
      <x:c r="AQ403" s="32"/>
      <x:c r="AR403" s="32"/>
      <x:c r="AS403" s="32"/>
      <x:c r="AT403" s="32"/>
      <x:c r="AU403" s="32"/>
      <x:c r="AV403" s="32"/>
      <x:c r="AW403" s="32"/>
      <x:c r="AX403" s="32"/>
      <x:c r="AZ403" s="32"/>
      <x:c r="BA403" s="32"/>
      <x:c r="BB403" s="32"/>
      <x:c r="BC403" s="32"/>
      <x:c r="BD403" s="32"/>
      <x:c r="BE403" s="32"/>
      <x:c r="BF403" s="32"/>
      <x:c r="BG403" s="32"/>
      <x:c r="BH403" s="32"/>
      <x:c r="BI403" s="32"/>
      <x:c r="BJ403" s="32"/>
      <x:c r="BK403" s="32"/>
      <x:c r="BL403" s="32"/>
      <x:c r="BM403" s="32"/>
    </x:row>
    <x:row r="404">
      <x:c r="A404" s="32"/>
      <x:c r="B404" s="32"/>
      <x:c r="C404" s="42"/>
      <x:c r="D404" s="32"/>
      <x:c r="E404" s="32"/>
      <x:c r="F404" s="32"/>
      <x:c r="G404" s="32"/>
      <x:c r="H404" s="32"/>
      <x:c r="I404" s="32"/>
      <x:c r="J404" s="32"/>
      <x:c r="K404" s="32"/>
      <x:c r="L404" s="32"/>
      <x:c r="M404" s="32"/>
      <x:c r="N404" s="32"/>
      <x:c r="O404" s="32"/>
      <x:c r="P404" s="32"/>
      <x:c r="Q404" s="32"/>
      <x:c r="R404" s="32"/>
      <x:c r="S404" s="32"/>
      <x:c r="T404" s="43" t="str">
        <x:f>IFERROR(S404/L404,"")</x:f>
      </x:c>
      <x:c r="U404" s="32"/>
      <x:c r="V404" s="32"/>
      <x:c r="W404" s="32"/>
      <x:c r="X404" s="32"/>
      <x:c r="Y404" s="32"/>
      <x:c r="Z404" s="32"/>
      <x:c r="AA404" s="32"/>
      <x:c r="AB404" s="32"/>
      <x:c r="AC404" s="32"/>
      <x:c r="AD404" s="32"/>
      <x:c r="AE404" s="32"/>
      <x:c r="AF404" s="32"/>
      <x:c r="AG404" s="32"/>
      <x:c r="AH404" s="32"/>
      <x:c r="AI404" s="32"/>
      <x:c r="AJ404" s="32"/>
      <x:c r="AK404" s="32"/>
      <x:c r="AL404" s="32"/>
      <x:c r="AM404" s="32"/>
      <x:c r="AN404" s="32"/>
      <x:c r="AO404" s="32"/>
      <x:c r="AP404" s="32"/>
      <x:c r="AQ404" s="32"/>
      <x:c r="AR404" s="32"/>
      <x:c r="AS404" s="32"/>
      <x:c r="AT404" s="32"/>
      <x:c r="AU404" s="32"/>
      <x:c r="AV404" s="32"/>
      <x:c r="AW404" s="32"/>
      <x:c r="AX404" s="32"/>
      <x:c r="AZ404" s="32"/>
      <x:c r="BA404" s="32"/>
      <x:c r="BB404" s="32"/>
      <x:c r="BC404" s="32"/>
      <x:c r="BD404" s="32"/>
      <x:c r="BE404" s="32"/>
      <x:c r="BF404" s="32"/>
      <x:c r="BG404" s="32"/>
      <x:c r="BH404" s="32"/>
      <x:c r="BI404" s="32"/>
      <x:c r="BJ404" s="32"/>
      <x:c r="BK404" s="32"/>
      <x:c r="BL404" s="32"/>
      <x:c r="BM404" s="32"/>
    </x:row>
    <x:row r="405">
      <x:c r="A405" s="32"/>
      <x:c r="B405" s="32"/>
      <x:c r="C405" s="42"/>
      <x:c r="D405" s="32"/>
      <x:c r="E405" s="32"/>
      <x:c r="F405" s="32"/>
      <x:c r="G405" s="32"/>
      <x:c r="H405" s="32"/>
      <x:c r="I405" s="32"/>
      <x:c r="J405" s="32"/>
      <x:c r="K405" s="32"/>
      <x:c r="L405" s="32"/>
      <x:c r="M405" s="32"/>
      <x:c r="N405" s="32"/>
      <x:c r="O405" s="32"/>
      <x:c r="P405" s="32"/>
      <x:c r="Q405" s="32"/>
      <x:c r="R405" s="32"/>
      <x:c r="S405" s="32"/>
      <x:c r="T405" s="43" t="str">
        <x:f>IFERROR(S405/L405,"")</x:f>
      </x:c>
      <x:c r="U405" s="32"/>
      <x:c r="V405" s="32"/>
      <x:c r="W405" s="32"/>
      <x:c r="X405" s="32"/>
      <x:c r="Y405" s="32"/>
      <x:c r="Z405" s="32"/>
      <x:c r="AA405" s="32"/>
      <x:c r="AB405" s="32"/>
      <x:c r="AC405" s="32"/>
      <x:c r="AD405" s="32"/>
      <x:c r="AE405" s="32"/>
      <x:c r="AF405" s="32"/>
      <x:c r="AG405" s="32"/>
      <x:c r="AH405" s="32"/>
      <x:c r="AI405" s="32"/>
      <x:c r="AJ405" s="32"/>
      <x:c r="AK405" s="32"/>
      <x:c r="AL405" s="32"/>
      <x:c r="AM405" s="32"/>
      <x:c r="AN405" s="32"/>
      <x:c r="AO405" s="32"/>
      <x:c r="AP405" s="32"/>
      <x:c r="AQ405" s="32"/>
      <x:c r="AR405" s="32"/>
      <x:c r="AS405" s="32"/>
      <x:c r="AT405" s="32"/>
      <x:c r="AU405" s="32"/>
      <x:c r="AV405" s="32"/>
      <x:c r="AW405" s="32"/>
      <x:c r="AX405" s="32"/>
      <x:c r="AZ405" s="32"/>
      <x:c r="BA405" s="32"/>
      <x:c r="BB405" s="32"/>
      <x:c r="BC405" s="32"/>
      <x:c r="BD405" s="32"/>
      <x:c r="BE405" s="32"/>
      <x:c r="BF405" s="32"/>
      <x:c r="BG405" s="32"/>
      <x:c r="BH405" s="32"/>
      <x:c r="BI405" s="32"/>
      <x:c r="BJ405" s="32"/>
      <x:c r="BK405" s="32"/>
      <x:c r="BL405" s="32"/>
      <x:c r="BM405" s="32"/>
    </x:row>
    <x:row r="406">
      <x:c r="A406" s="32"/>
      <x:c r="B406" s="32"/>
      <x:c r="C406" s="42"/>
      <x:c r="D406" s="32"/>
      <x:c r="E406" s="32"/>
      <x:c r="F406" s="32"/>
      <x:c r="G406" s="32"/>
      <x:c r="H406" s="32"/>
      <x:c r="I406" s="32"/>
      <x:c r="J406" s="32"/>
      <x:c r="K406" s="32"/>
      <x:c r="L406" s="32"/>
      <x:c r="M406" s="32"/>
      <x:c r="N406" s="32"/>
      <x:c r="O406" s="32"/>
      <x:c r="P406" s="32"/>
      <x:c r="Q406" s="32"/>
      <x:c r="R406" s="32"/>
      <x:c r="S406" s="32"/>
      <x:c r="T406" s="43" t="str">
        <x:f>IFERROR(S406/L406,"")</x:f>
      </x:c>
      <x:c r="U406" s="32"/>
      <x:c r="V406" s="32"/>
      <x:c r="W406" s="32"/>
      <x:c r="X406" s="32"/>
      <x:c r="Y406" s="32"/>
      <x:c r="Z406" s="32"/>
      <x:c r="AA406" s="32"/>
      <x:c r="AB406" s="32"/>
      <x:c r="AC406" s="32"/>
      <x:c r="AD406" s="32"/>
      <x:c r="AE406" s="32"/>
      <x:c r="AF406" s="32"/>
      <x:c r="AG406" s="32"/>
      <x:c r="AH406" s="32"/>
      <x:c r="AI406" s="32"/>
      <x:c r="AJ406" s="32"/>
      <x:c r="AK406" s="32"/>
      <x:c r="AL406" s="32"/>
      <x:c r="AM406" s="32"/>
      <x:c r="AN406" s="32"/>
      <x:c r="AO406" s="32"/>
      <x:c r="AP406" s="32"/>
      <x:c r="AQ406" s="32"/>
      <x:c r="AR406" s="32"/>
      <x:c r="AS406" s="32"/>
      <x:c r="AT406" s="32"/>
      <x:c r="AU406" s="32"/>
      <x:c r="AV406" s="32"/>
      <x:c r="AW406" s="32"/>
      <x:c r="AX406" s="32"/>
      <x:c r="AZ406" s="32"/>
      <x:c r="BA406" s="32"/>
      <x:c r="BB406" s="32"/>
      <x:c r="BC406" s="32"/>
      <x:c r="BD406" s="32"/>
      <x:c r="BE406" s="32"/>
      <x:c r="BF406" s="32"/>
      <x:c r="BG406" s="32"/>
      <x:c r="BH406" s="32"/>
      <x:c r="BI406" s="32"/>
      <x:c r="BJ406" s="32"/>
      <x:c r="BK406" s="32"/>
      <x:c r="BL406" s="32"/>
      <x:c r="BM406" s="32"/>
    </x:row>
    <x:row r="407">
      <x:c r="A407" s="32"/>
      <x:c r="B407" s="32"/>
      <x:c r="C407" s="42"/>
      <x:c r="D407" s="32"/>
      <x:c r="E407" s="32"/>
      <x:c r="F407" s="32"/>
      <x:c r="G407" s="32"/>
      <x:c r="H407" s="32"/>
      <x:c r="I407" s="32"/>
      <x:c r="J407" s="32"/>
      <x:c r="K407" s="32"/>
      <x:c r="L407" s="32"/>
      <x:c r="M407" s="32"/>
      <x:c r="N407" s="32"/>
      <x:c r="O407" s="32"/>
      <x:c r="P407" s="32"/>
      <x:c r="Q407" s="32"/>
      <x:c r="R407" s="32"/>
      <x:c r="S407" s="32"/>
      <x:c r="T407" s="43" t="str">
        <x:f>IFERROR(S407/L407,"")</x:f>
      </x:c>
      <x:c r="U407" s="32"/>
      <x:c r="V407" s="32"/>
      <x:c r="W407" s="32"/>
      <x:c r="X407" s="32"/>
      <x:c r="Y407" s="32"/>
      <x:c r="Z407" s="32"/>
      <x:c r="AA407" s="32"/>
      <x:c r="AB407" s="32"/>
      <x:c r="AC407" s="32"/>
      <x:c r="AD407" s="32"/>
      <x:c r="AE407" s="32"/>
      <x:c r="AF407" s="32"/>
      <x:c r="AG407" s="32"/>
      <x:c r="AH407" s="32"/>
      <x:c r="AI407" s="32"/>
      <x:c r="AJ407" s="32"/>
      <x:c r="AK407" s="32"/>
      <x:c r="AL407" s="32"/>
      <x:c r="AM407" s="32"/>
      <x:c r="AN407" s="32"/>
      <x:c r="AO407" s="32"/>
      <x:c r="AP407" s="32"/>
      <x:c r="AQ407" s="32"/>
      <x:c r="AR407" s="32"/>
      <x:c r="AS407" s="32"/>
      <x:c r="AT407" s="32"/>
      <x:c r="AU407" s="32"/>
      <x:c r="AV407" s="32"/>
      <x:c r="AW407" s="32"/>
      <x:c r="AX407" s="32"/>
      <x:c r="AZ407" s="32"/>
      <x:c r="BA407" s="32"/>
      <x:c r="BB407" s="32"/>
      <x:c r="BC407" s="32"/>
      <x:c r="BD407" s="32"/>
      <x:c r="BE407" s="32"/>
      <x:c r="BF407" s="32"/>
      <x:c r="BG407" s="32"/>
      <x:c r="BH407" s="32"/>
      <x:c r="BI407" s="32"/>
      <x:c r="BJ407" s="32"/>
      <x:c r="BK407" s="32"/>
      <x:c r="BL407" s="32"/>
      <x:c r="BM407" s="32"/>
    </x:row>
    <x:row r="408">
      <x:c r="A408" s="32"/>
      <x:c r="B408" s="32"/>
      <x:c r="C408" s="42"/>
      <x:c r="D408" s="32"/>
      <x:c r="E408" s="32"/>
      <x:c r="F408" s="32"/>
      <x:c r="G408" s="32"/>
      <x:c r="H408" s="32"/>
      <x:c r="I408" s="32"/>
      <x:c r="J408" s="32"/>
      <x:c r="K408" s="32"/>
      <x:c r="L408" s="32"/>
      <x:c r="M408" s="32"/>
      <x:c r="N408" s="32"/>
      <x:c r="O408" s="32"/>
      <x:c r="P408" s="32"/>
      <x:c r="Q408" s="32"/>
      <x:c r="R408" s="32"/>
      <x:c r="S408" s="32"/>
      <x:c r="T408" s="43" t="str">
        <x:f>IFERROR(S408/L408,"")</x:f>
      </x:c>
      <x:c r="U408" s="32"/>
      <x:c r="V408" s="32"/>
      <x:c r="W408" s="32"/>
      <x:c r="X408" s="32"/>
      <x:c r="Y408" s="32"/>
      <x:c r="Z408" s="32"/>
      <x:c r="AA408" s="32"/>
      <x:c r="AB408" s="32"/>
      <x:c r="AC408" s="32"/>
      <x:c r="AD408" s="32"/>
      <x:c r="AE408" s="32"/>
      <x:c r="AF408" s="32"/>
      <x:c r="AG408" s="32"/>
      <x:c r="AH408" s="32"/>
      <x:c r="AI408" s="32"/>
      <x:c r="AJ408" s="32"/>
      <x:c r="AK408" s="32"/>
      <x:c r="AL408" s="32"/>
      <x:c r="AM408" s="32"/>
      <x:c r="AN408" s="32"/>
      <x:c r="AO408" s="32"/>
      <x:c r="AP408" s="32"/>
      <x:c r="AQ408" s="32"/>
      <x:c r="AR408" s="32"/>
      <x:c r="AS408" s="32"/>
      <x:c r="AT408" s="32"/>
      <x:c r="AU408" s="32"/>
      <x:c r="AV408" s="32"/>
      <x:c r="AW408" s="32"/>
      <x:c r="AX408" s="32"/>
      <x:c r="AZ408" s="32"/>
      <x:c r="BA408" s="32"/>
      <x:c r="BB408" s="32"/>
      <x:c r="BC408" s="32"/>
      <x:c r="BD408" s="32"/>
      <x:c r="BE408" s="32"/>
      <x:c r="BF408" s="32"/>
      <x:c r="BG408" s="32"/>
      <x:c r="BH408" s="32"/>
      <x:c r="BI408" s="32"/>
      <x:c r="BJ408" s="32"/>
      <x:c r="BK408" s="32"/>
      <x:c r="BL408" s="32"/>
      <x:c r="BM408" s="32"/>
    </x:row>
    <x:row r="409">
      <x:c r="A409" s="32"/>
      <x:c r="B409" s="32"/>
      <x:c r="C409" s="42"/>
      <x:c r="D409" s="32"/>
      <x:c r="E409" s="32"/>
      <x:c r="F409" s="32"/>
      <x:c r="G409" s="32"/>
      <x:c r="H409" s="32"/>
      <x:c r="I409" s="32"/>
      <x:c r="J409" s="32"/>
      <x:c r="K409" s="32"/>
      <x:c r="L409" s="32"/>
      <x:c r="M409" s="32"/>
      <x:c r="N409" s="32"/>
      <x:c r="O409" s="32"/>
      <x:c r="P409" s="32"/>
      <x:c r="Q409" s="32"/>
      <x:c r="R409" s="32"/>
      <x:c r="S409" s="32"/>
      <x:c r="T409" s="43" t="str">
        <x:f>IFERROR(S409/L409,"")</x:f>
      </x:c>
      <x:c r="U409" s="32"/>
      <x:c r="V409" s="32"/>
      <x:c r="W409" s="32"/>
      <x:c r="X409" s="32"/>
      <x:c r="Y409" s="32"/>
      <x:c r="Z409" s="32"/>
      <x:c r="AA409" s="32"/>
      <x:c r="AB409" s="32"/>
      <x:c r="AC409" s="32"/>
      <x:c r="AD409" s="32"/>
      <x:c r="AE409" s="32"/>
      <x:c r="AF409" s="32"/>
      <x:c r="AG409" s="32"/>
      <x:c r="AH409" s="32"/>
      <x:c r="AI409" s="32"/>
      <x:c r="AJ409" s="32"/>
      <x:c r="AK409" s="32"/>
      <x:c r="AL409" s="32"/>
      <x:c r="AM409" s="32"/>
      <x:c r="AN409" s="32"/>
      <x:c r="AO409" s="32"/>
      <x:c r="AP409" s="32"/>
      <x:c r="AQ409" s="32"/>
      <x:c r="AR409" s="32"/>
      <x:c r="AS409" s="32"/>
      <x:c r="AT409" s="32"/>
      <x:c r="AU409" s="32"/>
      <x:c r="AV409" s="32"/>
      <x:c r="AW409" s="32"/>
      <x:c r="AX409" s="32"/>
      <x:c r="AZ409" s="32"/>
      <x:c r="BA409" s="32"/>
      <x:c r="BB409" s="32"/>
      <x:c r="BC409" s="32"/>
      <x:c r="BD409" s="32"/>
      <x:c r="BE409" s="32"/>
      <x:c r="BF409" s="32"/>
      <x:c r="BG409" s="32"/>
      <x:c r="BH409" s="32"/>
      <x:c r="BI409" s="32"/>
      <x:c r="BJ409" s="32"/>
      <x:c r="BK409" s="32"/>
      <x:c r="BL409" s="32"/>
      <x:c r="BM409" s="32"/>
    </x:row>
    <x:row r="410">
      <x:c r="A410" s="32"/>
      <x:c r="B410" s="32"/>
      <x:c r="C410" s="42"/>
      <x:c r="D410" s="32"/>
      <x:c r="E410" s="32"/>
      <x:c r="F410" s="32"/>
      <x:c r="G410" s="32"/>
      <x:c r="H410" s="32"/>
      <x:c r="I410" s="32"/>
      <x:c r="J410" s="32"/>
      <x:c r="K410" s="32"/>
      <x:c r="L410" s="32"/>
      <x:c r="M410" s="32"/>
      <x:c r="N410" s="32"/>
      <x:c r="O410" s="32"/>
      <x:c r="P410" s="32"/>
      <x:c r="Q410" s="32"/>
      <x:c r="R410" s="32"/>
      <x:c r="S410" s="32"/>
      <x:c r="T410" s="43" t="str">
        <x:f>IFERROR(S410/L410,"")</x:f>
      </x:c>
      <x:c r="U410" s="32"/>
      <x:c r="V410" s="32"/>
      <x:c r="W410" s="32"/>
      <x:c r="X410" s="32"/>
      <x:c r="Y410" s="32"/>
      <x:c r="Z410" s="32"/>
      <x:c r="AA410" s="32"/>
      <x:c r="AB410" s="32"/>
      <x:c r="AC410" s="32"/>
      <x:c r="AD410" s="32"/>
      <x:c r="AE410" s="32"/>
      <x:c r="AF410" s="32"/>
      <x:c r="AG410" s="32"/>
      <x:c r="AH410" s="32"/>
      <x:c r="AI410" s="32"/>
      <x:c r="AJ410" s="32"/>
      <x:c r="AK410" s="32"/>
      <x:c r="AL410" s="32"/>
      <x:c r="AM410" s="32"/>
      <x:c r="AN410" s="32"/>
      <x:c r="AO410" s="32"/>
      <x:c r="AP410" s="32"/>
      <x:c r="AQ410" s="32"/>
      <x:c r="AR410" s="32"/>
      <x:c r="AS410" s="32"/>
      <x:c r="AT410" s="32"/>
      <x:c r="AU410" s="32"/>
      <x:c r="AV410" s="32"/>
      <x:c r="AW410" s="32"/>
      <x:c r="AX410" s="32"/>
      <x:c r="AZ410" s="32"/>
      <x:c r="BA410" s="32"/>
      <x:c r="BB410" s="32"/>
      <x:c r="BC410" s="32"/>
      <x:c r="BD410" s="32"/>
      <x:c r="BE410" s="32"/>
      <x:c r="BF410" s="32"/>
      <x:c r="BG410" s="32"/>
      <x:c r="BH410" s="32"/>
      <x:c r="BI410" s="32"/>
      <x:c r="BJ410" s="32"/>
      <x:c r="BK410" s="32"/>
      <x:c r="BL410" s="32"/>
      <x:c r="BM410" s="32"/>
    </x:row>
    <x:row r="411">
      <x:c r="A411" s="32"/>
      <x:c r="B411" s="32"/>
      <x:c r="C411" s="42"/>
      <x:c r="D411" s="32"/>
      <x:c r="E411" s="32"/>
      <x:c r="F411" s="32"/>
      <x:c r="G411" s="32"/>
      <x:c r="H411" s="32"/>
      <x:c r="I411" s="32"/>
      <x:c r="J411" s="32"/>
      <x:c r="K411" s="32"/>
      <x:c r="L411" s="32"/>
      <x:c r="M411" s="32"/>
      <x:c r="N411" s="32"/>
      <x:c r="O411" s="32"/>
      <x:c r="P411" s="32"/>
      <x:c r="Q411" s="32"/>
      <x:c r="R411" s="32"/>
      <x:c r="S411" s="32"/>
      <x:c r="T411" s="43" t="str">
        <x:f>IFERROR(S411/L411,"")</x:f>
      </x:c>
      <x:c r="U411" s="32"/>
      <x:c r="V411" s="32"/>
      <x:c r="W411" s="32"/>
      <x:c r="X411" s="32"/>
      <x:c r="Y411" s="32"/>
      <x:c r="Z411" s="32"/>
      <x:c r="AA411" s="32"/>
      <x:c r="AB411" s="32"/>
      <x:c r="AC411" s="32"/>
      <x:c r="AD411" s="32"/>
      <x:c r="AE411" s="32"/>
      <x:c r="AF411" s="32"/>
      <x:c r="AG411" s="32"/>
      <x:c r="AH411" s="32"/>
      <x:c r="AI411" s="32"/>
      <x:c r="AJ411" s="32"/>
      <x:c r="AK411" s="32"/>
      <x:c r="AL411" s="32"/>
      <x:c r="AM411" s="32"/>
      <x:c r="AN411" s="32"/>
      <x:c r="AO411" s="32"/>
      <x:c r="AP411" s="32"/>
      <x:c r="AQ411" s="32"/>
      <x:c r="AR411" s="32"/>
      <x:c r="AS411" s="32"/>
      <x:c r="AT411" s="32"/>
      <x:c r="AU411" s="32"/>
      <x:c r="AV411" s="32"/>
      <x:c r="AW411" s="32"/>
      <x:c r="AX411" s="32"/>
      <x:c r="AZ411" s="32"/>
      <x:c r="BA411" s="32"/>
      <x:c r="BB411" s="32"/>
      <x:c r="BC411" s="32"/>
      <x:c r="BD411" s="32"/>
      <x:c r="BE411" s="32"/>
      <x:c r="BF411" s="32"/>
      <x:c r="BG411" s="32"/>
      <x:c r="BH411" s="32"/>
      <x:c r="BI411" s="32"/>
      <x:c r="BJ411" s="32"/>
      <x:c r="BK411" s="32"/>
      <x:c r="BL411" s="32"/>
      <x:c r="BM411" s="32"/>
    </x:row>
    <x:row r="412">
      <x:c r="A412" s="32"/>
      <x:c r="B412" s="32"/>
      <x:c r="C412" s="42"/>
      <x:c r="D412" s="32"/>
      <x:c r="E412" s="32"/>
      <x:c r="F412" s="32"/>
      <x:c r="G412" s="32"/>
      <x:c r="H412" s="32"/>
      <x:c r="I412" s="32"/>
      <x:c r="J412" s="32"/>
      <x:c r="K412" s="32"/>
      <x:c r="L412" s="32"/>
      <x:c r="M412" s="32"/>
      <x:c r="N412" s="32"/>
      <x:c r="O412" s="32"/>
      <x:c r="P412" s="32"/>
      <x:c r="Q412" s="32"/>
      <x:c r="R412" s="32"/>
      <x:c r="S412" s="32"/>
      <x:c r="T412" s="43" t="str">
        <x:f>IFERROR(S412/L412,"")</x:f>
      </x:c>
      <x:c r="U412" s="32"/>
      <x:c r="V412" s="32"/>
      <x:c r="W412" s="32"/>
      <x:c r="X412" s="32"/>
      <x:c r="Y412" s="32"/>
      <x:c r="Z412" s="32"/>
      <x:c r="AA412" s="32"/>
      <x:c r="AB412" s="32"/>
      <x:c r="AC412" s="32"/>
      <x:c r="AD412" s="32"/>
      <x:c r="AE412" s="32"/>
      <x:c r="AF412" s="32"/>
      <x:c r="AG412" s="32"/>
      <x:c r="AH412" s="32"/>
      <x:c r="AI412" s="32"/>
      <x:c r="AJ412" s="32"/>
      <x:c r="AK412" s="32"/>
      <x:c r="AL412" s="32"/>
      <x:c r="AM412" s="32"/>
      <x:c r="AN412" s="32"/>
      <x:c r="AO412" s="32"/>
      <x:c r="AP412" s="32"/>
      <x:c r="AQ412" s="32"/>
      <x:c r="AR412" s="32"/>
      <x:c r="AS412" s="32"/>
      <x:c r="AT412" s="32"/>
      <x:c r="AU412" s="32"/>
      <x:c r="AV412" s="32"/>
      <x:c r="AW412" s="32"/>
      <x:c r="AX412" s="32"/>
      <x:c r="AZ412" s="32"/>
      <x:c r="BA412" s="32"/>
      <x:c r="BB412" s="32"/>
      <x:c r="BC412" s="32"/>
      <x:c r="BD412" s="32"/>
      <x:c r="BE412" s="32"/>
      <x:c r="BF412" s="32"/>
      <x:c r="BG412" s="32"/>
      <x:c r="BH412" s="32"/>
      <x:c r="BI412" s="32"/>
      <x:c r="BJ412" s="32"/>
      <x:c r="BK412" s="32"/>
      <x:c r="BL412" s="32"/>
      <x:c r="BM412" s="32"/>
    </x:row>
    <x:row r="413">
      <x:c r="A413" s="32"/>
      <x:c r="B413" s="32"/>
      <x:c r="C413" s="42"/>
      <x:c r="D413" s="32"/>
      <x:c r="E413" s="32"/>
      <x:c r="F413" s="32"/>
      <x:c r="G413" s="32"/>
      <x:c r="H413" s="32"/>
      <x:c r="I413" s="32"/>
      <x:c r="J413" s="32"/>
      <x:c r="K413" s="32"/>
      <x:c r="L413" s="32"/>
      <x:c r="M413" s="32"/>
      <x:c r="N413" s="32"/>
      <x:c r="O413" s="32"/>
      <x:c r="P413" s="32"/>
      <x:c r="Q413" s="32"/>
      <x:c r="R413" s="32"/>
      <x:c r="S413" s="32"/>
      <x:c r="T413" s="43" t="str">
        <x:f>IFERROR(S413/L413,"")</x:f>
      </x:c>
      <x:c r="U413" s="32"/>
      <x:c r="V413" s="32"/>
      <x:c r="W413" s="32"/>
      <x:c r="X413" s="32"/>
      <x:c r="Y413" s="32"/>
      <x:c r="Z413" s="32"/>
      <x:c r="AA413" s="32"/>
      <x:c r="AB413" s="32"/>
      <x:c r="AC413" s="32"/>
      <x:c r="AD413" s="32"/>
      <x:c r="AE413" s="32"/>
      <x:c r="AF413" s="32"/>
      <x:c r="AG413" s="32"/>
      <x:c r="AH413" s="32"/>
      <x:c r="AI413" s="32"/>
      <x:c r="AJ413" s="32"/>
      <x:c r="AK413" s="32"/>
      <x:c r="AL413" s="32"/>
      <x:c r="AM413" s="32"/>
      <x:c r="AN413" s="32"/>
      <x:c r="AO413" s="32"/>
      <x:c r="AP413" s="32"/>
      <x:c r="AQ413" s="32"/>
      <x:c r="AR413" s="32"/>
      <x:c r="AS413" s="32"/>
      <x:c r="AT413" s="32"/>
      <x:c r="AU413" s="32"/>
      <x:c r="AV413" s="32"/>
      <x:c r="AW413" s="32"/>
      <x:c r="AX413" s="32"/>
      <x:c r="AZ413" s="32"/>
      <x:c r="BA413" s="32"/>
      <x:c r="BB413" s="32"/>
      <x:c r="BC413" s="32"/>
      <x:c r="BD413" s="32"/>
      <x:c r="BE413" s="32"/>
      <x:c r="BF413" s="32"/>
      <x:c r="BG413" s="32"/>
      <x:c r="BH413" s="32"/>
      <x:c r="BI413" s="32"/>
      <x:c r="BJ413" s="32"/>
      <x:c r="BK413" s="32"/>
      <x:c r="BL413" s="32"/>
      <x:c r="BM413" s="32"/>
    </x:row>
    <x:row r="414">
      <x:c r="A414" s="32"/>
      <x:c r="B414" s="32"/>
      <x:c r="C414" s="42"/>
      <x:c r="D414" s="32"/>
      <x:c r="E414" s="32"/>
      <x:c r="F414" s="32"/>
      <x:c r="G414" s="32"/>
      <x:c r="H414" s="32"/>
      <x:c r="I414" s="32"/>
      <x:c r="J414" s="32"/>
      <x:c r="K414" s="32"/>
      <x:c r="L414" s="32"/>
      <x:c r="M414" s="32"/>
      <x:c r="N414" s="32"/>
      <x:c r="O414" s="32"/>
      <x:c r="P414" s="32"/>
      <x:c r="Q414" s="32"/>
      <x:c r="R414" s="32"/>
      <x:c r="S414" s="32"/>
      <x:c r="T414" s="43" t="str">
        <x:f>IFERROR(S414/L414,"")</x:f>
      </x:c>
      <x:c r="U414" s="32"/>
      <x:c r="V414" s="32"/>
      <x:c r="W414" s="32"/>
      <x:c r="X414" s="32"/>
      <x:c r="Y414" s="32"/>
      <x:c r="Z414" s="32"/>
      <x:c r="AA414" s="32"/>
      <x:c r="AB414" s="32"/>
      <x:c r="AC414" s="32"/>
      <x:c r="AD414" s="32"/>
      <x:c r="AE414" s="32"/>
      <x:c r="AF414" s="32"/>
      <x:c r="AG414" s="32"/>
      <x:c r="AH414" s="32"/>
      <x:c r="AI414" s="32"/>
      <x:c r="AJ414" s="32"/>
      <x:c r="AK414" s="32"/>
      <x:c r="AL414" s="32"/>
      <x:c r="AM414" s="32"/>
      <x:c r="AN414" s="32"/>
      <x:c r="AO414" s="32"/>
      <x:c r="AP414" s="32"/>
      <x:c r="AQ414" s="32"/>
      <x:c r="AR414" s="32"/>
      <x:c r="AS414" s="32"/>
      <x:c r="AT414" s="32"/>
      <x:c r="AU414" s="32"/>
      <x:c r="AV414" s="32"/>
      <x:c r="AW414" s="32"/>
      <x:c r="AX414" s="32"/>
      <x:c r="AZ414" s="32"/>
      <x:c r="BA414" s="32"/>
      <x:c r="BB414" s="32"/>
      <x:c r="BC414" s="32"/>
      <x:c r="BD414" s="32"/>
      <x:c r="BE414" s="32"/>
      <x:c r="BF414" s="32"/>
      <x:c r="BG414" s="32"/>
      <x:c r="BH414" s="32"/>
      <x:c r="BI414" s="32"/>
      <x:c r="BJ414" s="32"/>
      <x:c r="BK414" s="32"/>
      <x:c r="BL414" s="32"/>
      <x:c r="BM414" s="32"/>
    </x:row>
    <x:row r="415">
      <x:c r="A415" s="32"/>
      <x:c r="B415" s="32"/>
      <x:c r="C415" s="42"/>
      <x:c r="D415" s="32"/>
      <x:c r="E415" s="32"/>
      <x:c r="F415" s="32"/>
      <x:c r="G415" s="32"/>
      <x:c r="H415" s="32"/>
      <x:c r="I415" s="32"/>
      <x:c r="J415" s="32"/>
      <x:c r="K415" s="32"/>
      <x:c r="L415" s="32"/>
      <x:c r="M415" s="32"/>
      <x:c r="N415" s="32"/>
      <x:c r="O415" s="32"/>
      <x:c r="P415" s="32"/>
      <x:c r="Q415" s="32"/>
      <x:c r="R415" s="32"/>
      <x:c r="S415" s="32"/>
      <x:c r="T415" s="43" t="str">
        <x:f>IFERROR(S415/L415,"")</x:f>
      </x:c>
      <x:c r="U415" s="32"/>
      <x:c r="V415" s="32"/>
      <x:c r="W415" s="32"/>
      <x:c r="X415" s="32"/>
      <x:c r="Y415" s="32"/>
      <x:c r="Z415" s="32"/>
      <x:c r="AA415" s="32"/>
      <x:c r="AB415" s="32"/>
      <x:c r="AC415" s="32"/>
      <x:c r="AD415" s="32"/>
      <x:c r="AE415" s="32"/>
      <x:c r="AF415" s="32"/>
      <x:c r="AG415" s="32"/>
      <x:c r="AH415" s="32"/>
      <x:c r="AI415" s="32"/>
      <x:c r="AJ415" s="32"/>
      <x:c r="AK415" s="32"/>
      <x:c r="AL415" s="32"/>
      <x:c r="AM415" s="32"/>
      <x:c r="AN415" s="32"/>
      <x:c r="AO415" s="32"/>
      <x:c r="AP415" s="32"/>
      <x:c r="AQ415" s="32"/>
      <x:c r="AR415" s="32"/>
      <x:c r="AS415" s="32"/>
      <x:c r="AT415" s="32"/>
      <x:c r="AU415" s="32"/>
      <x:c r="AV415" s="32"/>
      <x:c r="AW415" s="32"/>
      <x:c r="AX415" s="32"/>
      <x:c r="AZ415" s="32"/>
      <x:c r="BA415" s="32"/>
      <x:c r="BB415" s="32"/>
      <x:c r="BC415" s="32"/>
      <x:c r="BD415" s="32"/>
      <x:c r="BE415" s="32"/>
      <x:c r="BF415" s="32"/>
      <x:c r="BG415" s="32"/>
      <x:c r="BH415" s="32"/>
      <x:c r="BI415" s="32"/>
      <x:c r="BJ415" s="32"/>
      <x:c r="BK415" s="32"/>
      <x:c r="BL415" s="32"/>
      <x:c r="BM415" s="32"/>
    </x:row>
    <x:row r="416">
      <x:c r="A416" s="32"/>
      <x:c r="B416" s="32"/>
      <x:c r="C416" s="42"/>
      <x:c r="D416" s="32"/>
      <x:c r="E416" s="32"/>
      <x:c r="F416" s="32"/>
      <x:c r="G416" s="32"/>
      <x:c r="H416" s="32"/>
      <x:c r="I416" s="32"/>
      <x:c r="J416" s="32"/>
      <x:c r="K416" s="32"/>
      <x:c r="L416" s="32"/>
      <x:c r="M416" s="32"/>
      <x:c r="N416" s="32"/>
      <x:c r="O416" s="32"/>
      <x:c r="P416" s="32"/>
      <x:c r="Q416" s="32"/>
      <x:c r="R416" s="32"/>
      <x:c r="S416" s="32"/>
      <x:c r="T416" s="43" t="str">
        <x:f>IFERROR(S416/L416,"")</x:f>
      </x:c>
      <x:c r="U416" s="32"/>
      <x:c r="V416" s="32"/>
      <x:c r="W416" s="32"/>
      <x:c r="X416" s="32"/>
      <x:c r="Y416" s="32"/>
      <x:c r="Z416" s="32"/>
      <x:c r="AA416" s="32"/>
      <x:c r="AB416" s="32"/>
      <x:c r="AC416" s="32"/>
      <x:c r="AD416" s="32"/>
      <x:c r="AE416" s="32"/>
      <x:c r="AF416" s="32"/>
      <x:c r="AG416" s="32"/>
      <x:c r="AH416" s="32"/>
      <x:c r="AI416" s="32"/>
      <x:c r="AJ416" s="32"/>
      <x:c r="AK416" s="32"/>
      <x:c r="AL416" s="32"/>
      <x:c r="AM416" s="32"/>
      <x:c r="AN416" s="32"/>
      <x:c r="AO416" s="32"/>
      <x:c r="AP416" s="32"/>
      <x:c r="AQ416" s="32"/>
      <x:c r="AR416" s="32"/>
      <x:c r="AS416" s="32"/>
      <x:c r="AT416" s="32"/>
      <x:c r="AU416" s="32"/>
      <x:c r="AV416" s="32"/>
      <x:c r="AW416" s="32"/>
      <x:c r="AX416" s="32"/>
      <x:c r="AZ416" s="32"/>
      <x:c r="BA416" s="32"/>
      <x:c r="BB416" s="32"/>
      <x:c r="BC416" s="32"/>
      <x:c r="BD416" s="32"/>
      <x:c r="BE416" s="32"/>
      <x:c r="BF416" s="32"/>
      <x:c r="BG416" s="32"/>
      <x:c r="BH416" s="32"/>
      <x:c r="BI416" s="32"/>
      <x:c r="BJ416" s="32"/>
      <x:c r="BK416" s="32"/>
      <x:c r="BL416" s="32"/>
      <x:c r="BM416" s="32"/>
    </x:row>
    <x:row r="417">
      <x:c r="A417" s="32"/>
      <x:c r="B417" s="32"/>
      <x:c r="C417" s="42"/>
      <x:c r="D417" s="32"/>
      <x:c r="E417" s="32"/>
      <x:c r="F417" s="32"/>
      <x:c r="G417" s="32"/>
      <x:c r="H417" s="32"/>
      <x:c r="I417" s="32"/>
      <x:c r="J417" s="32"/>
      <x:c r="K417" s="32"/>
      <x:c r="L417" s="32"/>
      <x:c r="M417" s="32"/>
      <x:c r="N417" s="32"/>
      <x:c r="O417" s="32"/>
      <x:c r="P417" s="32"/>
      <x:c r="Q417" s="32"/>
      <x:c r="R417" s="32"/>
      <x:c r="S417" s="32"/>
      <x:c r="T417" s="43" t="str">
        <x:f>IFERROR(S417/L417,"")</x:f>
      </x:c>
      <x:c r="U417" s="32"/>
      <x:c r="V417" s="32"/>
      <x:c r="W417" s="32"/>
      <x:c r="X417" s="32"/>
      <x:c r="Y417" s="32"/>
      <x:c r="Z417" s="32"/>
      <x:c r="AA417" s="32"/>
      <x:c r="AB417" s="32"/>
      <x:c r="AC417" s="32"/>
      <x:c r="AD417" s="32"/>
      <x:c r="AE417" s="32"/>
      <x:c r="AF417" s="32"/>
      <x:c r="AG417" s="32"/>
      <x:c r="AH417" s="32"/>
      <x:c r="AI417" s="32"/>
      <x:c r="AJ417" s="32"/>
      <x:c r="AK417" s="32"/>
      <x:c r="AL417" s="32"/>
      <x:c r="AM417" s="32"/>
      <x:c r="AN417" s="32"/>
      <x:c r="AO417" s="32"/>
      <x:c r="AP417" s="32"/>
      <x:c r="AQ417" s="32"/>
      <x:c r="AR417" s="32"/>
      <x:c r="AS417" s="32"/>
      <x:c r="AT417" s="32"/>
      <x:c r="AU417" s="32"/>
      <x:c r="AV417" s="32"/>
      <x:c r="AW417" s="32"/>
      <x:c r="AX417" s="32"/>
      <x:c r="AZ417" s="32"/>
      <x:c r="BA417" s="32"/>
      <x:c r="BB417" s="32"/>
      <x:c r="BC417" s="32"/>
      <x:c r="BD417" s="32"/>
      <x:c r="BE417" s="32"/>
      <x:c r="BF417" s="32"/>
      <x:c r="BG417" s="32"/>
      <x:c r="BH417" s="32"/>
      <x:c r="BI417" s="32"/>
      <x:c r="BJ417" s="32"/>
      <x:c r="BK417" s="32"/>
      <x:c r="BL417" s="32"/>
      <x:c r="BM417" s="32"/>
    </x:row>
    <x:row r="418">
      <x:c r="A418" s="32"/>
      <x:c r="B418" s="32"/>
      <x:c r="C418" s="42"/>
      <x:c r="D418" s="32"/>
      <x:c r="E418" s="32"/>
      <x:c r="F418" s="32"/>
      <x:c r="G418" s="32"/>
      <x:c r="H418" s="32"/>
      <x:c r="I418" s="32"/>
      <x:c r="J418" s="32"/>
      <x:c r="K418" s="32"/>
      <x:c r="L418" s="32"/>
      <x:c r="M418" s="32"/>
      <x:c r="N418" s="32"/>
      <x:c r="O418" s="32"/>
      <x:c r="P418" s="32"/>
      <x:c r="Q418" s="32"/>
      <x:c r="R418" s="32"/>
      <x:c r="S418" s="32"/>
      <x:c r="T418" s="43" t="str">
        <x:f>IFERROR(S418/L418,"")</x:f>
      </x:c>
      <x:c r="U418" s="32"/>
      <x:c r="V418" s="32"/>
      <x:c r="W418" s="32"/>
      <x:c r="X418" s="32"/>
      <x:c r="Y418" s="32"/>
      <x:c r="Z418" s="32"/>
      <x:c r="AA418" s="32"/>
      <x:c r="AB418" s="32"/>
      <x:c r="AC418" s="32"/>
      <x:c r="AD418" s="32"/>
      <x:c r="AE418" s="32"/>
      <x:c r="AF418" s="32"/>
      <x:c r="AG418" s="32"/>
      <x:c r="AH418" s="32"/>
      <x:c r="AI418" s="32"/>
      <x:c r="AJ418" s="32"/>
      <x:c r="AK418" s="32"/>
      <x:c r="AL418" s="32"/>
      <x:c r="AM418" s="32"/>
      <x:c r="AN418" s="32"/>
      <x:c r="AO418" s="32"/>
      <x:c r="AP418" s="32"/>
      <x:c r="AQ418" s="32"/>
      <x:c r="AR418" s="32"/>
      <x:c r="AS418" s="32"/>
      <x:c r="AT418" s="32"/>
      <x:c r="AU418" s="32"/>
      <x:c r="AV418" s="32"/>
      <x:c r="AW418" s="32"/>
      <x:c r="AX418" s="32"/>
      <x:c r="AZ418" s="32"/>
      <x:c r="BA418" s="32"/>
      <x:c r="BB418" s="32"/>
      <x:c r="BC418" s="32"/>
      <x:c r="BD418" s="32"/>
      <x:c r="BE418" s="32"/>
      <x:c r="BF418" s="32"/>
      <x:c r="BG418" s="32"/>
      <x:c r="BH418" s="32"/>
      <x:c r="BI418" s="32"/>
      <x:c r="BJ418" s="32"/>
      <x:c r="BK418" s="32"/>
      <x:c r="BL418" s="32"/>
      <x:c r="BM418" s="32"/>
    </x:row>
    <x:row r="419">
      <x:c r="A419" s="32"/>
      <x:c r="B419" s="32"/>
      <x:c r="C419" s="42"/>
      <x:c r="D419" s="32"/>
      <x:c r="E419" s="32"/>
      <x:c r="F419" s="32"/>
      <x:c r="G419" s="32"/>
      <x:c r="H419" s="32"/>
      <x:c r="I419" s="32"/>
      <x:c r="J419" s="32"/>
      <x:c r="K419" s="32"/>
      <x:c r="L419" s="32"/>
      <x:c r="M419" s="32"/>
      <x:c r="N419" s="32"/>
      <x:c r="O419" s="32"/>
      <x:c r="P419" s="32"/>
      <x:c r="Q419" s="32"/>
      <x:c r="R419" s="32"/>
      <x:c r="S419" s="32"/>
      <x:c r="T419" s="43" t="str">
        <x:f>IFERROR(S419/L419,"")</x:f>
      </x:c>
      <x:c r="U419" s="32"/>
      <x:c r="V419" s="32"/>
      <x:c r="W419" s="32"/>
      <x:c r="X419" s="32"/>
      <x:c r="Y419" s="32"/>
      <x:c r="Z419" s="32"/>
      <x:c r="AA419" s="32"/>
      <x:c r="AB419" s="32"/>
      <x:c r="AC419" s="32"/>
      <x:c r="AD419" s="32"/>
      <x:c r="AE419" s="32"/>
      <x:c r="AF419" s="32"/>
      <x:c r="AG419" s="32"/>
      <x:c r="AH419" s="32"/>
      <x:c r="AI419" s="32"/>
      <x:c r="AJ419" s="32"/>
      <x:c r="AK419" s="32"/>
      <x:c r="AL419" s="32"/>
      <x:c r="AM419" s="32"/>
      <x:c r="AN419" s="32"/>
      <x:c r="AO419" s="32"/>
      <x:c r="AP419" s="32"/>
      <x:c r="AQ419" s="32"/>
      <x:c r="AR419" s="32"/>
      <x:c r="AS419" s="32"/>
      <x:c r="AT419" s="32"/>
      <x:c r="AU419" s="32"/>
      <x:c r="AV419" s="32"/>
      <x:c r="AW419" s="32"/>
      <x:c r="AX419" s="32"/>
      <x:c r="AZ419" s="32"/>
      <x:c r="BA419" s="32"/>
      <x:c r="BB419" s="32"/>
      <x:c r="BC419" s="32"/>
      <x:c r="BD419" s="32"/>
      <x:c r="BE419" s="32"/>
      <x:c r="BF419" s="32"/>
      <x:c r="BG419" s="32"/>
      <x:c r="BH419" s="32"/>
      <x:c r="BI419" s="32"/>
      <x:c r="BJ419" s="32"/>
      <x:c r="BK419" s="32"/>
      <x:c r="BL419" s="32"/>
      <x:c r="BM419" s="32"/>
    </x:row>
    <x:row r="420">
      <x:c r="A420" s="32"/>
      <x:c r="B420" s="32"/>
      <x:c r="C420" s="42"/>
      <x:c r="D420" s="32"/>
      <x:c r="E420" s="32"/>
      <x:c r="F420" s="32"/>
      <x:c r="G420" s="32"/>
      <x:c r="H420" s="32"/>
      <x:c r="I420" s="32"/>
      <x:c r="J420" s="32"/>
      <x:c r="K420" s="32"/>
      <x:c r="L420" s="32"/>
      <x:c r="M420" s="32"/>
      <x:c r="N420" s="32"/>
      <x:c r="O420" s="32"/>
      <x:c r="P420" s="32"/>
      <x:c r="Q420" s="32"/>
      <x:c r="R420" s="32"/>
      <x:c r="S420" s="32"/>
      <x:c r="T420" s="43" t="str">
        <x:f>IFERROR(S420/L420,"")</x:f>
      </x:c>
      <x:c r="U420" s="32"/>
      <x:c r="V420" s="32"/>
      <x:c r="W420" s="32"/>
      <x:c r="X420" s="32"/>
      <x:c r="Y420" s="32"/>
      <x:c r="Z420" s="32"/>
      <x:c r="AA420" s="32"/>
      <x:c r="AB420" s="32"/>
      <x:c r="AC420" s="32"/>
      <x:c r="AD420" s="32"/>
      <x:c r="AE420" s="32"/>
      <x:c r="AF420" s="32"/>
      <x:c r="AG420" s="32"/>
      <x:c r="AH420" s="32"/>
      <x:c r="AI420" s="32"/>
      <x:c r="AJ420" s="32"/>
      <x:c r="AK420" s="32"/>
      <x:c r="AL420" s="32"/>
      <x:c r="AM420" s="32"/>
      <x:c r="AN420" s="32"/>
      <x:c r="AO420" s="32"/>
      <x:c r="AP420" s="32"/>
      <x:c r="AQ420" s="32"/>
      <x:c r="AR420" s="32"/>
      <x:c r="AS420" s="32"/>
      <x:c r="AT420" s="32"/>
      <x:c r="AU420" s="32"/>
      <x:c r="AV420" s="32"/>
      <x:c r="AW420" s="32"/>
      <x:c r="AX420" s="32"/>
      <x:c r="AZ420" s="32"/>
      <x:c r="BA420" s="32"/>
      <x:c r="BB420" s="32"/>
      <x:c r="BC420" s="32"/>
      <x:c r="BD420" s="32"/>
      <x:c r="BE420" s="32"/>
      <x:c r="BF420" s="32"/>
      <x:c r="BG420" s="32"/>
      <x:c r="BH420" s="32"/>
      <x:c r="BI420" s="32"/>
      <x:c r="BJ420" s="32"/>
      <x:c r="BK420" s="32"/>
      <x:c r="BL420" s="32"/>
      <x:c r="BM420" s="32"/>
    </x:row>
    <x:row r="421">
      <x:c r="A421" s="32"/>
      <x:c r="B421" s="32"/>
      <x:c r="C421" s="42"/>
      <x:c r="D421" s="32"/>
      <x:c r="E421" s="32"/>
      <x:c r="F421" s="32"/>
      <x:c r="G421" s="32"/>
      <x:c r="H421" s="32"/>
      <x:c r="I421" s="32"/>
      <x:c r="J421" s="32"/>
      <x:c r="K421" s="32"/>
      <x:c r="L421" s="32"/>
      <x:c r="M421" s="32"/>
      <x:c r="N421" s="32"/>
      <x:c r="O421" s="32"/>
      <x:c r="P421" s="32"/>
      <x:c r="Q421" s="32"/>
      <x:c r="R421" s="32"/>
      <x:c r="S421" s="32"/>
      <x:c r="T421" s="43" t="str">
        <x:f>IFERROR(S421/L421,"")</x:f>
      </x:c>
      <x:c r="U421" s="32"/>
      <x:c r="V421" s="32"/>
      <x:c r="W421" s="32"/>
      <x:c r="X421" s="32"/>
      <x:c r="Y421" s="32"/>
      <x:c r="Z421" s="32"/>
      <x:c r="AA421" s="32"/>
      <x:c r="AB421" s="32"/>
      <x:c r="AC421" s="32"/>
      <x:c r="AD421" s="32"/>
      <x:c r="AE421" s="32"/>
      <x:c r="AF421" s="32"/>
      <x:c r="AG421" s="32"/>
      <x:c r="AH421" s="32"/>
      <x:c r="AI421" s="32"/>
      <x:c r="AJ421" s="32"/>
      <x:c r="AK421" s="32"/>
      <x:c r="AL421" s="32"/>
      <x:c r="AM421" s="32"/>
      <x:c r="AN421" s="32"/>
      <x:c r="AO421" s="32"/>
      <x:c r="AP421" s="32"/>
      <x:c r="AQ421" s="32"/>
      <x:c r="AR421" s="32"/>
      <x:c r="AS421" s="32"/>
      <x:c r="AT421" s="32"/>
      <x:c r="AU421" s="32"/>
      <x:c r="AV421" s="32"/>
      <x:c r="AW421" s="32"/>
      <x:c r="AX421" s="32"/>
      <x:c r="AZ421" s="32"/>
      <x:c r="BA421" s="32"/>
      <x:c r="BB421" s="32"/>
      <x:c r="BC421" s="32"/>
      <x:c r="BD421" s="32"/>
      <x:c r="BE421" s="32"/>
      <x:c r="BF421" s="32"/>
      <x:c r="BG421" s="32"/>
      <x:c r="BH421" s="32"/>
      <x:c r="BI421" s="32"/>
      <x:c r="BJ421" s="32"/>
      <x:c r="BK421" s="32"/>
      <x:c r="BL421" s="32"/>
      <x:c r="BM421" s="32"/>
    </x:row>
    <x:row r="422">
      <x:c r="A422" s="32"/>
      <x:c r="B422" s="32"/>
      <x:c r="C422" s="42"/>
      <x:c r="D422" s="32"/>
      <x:c r="E422" s="32"/>
      <x:c r="F422" s="32"/>
      <x:c r="G422" s="32"/>
      <x:c r="H422" s="32"/>
      <x:c r="I422" s="32"/>
      <x:c r="J422" s="32"/>
      <x:c r="K422" s="32"/>
      <x:c r="L422" s="32"/>
      <x:c r="M422" s="32"/>
      <x:c r="N422" s="32"/>
      <x:c r="O422" s="32"/>
      <x:c r="P422" s="32"/>
      <x:c r="Q422" s="32"/>
      <x:c r="R422" s="32"/>
      <x:c r="S422" s="32"/>
      <x:c r="T422" s="43" t="str">
        <x:f>IFERROR(S422/L422,"")</x:f>
      </x:c>
      <x:c r="U422" s="32"/>
      <x:c r="V422" s="32"/>
      <x:c r="W422" s="32"/>
      <x:c r="X422" s="32"/>
      <x:c r="Y422" s="32"/>
      <x:c r="Z422" s="32"/>
      <x:c r="AA422" s="32"/>
      <x:c r="AB422" s="32"/>
      <x:c r="AC422" s="32"/>
      <x:c r="AD422" s="32"/>
      <x:c r="AE422" s="32"/>
      <x:c r="AF422" s="32"/>
      <x:c r="AG422" s="32"/>
      <x:c r="AH422" s="32"/>
      <x:c r="AI422" s="32"/>
      <x:c r="AJ422" s="32"/>
      <x:c r="AK422" s="32"/>
      <x:c r="AL422" s="32"/>
      <x:c r="AM422" s="32"/>
      <x:c r="AN422" s="32"/>
      <x:c r="AO422" s="32"/>
      <x:c r="AP422" s="32"/>
      <x:c r="AQ422" s="32"/>
      <x:c r="AR422" s="32"/>
      <x:c r="AS422" s="32"/>
      <x:c r="AT422" s="32"/>
      <x:c r="AU422" s="32"/>
      <x:c r="AV422" s="32"/>
      <x:c r="AW422" s="32"/>
      <x:c r="AX422" s="32"/>
      <x:c r="AZ422" s="32"/>
      <x:c r="BA422" s="32"/>
      <x:c r="BB422" s="32"/>
      <x:c r="BC422" s="32"/>
      <x:c r="BD422" s="32"/>
      <x:c r="BE422" s="32"/>
      <x:c r="BF422" s="32"/>
      <x:c r="BG422" s="32"/>
      <x:c r="BH422" s="32"/>
      <x:c r="BI422" s="32"/>
      <x:c r="BJ422" s="32"/>
      <x:c r="BK422" s="32"/>
      <x:c r="BL422" s="32"/>
      <x:c r="BM422" s="32"/>
    </x:row>
    <x:row r="423">
      <x:c r="A423" s="32"/>
      <x:c r="B423" s="32"/>
      <x:c r="C423" s="42"/>
      <x:c r="D423" s="32"/>
      <x:c r="E423" s="32"/>
      <x:c r="F423" s="32"/>
      <x:c r="G423" s="32"/>
      <x:c r="H423" s="32"/>
      <x:c r="I423" s="32"/>
      <x:c r="J423" s="32"/>
      <x:c r="K423" s="32"/>
      <x:c r="L423" s="32"/>
      <x:c r="M423" s="32"/>
      <x:c r="N423" s="32"/>
      <x:c r="O423" s="32"/>
      <x:c r="P423" s="32"/>
      <x:c r="Q423" s="32"/>
      <x:c r="R423" s="32"/>
      <x:c r="S423" s="32"/>
      <x:c r="T423" s="43" t="str">
        <x:f>IFERROR(S423/L423,"")</x:f>
      </x:c>
      <x:c r="U423" s="32"/>
      <x:c r="V423" s="32"/>
      <x:c r="W423" s="32"/>
      <x:c r="X423" s="32"/>
      <x:c r="Y423" s="32"/>
      <x:c r="Z423" s="32"/>
      <x:c r="AA423" s="32"/>
      <x:c r="AB423" s="32"/>
      <x:c r="AC423" s="32"/>
      <x:c r="AD423" s="32"/>
      <x:c r="AE423" s="32"/>
      <x:c r="AF423" s="32"/>
      <x:c r="AG423" s="32"/>
      <x:c r="AH423" s="32"/>
      <x:c r="AI423" s="32"/>
      <x:c r="AJ423" s="32"/>
      <x:c r="AK423" s="32"/>
      <x:c r="AL423" s="32"/>
      <x:c r="AM423" s="32"/>
      <x:c r="AN423" s="32"/>
      <x:c r="AO423" s="32"/>
      <x:c r="AP423" s="32"/>
      <x:c r="AQ423" s="32"/>
      <x:c r="AR423" s="32"/>
      <x:c r="AS423" s="32"/>
      <x:c r="AT423" s="32"/>
      <x:c r="AU423" s="32"/>
      <x:c r="AV423" s="32"/>
      <x:c r="AW423" s="32"/>
      <x:c r="AX423" s="32"/>
      <x:c r="AZ423" s="32"/>
      <x:c r="BA423" s="32"/>
      <x:c r="BB423" s="32"/>
      <x:c r="BC423" s="32"/>
      <x:c r="BD423" s="32"/>
      <x:c r="BE423" s="32"/>
      <x:c r="BF423" s="32"/>
      <x:c r="BG423" s="32"/>
      <x:c r="BH423" s="32"/>
      <x:c r="BI423" s="32"/>
      <x:c r="BJ423" s="32"/>
      <x:c r="BK423" s="32"/>
      <x:c r="BL423" s="32"/>
      <x:c r="BM423" s="32"/>
    </x:row>
    <x:row r="424">
      <x:c r="A424" s="32"/>
      <x:c r="B424" s="32"/>
      <x:c r="C424" s="42"/>
      <x:c r="D424" s="32"/>
      <x:c r="E424" s="32"/>
      <x:c r="F424" s="32"/>
      <x:c r="G424" s="32"/>
      <x:c r="H424" s="32"/>
      <x:c r="I424" s="32"/>
      <x:c r="J424" s="32"/>
      <x:c r="K424" s="32"/>
      <x:c r="L424" s="32"/>
      <x:c r="M424" s="32"/>
      <x:c r="N424" s="32"/>
      <x:c r="O424" s="32"/>
      <x:c r="P424" s="32"/>
      <x:c r="Q424" s="32"/>
      <x:c r="R424" s="32"/>
      <x:c r="S424" s="32"/>
      <x:c r="T424" s="43" t="str">
        <x:f>IFERROR(S424/L424,"")</x:f>
      </x:c>
      <x:c r="U424" s="32"/>
      <x:c r="V424" s="32"/>
      <x:c r="W424" s="32"/>
      <x:c r="X424" s="32"/>
      <x:c r="Y424" s="32"/>
      <x:c r="Z424" s="32"/>
      <x:c r="AA424" s="32"/>
      <x:c r="AB424" s="32"/>
      <x:c r="AC424" s="32"/>
      <x:c r="AD424" s="32"/>
      <x:c r="AE424" s="32"/>
      <x:c r="AF424" s="32"/>
      <x:c r="AG424" s="32"/>
      <x:c r="AH424" s="32"/>
      <x:c r="AI424" s="32"/>
      <x:c r="AJ424" s="32"/>
      <x:c r="AK424" s="32"/>
      <x:c r="AL424" s="32"/>
      <x:c r="AM424" s="32"/>
      <x:c r="AN424" s="32"/>
      <x:c r="AO424" s="32"/>
      <x:c r="AP424" s="32"/>
      <x:c r="AQ424" s="32"/>
      <x:c r="AR424" s="32"/>
      <x:c r="AS424" s="32"/>
      <x:c r="AT424" s="32"/>
      <x:c r="AU424" s="32"/>
      <x:c r="AV424" s="32"/>
      <x:c r="AW424" s="32"/>
      <x:c r="AX424" s="32"/>
      <x:c r="AZ424" s="32"/>
      <x:c r="BA424" s="32"/>
      <x:c r="BB424" s="32"/>
      <x:c r="BC424" s="32"/>
      <x:c r="BD424" s="32"/>
      <x:c r="BE424" s="32"/>
      <x:c r="BF424" s="32"/>
      <x:c r="BG424" s="32"/>
      <x:c r="BH424" s="32"/>
      <x:c r="BI424" s="32"/>
      <x:c r="BJ424" s="32"/>
      <x:c r="BK424" s="32"/>
      <x:c r="BL424" s="32"/>
      <x:c r="BM424" s="32"/>
    </x:row>
    <x:row r="425">
      <x:c r="A425" s="32"/>
      <x:c r="B425" s="32"/>
      <x:c r="C425" s="42"/>
      <x:c r="D425" s="32"/>
      <x:c r="E425" s="32"/>
      <x:c r="F425" s="32"/>
      <x:c r="G425" s="32"/>
      <x:c r="H425" s="32"/>
      <x:c r="I425" s="32"/>
      <x:c r="J425" s="32"/>
      <x:c r="K425" s="32"/>
      <x:c r="L425" s="32"/>
      <x:c r="M425" s="32"/>
      <x:c r="N425" s="32"/>
      <x:c r="O425" s="32"/>
      <x:c r="P425" s="32"/>
      <x:c r="Q425" s="32"/>
      <x:c r="R425" s="32"/>
      <x:c r="S425" s="32"/>
      <x:c r="T425" s="43" t="str">
        <x:f>IFERROR(S425/L425,"")</x:f>
      </x:c>
      <x:c r="U425" s="32"/>
      <x:c r="V425" s="32"/>
      <x:c r="W425" s="32"/>
      <x:c r="X425" s="32"/>
      <x:c r="Y425" s="32"/>
      <x:c r="Z425" s="32"/>
      <x:c r="AA425" s="32"/>
      <x:c r="AB425" s="32"/>
      <x:c r="AC425" s="32"/>
      <x:c r="AD425" s="32"/>
      <x:c r="AE425" s="32"/>
      <x:c r="AF425" s="32"/>
      <x:c r="AG425" s="32"/>
      <x:c r="AH425" s="32"/>
      <x:c r="AI425" s="32"/>
      <x:c r="AJ425" s="32"/>
      <x:c r="AK425" s="32"/>
      <x:c r="AL425" s="32"/>
      <x:c r="AM425" s="32"/>
      <x:c r="AN425" s="32"/>
      <x:c r="AO425" s="32"/>
      <x:c r="AP425" s="32"/>
      <x:c r="AQ425" s="32"/>
      <x:c r="AR425" s="32"/>
      <x:c r="AS425" s="32"/>
      <x:c r="AT425" s="32"/>
      <x:c r="AU425" s="32"/>
      <x:c r="AV425" s="32"/>
      <x:c r="AW425" s="32"/>
      <x:c r="AX425" s="32"/>
      <x:c r="AZ425" s="32"/>
      <x:c r="BA425" s="32"/>
      <x:c r="BB425" s="32"/>
      <x:c r="BC425" s="32"/>
      <x:c r="BD425" s="32"/>
      <x:c r="BE425" s="32"/>
      <x:c r="BF425" s="32"/>
      <x:c r="BG425" s="32"/>
      <x:c r="BH425" s="32"/>
      <x:c r="BI425" s="32"/>
      <x:c r="BJ425" s="32"/>
      <x:c r="BK425" s="32"/>
      <x:c r="BL425" s="32"/>
      <x:c r="BM425" s="32"/>
    </x:row>
    <x:row r="426">
      <x:c r="A426" s="32"/>
      <x:c r="B426" s="32"/>
      <x:c r="C426" s="42"/>
      <x:c r="D426" s="32"/>
      <x:c r="E426" s="32"/>
      <x:c r="F426" s="32"/>
      <x:c r="G426" s="32"/>
      <x:c r="H426" s="32"/>
      <x:c r="I426" s="32"/>
      <x:c r="J426" s="32"/>
      <x:c r="K426" s="32"/>
      <x:c r="L426" s="32"/>
      <x:c r="M426" s="32"/>
      <x:c r="N426" s="32"/>
      <x:c r="O426" s="32"/>
      <x:c r="P426" s="32"/>
      <x:c r="Q426" s="32"/>
      <x:c r="R426" s="32"/>
      <x:c r="S426" s="32"/>
      <x:c r="T426" s="43" t="str">
        <x:f>IFERROR(S426/L426,"")</x:f>
      </x:c>
      <x:c r="U426" s="32"/>
      <x:c r="V426" s="32"/>
      <x:c r="W426" s="32"/>
      <x:c r="X426" s="32"/>
      <x:c r="Y426" s="32"/>
      <x:c r="Z426" s="32"/>
      <x:c r="AA426" s="32"/>
      <x:c r="AB426" s="32"/>
      <x:c r="AC426" s="32"/>
      <x:c r="AD426" s="32"/>
      <x:c r="AE426" s="32"/>
      <x:c r="AF426" s="32"/>
      <x:c r="AG426" s="32"/>
      <x:c r="AH426" s="32"/>
      <x:c r="AI426" s="32"/>
      <x:c r="AJ426" s="32"/>
      <x:c r="AK426" s="32"/>
      <x:c r="AL426" s="32"/>
      <x:c r="AM426" s="32"/>
      <x:c r="AN426" s="32"/>
      <x:c r="AO426" s="32"/>
      <x:c r="AP426" s="32"/>
      <x:c r="AQ426" s="32"/>
      <x:c r="AR426" s="32"/>
      <x:c r="AS426" s="32"/>
      <x:c r="AT426" s="32"/>
      <x:c r="AU426" s="32"/>
      <x:c r="AV426" s="32"/>
      <x:c r="AW426" s="32"/>
      <x:c r="AX426" s="32"/>
      <x:c r="AZ426" s="32"/>
      <x:c r="BA426" s="32"/>
      <x:c r="BB426" s="32"/>
      <x:c r="BC426" s="32"/>
      <x:c r="BD426" s="32"/>
      <x:c r="BE426" s="32"/>
      <x:c r="BF426" s="32"/>
      <x:c r="BG426" s="32"/>
      <x:c r="BH426" s="32"/>
      <x:c r="BI426" s="32"/>
      <x:c r="BJ426" s="32"/>
      <x:c r="BK426" s="32"/>
      <x:c r="BL426" s="32"/>
      <x:c r="BM426" s="32"/>
    </x:row>
    <x:row r="427">
      <x:c r="A427" s="32"/>
      <x:c r="B427" s="32"/>
      <x:c r="C427" s="42"/>
      <x:c r="D427" s="32"/>
      <x:c r="E427" s="32"/>
      <x:c r="F427" s="32"/>
      <x:c r="G427" s="32"/>
      <x:c r="H427" s="32"/>
      <x:c r="I427" s="32"/>
      <x:c r="J427" s="32"/>
      <x:c r="K427" s="32"/>
      <x:c r="L427" s="32"/>
      <x:c r="M427" s="32"/>
      <x:c r="N427" s="32"/>
      <x:c r="O427" s="32"/>
      <x:c r="P427" s="32"/>
      <x:c r="Q427" s="32"/>
      <x:c r="R427" s="32"/>
      <x:c r="S427" s="32"/>
      <x:c r="T427" s="43" t="str">
        <x:f>IFERROR(S427/L427,"")</x:f>
      </x:c>
      <x:c r="U427" s="32"/>
      <x:c r="V427" s="32"/>
      <x:c r="W427" s="32"/>
      <x:c r="X427" s="32"/>
      <x:c r="Y427" s="32"/>
      <x:c r="Z427" s="32"/>
      <x:c r="AA427" s="32"/>
      <x:c r="AB427" s="32"/>
      <x:c r="AC427" s="32"/>
      <x:c r="AD427" s="32"/>
      <x:c r="AE427" s="32"/>
      <x:c r="AF427" s="32"/>
      <x:c r="AG427" s="32"/>
      <x:c r="AH427" s="32"/>
      <x:c r="AI427" s="32"/>
      <x:c r="AJ427" s="32"/>
      <x:c r="AK427" s="32"/>
      <x:c r="AL427" s="32"/>
      <x:c r="AM427" s="32"/>
      <x:c r="AN427" s="32"/>
      <x:c r="AO427" s="32"/>
      <x:c r="AP427" s="32"/>
      <x:c r="AQ427" s="32"/>
      <x:c r="AR427" s="32"/>
      <x:c r="AS427" s="32"/>
      <x:c r="AT427" s="32"/>
      <x:c r="AU427" s="32"/>
      <x:c r="AV427" s="32"/>
      <x:c r="AW427" s="32"/>
      <x:c r="AX427" s="32"/>
      <x:c r="AZ427" s="32"/>
      <x:c r="BA427" s="32"/>
      <x:c r="BB427" s="32"/>
      <x:c r="BC427" s="32"/>
      <x:c r="BD427" s="32"/>
      <x:c r="BE427" s="32"/>
      <x:c r="BF427" s="32"/>
      <x:c r="BG427" s="32"/>
      <x:c r="BH427" s="32"/>
      <x:c r="BI427" s="32"/>
      <x:c r="BJ427" s="32"/>
      <x:c r="BK427" s="32"/>
      <x:c r="BL427" s="32"/>
      <x:c r="BM427" s="32"/>
    </x:row>
    <x:row r="428">
      <x:c r="A428" s="32"/>
      <x:c r="B428" s="32"/>
      <x:c r="C428" s="42"/>
      <x:c r="D428" s="32"/>
      <x:c r="E428" s="32"/>
      <x:c r="F428" s="32"/>
      <x:c r="G428" s="32"/>
      <x:c r="H428" s="32"/>
      <x:c r="I428" s="32"/>
      <x:c r="J428" s="32"/>
      <x:c r="K428" s="32"/>
      <x:c r="L428" s="32"/>
      <x:c r="M428" s="32"/>
      <x:c r="N428" s="32"/>
      <x:c r="O428" s="32"/>
      <x:c r="P428" s="32"/>
      <x:c r="Q428" s="32"/>
      <x:c r="R428" s="32"/>
      <x:c r="S428" s="32"/>
      <x:c r="T428" s="43" t="str">
        <x:f>IFERROR(S428/L428,"")</x:f>
      </x:c>
      <x:c r="U428" s="32"/>
      <x:c r="V428" s="32"/>
      <x:c r="W428" s="32"/>
      <x:c r="X428" s="32"/>
      <x:c r="Y428" s="32"/>
      <x:c r="Z428" s="32"/>
      <x:c r="AA428" s="32"/>
      <x:c r="AB428" s="32"/>
      <x:c r="AC428" s="32"/>
      <x:c r="AD428" s="32"/>
      <x:c r="AE428" s="32"/>
      <x:c r="AF428" s="32"/>
      <x:c r="AG428" s="32"/>
      <x:c r="AH428" s="32"/>
      <x:c r="AI428" s="32"/>
      <x:c r="AJ428" s="32"/>
      <x:c r="AK428" s="32"/>
      <x:c r="AL428" s="32"/>
      <x:c r="AM428" s="32"/>
      <x:c r="AN428" s="32"/>
      <x:c r="AO428" s="32"/>
      <x:c r="AP428" s="32"/>
      <x:c r="AQ428" s="32"/>
      <x:c r="AR428" s="32"/>
      <x:c r="AS428" s="32"/>
      <x:c r="AT428" s="32"/>
      <x:c r="AU428" s="32"/>
      <x:c r="AV428" s="32"/>
      <x:c r="AW428" s="32"/>
      <x:c r="AX428" s="32"/>
      <x:c r="AZ428" s="32"/>
      <x:c r="BA428" s="32"/>
      <x:c r="BB428" s="32"/>
      <x:c r="BC428" s="32"/>
      <x:c r="BD428" s="32"/>
      <x:c r="BE428" s="32"/>
      <x:c r="BF428" s="32"/>
      <x:c r="BG428" s="32"/>
      <x:c r="BH428" s="32"/>
      <x:c r="BI428" s="32"/>
      <x:c r="BJ428" s="32"/>
      <x:c r="BK428" s="32"/>
      <x:c r="BL428" s="32"/>
      <x:c r="BM428" s="32"/>
    </x:row>
    <x:row r="429">
      <x:c r="A429" s="32"/>
      <x:c r="B429" s="32"/>
      <x:c r="C429" s="42"/>
      <x:c r="D429" s="32"/>
      <x:c r="E429" s="32"/>
      <x:c r="F429" s="32"/>
      <x:c r="G429" s="32"/>
      <x:c r="H429" s="32"/>
      <x:c r="I429" s="32"/>
      <x:c r="J429" s="32"/>
      <x:c r="K429" s="32"/>
      <x:c r="L429" s="32"/>
      <x:c r="M429" s="32"/>
      <x:c r="N429" s="32"/>
      <x:c r="O429" s="32"/>
      <x:c r="P429" s="32"/>
      <x:c r="Q429" s="32"/>
      <x:c r="R429" s="32"/>
      <x:c r="S429" s="32"/>
      <x:c r="T429" s="43" t="str">
        <x:f>IFERROR(S429/L429,"")</x:f>
      </x:c>
      <x:c r="U429" s="32"/>
      <x:c r="V429" s="32"/>
      <x:c r="W429" s="32"/>
      <x:c r="X429" s="32"/>
      <x:c r="Y429" s="32"/>
      <x:c r="Z429" s="32"/>
      <x:c r="AA429" s="32"/>
      <x:c r="AB429" s="32"/>
      <x:c r="AC429" s="32"/>
      <x:c r="AD429" s="32"/>
      <x:c r="AE429" s="32"/>
      <x:c r="AF429" s="32"/>
      <x:c r="AG429" s="32"/>
      <x:c r="AH429" s="32"/>
      <x:c r="AI429" s="32"/>
      <x:c r="AJ429" s="32"/>
      <x:c r="AK429" s="32"/>
      <x:c r="AL429" s="32"/>
      <x:c r="AM429" s="32"/>
      <x:c r="AN429" s="32"/>
      <x:c r="AO429" s="32"/>
      <x:c r="AP429" s="32"/>
      <x:c r="AQ429" s="32"/>
      <x:c r="AR429" s="32"/>
      <x:c r="AS429" s="32"/>
      <x:c r="AT429" s="32"/>
      <x:c r="AU429" s="32"/>
      <x:c r="AV429" s="32"/>
      <x:c r="AW429" s="32"/>
      <x:c r="AX429" s="32"/>
      <x:c r="AZ429" s="32"/>
      <x:c r="BA429" s="32"/>
      <x:c r="BB429" s="32"/>
      <x:c r="BC429" s="32"/>
      <x:c r="BD429" s="32"/>
      <x:c r="BE429" s="32"/>
      <x:c r="BF429" s="32"/>
      <x:c r="BG429" s="32"/>
      <x:c r="BH429" s="32"/>
      <x:c r="BI429" s="32"/>
      <x:c r="BJ429" s="32"/>
      <x:c r="BK429" s="32"/>
      <x:c r="BL429" s="32"/>
      <x:c r="BM429" s="32"/>
    </x:row>
    <x:row r="430">
      <x:c r="A430" s="32"/>
      <x:c r="B430" s="32"/>
      <x:c r="C430" s="42"/>
      <x:c r="D430" s="32"/>
      <x:c r="E430" s="32"/>
      <x:c r="F430" s="32"/>
      <x:c r="G430" s="32"/>
      <x:c r="H430" s="32"/>
      <x:c r="I430" s="32"/>
      <x:c r="J430" s="32"/>
      <x:c r="K430" s="32"/>
      <x:c r="L430" s="32"/>
      <x:c r="M430" s="32"/>
      <x:c r="N430" s="32"/>
      <x:c r="O430" s="32"/>
      <x:c r="P430" s="32"/>
      <x:c r="Q430" s="32"/>
      <x:c r="R430" s="32"/>
      <x:c r="S430" s="32"/>
      <x:c r="T430" s="43" t="str">
        <x:f>IFERROR(S430/L430,"")</x:f>
      </x:c>
      <x:c r="U430" s="32"/>
      <x:c r="V430" s="32"/>
      <x:c r="W430" s="32"/>
      <x:c r="X430" s="32"/>
      <x:c r="Y430" s="32"/>
      <x:c r="Z430" s="32"/>
      <x:c r="AA430" s="32"/>
      <x:c r="AB430" s="32"/>
      <x:c r="AC430" s="32"/>
      <x:c r="AD430" s="32"/>
      <x:c r="AE430" s="32"/>
      <x:c r="AF430" s="32"/>
      <x:c r="AG430" s="32"/>
      <x:c r="AH430" s="32"/>
      <x:c r="AI430" s="32"/>
      <x:c r="AJ430" s="32"/>
      <x:c r="AK430" s="32"/>
      <x:c r="AL430" s="32"/>
      <x:c r="AM430" s="32"/>
      <x:c r="AN430" s="32"/>
      <x:c r="AO430" s="32"/>
      <x:c r="AP430" s="32"/>
      <x:c r="AQ430" s="32"/>
      <x:c r="AR430" s="32"/>
      <x:c r="AS430" s="32"/>
      <x:c r="AT430" s="32"/>
      <x:c r="AU430" s="32"/>
      <x:c r="AV430" s="32"/>
      <x:c r="AW430" s="32"/>
      <x:c r="AX430" s="32"/>
      <x:c r="AZ430" s="32"/>
      <x:c r="BA430" s="32"/>
      <x:c r="BB430" s="32"/>
      <x:c r="BC430" s="32"/>
      <x:c r="BD430" s="32"/>
      <x:c r="BE430" s="32"/>
      <x:c r="BF430" s="32"/>
      <x:c r="BG430" s="32"/>
      <x:c r="BH430" s="32"/>
      <x:c r="BI430" s="32"/>
      <x:c r="BJ430" s="32"/>
      <x:c r="BK430" s="32"/>
      <x:c r="BL430" s="32"/>
      <x:c r="BM430" s="32"/>
    </x:row>
    <x:row r="431">
      <x:c r="A431" s="32"/>
      <x:c r="B431" s="32"/>
      <x:c r="C431" s="42"/>
      <x:c r="D431" s="32"/>
      <x:c r="E431" s="32"/>
      <x:c r="F431" s="32"/>
      <x:c r="G431" s="32"/>
      <x:c r="H431" s="32"/>
      <x:c r="I431" s="32"/>
      <x:c r="J431" s="32"/>
      <x:c r="K431" s="32"/>
      <x:c r="L431" s="32"/>
      <x:c r="M431" s="32"/>
      <x:c r="N431" s="32"/>
      <x:c r="O431" s="32"/>
      <x:c r="P431" s="32"/>
      <x:c r="Q431" s="32"/>
      <x:c r="R431" s="32"/>
      <x:c r="S431" s="32"/>
      <x:c r="T431" s="43" t="str">
        <x:f>IFERROR(S431/L431,"")</x:f>
      </x:c>
      <x:c r="U431" s="32"/>
      <x:c r="V431" s="32"/>
      <x:c r="W431" s="32"/>
      <x:c r="X431" s="32"/>
      <x:c r="Y431" s="32"/>
      <x:c r="Z431" s="32"/>
      <x:c r="AA431" s="32"/>
      <x:c r="AB431" s="32"/>
      <x:c r="AC431" s="32"/>
      <x:c r="AD431" s="32"/>
      <x:c r="AE431" s="32"/>
      <x:c r="AF431" s="32"/>
      <x:c r="AG431" s="32"/>
      <x:c r="AH431" s="32"/>
      <x:c r="AI431" s="32"/>
      <x:c r="AJ431" s="32"/>
      <x:c r="AK431" s="32"/>
      <x:c r="AL431" s="32"/>
      <x:c r="AM431" s="32"/>
      <x:c r="AN431" s="32"/>
      <x:c r="AO431" s="32"/>
      <x:c r="AP431" s="32"/>
      <x:c r="AQ431" s="32"/>
      <x:c r="AR431" s="32"/>
      <x:c r="AS431" s="32"/>
      <x:c r="AT431" s="32"/>
      <x:c r="AU431" s="32"/>
      <x:c r="AV431" s="32"/>
      <x:c r="AW431" s="32"/>
      <x:c r="AX431" s="32"/>
      <x:c r="AZ431" s="32"/>
      <x:c r="BA431" s="32"/>
      <x:c r="BB431" s="32"/>
      <x:c r="BC431" s="32"/>
      <x:c r="BD431" s="32"/>
      <x:c r="BE431" s="32"/>
      <x:c r="BF431" s="32"/>
      <x:c r="BG431" s="32"/>
      <x:c r="BH431" s="32"/>
      <x:c r="BI431" s="32"/>
      <x:c r="BJ431" s="32"/>
      <x:c r="BK431" s="32"/>
      <x:c r="BL431" s="32"/>
      <x:c r="BM431" s="32"/>
    </x:row>
    <x:row r="432">
      <x:c r="A432" s="32"/>
      <x:c r="B432" s="32"/>
      <x:c r="C432" s="42"/>
      <x:c r="D432" s="32"/>
      <x:c r="E432" s="32"/>
      <x:c r="F432" s="32"/>
      <x:c r="G432" s="32"/>
      <x:c r="H432" s="32"/>
      <x:c r="I432" s="32"/>
      <x:c r="J432" s="32"/>
      <x:c r="K432" s="32"/>
      <x:c r="L432" s="32"/>
      <x:c r="M432" s="32"/>
      <x:c r="N432" s="32"/>
      <x:c r="O432" s="32"/>
      <x:c r="P432" s="32"/>
      <x:c r="Q432" s="32"/>
      <x:c r="R432" s="32"/>
      <x:c r="S432" s="32"/>
      <x:c r="T432" s="43" t="str">
        <x:f>IFERROR(S432/L432,"")</x:f>
      </x:c>
      <x:c r="U432" s="32"/>
      <x:c r="V432" s="32"/>
      <x:c r="W432" s="32"/>
      <x:c r="X432" s="32"/>
      <x:c r="Y432" s="32"/>
      <x:c r="Z432" s="32"/>
      <x:c r="AA432" s="32"/>
      <x:c r="AB432" s="32"/>
      <x:c r="AC432" s="32"/>
      <x:c r="AD432" s="32"/>
      <x:c r="AE432" s="32"/>
      <x:c r="AF432" s="32"/>
      <x:c r="AG432" s="32"/>
      <x:c r="AH432" s="32"/>
      <x:c r="AI432" s="32"/>
      <x:c r="AJ432" s="32"/>
      <x:c r="AK432" s="32"/>
      <x:c r="AL432" s="32"/>
      <x:c r="AM432" s="32"/>
      <x:c r="AN432" s="32"/>
      <x:c r="AO432" s="32"/>
      <x:c r="AP432" s="32"/>
      <x:c r="AQ432" s="32"/>
      <x:c r="AR432" s="32"/>
      <x:c r="AS432" s="32"/>
      <x:c r="AT432" s="32"/>
      <x:c r="AU432" s="32"/>
      <x:c r="AV432" s="32"/>
      <x:c r="AW432" s="32"/>
      <x:c r="AX432" s="32"/>
      <x:c r="AZ432" s="32"/>
      <x:c r="BA432" s="32"/>
      <x:c r="BB432" s="32"/>
      <x:c r="BC432" s="32"/>
      <x:c r="BD432" s="32"/>
      <x:c r="BE432" s="32"/>
      <x:c r="BF432" s="32"/>
      <x:c r="BG432" s="32"/>
      <x:c r="BH432" s="32"/>
      <x:c r="BI432" s="32"/>
      <x:c r="BJ432" s="32"/>
      <x:c r="BK432" s="32"/>
      <x:c r="BL432" s="32"/>
      <x:c r="BM432" s="32"/>
    </x:row>
    <x:row r="433">
      <x:c r="A433" s="32"/>
      <x:c r="B433" s="32"/>
      <x:c r="C433" s="42"/>
      <x:c r="D433" s="32"/>
      <x:c r="E433" s="32"/>
      <x:c r="F433" s="32"/>
      <x:c r="G433" s="32"/>
      <x:c r="H433" s="32"/>
      <x:c r="I433" s="32"/>
      <x:c r="J433" s="32"/>
      <x:c r="K433" s="32"/>
      <x:c r="L433" s="32"/>
      <x:c r="M433" s="32"/>
      <x:c r="N433" s="32"/>
      <x:c r="O433" s="32"/>
      <x:c r="P433" s="32"/>
      <x:c r="Q433" s="32"/>
      <x:c r="R433" s="32"/>
      <x:c r="S433" s="32"/>
      <x:c r="T433" s="43" t="str">
        <x:f>IFERROR(S433/L433,"")</x:f>
      </x:c>
      <x:c r="U433" s="32"/>
      <x:c r="V433" s="32"/>
      <x:c r="W433" s="32"/>
      <x:c r="X433" s="32"/>
      <x:c r="Y433" s="32"/>
      <x:c r="Z433" s="32"/>
      <x:c r="AA433" s="32"/>
      <x:c r="AB433" s="32"/>
      <x:c r="AC433" s="32"/>
      <x:c r="AD433" s="32"/>
      <x:c r="AE433" s="32"/>
      <x:c r="AF433" s="32"/>
      <x:c r="AG433" s="32"/>
      <x:c r="AH433" s="32"/>
      <x:c r="AI433" s="32"/>
      <x:c r="AJ433" s="32"/>
      <x:c r="AK433" s="32"/>
      <x:c r="AL433" s="32"/>
      <x:c r="AM433" s="32"/>
      <x:c r="AN433" s="32"/>
      <x:c r="AO433" s="32"/>
      <x:c r="AP433" s="32"/>
      <x:c r="AQ433" s="32"/>
      <x:c r="AR433" s="32"/>
      <x:c r="AS433" s="32"/>
      <x:c r="AT433" s="32"/>
      <x:c r="AU433" s="32"/>
      <x:c r="AV433" s="32"/>
      <x:c r="AW433" s="32"/>
      <x:c r="AX433" s="32"/>
      <x:c r="AZ433" s="32"/>
      <x:c r="BA433" s="32"/>
      <x:c r="BB433" s="32"/>
      <x:c r="BC433" s="32"/>
      <x:c r="BD433" s="32"/>
      <x:c r="BE433" s="32"/>
      <x:c r="BF433" s="32"/>
      <x:c r="BG433" s="32"/>
      <x:c r="BH433" s="32"/>
      <x:c r="BI433" s="32"/>
      <x:c r="BJ433" s="32"/>
      <x:c r="BK433" s="32"/>
      <x:c r="BL433" s="32"/>
      <x:c r="BM433" s="32"/>
    </x:row>
    <x:row r="434">
      <x:c r="A434" s="32"/>
      <x:c r="B434" s="32"/>
      <x:c r="C434" s="42"/>
      <x:c r="D434" s="32"/>
      <x:c r="E434" s="32"/>
      <x:c r="F434" s="32"/>
      <x:c r="G434" s="32"/>
      <x:c r="H434" s="32"/>
      <x:c r="I434" s="32"/>
      <x:c r="J434" s="32"/>
      <x:c r="K434" s="32"/>
      <x:c r="L434" s="32"/>
      <x:c r="M434" s="32"/>
      <x:c r="N434" s="32"/>
      <x:c r="O434" s="32"/>
      <x:c r="P434" s="32"/>
      <x:c r="Q434" s="32"/>
      <x:c r="R434" s="32"/>
      <x:c r="S434" s="32"/>
      <x:c r="T434" s="43" t="str">
        <x:f>IFERROR(S434/L434,"")</x:f>
      </x:c>
      <x:c r="U434" s="32"/>
      <x:c r="V434" s="32"/>
      <x:c r="W434" s="32"/>
      <x:c r="X434" s="32"/>
      <x:c r="Y434" s="32"/>
      <x:c r="Z434" s="32"/>
      <x:c r="AA434" s="32"/>
      <x:c r="AB434" s="32"/>
      <x:c r="AC434" s="32"/>
      <x:c r="AD434" s="32"/>
      <x:c r="AE434" s="32"/>
      <x:c r="AF434" s="32"/>
      <x:c r="AG434" s="32"/>
      <x:c r="AH434" s="32"/>
      <x:c r="AI434" s="32"/>
      <x:c r="AJ434" s="32"/>
      <x:c r="AK434" s="32"/>
      <x:c r="AL434" s="32"/>
      <x:c r="AM434" s="32"/>
      <x:c r="AN434" s="32"/>
      <x:c r="AO434" s="32"/>
      <x:c r="AP434" s="32"/>
      <x:c r="AQ434" s="32"/>
      <x:c r="AR434" s="32"/>
      <x:c r="AS434" s="32"/>
      <x:c r="AT434" s="32"/>
      <x:c r="AU434" s="32"/>
      <x:c r="AV434" s="32"/>
      <x:c r="AW434" s="32"/>
      <x:c r="AX434" s="32"/>
      <x:c r="AZ434" s="32"/>
      <x:c r="BA434" s="32"/>
      <x:c r="BB434" s="32"/>
      <x:c r="BC434" s="32"/>
      <x:c r="BD434" s="32"/>
      <x:c r="BE434" s="32"/>
      <x:c r="BF434" s="32"/>
      <x:c r="BG434" s="32"/>
      <x:c r="BH434" s="32"/>
      <x:c r="BI434" s="32"/>
      <x:c r="BJ434" s="32"/>
      <x:c r="BK434" s="32"/>
      <x:c r="BL434" s="32"/>
      <x:c r="BM434" s="32"/>
    </x:row>
    <x:row r="435">
      <x:c r="A435" s="32"/>
      <x:c r="B435" s="32"/>
      <x:c r="C435" s="42"/>
      <x:c r="D435" s="32"/>
      <x:c r="E435" s="32"/>
      <x:c r="F435" s="32"/>
      <x:c r="G435" s="32"/>
      <x:c r="H435" s="32"/>
      <x:c r="I435" s="32"/>
      <x:c r="J435" s="32"/>
      <x:c r="K435" s="32"/>
      <x:c r="L435" s="32"/>
      <x:c r="M435" s="32"/>
      <x:c r="N435" s="32"/>
      <x:c r="O435" s="32"/>
      <x:c r="P435" s="32"/>
      <x:c r="Q435" s="32"/>
      <x:c r="R435" s="32"/>
      <x:c r="S435" s="32"/>
      <x:c r="T435" s="43" t="str">
        <x:f>IFERROR(S435/L435,"")</x:f>
      </x:c>
      <x:c r="U435" s="32"/>
      <x:c r="V435" s="32"/>
      <x:c r="W435" s="32"/>
      <x:c r="X435" s="32"/>
      <x:c r="Y435" s="32"/>
      <x:c r="Z435" s="32"/>
      <x:c r="AA435" s="32"/>
      <x:c r="AB435" s="32"/>
      <x:c r="AC435" s="32"/>
      <x:c r="AD435" s="32"/>
      <x:c r="AE435" s="32"/>
      <x:c r="AF435" s="32"/>
      <x:c r="AG435" s="32"/>
      <x:c r="AH435" s="32"/>
      <x:c r="AI435" s="32"/>
      <x:c r="AJ435" s="32"/>
      <x:c r="AK435" s="32"/>
      <x:c r="AL435" s="32"/>
      <x:c r="AM435" s="32"/>
      <x:c r="AN435" s="32"/>
      <x:c r="AO435" s="32"/>
      <x:c r="AP435" s="32"/>
      <x:c r="AQ435" s="32"/>
      <x:c r="AR435" s="32"/>
      <x:c r="AS435" s="32"/>
      <x:c r="AT435" s="32"/>
      <x:c r="AU435" s="32"/>
      <x:c r="AV435" s="32"/>
      <x:c r="AW435" s="32"/>
      <x:c r="AX435" s="32"/>
      <x:c r="AZ435" s="32"/>
      <x:c r="BA435" s="32"/>
      <x:c r="BB435" s="32"/>
      <x:c r="BC435" s="32"/>
      <x:c r="BD435" s="32"/>
      <x:c r="BE435" s="32"/>
      <x:c r="BF435" s="32"/>
      <x:c r="BG435" s="32"/>
      <x:c r="BH435" s="32"/>
      <x:c r="BI435" s="32"/>
      <x:c r="BJ435" s="32"/>
      <x:c r="BK435" s="32"/>
      <x:c r="BL435" s="32"/>
      <x:c r="BM435" s="32"/>
    </x:row>
    <x:row r="436">
      <x:c r="A436" s="32"/>
      <x:c r="B436" s="32"/>
      <x:c r="C436" s="42"/>
      <x:c r="D436" s="32"/>
      <x:c r="E436" s="32"/>
      <x:c r="F436" s="32"/>
      <x:c r="G436" s="32"/>
      <x:c r="H436" s="32"/>
      <x:c r="I436" s="32"/>
      <x:c r="J436" s="32"/>
      <x:c r="K436" s="32"/>
      <x:c r="L436" s="32"/>
      <x:c r="M436" s="32"/>
      <x:c r="N436" s="32"/>
      <x:c r="O436" s="32"/>
      <x:c r="P436" s="32"/>
      <x:c r="Q436" s="32"/>
      <x:c r="R436" s="32"/>
      <x:c r="S436" s="32"/>
      <x:c r="T436" s="43" t="str">
        <x:f>IFERROR(S436/L436,"")</x:f>
      </x:c>
      <x:c r="U436" s="32"/>
      <x:c r="V436" s="32"/>
      <x:c r="W436" s="32"/>
      <x:c r="X436" s="32"/>
      <x:c r="Y436" s="32"/>
      <x:c r="Z436" s="32"/>
      <x:c r="AA436" s="32"/>
      <x:c r="AB436" s="32"/>
      <x:c r="AC436" s="32"/>
      <x:c r="AD436" s="32"/>
      <x:c r="AE436" s="32"/>
      <x:c r="AF436" s="32"/>
      <x:c r="AG436" s="32"/>
      <x:c r="AH436" s="32"/>
      <x:c r="AI436" s="32"/>
      <x:c r="AJ436" s="32"/>
      <x:c r="AK436" s="32"/>
      <x:c r="AL436" s="32"/>
      <x:c r="AM436" s="32"/>
      <x:c r="AN436" s="32"/>
      <x:c r="AO436" s="32"/>
      <x:c r="AP436" s="32"/>
      <x:c r="AQ436" s="32"/>
      <x:c r="AR436" s="32"/>
      <x:c r="AS436" s="32"/>
      <x:c r="AT436" s="32"/>
      <x:c r="AU436" s="32"/>
      <x:c r="AV436" s="32"/>
      <x:c r="AW436" s="32"/>
      <x:c r="AX436" s="32"/>
      <x:c r="AZ436" s="32"/>
      <x:c r="BA436" s="32"/>
      <x:c r="BB436" s="32"/>
      <x:c r="BC436" s="32"/>
      <x:c r="BD436" s="32"/>
      <x:c r="BE436" s="32"/>
      <x:c r="BF436" s="32"/>
      <x:c r="BG436" s="32"/>
      <x:c r="BH436" s="32"/>
      <x:c r="BI436" s="32"/>
      <x:c r="BJ436" s="32"/>
      <x:c r="BK436" s="32"/>
      <x:c r="BL436" s="32"/>
      <x:c r="BM436" s="32"/>
    </x:row>
    <x:row r="437">
      <x:c r="A437" s="32"/>
      <x:c r="B437" s="32"/>
      <x:c r="C437" s="42"/>
      <x:c r="D437" s="32"/>
      <x:c r="E437" s="32"/>
      <x:c r="F437" s="32"/>
      <x:c r="G437" s="32"/>
      <x:c r="H437" s="32"/>
      <x:c r="I437" s="32"/>
      <x:c r="J437" s="32"/>
      <x:c r="K437" s="32"/>
      <x:c r="L437" s="32"/>
      <x:c r="M437" s="32"/>
      <x:c r="N437" s="32"/>
      <x:c r="O437" s="32"/>
      <x:c r="P437" s="32"/>
      <x:c r="Q437" s="32"/>
      <x:c r="R437" s="32"/>
      <x:c r="S437" s="32"/>
      <x:c r="T437" s="43" t="str">
        <x:f>IFERROR(S437/L437,"")</x:f>
      </x:c>
      <x:c r="U437" s="32"/>
      <x:c r="V437" s="32"/>
      <x:c r="W437" s="32"/>
      <x:c r="X437" s="32"/>
      <x:c r="Y437" s="32"/>
      <x:c r="Z437" s="32"/>
      <x:c r="AA437" s="32"/>
      <x:c r="AB437" s="32"/>
      <x:c r="AC437" s="32"/>
      <x:c r="AD437" s="32"/>
      <x:c r="AE437" s="32"/>
      <x:c r="AF437" s="32"/>
      <x:c r="AG437" s="32"/>
      <x:c r="AH437" s="32"/>
      <x:c r="AI437" s="32"/>
      <x:c r="AJ437" s="32"/>
      <x:c r="AK437" s="32"/>
      <x:c r="AL437" s="32"/>
      <x:c r="AM437" s="32"/>
      <x:c r="AN437" s="32"/>
      <x:c r="AO437" s="32"/>
      <x:c r="AP437" s="32"/>
      <x:c r="AQ437" s="32"/>
      <x:c r="AR437" s="32"/>
      <x:c r="AS437" s="32"/>
      <x:c r="AT437" s="32"/>
      <x:c r="AU437" s="32"/>
      <x:c r="AV437" s="32"/>
      <x:c r="AW437" s="32"/>
      <x:c r="AX437" s="32"/>
      <x:c r="AZ437" s="32"/>
      <x:c r="BA437" s="32"/>
      <x:c r="BB437" s="32"/>
      <x:c r="BC437" s="32"/>
      <x:c r="BD437" s="32"/>
      <x:c r="BE437" s="32"/>
      <x:c r="BF437" s="32"/>
      <x:c r="BG437" s="32"/>
      <x:c r="BH437" s="32"/>
      <x:c r="BI437" s="32"/>
      <x:c r="BJ437" s="32"/>
      <x:c r="BK437" s="32"/>
      <x:c r="BL437" s="32"/>
      <x:c r="BM437" s="32"/>
    </x:row>
    <x:row r="438">
      <x:c r="A438" s="32"/>
      <x:c r="B438" s="32"/>
      <x:c r="C438" s="42"/>
      <x:c r="D438" s="32"/>
      <x:c r="E438" s="32"/>
      <x:c r="F438" s="32"/>
      <x:c r="G438" s="32"/>
      <x:c r="H438" s="32"/>
      <x:c r="I438" s="32"/>
      <x:c r="J438" s="32"/>
      <x:c r="K438" s="32"/>
      <x:c r="L438" s="32"/>
      <x:c r="M438" s="32"/>
      <x:c r="N438" s="32"/>
      <x:c r="O438" s="32"/>
      <x:c r="P438" s="32"/>
      <x:c r="Q438" s="32"/>
      <x:c r="R438" s="32"/>
      <x:c r="S438" s="32"/>
      <x:c r="T438" s="43" t="str">
        <x:f>IFERROR(S438/L438,"")</x:f>
      </x:c>
      <x:c r="U438" s="32"/>
      <x:c r="V438" s="32"/>
      <x:c r="W438" s="32"/>
      <x:c r="X438" s="32"/>
      <x:c r="Y438" s="32"/>
      <x:c r="Z438" s="32"/>
      <x:c r="AA438" s="32"/>
      <x:c r="AB438" s="32"/>
      <x:c r="AC438" s="32"/>
      <x:c r="AD438" s="32"/>
      <x:c r="AE438" s="32"/>
      <x:c r="AF438" s="32"/>
      <x:c r="AG438" s="32"/>
      <x:c r="AH438" s="32"/>
      <x:c r="AI438" s="32"/>
      <x:c r="AJ438" s="32"/>
      <x:c r="AK438" s="32"/>
      <x:c r="AL438" s="32"/>
      <x:c r="AM438" s="32"/>
      <x:c r="AN438" s="32"/>
      <x:c r="AO438" s="32"/>
      <x:c r="AP438" s="32"/>
      <x:c r="AQ438" s="32"/>
      <x:c r="AR438" s="32"/>
      <x:c r="AS438" s="32"/>
      <x:c r="AT438" s="32"/>
      <x:c r="AU438" s="32"/>
      <x:c r="AV438" s="32"/>
      <x:c r="AW438" s="32"/>
      <x:c r="AX438" s="32"/>
      <x:c r="AZ438" s="32"/>
      <x:c r="BA438" s="32"/>
      <x:c r="BB438" s="32"/>
      <x:c r="BC438" s="32"/>
      <x:c r="BD438" s="32"/>
      <x:c r="BE438" s="32"/>
      <x:c r="BF438" s="32"/>
      <x:c r="BG438" s="32"/>
      <x:c r="BH438" s="32"/>
      <x:c r="BI438" s="32"/>
      <x:c r="BJ438" s="32"/>
      <x:c r="BK438" s="32"/>
      <x:c r="BL438" s="32"/>
      <x:c r="BM438" s="32"/>
    </x:row>
    <x:row r="439">
      <x:c r="A439" s="32"/>
      <x:c r="B439" s="32"/>
      <x:c r="C439" s="42"/>
      <x:c r="D439" s="32"/>
      <x:c r="E439" s="32"/>
      <x:c r="F439" s="32"/>
      <x:c r="G439" s="32"/>
      <x:c r="H439" s="32"/>
      <x:c r="I439" s="32"/>
      <x:c r="J439" s="32"/>
      <x:c r="K439" s="32"/>
      <x:c r="L439" s="32"/>
      <x:c r="M439" s="32"/>
      <x:c r="N439" s="32"/>
      <x:c r="O439" s="32"/>
      <x:c r="P439" s="32"/>
      <x:c r="Q439" s="32"/>
      <x:c r="R439" s="32"/>
      <x:c r="S439" s="32"/>
      <x:c r="T439" s="43" t="str">
        <x:f>IFERROR(S439/L439,"")</x:f>
      </x:c>
      <x:c r="U439" s="32"/>
      <x:c r="V439" s="32"/>
      <x:c r="W439" s="32"/>
      <x:c r="X439" s="32"/>
      <x:c r="Y439" s="32"/>
      <x:c r="Z439" s="32"/>
      <x:c r="AA439" s="32"/>
      <x:c r="AB439" s="32"/>
      <x:c r="AC439" s="32"/>
      <x:c r="AD439" s="32"/>
      <x:c r="AE439" s="32"/>
      <x:c r="AF439" s="32"/>
      <x:c r="AG439" s="32"/>
      <x:c r="AH439" s="32"/>
      <x:c r="AI439" s="32"/>
      <x:c r="AJ439" s="32"/>
      <x:c r="AK439" s="32"/>
      <x:c r="AL439" s="32"/>
      <x:c r="AM439" s="32"/>
      <x:c r="AN439" s="32"/>
      <x:c r="AO439" s="32"/>
      <x:c r="AP439" s="32"/>
      <x:c r="AQ439" s="32"/>
      <x:c r="AR439" s="32"/>
      <x:c r="AS439" s="32"/>
      <x:c r="AT439" s="32"/>
      <x:c r="AU439" s="32"/>
      <x:c r="AV439" s="32"/>
      <x:c r="AW439" s="32"/>
      <x:c r="AX439" s="32"/>
      <x:c r="AZ439" s="32"/>
      <x:c r="BA439" s="32"/>
      <x:c r="BB439" s="32"/>
      <x:c r="BC439" s="32"/>
      <x:c r="BD439" s="32"/>
      <x:c r="BE439" s="32"/>
      <x:c r="BF439" s="32"/>
      <x:c r="BG439" s="32"/>
      <x:c r="BH439" s="32"/>
      <x:c r="BI439" s="32"/>
      <x:c r="BJ439" s="32"/>
      <x:c r="BK439" s="32"/>
      <x:c r="BL439" s="32"/>
      <x:c r="BM439" s="32"/>
    </x:row>
    <x:row r="440">
      <x:c r="A440" s="32"/>
      <x:c r="B440" s="32"/>
      <x:c r="C440" s="42"/>
      <x:c r="D440" s="32"/>
      <x:c r="E440" s="32"/>
      <x:c r="F440" s="32"/>
      <x:c r="G440" s="32"/>
      <x:c r="H440" s="32"/>
      <x:c r="I440" s="32"/>
      <x:c r="J440" s="32"/>
      <x:c r="K440" s="32"/>
      <x:c r="L440" s="32"/>
      <x:c r="M440" s="32"/>
      <x:c r="N440" s="32"/>
      <x:c r="O440" s="32"/>
      <x:c r="P440" s="32"/>
      <x:c r="Q440" s="32"/>
      <x:c r="R440" s="32"/>
      <x:c r="S440" s="32"/>
      <x:c r="T440" s="43" t="str">
        <x:f>IFERROR(S440/L440,"")</x:f>
      </x:c>
      <x:c r="U440" s="32"/>
      <x:c r="V440" s="32"/>
      <x:c r="W440" s="32"/>
      <x:c r="X440" s="32"/>
      <x:c r="Y440" s="32"/>
      <x:c r="Z440" s="32"/>
      <x:c r="AA440" s="32"/>
      <x:c r="AB440" s="32"/>
      <x:c r="AC440" s="32"/>
      <x:c r="AD440" s="32"/>
      <x:c r="AE440" s="32"/>
      <x:c r="AF440" s="32"/>
      <x:c r="AG440" s="32"/>
      <x:c r="AH440" s="32"/>
      <x:c r="AI440" s="32"/>
      <x:c r="AJ440" s="32"/>
      <x:c r="AK440" s="32"/>
      <x:c r="AL440" s="32"/>
      <x:c r="AM440" s="32"/>
      <x:c r="AN440" s="32"/>
      <x:c r="AO440" s="32"/>
      <x:c r="AP440" s="32"/>
      <x:c r="AQ440" s="32"/>
      <x:c r="AR440" s="32"/>
      <x:c r="AS440" s="32"/>
      <x:c r="AT440" s="32"/>
      <x:c r="AU440" s="32"/>
      <x:c r="AV440" s="32"/>
      <x:c r="AW440" s="32"/>
      <x:c r="AX440" s="32"/>
      <x:c r="AZ440" s="32"/>
      <x:c r="BA440" s="32"/>
      <x:c r="BB440" s="32"/>
      <x:c r="BC440" s="32"/>
      <x:c r="BD440" s="32"/>
      <x:c r="BE440" s="32"/>
      <x:c r="BF440" s="32"/>
      <x:c r="BG440" s="32"/>
      <x:c r="BH440" s="32"/>
      <x:c r="BI440" s="32"/>
      <x:c r="BJ440" s="32"/>
      <x:c r="BK440" s="32"/>
      <x:c r="BL440" s="32"/>
      <x:c r="BM440" s="32"/>
    </x:row>
    <x:row r="441">
      <x:c r="A441" s="32"/>
      <x:c r="B441" s="32"/>
      <x:c r="C441" s="42"/>
      <x:c r="D441" s="32"/>
      <x:c r="E441" s="32"/>
      <x:c r="F441" s="32"/>
      <x:c r="G441" s="32"/>
      <x:c r="H441" s="32"/>
      <x:c r="I441" s="32"/>
      <x:c r="J441" s="32"/>
      <x:c r="K441" s="32"/>
      <x:c r="L441" s="32"/>
      <x:c r="M441" s="32"/>
      <x:c r="N441" s="32"/>
      <x:c r="O441" s="32"/>
      <x:c r="P441" s="32"/>
      <x:c r="Q441" s="32"/>
      <x:c r="R441" s="32"/>
      <x:c r="S441" s="32"/>
      <x:c r="T441" s="43" t="str">
        <x:f>IFERROR(S441/L441,"")</x:f>
      </x:c>
      <x:c r="U441" s="32"/>
      <x:c r="V441" s="32"/>
      <x:c r="W441" s="32"/>
      <x:c r="X441" s="32"/>
      <x:c r="Y441" s="32"/>
      <x:c r="Z441" s="32"/>
      <x:c r="AA441" s="32"/>
      <x:c r="AB441" s="32"/>
      <x:c r="AC441" s="32"/>
      <x:c r="AD441" s="32"/>
      <x:c r="AE441" s="32"/>
      <x:c r="AF441" s="32"/>
      <x:c r="AG441" s="32"/>
      <x:c r="AH441" s="32"/>
      <x:c r="AI441" s="32"/>
      <x:c r="AJ441" s="32"/>
      <x:c r="AK441" s="32"/>
      <x:c r="AL441" s="32"/>
      <x:c r="AM441" s="32"/>
      <x:c r="AN441" s="32"/>
      <x:c r="AO441" s="32"/>
      <x:c r="AP441" s="32"/>
      <x:c r="AQ441" s="32"/>
      <x:c r="AR441" s="32"/>
      <x:c r="AS441" s="32"/>
      <x:c r="AT441" s="32"/>
      <x:c r="AU441" s="32"/>
      <x:c r="AV441" s="32"/>
      <x:c r="AW441" s="32"/>
      <x:c r="AX441" s="32"/>
      <x:c r="AZ441" s="32"/>
      <x:c r="BA441" s="32"/>
      <x:c r="BB441" s="32"/>
      <x:c r="BC441" s="32"/>
      <x:c r="BD441" s="32"/>
      <x:c r="BE441" s="32"/>
      <x:c r="BF441" s="32"/>
      <x:c r="BG441" s="32"/>
      <x:c r="BH441" s="32"/>
      <x:c r="BI441" s="32"/>
      <x:c r="BJ441" s="32"/>
      <x:c r="BK441" s="32"/>
      <x:c r="BL441" s="32"/>
      <x:c r="BM441" s="32"/>
    </x:row>
    <x:row r="442">
      <x:c r="A442" s="32"/>
      <x:c r="B442" s="32"/>
      <x:c r="C442" s="42"/>
      <x:c r="D442" s="32"/>
      <x:c r="E442" s="32"/>
      <x:c r="F442" s="32"/>
      <x:c r="G442" s="32"/>
      <x:c r="H442" s="32"/>
      <x:c r="I442" s="32"/>
      <x:c r="J442" s="32"/>
      <x:c r="K442" s="32"/>
      <x:c r="L442" s="32"/>
      <x:c r="M442" s="32"/>
      <x:c r="N442" s="32"/>
      <x:c r="O442" s="32"/>
      <x:c r="P442" s="32"/>
      <x:c r="Q442" s="32"/>
      <x:c r="R442" s="32"/>
      <x:c r="S442" s="32"/>
      <x:c r="T442" s="43" t="str">
        <x:f>IFERROR(S442/L442,"")</x:f>
      </x:c>
      <x:c r="U442" s="32"/>
      <x:c r="V442" s="32"/>
      <x:c r="W442" s="32"/>
      <x:c r="X442" s="32"/>
      <x:c r="Y442" s="32"/>
      <x:c r="Z442" s="32"/>
      <x:c r="AA442" s="32"/>
      <x:c r="AB442" s="32"/>
      <x:c r="AC442" s="32"/>
      <x:c r="AD442" s="32"/>
      <x:c r="AE442" s="32"/>
      <x:c r="AF442" s="32"/>
      <x:c r="AG442" s="32"/>
      <x:c r="AH442" s="32"/>
      <x:c r="AI442" s="32"/>
      <x:c r="AJ442" s="32"/>
      <x:c r="AK442" s="32"/>
      <x:c r="AL442" s="32"/>
      <x:c r="AM442" s="32"/>
      <x:c r="AN442" s="32"/>
      <x:c r="AO442" s="32"/>
      <x:c r="AP442" s="32"/>
      <x:c r="AQ442" s="32"/>
      <x:c r="AR442" s="32"/>
      <x:c r="AS442" s="32"/>
      <x:c r="AT442" s="32"/>
      <x:c r="AU442" s="32"/>
      <x:c r="AV442" s="32"/>
      <x:c r="AW442" s="32"/>
      <x:c r="AX442" s="32"/>
      <x:c r="AZ442" s="32"/>
      <x:c r="BA442" s="32"/>
      <x:c r="BB442" s="32"/>
      <x:c r="BC442" s="32"/>
      <x:c r="BD442" s="32"/>
      <x:c r="BE442" s="32"/>
      <x:c r="BF442" s="32"/>
      <x:c r="BG442" s="32"/>
      <x:c r="BH442" s="32"/>
      <x:c r="BI442" s="32"/>
      <x:c r="BJ442" s="32"/>
      <x:c r="BK442" s="32"/>
      <x:c r="BL442" s="32"/>
      <x:c r="BM442" s="32"/>
    </x:row>
    <x:row r="443">
      <x:c r="A443" s="32"/>
      <x:c r="B443" s="32"/>
      <x:c r="C443" s="42"/>
      <x:c r="D443" s="32"/>
      <x:c r="E443" s="32"/>
      <x:c r="F443" s="32"/>
      <x:c r="G443" s="32"/>
      <x:c r="H443" s="32"/>
      <x:c r="I443" s="32"/>
      <x:c r="J443" s="32"/>
      <x:c r="K443" s="32"/>
      <x:c r="L443" s="32"/>
      <x:c r="M443" s="32"/>
      <x:c r="N443" s="32"/>
      <x:c r="O443" s="32"/>
      <x:c r="P443" s="32"/>
      <x:c r="Q443" s="32"/>
      <x:c r="R443" s="32"/>
      <x:c r="S443" s="32"/>
      <x:c r="T443" s="43" t="str">
        <x:f>IFERROR(S443/L443,"")</x:f>
      </x:c>
      <x:c r="U443" s="32"/>
      <x:c r="V443" s="32"/>
      <x:c r="W443" s="32"/>
      <x:c r="X443" s="32"/>
      <x:c r="Y443" s="32"/>
      <x:c r="Z443" s="32"/>
      <x:c r="AA443" s="32"/>
      <x:c r="AB443" s="32"/>
      <x:c r="AC443" s="32"/>
      <x:c r="AD443" s="32"/>
      <x:c r="AE443" s="32"/>
      <x:c r="AF443" s="32"/>
      <x:c r="AG443" s="32"/>
      <x:c r="AH443" s="32"/>
      <x:c r="AI443" s="32"/>
      <x:c r="AJ443" s="32"/>
      <x:c r="AK443" s="32"/>
      <x:c r="AL443" s="32"/>
      <x:c r="AM443" s="32"/>
      <x:c r="AN443" s="32"/>
      <x:c r="AO443" s="32"/>
      <x:c r="AP443" s="32"/>
      <x:c r="AQ443" s="32"/>
      <x:c r="AR443" s="32"/>
      <x:c r="AS443" s="32"/>
      <x:c r="AT443" s="32"/>
      <x:c r="AU443" s="32"/>
      <x:c r="AV443" s="32"/>
      <x:c r="AW443" s="32"/>
      <x:c r="AX443" s="32"/>
      <x:c r="AZ443" s="32"/>
      <x:c r="BA443" s="32"/>
      <x:c r="BB443" s="32"/>
      <x:c r="BC443" s="32"/>
      <x:c r="BD443" s="32"/>
      <x:c r="BE443" s="32"/>
      <x:c r="BF443" s="32"/>
      <x:c r="BG443" s="32"/>
      <x:c r="BH443" s="32"/>
      <x:c r="BI443" s="32"/>
      <x:c r="BJ443" s="32"/>
      <x:c r="BK443" s="32"/>
      <x:c r="BL443" s="32"/>
      <x:c r="BM443" s="32"/>
    </x:row>
    <x:row r="444">
      <x:c r="A444" s="32"/>
      <x:c r="B444" s="32"/>
      <x:c r="C444" s="42"/>
      <x:c r="D444" s="32"/>
      <x:c r="E444" s="32"/>
      <x:c r="F444" s="32"/>
      <x:c r="G444" s="32"/>
      <x:c r="H444" s="32"/>
      <x:c r="I444" s="32"/>
      <x:c r="J444" s="32"/>
      <x:c r="K444" s="32"/>
      <x:c r="L444" s="32"/>
      <x:c r="M444" s="32"/>
      <x:c r="N444" s="32"/>
      <x:c r="O444" s="32"/>
      <x:c r="P444" s="32"/>
      <x:c r="Q444" s="32"/>
      <x:c r="R444" s="32"/>
      <x:c r="S444" s="32"/>
      <x:c r="T444" s="43" t="str">
        <x:f>IFERROR(S444/L444,"")</x:f>
      </x:c>
      <x:c r="U444" s="32"/>
      <x:c r="V444" s="32"/>
      <x:c r="W444" s="32"/>
      <x:c r="X444" s="32"/>
      <x:c r="Y444" s="32"/>
      <x:c r="Z444" s="32"/>
      <x:c r="AA444" s="32"/>
      <x:c r="AB444" s="32"/>
      <x:c r="AC444" s="32"/>
      <x:c r="AD444" s="32"/>
      <x:c r="AE444" s="32"/>
      <x:c r="AF444" s="32"/>
      <x:c r="AG444" s="32"/>
      <x:c r="AH444" s="32"/>
      <x:c r="AI444" s="32"/>
      <x:c r="AJ444" s="32"/>
      <x:c r="AK444" s="32"/>
      <x:c r="AL444" s="32"/>
      <x:c r="AM444" s="32"/>
      <x:c r="AN444" s="32"/>
      <x:c r="AO444" s="32"/>
      <x:c r="AP444" s="32"/>
      <x:c r="AQ444" s="32"/>
      <x:c r="AR444" s="32"/>
      <x:c r="AS444" s="32"/>
      <x:c r="AT444" s="32"/>
      <x:c r="AU444" s="32"/>
      <x:c r="AV444" s="32"/>
      <x:c r="AW444" s="32"/>
      <x:c r="AX444" s="32"/>
      <x:c r="AZ444" s="32"/>
      <x:c r="BA444" s="32"/>
      <x:c r="BB444" s="32"/>
      <x:c r="BC444" s="32"/>
      <x:c r="BD444" s="32"/>
      <x:c r="BE444" s="32"/>
      <x:c r="BF444" s="32"/>
      <x:c r="BG444" s="32"/>
      <x:c r="BH444" s="32"/>
      <x:c r="BI444" s="32"/>
      <x:c r="BJ444" s="32"/>
      <x:c r="BK444" s="32"/>
      <x:c r="BL444" s="32"/>
      <x:c r="BM444" s="32"/>
    </x:row>
    <x:row r="445">
      <x:c r="A445" s="32"/>
      <x:c r="B445" s="32"/>
      <x:c r="C445" s="42"/>
      <x:c r="D445" s="32"/>
      <x:c r="E445" s="32"/>
      <x:c r="F445" s="32"/>
      <x:c r="G445" s="32"/>
      <x:c r="H445" s="32"/>
      <x:c r="I445" s="32"/>
      <x:c r="J445" s="32"/>
      <x:c r="K445" s="32"/>
      <x:c r="L445" s="32"/>
      <x:c r="M445" s="32"/>
      <x:c r="N445" s="32"/>
      <x:c r="O445" s="32"/>
      <x:c r="P445" s="32"/>
      <x:c r="Q445" s="32"/>
      <x:c r="R445" s="32"/>
      <x:c r="S445" s="32"/>
      <x:c r="T445" s="43" t="str">
        <x:f>IFERROR(S445/L445,"")</x:f>
      </x:c>
      <x:c r="U445" s="32"/>
      <x:c r="V445" s="32"/>
      <x:c r="W445" s="32"/>
      <x:c r="X445" s="32"/>
      <x:c r="Y445" s="32"/>
      <x:c r="Z445" s="32"/>
      <x:c r="AA445" s="32"/>
      <x:c r="AB445" s="32"/>
      <x:c r="AC445" s="32"/>
      <x:c r="AD445" s="32"/>
      <x:c r="AE445" s="32"/>
      <x:c r="AF445" s="32"/>
      <x:c r="AG445" s="32"/>
      <x:c r="AH445" s="32"/>
      <x:c r="AI445" s="32"/>
      <x:c r="AJ445" s="32"/>
      <x:c r="AK445" s="32"/>
      <x:c r="AL445" s="32"/>
      <x:c r="AM445" s="32"/>
      <x:c r="AN445" s="32"/>
      <x:c r="AO445" s="32"/>
      <x:c r="AP445" s="32"/>
      <x:c r="AQ445" s="32"/>
      <x:c r="AR445" s="32"/>
      <x:c r="AS445" s="32"/>
      <x:c r="AT445" s="32"/>
      <x:c r="AU445" s="32"/>
      <x:c r="AV445" s="32"/>
      <x:c r="AW445" s="32"/>
      <x:c r="AX445" s="32"/>
      <x:c r="AZ445" s="32"/>
      <x:c r="BA445" s="32"/>
      <x:c r="BB445" s="32"/>
      <x:c r="BC445" s="32"/>
      <x:c r="BD445" s="32"/>
      <x:c r="BE445" s="32"/>
      <x:c r="BF445" s="32"/>
      <x:c r="BG445" s="32"/>
      <x:c r="BH445" s="32"/>
      <x:c r="BI445" s="32"/>
      <x:c r="BJ445" s="32"/>
      <x:c r="BK445" s="32"/>
      <x:c r="BL445" s="32"/>
      <x:c r="BM445" s="32"/>
    </x:row>
    <x:row r="446">
      <x:c r="A446" s="32"/>
      <x:c r="B446" s="32"/>
      <x:c r="C446" s="42"/>
      <x:c r="D446" s="32"/>
      <x:c r="E446" s="32"/>
      <x:c r="F446" s="32"/>
      <x:c r="G446" s="32"/>
      <x:c r="H446" s="32"/>
      <x:c r="I446" s="32"/>
      <x:c r="J446" s="32"/>
      <x:c r="K446" s="32"/>
      <x:c r="L446" s="32"/>
      <x:c r="M446" s="32"/>
      <x:c r="N446" s="32"/>
      <x:c r="O446" s="32"/>
      <x:c r="P446" s="32"/>
      <x:c r="Q446" s="32"/>
      <x:c r="R446" s="32"/>
      <x:c r="S446" s="32"/>
      <x:c r="T446" s="43" t="str">
        <x:f>IFERROR(S446/L446,"")</x:f>
      </x:c>
      <x:c r="U446" s="32"/>
      <x:c r="V446" s="32"/>
      <x:c r="W446" s="32"/>
      <x:c r="X446" s="32"/>
      <x:c r="Y446" s="32"/>
      <x:c r="Z446" s="32"/>
      <x:c r="AA446" s="32"/>
      <x:c r="AB446" s="32"/>
      <x:c r="AC446" s="32"/>
      <x:c r="AD446" s="32"/>
      <x:c r="AE446" s="32"/>
      <x:c r="AF446" s="32"/>
      <x:c r="AG446" s="32"/>
      <x:c r="AH446" s="32"/>
      <x:c r="AI446" s="32"/>
      <x:c r="AJ446" s="32"/>
      <x:c r="AK446" s="32"/>
      <x:c r="AL446" s="32"/>
      <x:c r="AM446" s="32"/>
      <x:c r="AN446" s="32"/>
      <x:c r="AO446" s="32"/>
      <x:c r="AP446" s="32"/>
      <x:c r="AQ446" s="32"/>
      <x:c r="AR446" s="32"/>
      <x:c r="AS446" s="32"/>
      <x:c r="AT446" s="32"/>
      <x:c r="AU446" s="32"/>
      <x:c r="AV446" s="32"/>
      <x:c r="AW446" s="32"/>
      <x:c r="AX446" s="32"/>
      <x:c r="AZ446" s="32"/>
      <x:c r="BA446" s="32"/>
      <x:c r="BB446" s="32"/>
      <x:c r="BC446" s="32"/>
      <x:c r="BD446" s="32"/>
      <x:c r="BE446" s="32"/>
      <x:c r="BF446" s="32"/>
      <x:c r="BG446" s="32"/>
      <x:c r="BH446" s="32"/>
      <x:c r="BI446" s="32"/>
      <x:c r="BJ446" s="32"/>
      <x:c r="BK446" s="32"/>
      <x:c r="BL446" s="32"/>
      <x:c r="BM446" s="32"/>
    </x:row>
    <x:row r="447">
      <x:c r="A447" s="32"/>
      <x:c r="B447" s="32"/>
      <x:c r="C447" s="42"/>
      <x:c r="D447" s="32"/>
      <x:c r="E447" s="32"/>
      <x:c r="F447" s="32"/>
      <x:c r="G447" s="32"/>
      <x:c r="H447" s="32"/>
      <x:c r="I447" s="32"/>
      <x:c r="J447" s="32"/>
      <x:c r="K447" s="32"/>
      <x:c r="L447" s="32"/>
      <x:c r="M447" s="32"/>
      <x:c r="N447" s="32"/>
      <x:c r="O447" s="32"/>
      <x:c r="P447" s="32"/>
      <x:c r="Q447" s="32"/>
      <x:c r="R447" s="32"/>
      <x:c r="S447" s="32"/>
      <x:c r="T447" s="43" t="str">
        <x:f>IFERROR(S447/L447,"")</x:f>
      </x:c>
      <x:c r="U447" s="32"/>
      <x:c r="V447" s="32"/>
      <x:c r="W447" s="32"/>
      <x:c r="X447" s="32"/>
      <x:c r="Y447" s="32"/>
      <x:c r="Z447" s="32"/>
      <x:c r="AA447" s="32"/>
      <x:c r="AB447" s="32"/>
      <x:c r="AC447" s="32"/>
      <x:c r="AD447" s="32"/>
      <x:c r="AE447" s="32"/>
      <x:c r="AF447" s="32"/>
      <x:c r="AG447" s="32"/>
      <x:c r="AH447" s="32"/>
      <x:c r="AI447" s="32"/>
      <x:c r="AJ447" s="32"/>
      <x:c r="AK447" s="32"/>
      <x:c r="AL447" s="32"/>
      <x:c r="AM447" s="32"/>
      <x:c r="AN447" s="32"/>
      <x:c r="AO447" s="32"/>
      <x:c r="AP447" s="32"/>
      <x:c r="AQ447" s="32"/>
      <x:c r="AR447" s="32"/>
      <x:c r="AS447" s="32"/>
      <x:c r="AT447" s="32"/>
      <x:c r="AU447" s="32"/>
      <x:c r="AV447" s="32"/>
      <x:c r="AW447" s="32"/>
      <x:c r="AX447" s="32"/>
      <x:c r="AZ447" s="32"/>
      <x:c r="BA447" s="32"/>
      <x:c r="BB447" s="32"/>
      <x:c r="BC447" s="32"/>
      <x:c r="BD447" s="32"/>
      <x:c r="BE447" s="32"/>
      <x:c r="BF447" s="32"/>
      <x:c r="BG447" s="32"/>
      <x:c r="BH447" s="32"/>
      <x:c r="BI447" s="32"/>
      <x:c r="BJ447" s="32"/>
      <x:c r="BK447" s="32"/>
      <x:c r="BL447" s="32"/>
      <x:c r="BM447" s="32"/>
    </x:row>
    <x:row r="448">
      <x:c r="A448" s="32"/>
      <x:c r="B448" s="32"/>
      <x:c r="C448" s="42"/>
      <x:c r="D448" s="32"/>
      <x:c r="E448" s="32"/>
      <x:c r="F448" s="32"/>
      <x:c r="G448" s="32"/>
      <x:c r="H448" s="32"/>
      <x:c r="I448" s="32"/>
      <x:c r="J448" s="32"/>
      <x:c r="K448" s="32"/>
      <x:c r="L448" s="32"/>
      <x:c r="M448" s="32"/>
      <x:c r="N448" s="32"/>
      <x:c r="O448" s="32"/>
      <x:c r="P448" s="32"/>
      <x:c r="Q448" s="32"/>
      <x:c r="R448" s="32"/>
      <x:c r="S448" s="32"/>
      <x:c r="T448" s="43" t="str">
        <x:f>IFERROR(S448/L448,"")</x:f>
      </x:c>
      <x:c r="U448" s="32"/>
      <x:c r="V448" s="32"/>
      <x:c r="W448" s="32"/>
      <x:c r="X448" s="32"/>
      <x:c r="Y448" s="32"/>
      <x:c r="Z448" s="32"/>
      <x:c r="AA448" s="32"/>
      <x:c r="AB448" s="32"/>
      <x:c r="AC448" s="32"/>
      <x:c r="AD448" s="32"/>
      <x:c r="AE448" s="32"/>
      <x:c r="AF448" s="32"/>
      <x:c r="AG448" s="32"/>
      <x:c r="AH448" s="32"/>
      <x:c r="AI448" s="32"/>
      <x:c r="AJ448" s="32"/>
      <x:c r="AK448" s="32"/>
      <x:c r="AL448" s="32"/>
      <x:c r="AM448" s="32"/>
      <x:c r="AN448" s="32"/>
      <x:c r="AO448" s="32"/>
      <x:c r="AP448" s="32"/>
      <x:c r="AQ448" s="32"/>
      <x:c r="AR448" s="32"/>
      <x:c r="AS448" s="32"/>
      <x:c r="AT448" s="32"/>
      <x:c r="AU448" s="32"/>
      <x:c r="AV448" s="32"/>
      <x:c r="AW448" s="32"/>
      <x:c r="AX448" s="32"/>
      <x:c r="AZ448" s="32"/>
      <x:c r="BA448" s="32"/>
      <x:c r="BB448" s="32"/>
      <x:c r="BC448" s="32"/>
      <x:c r="BD448" s="32"/>
      <x:c r="BE448" s="32"/>
      <x:c r="BF448" s="32"/>
      <x:c r="BG448" s="32"/>
      <x:c r="BH448" s="32"/>
      <x:c r="BI448" s="32"/>
      <x:c r="BJ448" s="32"/>
      <x:c r="BK448" s="32"/>
      <x:c r="BL448" s="32"/>
      <x:c r="BM448" s="32"/>
    </x:row>
    <x:row r="449">
      <x:c r="A449" s="32"/>
      <x:c r="B449" s="32"/>
      <x:c r="C449" s="42"/>
      <x:c r="D449" s="32"/>
      <x:c r="E449" s="32"/>
      <x:c r="F449" s="32"/>
      <x:c r="G449" s="32"/>
      <x:c r="H449" s="32"/>
      <x:c r="I449" s="32"/>
      <x:c r="J449" s="32"/>
      <x:c r="K449" s="32"/>
      <x:c r="L449" s="32"/>
      <x:c r="M449" s="32"/>
      <x:c r="N449" s="32"/>
      <x:c r="O449" s="32"/>
      <x:c r="P449" s="32"/>
      <x:c r="Q449" s="32"/>
      <x:c r="R449" s="32"/>
      <x:c r="S449" s="32"/>
      <x:c r="T449" s="43" t="str">
        <x:f>IFERROR(S449/L449,"")</x:f>
      </x:c>
      <x:c r="U449" s="32"/>
      <x:c r="V449" s="32"/>
      <x:c r="W449" s="32"/>
      <x:c r="X449" s="32"/>
      <x:c r="Y449" s="32"/>
      <x:c r="Z449" s="32"/>
      <x:c r="AA449" s="32"/>
      <x:c r="AB449" s="32"/>
      <x:c r="AC449" s="32"/>
      <x:c r="AD449" s="32"/>
      <x:c r="AE449" s="32"/>
      <x:c r="AF449" s="32"/>
      <x:c r="AG449" s="32"/>
      <x:c r="AH449" s="32"/>
      <x:c r="AI449" s="32"/>
      <x:c r="AJ449" s="32"/>
      <x:c r="AK449" s="32"/>
      <x:c r="AL449" s="32"/>
      <x:c r="AM449" s="32"/>
      <x:c r="AN449" s="32"/>
      <x:c r="AO449" s="32"/>
      <x:c r="AP449" s="32"/>
      <x:c r="AQ449" s="32"/>
      <x:c r="AR449" s="32"/>
      <x:c r="AS449" s="32"/>
      <x:c r="AT449" s="32"/>
      <x:c r="AU449" s="32"/>
      <x:c r="AV449" s="32"/>
      <x:c r="AW449" s="32"/>
      <x:c r="AX449" s="32"/>
      <x:c r="AZ449" s="32"/>
      <x:c r="BA449" s="32"/>
      <x:c r="BB449" s="32"/>
      <x:c r="BC449" s="32"/>
      <x:c r="BD449" s="32"/>
      <x:c r="BE449" s="32"/>
      <x:c r="BF449" s="32"/>
      <x:c r="BG449" s="32"/>
      <x:c r="BH449" s="32"/>
      <x:c r="BI449" s="32"/>
      <x:c r="BJ449" s="32"/>
      <x:c r="BK449" s="32"/>
      <x:c r="BL449" s="32"/>
      <x:c r="BM449" s="32"/>
    </x:row>
    <x:row r="450">
      <x:c r="A450" s="32"/>
      <x:c r="B450" s="32"/>
      <x:c r="C450" s="42"/>
      <x:c r="D450" s="32"/>
      <x:c r="E450" s="32"/>
      <x:c r="F450" s="32"/>
      <x:c r="G450" s="32"/>
      <x:c r="H450" s="32"/>
      <x:c r="I450" s="32"/>
      <x:c r="J450" s="32"/>
      <x:c r="K450" s="32"/>
      <x:c r="L450" s="32"/>
      <x:c r="M450" s="32"/>
      <x:c r="N450" s="32"/>
      <x:c r="O450" s="32"/>
      <x:c r="P450" s="32"/>
      <x:c r="Q450" s="32"/>
      <x:c r="R450" s="32"/>
      <x:c r="S450" s="32"/>
      <x:c r="T450" s="43" t="str">
        <x:f>IFERROR(S450/L450,"")</x:f>
      </x:c>
      <x:c r="U450" s="32"/>
      <x:c r="V450" s="32"/>
      <x:c r="W450" s="32"/>
      <x:c r="X450" s="32"/>
      <x:c r="Y450" s="32"/>
      <x:c r="Z450" s="32"/>
      <x:c r="AA450" s="32"/>
      <x:c r="AB450" s="32"/>
      <x:c r="AC450" s="32"/>
      <x:c r="AD450" s="32"/>
      <x:c r="AE450" s="32"/>
      <x:c r="AF450" s="32"/>
      <x:c r="AG450" s="32"/>
      <x:c r="AH450" s="32"/>
      <x:c r="AI450" s="32"/>
      <x:c r="AJ450" s="32"/>
      <x:c r="AK450" s="32"/>
      <x:c r="AL450" s="32"/>
      <x:c r="AM450" s="32"/>
      <x:c r="AN450" s="32"/>
      <x:c r="AO450" s="32"/>
      <x:c r="AP450" s="32"/>
      <x:c r="AQ450" s="32"/>
      <x:c r="AR450" s="32"/>
      <x:c r="AS450" s="32"/>
      <x:c r="AT450" s="32"/>
      <x:c r="AU450" s="32"/>
      <x:c r="AV450" s="32"/>
      <x:c r="AW450" s="32"/>
      <x:c r="AX450" s="32"/>
      <x:c r="AZ450" s="32"/>
      <x:c r="BA450" s="32"/>
      <x:c r="BB450" s="32"/>
      <x:c r="BC450" s="32"/>
      <x:c r="BD450" s="32"/>
      <x:c r="BE450" s="32"/>
      <x:c r="BF450" s="32"/>
      <x:c r="BG450" s="32"/>
      <x:c r="BH450" s="32"/>
      <x:c r="BI450" s="32"/>
      <x:c r="BJ450" s="32"/>
      <x:c r="BK450" s="32"/>
      <x:c r="BL450" s="32"/>
      <x:c r="BM450" s="32"/>
    </x:row>
    <x:row r="451">
      <x:c r="A451" s="32"/>
      <x:c r="B451" s="32"/>
      <x:c r="C451" s="42"/>
      <x:c r="D451" s="32"/>
      <x:c r="E451" s="32"/>
      <x:c r="F451" s="32"/>
      <x:c r="G451" s="32"/>
      <x:c r="H451" s="32"/>
      <x:c r="I451" s="32"/>
      <x:c r="J451" s="32"/>
      <x:c r="K451" s="32"/>
      <x:c r="L451" s="32"/>
      <x:c r="M451" s="32"/>
      <x:c r="N451" s="32"/>
      <x:c r="O451" s="32"/>
      <x:c r="P451" s="32"/>
      <x:c r="Q451" s="32"/>
      <x:c r="R451" s="32"/>
      <x:c r="S451" s="32"/>
      <x:c r="T451" s="43" t="str">
        <x:f>IFERROR(S451/L451,"")</x:f>
      </x:c>
      <x:c r="U451" s="32"/>
      <x:c r="V451" s="32"/>
      <x:c r="W451" s="32"/>
      <x:c r="X451" s="32"/>
      <x:c r="Y451" s="32"/>
      <x:c r="Z451" s="32"/>
      <x:c r="AA451" s="32"/>
      <x:c r="AB451" s="32"/>
      <x:c r="AC451" s="32"/>
      <x:c r="AD451" s="32"/>
      <x:c r="AE451" s="32"/>
      <x:c r="AF451" s="32"/>
      <x:c r="AG451" s="32"/>
      <x:c r="AH451" s="32"/>
      <x:c r="AI451" s="32"/>
      <x:c r="AJ451" s="32"/>
      <x:c r="AK451" s="32"/>
      <x:c r="AL451" s="32"/>
      <x:c r="AM451" s="32"/>
      <x:c r="AN451" s="32"/>
      <x:c r="AO451" s="32"/>
      <x:c r="AP451" s="32"/>
      <x:c r="AQ451" s="32"/>
      <x:c r="AR451" s="32"/>
      <x:c r="AS451" s="32"/>
      <x:c r="AT451" s="32"/>
      <x:c r="AU451" s="32"/>
      <x:c r="AV451" s="32"/>
      <x:c r="AW451" s="32"/>
      <x:c r="AX451" s="32"/>
      <x:c r="AZ451" s="32"/>
      <x:c r="BA451" s="32"/>
      <x:c r="BB451" s="32"/>
      <x:c r="BC451" s="32"/>
      <x:c r="BD451" s="32"/>
      <x:c r="BE451" s="32"/>
      <x:c r="BF451" s="32"/>
      <x:c r="BG451" s="32"/>
      <x:c r="BH451" s="32"/>
      <x:c r="BI451" s="32"/>
      <x:c r="BJ451" s="32"/>
      <x:c r="BK451" s="32"/>
      <x:c r="BL451" s="32"/>
      <x:c r="BM451" s="32"/>
    </x:row>
    <x:row r="452">
      <x:c r="A452" s="32"/>
      <x:c r="B452" s="32"/>
      <x:c r="C452" s="42"/>
      <x:c r="D452" s="32"/>
      <x:c r="E452" s="32"/>
      <x:c r="F452" s="32"/>
      <x:c r="G452" s="32"/>
      <x:c r="H452" s="32"/>
      <x:c r="I452" s="32"/>
      <x:c r="J452" s="32"/>
      <x:c r="K452" s="32"/>
      <x:c r="L452" s="32"/>
      <x:c r="M452" s="32"/>
      <x:c r="N452" s="32"/>
      <x:c r="O452" s="32"/>
      <x:c r="P452" s="32"/>
      <x:c r="Q452" s="32"/>
      <x:c r="R452" s="32"/>
      <x:c r="S452" s="32"/>
      <x:c r="T452" s="43" t="str">
        <x:f>IFERROR(S452/L452,"")</x:f>
      </x:c>
      <x:c r="U452" s="32"/>
      <x:c r="V452" s="32"/>
      <x:c r="W452" s="32"/>
      <x:c r="X452" s="32"/>
      <x:c r="Y452" s="32"/>
      <x:c r="Z452" s="32"/>
      <x:c r="AA452" s="32"/>
      <x:c r="AB452" s="32"/>
      <x:c r="AC452" s="32"/>
      <x:c r="AD452" s="32"/>
      <x:c r="AE452" s="32"/>
      <x:c r="AF452" s="32"/>
      <x:c r="AG452" s="32"/>
      <x:c r="AH452" s="32"/>
      <x:c r="AI452" s="32"/>
      <x:c r="AJ452" s="32"/>
      <x:c r="AK452" s="32"/>
      <x:c r="AL452" s="32"/>
      <x:c r="AM452" s="32"/>
      <x:c r="AN452" s="32"/>
      <x:c r="AO452" s="32"/>
      <x:c r="AP452" s="32"/>
      <x:c r="AQ452" s="32"/>
      <x:c r="AR452" s="32"/>
      <x:c r="AS452" s="32"/>
      <x:c r="AT452" s="32"/>
      <x:c r="AU452" s="32"/>
      <x:c r="AV452" s="32"/>
      <x:c r="AW452" s="32"/>
      <x:c r="AX452" s="32"/>
      <x:c r="AZ452" s="32"/>
      <x:c r="BA452" s="32"/>
      <x:c r="BB452" s="32"/>
      <x:c r="BC452" s="32"/>
      <x:c r="BD452" s="32"/>
      <x:c r="BE452" s="32"/>
      <x:c r="BF452" s="32"/>
      <x:c r="BG452" s="32"/>
      <x:c r="BH452" s="32"/>
      <x:c r="BI452" s="32"/>
      <x:c r="BJ452" s="32"/>
      <x:c r="BK452" s="32"/>
      <x:c r="BL452" s="32"/>
      <x:c r="BM452" s="32"/>
    </x:row>
    <x:row r="453">
      <x:c r="A453" s="32"/>
      <x:c r="B453" s="32"/>
      <x:c r="C453" s="42"/>
      <x:c r="D453" s="32"/>
      <x:c r="E453" s="32"/>
      <x:c r="F453" s="32"/>
      <x:c r="G453" s="32"/>
      <x:c r="H453" s="32"/>
      <x:c r="I453" s="32"/>
      <x:c r="J453" s="32"/>
      <x:c r="K453" s="32"/>
      <x:c r="L453" s="32"/>
      <x:c r="M453" s="32"/>
      <x:c r="N453" s="32"/>
      <x:c r="O453" s="32"/>
      <x:c r="P453" s="32"/>
      <x:c r="Q453" s="32"/>
      <x:c r="R453" s="32"/>
      <x:c r="S453" s="32"/>
      <x:c r="T453" s="43" t="str">
        <x:f>IFERROR(S453/L453,"")</x:f>
      </x:c>
      <x:c r="U453" s="32"/>
      <x:c r="V453" s="32"/>
      <x:c r="W453" s="32"/>
      <x:c r="X453" s="32"/>
      <x:c r="Y453" s="32"/>
      <x:c r="Z453" s="32"/>
      <x:c r="AA453" s="32"/>
      <x:c r="AB453" s="32"/>
      <x:c r="AC453" s="32"/>
      <x:c r="AD453" s="32"/>
      <x:c r="AE453" s="32"/>
      <x:c r="AF453" s="32"/>
      <x:c r="AG453" s="32"/>
      <x:c r="AH453" s="32"/>
      <x:c r="AI453" s="32"/>
      <x:c r="AJ453" s="32"/>
      <x:c r="AK453" s="32"/>
      <x:c r="AL453" s="32"/>
      <x:c r="AM453" s="32"/>
      <x:c r="AN453" s="32"/>
      <x:c r="AO453" s="32"/>
      <x:c r="AP453" s="32"/>
      <x:c r="AQ453" s="32"/>
      <x:c r="AR453" s="32"/>
      <x:c r="AS453" s="32"/>
      <x:c r="AT453" s="32"/>
      <x:c r="AU453" s="32"/>
      <x:c r="AV453" s="32"/>
      <x:c r="AW453" s="32"/>
      <x:c r="AX453" s="32"/>
      <x:c r="AZ453" s="32"/>
      <x:c r="BA453" s="32"/>
      <x:c r="BB453" s="32"/>
      <x:c r="BC453" s="32"/>
      <x:c r="BD453" s="32"/>
      <x:c r="BE453" s="32"/>
      <x:c r="BF453" s="32"/>
      <x:c r="BG453" s="32"/>
      <x:c r="BH453" s="32"/>
      <x:c r="BI453" s="32"/>
      <x:c r="BJ453" s="32"/>
      <x:c r="BK453" s="32"/>
      <x:c r="BL453" s="32"/>
      <x:c r="BM453" s="32"/>
    </x:row>
    <x:row r="454">
      <x:c r="A454" s="32"/>
      <x:c r="B454" s="32"/>
      <x:c r="C454" s="42"/>
      <x:c r="D454" s="32"/>
      <x:c r="E454" s="32"/>
      <x:c r="F454" s="32"/>
      <x:c r="G454" s="32"/>
      <x:c r="H454" s="32"/>
      <x:c r="I454" s="32"/>
      <x:c r="J454" s="32"/>
      <x:c r="K454" s="32"/>
      <x:c r="L454" s="32"/>
      <x:c r="M454" s="32"/>
      <x:c r="N454" s="32"/>
      <x:c r="O454" s="32"/>
      <x:c r="P454" s="32"/>
      <x:c r="Q454" s="32"/>
      <x:c r="R454" s="32"/>
      <x:c r="S454" s="32"/>
      <x:c r="T454" s="43" t="str">
        <x:f>IFERROR(S454/L454,"")</x:f>
      </x:c>
      <x:c r="U454" s="32"/>
      <x:c r="V454" s="32"/>
      <x:c r="W454" s="32"/>
      <x:c r="X454" s="32"/>
      <x:c r="Y454" s="32"/>
      <x:c r="Z454" s="32"/>
      <x:c r="AA454" s="32"/>
      <x:c r="AB454" s="32"/>
      <x:c r="AC454" s="32"/>
      <x:c r="AD454" s="32"/>
      <x:c r="AE454" s="32"/>
      <x:c r="AF454" s="32"/>
      <x:c r="AG454" s="32"/>
      <x:c r="AH454" s="32"/>
      <x:c r="AI454" s="32"/>
      <x:c r="AJ454" s="32"/>
      <x:c r="AK454" s="32"/>
      <x:c r="AL454" s="32"/>
      <x:c r="AM454" s="32"/>
      <x:c r="AN454" s="32"/>
      <x:c r="AO454" s="32"/>
      <x:c r="AP454" s="32"/>
      <x:c r="AQ454" s="32"/>
      <x:c r="AR454" s="32"/>
      <x:c r="AS454" s="32"/>
      <x:c r="AT454" s="32"/>
      <x:c r="AU454" s="32"/>
      <x:c r="AV454" s="32"/>
      <x:c r="AW454" s="32"/>
      <x:c r="AX454" s="32"/>
      <x:c r="AZ454" s="32"/>
      <x:c r="BA454" s="32"/>
      <x:c r="BB454" s="32"/>
      <x:c r="BC454" s="32"/>
      <x:c r="BD454" s="32"/>
      <x:c r="BE454" s="32"/>
      <x:c r="BF454" s="32"/>
      <x:c r="BG454" s="32"/>
      <x:c r="BH454" s="32"/>
      <x:c r="BI454" s="32"/>
      <x:c r="BJ454" s="32"/>
      <x:c r="BK454" s="32"/>
      <x:c r="BL454" s="32"/>
      <x:c r="BM454" s="32"/>
    </x:row>
    <x:row r="455">
      <x:c r="A455" s="32"/>
      <x:c r="B455" s="32"/>
      <x:c r="C455" s="42"/>
      <x:c r="D455" s="32"/>
      <x:c r="E455" s="32"/>
      <x:c r="F455" s="32"/>
      <x:c r="G455" s="32"/>
      <x:c r="H455" s="32"/>
      <x:c r="I455" s="32"/>
      <x:c r="J455" s="32"/>
      <x:c r="K455" s="32"/>
      <x:c r="L455" s="32"/>
      <x:c r="M455" s="32"/>
      <x:c r="N455" s="32"/>
      <x:c r="O455" s="32"/>
      <x:c r="P455" s="32"/>
      <x:c r="Q455" s="32"/>
      <x:c r="R455" s="32"/>
      <x:c r="S455" s="32"/>
      <x:c r="T455" s="43" t="str">
        <x:f>IFERROR(S455/L455,"")</x:f>
      </x:c>
      <x:c r="U455" s="32"/>
      <x:c r="V455" s="32"/>
      <x:c r="W455" s="32"/>
      <x:c r="X455" s="32"/>
      <x:c r="Y455" s="32"/>
      <x:c r="Z455" s="32"/>
      <x:c r="AA455" s="32"/>
      <x:c r="AB455" s="32"/>
      <x:c r="AC455" s="32"/>
      <x:c r="AD455" s="32"/>
      <x:c r="AE455" s="32"/>
      <x:c r="AF455" s="32"/>
      <x:c r="AG455" s="32"/>
      <x:c r="AH455" s="32"/>
      <x:c r="AI455" s="32"/>
      <x:c r="AJ455" s="32"/>
      <x:c r="AK455" s="32"/>
      <x:c r="AL455" s="32"/>
      <x:c r="AM455" s="32"/>
      <x:c r="AN455" s="32"/>
      <x:c r="AO455" s="32"/>
      <x:c r="AP455" s="32"/>
      <x:c r="AQ455" s="32"/>
      <x:c r="AR455" s="32"/>
      <x:c r="AS455" s="32"/>
      <x:c r="AT455" s="32"/>
      <x:c r="AU455" s="32"/>
      <x:c r="AV455" s="32"/>
      <x:c r="AW455" s="32"/>
      <x:c r="AX455" s="32"/>
      <x:c r="AZ455" s="32"/>
      <x:c r="BA455" s="32"/>
      <x:c r="BB455" s="32"/>
      <x:c r="BC455" s="32"/>
      <x:c r="BD455" s="32"/>
      <x:c r="BE455" s="32"/>
      <x:c r="BF455" s="32"/>
      <x:c r="BG455" s="32"/>
      <x:c r="BH455" s="32"/>
      <x:c r="BI455" s="32"/>
      <x:c r="BJ455" s="32"/>
      <x:c r="BK455" s="32"/>
      <x:c r="BL455" s="32"/>
      <x:c r="BM455" s="32"/>
    </x:row>
    <x:row r="456">
      <x:c r="A456" s="32"/>
      <x:c r="B456" s="32"/>
      <x:c r="C456" s="42"/>
      <x:c r="D456" s="32"/>
      <x:c r="E456" s="32"/>
      <x:c r="F456" s="32"/>
      <x:c r="G456" s="32"/>
      <x:c r="H456" s="32"/>
      <x:c r="I456" s="32"/>
      <x:c r="J456" s="32"/>
      <x:c r="K456" s="32"/>
      <x:c r="L456" s="32"/>
      <x:c r="M456" s="32"/>
      <x:c r="N456" s="32"/>
      <x:c r="O456" s="32"/>
      <x:c r="P456" s="32"/>
      <x:c r="Q456" s="32"/>
      <x:c r="R456" s="32"/>
      <x:c r="S456" s="32"/>
      <x:c r="T456" s="43" t="str">
        <x:f>IFERROR(S456/L456,"")</x:f>
      </x:c>
      <x:c r="U456" s="32"/>
      <x:c r="V456" s="32"/>
      <x:c r="W456" s="32"/>
      <x:c r="X456" s="32"/>
      <x:c r="Y456" s="32"/>
      <x:c r="Z456" s="32"/>
      <x:c r="AA456" s="32"/>
      <x:c r="AB456" s="32"/>
      <x:c r="AC456" s="32"/>
      <x:c r="AD456" s="32"/>
      <x:c r="AE456" s="32"/>
      <x:c r="AF456" s="32"/>
      <x:c r="AG456" s="32"/>
      <x:c r="AH456" s="32"/>
      <x:c r="AI456" s="32"/>
      <x:c r="AJ456" s="32"/>
      <x:c r="AK456" s="32"/>
      <x:c r="AL456" s="32"/>
      <x:c r="AM456" s="32"/>
      <x:c r="AN456" s="32"/>
      <x:c r="AO456" s="32"/>
      <x:c r="AP456" s="32"/>
      <x:c r="AQ456" s="32"/>
      <x:c r="AR456" s="32"/>
      <x:c r="AS456" s="32"/>
      <x:c r="AT456" s="32"/>
      <x:c r="AU456" s="32"/>
      <x:c r="AV456" s="32"/>
      <x:c r="AW456" s="32"/>
      <x:c r="AX456" s="32"/>
      <x:c r="AZ456" s="32"/>
      <x:c r="BA456" s="32"/>
      <x:c r="BB456" s="32"/>
      <x:c r="BC456" s="32"/>
      <x:c r="BD456" s="32"/>
      <x:c r="BE456" s="32"/>
      <x:c r="BF456" s="32"/>
      <x:c r="BG456" s="32"/>
      <x:c r="BH456" s="32"/>
      <x:c r="BI456" s="32"/>
      <x:c r="BJ456" s="32"/>
      <x:c r="BK456" s="32"/>
      <x:c r="BL456" s="32"/>
      <x:c r="BM456" s="32"/>
    </x:row>
    <x:row r="457">
      <x:c r="A457" s="32"/>
      <x:c r="B457" s="32"/>
      <x:c r="C457" s="42"/>
      <x:c r="D457" s="32"/>
      <x:c r="E457" s="32"/>
      <x:c r="F457" s="32"/>
      <x:c r="G457" s="32"/>
      <x:c r="H457" s="32"/>
      <x:c r="I457" s="32"/>
      <x:c r="J457" s="32"/>
      <x:c r="K457" s="32"/>
      <x:c r="L457" s="32"/>
      <x:c r="M457" s="32"/>
      <x:c r="N457" s="32"/>
      <x:c r="O457" s="32"/>
      <x:c r="P457" s="32"/>
      <x:c r="Q457" s="32"/>
      <x:c r="R457" s="32"/>
      <x:c r="S457" s="32"/>
      <x:c r="T457" s="43" t="str">
        <x:f>IFERROR(S457/L457,"")</x:f>
      </x:c>
      <x:c r="U457" s="32"/>
      <x:c r="V457" s="32"/>
      <x:c r="W457" s="32"/>
      <x:c r="X457" s="32"/>
      <x:c r="Y457" s="32"/>
      <x:c r="Z457" s="32"/>
      <x:c r="AA457" s="32"/>
      <x:c r="AB457" s="32"/>
      <x:c r="AC457" s="32"/>
      <x:c r="AD457" s="32"/>
      <x:c r="AE457" s="32"/>
      <x:c r="AF457" s="32"/>
      <x:c r="AG457" s="32"/>
      <x:c r="AH457" s="32"/>
      <x:c r="AI457" s="32"/>
      <x:c r="AJ457" s="32"/>
      <x:c r="AK457" s="32"/>
      <x:c r="AL457" s="32"/>
      <x:c r="AM457" s="32"/>
      <x:c r="AN457" s="32"/>
      <x:c r="AO457" s="32"/>
      <x:c r="AP457" s="32"/>
      <x:c r="AQ457" s="32"/>
      <x:c r="AR457" s="32"/>
      <x:c r="AS457" s="32"/>
      <x:c r="AT457" s="32"/>
      <x:c r="AU457" s="32"/>
      <x:c r="AV457" s="32"/>
      <x:c r="AW457" s="32"/>
      <x:c r="AX457" s="32"/>
      <x:c r="AZ457" s="32"/>
      <x:c r="BA457" s="32"/>
      <x:c r="BB457" s="32"/>
      <x:c r="BC457" s="32"/>
      <x:c r="BD457" s="32"/>
      <x:c r="BE457" s="32"/>
      <x:c r="BF457" s="32"/>
      <x:c r="BG457" s="32"/>
      <x:c r="BH457" s="32"/>
      <x:c r="BI457" s="32"/>
      <x:c r="BJ457" s="32"/>
      <x:c r="BK457" s="32"/>
      <x:c r="BL457" s="32"/>
      <x:c r="BM457" s="32"/>
    </x:row>
    <x:row r="458">
      <x:c r="A458" s="32"/>
      <x:c r="B458" s="32"/>
      <x:c r="C458" s="42"/>
      <x:c r="D458" s="32"/>
      <x:c r="E458" s="32"/>
      <x:c r="F458" s="32"/>
      <x:c r="G458" s="32"/>
      <x:c r="H458" s="32"/>
      <x:c r="I458" s="32"/>
      <x:c r="J458" s="32"/>
      <x:c r="K458" s="32"/>
      <x:c r="L458" s="32"/>
      <x:c r="M458" s="32"/>
      <x:c r="N458" s="32"/>
      <x:c r="O458" s="32"/>
      <x:c r="P458" s="32"/>
      <x:c r="Q458" s="32"/>
      <x:c r="R458" s="32"/>
      <x:c r="S458" s="32"/>
      <x:c r="T458" s="43" t="str">
        <x:f>IFERROR(S458/L458,"")</x:f>
      </x:c>
      <x:c r="U458" s="32"/>
      <x:c r="V458" s="32"/>
      <x:c r="W458" s="32"/>
      <x:c r="X458" s="32"/>
      <x:c r="Y458" s="32"/>
      <x:c r="Z458" s="32"/>
      <x:c r="AA458" s="32"/>
      <x:c r="AB458" s="32"/>
      <x:c r="AC458" s="32"/>
      <x:c r="AD458" s="32"/>
      <x:c r="AE458" s="32"/>
      <x:c r="AF458" s="32"/>
      <x:c r="AG458" s="32"/>
      <x:c r="AH458" s="32"/>
      <x:c r="AI458" s="32"/>
      <x:c r="AJ458" s="32"/>
      <x:c r="AK458" s="32"/>
      <x:c r="AL458" s="32"/>
      <x:c r="AM458" s="32"/>
      <x:c r="AN458" s="32"/>
      <x:c r="AO458" s="32"/>
      <x:c r="AP458" s="32"/>
      <x:c r="AQ458" s="32"/>
      <x:c r="AR458" s="32"/>
      <x:c r="AS458" s="32"/>
      <x:c r="AT458" s="32"/>
      <x:c r="AU458" s="32"/>
      <x:c r="AV458" s="32"/>
      <x:c r="AW458" s="32"/>
      <x:c r="AX458" s="32"/>
      <x:c r="AZ458" s="32"/>
      <x:c r="BA458" s="32"/>
      <x:c r="BB458" s="32"/>
      <x:c r="BC458" s="32"/>
      <x:c r="BD458" s="32"/>
      <x:c r="BE458" s="32"/>
      <x:c r="BF458" s="32"/>
      <x:c r="BG458" s="32"/>
      <x:c r="BH458" s="32"/>
      <x:c r="BI458" s="32"/>
      <x:c r="BJ458" s="32"/>
      <x:c r="BK458" s="32"/>
      <x:c r="BL458" s="32"/>
      <x:c r="BM458" s="32"/>
    </x:row>
    <x:row r="459">
      <x:c r="A459" s="32"/>
      <x:c r="B459" s="32"/>
      <x:c r="C459" s="42"/>
      <x:c r="D459" s="32"/>
      <x:c r="E459" s="32"/>
      <x:c r="F459" s="32"/>
      <x:c r="G459" s="32"/>
      <x:c r="H459" s="32"/>
      <x:c r="I459" s="32"/>
      <x:c r="J459" s="32"/>
      <x:c r="K459" s="32"/>
      <x:c r="L459" s="32"/>
      <x:c r="M459" s="32"/>
      <x:c r="N459" s="32"/>
      <x:c r="O459" s="32"/>
      <x:c r="P459" s="32"/>
      <x:c r="Q459" s="32"/>
      <x:c r="R459" s="32"/>
      <x:c r="S459" s="32"/>
      <x:c r="T459" s="43" t="str">
        <x:f>IFERROR(S459/L459,"")</x:f>
      </x:c>
      <x:c r="U459" s="32"/>
      <x:c r="V459" s="32"/>
      <x:c r="W459" s="32"/>
      <x:c r="X459" s="32"/>
      <x:c r="Y459" s="32"/>
      <x:c r="Z459" s="32"/>
      <x:c r="AA459" s="32"/>
      <x:c r="AB459" s="32"/>
      <x:c r="AC459" s="32"/>
      <x:c r="AD459" s="32"/>
      <x:c r="AE459" s="32"/>
      <x:c r="AF459" s="32"/>
      <x:c r="AG459" s="32"/>
      <x:c r="AH459" s="32"/>
      <x:c r="AI459" s="32"/>
      <x:c r="AJ459" s="32"/>
      <x:c r="AK459" s="32"/>
      <x:c r="AL459" s="32"/>
      <x:c r="AM459" s="32"/>
      <x:c r="AN459" s="32"/>
      <x:c r="AO459" s="32"/>
      <x:c r="AP459" s="32"/>
      <x:c r="AQ459" s="32"/>
      <x:c r="AR459" s="32"/>
      <x:c r="AS459" s="32"/>
      <x:c r="AT459" s="32"/>
      <x:c r="AU459" s="32"/>
      <x:c r="AV459" s="32"/>
      <x:c r="AW459" s="32"/>
      <x:c r="AX459" s="32"/>
      <x:c r="AZ459" s="32"/>
      <x:c r="BA459" s="32"/>
      <x:c r="BB459" s="32"/>
      <x:c r="BC459" s="32"/>
      <x:c r="BD459" s="32"/>
      <x:c r="BE459" s="32"/>
      <x:c r="BF459" s="32"/>
      <x:c r="BG459" s="32"/>
      <x:c r="BH459" s="32"/>
      <x:c r="BI459" s="32"/>
      <x:c r="BJ459" s="32"/>
      <x:c r="BK459" s="32"/>
      <x:c r="BL459" s="32"/>
      <x:c r="BM459" s="32"/>
    </x:row>
    <x:row r="460">
      <x:c r="A460" s="32"/>
      <x:c r="B460" s="32"/>
      <x:c r="C460" s="42"/>
      <x:c r="D460" s="32"/>
      <x:c r="E460" s="32"/>
      <x:c r="F460" s="32"/>
      <x:c r="G460" s="32"/>
      <x:c r="H460" s="32"/>
      <x:c r="I460" s="32"/>
      <x:c r="J460" s="32"/>
      <x:c r="K460" s="32"/>
      <x:c r="L460" s="32"/>
      <x:c r="M460" s="32"/>
      <x:c r="N460" s="32"/>
      <x:c r="O460" s="32"/>
      <x:c r="P460" s="32"/>
      <x:c r="Q460" s="32"/>
      <x:c r="R460" s="32"/>
      <x:c r="S460" s="32"/>
      <x:c r="T460" s="43" t="str">
        <x:f>IFERROR(S460/L460,"")</x:f>
      </x:c>
      <x:c r="U460" s="32"/>
      <x:c r="V460" s="32"/>
      <x:c r="W460" s="32"/>
      <x:c r="X460" s="32"/>
      <x:c r="Y460" s="32"/>
      <x:c r="Z460" s="32"/>
      <x:c r="AA460" s="32"/>
      <x:c r="AB460" s="32"/>
      <x:c r="AC460" s="32"/>
      <x:c r="AD460" s="32"/>
      <x:c r="AE460" s="32"/>
      <x:c r="AF460" s="32"/>
      <x:c r="AG460" s="32"/>
      <x:c r="AH460" s="32"/>
      <x:c r="AI460" s="32"/>
      <x:c r="AJ460" s="32"/>
      <x:c r="AK460" s="32"/>
      <x:c r="AL460" s="32"/>
      <x:c r="AM460" s="32"/>
      <x:c r="AN460" s="32"/>
      <x:c r="AO460" s="32"/>
      <x:c r="AP460" s="32"/>
      <x:c r="AQ460" s="32"/>
      <x:c r="AR460" s="32"/>
      <x:c r="AS460" s="32"/>
      <x:c r="AT460" s="32"/>
      <x:c r="AU460" s="32"/>
      <x:c r="AV460" s="32"/>
      <x:c r="AW460" s="32"/>
      <x:c r="AX460" s="32"/>
      <x:c r="AZ460" s="32"/>
      <x:c r="BA460" s="32"/>
      <x:c r="BB460" s="32"/>
      <x:c r="BC460" s="32"/>
      <x:c r="BD460" s="32"/>
      <x:c r="BE460" s="32"/>
      <x:c r="BF460" s="32"/>
      <x:c r="BG460" s="32"/>
      <x:c r="BH460" s="32"/>
      <x:c r="BI460" s="32"/>
      <x:c r="BJ460" s="32"/>
      <x:c r="BK460" s="32"/>
      <x:c r="BL460" s="32"/>
      <x:c r="BM460" s="32"/>
    </x:row>
    <x:row r="461">
      <x:c r="A461" s="32"/>
      <x:c r="B461" s="32"/>
      <x:c r="C461" s="42"/>
      <x:c r="D461" s="32"/>
      <x:c r="E461" s="32"/>
      <x:c r="F461" s="32"/>
      <x:c r="G461" s="32"/>
      <x:c r="H461" s="32"/>
      <x:c r="I461" s="32"/>
      <x:c r="J461" s="32"/>
      <x:c r="K461" s="32"/>
      <x:c r="L461" s="32"/>
      <x:c r="M461" s="32"/>
      <x:c r="N461" s="32"/>
      <x:c r="O461" s="32"/>
      <x:c r="P461" s="32"/>
      <x:c r="Q461" s="32"/>
      <x:c r="R461" s="32"/>
      <x:c r="S461" s="32"/>
      <x:c r="T461" s="43" t="str">
        <x:f>IFERROR(S461/L461,"")</x:f>
      </x:c>
      <x:c r="U461" s="32"/>
      <x:c r="V461" s="32"/>
      <x:c r="W461" s="32"/>
      <x:c r="X461" s="32"/>
      <x:c r="Y461" s="32"/>
      <x:c r="Z461" s="32"/>
      <x:c r="AA461" s="32"/>
      <x:c r="AB461" s="32"/>
      <x:c r="AC461" s="32"/>
      <x:c r="AD461" s="32"/>
      <x:c r="AE461" s="32"/>
      <x:c r="AF461" s="32"/>
      <x:c r="AG461" s="32"/>
      <x:c r="AH461" s="32"/>
      <x:c r="AI461" s="32"/>
      <x:c r="AJ461" s="32"/>
      <x:c r="AK461" s="32"/>
      <x:c r="AL461" s="32"/>
      <x:c r="AM461" s="32"/>
      <x:c r="AN461" s="32"/>
      <x:c r="AO461" s="32"/>
      <x:c r="AP461" s="32"/>
      <x:c r="AQ461" s="32"/>
      <x:c r="AR461" s="32"/>
      <x:c r="AS461" s="32"/>
      <x:c r="AT461" s="32"/>
      <x:c r="AU461" s="32"/>
      <x:c r="AV461" s="32"/>
      <x:c r="AW461" s="32"/>
      <x:c r="AX461" s="32"/>
      <x:c r="AZ461" s="32"/>
      <x:c r="BA461" s="32"/>
      <x:c r="BB461" s="32"/>
      <x:c r="BC461" s="32"/>
      <x:c r="BD461" s="32"/>
      <x:c r="BE461" s="32"/>
      <x:c r="BF461" s="32"/>
      <x:c r="BG461" s="32"/>
      <x:c r="BH461" s="32"/>
      <x:c r="BI461" s="32"/>
      <x:c r="BJ461" s="32"/>
      <x:c r="BK461" s="32"/>
      <x:c r="BL461" s="32"/>
      <x:c r="BM461" s="32"/>
    </x:row>
    <x:row r="462">
      <x:c r="A462" s="32"/>
      <x:c r="B462" s="32"/>
      <x:c r="C462" s="42"/>
      <x:c r="D462" s="32"/>
      <x:c r="E462" s="32"/>
      <x:c r="F462" s="32"/>
      <x:c r="G462" s="32"/>
      <x:c r="H462" s="32"/>
      <x:c r="I462" s="32"/>
      <x:c r="J462" s="32"/>
      <x:c r="K462" s="32"/>
      <x:c r="L462" s="32"/>
      <x:c r="M462" s="32"/>
      <x:c r="N462" s="32"/>
      <x:c r="O462" s="32"/>
      <x:c r="P462" s="32"/>
      <x:c r="Q462" s="32"/>
      <x:c r="R462" s="32"/>
      <x:c r="S462" s="32"/>
      <x:c r="T462" s="43" t="str">
        <x:f>IFERROR(S462/L462,"")</x:f>
      </x:c>
      <x:c r="U462" s="32"/>
      <x:c r="V462" s="32"/>
      <x:c r="W462" s="32"/>
      <x:c r="X462" s="32"/>
      <x:c r="Y462" s="32"/>
      <x:c r="Z462" s="32"/>
      <x:c r="AA462" s="32"/>
      <x:c r="AB462" s="32"/>
      <x:c r="AC462" s="32"/>
      <x:c r="AD462" s="32"/>
      <x:c r="AE462" s="32"/>
      <x:c r="AF462" s="32"/>
      <x:c r="AG462" s="32"/>
      <x:c r="AH462" s="32"/>
      <x:c r="AI462" s="32"/>
      <x:c r="AJ462" s="32"/>
      <x:c r="AK462" s="32"/>
      <x:c r="AL462" s="32"/>
      <x:c r="AM462" s="32"/>
      <x:c r="AN462" s="32"/>
      <x:c r="AO462" s="32"/>
      <x:c r="AP462" s="32"/>
      <x:c r="AQ462" s="32"/>
      <x:c r="AR462" s="32"/>
      <x:c r="AS462" s="32"/>
      <x:c r="AT462" s="32"/>
      <x:c r="AU462" s="32"/>
      <x:c r="AV462" s="32"/>
      <x:c r="AW462" s="32"/>
      <x:c r="AX462" s="32"/>
      <x:c r="AZ462" s="32"/>
      <x:c r="BA462" s="32"/>
      <x:c r="BB462" s="32"/>
      <x:c r="BC462" s="32"/>
      <x:c r="BD462" s="32"/>
      <x:c r="BE462" s="32"/>
      <x:c r="BF462" s="32"/>
      <x:c r="BG462" s="32"/>
      <x:c r="BH462" s="32"/>
      <x:c r="BI462" s="32"/>
      <x:c r="BJ462" s="32"/>
      <x:c r="BK462" s="32"/>
      <x:c r="BL462" s="32"/>
      <x:c r="BM462" s="32"/>
    </x:row>
    <x:row r="463">
      <x:c r="A463" s="32"/>
      <x:c r="B463" s="32"/>
      <x:c r="C463" s="42"/>
      <x:c r="D463" s="32"/>
      <x:c r="E463" s="32"/>
      <x:c r="F463" s="32"/>
      <x:c r="G463" s="32"/>
      <x:c r="H463" s="32"/>
      <x:c r="I463" s="32"/>
      <x:c r="J463" s="32"/>
      <x:c r="K463" s="32"/>
      <x:c r="L463" s="32"/>
      <x:c r="M463" s="32"/>
      <x:c r="N463" s="32"/>
      <x:c r="O463" s="32"/>
      <x:c r="P463" s="32"/>
      <x:c r="Q463" s="32"/>
      <x:c r="R463" s="32"/>
      <x:c r="S463" s="32"/>
      <x:c r="T463" s="43" t="str">
        <x:f>IFERROR(S463/L463,"")</x:f>
      </x:c>
      <x:c r="U463" s="32"/>
      <x:c r="V463" s="32"/>
      <x:c r="W463" s="32"/>
      <x:c r="X463" s="32"/>
      <x:c r="Y463" s="32"/>
      <x:c r="Z463" s="32"/>
      <x:c r="AA463" s="32"/>
      <x:c r="AB463" s="32"/>
      <x:c r="AC463" s="32"/>
      <x:c r="AD463" s="32"/>
      <x:c r="AE463" s="32"/>
      <x:c r="AF463" s="32"/>
      <x:c r="AG463" s="32"/>
      <x:c r="AH463" s="32"/>
      <x:c r="AI463" s="32"/>
      <x:c r="AJ463" s="32"/>
      <x:c r="AK463" s="32"/>
      <x:c r="AL463" s="32"/>
      <x:c r="AM463" s="32"/>
      <x:c r="AN463" s="32"/>
      <x:c r="AO463" s="32"/>
      <x:c r="AP463" s="32"/>
      <x:c r="AQ463" s="32"/>
      <x:c r="AR463" s="32"/>
      <x:c r="AS463" s="32"/>
      <x:c r="AT463" s="32"/>
      <x:c r="AU463" s="32"/>
      <x:c r="AV463" s="32"/>
      <x:c r="AW463" s="32"/>
      <x:c r="AX463" s="32"/>
      <x:c r="AZ463" s="32"/>
      <x:c r="BA463" s="32"/>
      <x:c r="BB463" s="32"/>
      <x:c r="BC463" s="32"/>
      <x:c r="BD463" s="32"/>
      <x:c r="BE463" s="32"/>
      <x:c r="BF463" s="32"/>
      <x:c r="BG463" s="32"/>
      <x:c r="BH463" s="32"/>
      <x:c r="BI463" s="32"/>
      <x:c r="BJ463" s="32"/>
      <x:c r="BK463" s="32"/>
      <x:c r="BL463" s="32"/>
      <x:c r="BM463" s="32"/>
    </x:row>
    <x:row r="464">
      <x:c r="A464" s="32"/>
      <x:c r="B464" s="32"/>
      <x:c r="C464" s="42"/>
      <x:c r="D464" s="32"/>
      <x:c r="E464" s="32"/>
      <x:c r="F464" s="32"/>
      <x:c r="G464" s="32"/>
      <x:c r="H464" s="32"/>
      <x:c r="I464" s="32"/>
      <x:c r="J464" s="32"/>
      <x:c r="K464" s="32"/>
      <x:c r="L464" s="32"/>
      <x:c r="M464" s="32"/>
      <x:c r="N464" s="32"/>
      <x:c r="O464" s="32"/>
      <x:c r="P464" s="32"/>
      <x:c r="Q464" s="32"/>
      <x:c r="R464" s="32"/>
      <x:c r="S464" s="32"/>
      <x:c r="T464" s="43" t="str">
        <x:f>IFERROR(S464/L464,"")</x:f>
      </x:c>
      <x:c r="U464" s="32"/>
      <x:c r="V464" s="32"/>
      <x:c r="W464" s="32"/>
      <x:c r="X464" s="32"/>
      <x:c r="Y464" s="32"/>
      <x:c r="Z464" s="32"/>
      <x:c r="AA464" s="32"/>
      <x:c r="AB464" s="32"/>
      <x:c r="AC464" s="32"/>
      <x:c r="AD464" s="32"/>
      <x:c r="AE464" s="32"/>
      <x:c r="AF464" s="32"/>
      <x:c r="AG464" s="32"/>
      <x:c r="AH464" s="32"/>
      <x:c r="AI464" s="32"/>
      <x:c r="AJ464" s="32"/>
      <x:c r="AK464" s="32"/>
      <x:c r="AL464" s="32"/>
      <x:c r="AM464" s="32"/>
      <x:c r="AN464" s="32"/>
      <x:c r="AO464" s="32"/>
      <x:c r="AP464" s="32"/>
      <x:c r="AQ464" s="32"/>
      <x:c r="AR464" s="32"/>
      <x:c r="AS464" s="32"/>
      <x:c r="AT464" s="32"/>
      <x:c r="AU464" s="32"/>
      <x:c r="AV464" s="32"/>
      <x:c r="AW464" s="32"/>
      <x:c r="AX464" s="32"/>
      <x:c r="AZ464" s="32"/>
      <x:c r="BA464" s="32"/>
      <x:c r="BB464" s="32"/>
      <x:c r="BC464" s="32"/>
      <x:c r="BD464" s="32"/>
      <x:c r="BE464" s="32"/>
      <x:c r="BF464" s="32"/>
      <x:c r="BG464" s="32"/>
      <x:c r="BH464" s="32"/>
      <x:c r="BI464" s="32"/>
      <x:c r="BJ464" s="32"/>
      <x:c r="BK464" s="32"/>
      <x:c r="BL464" s="32"/>
      <x:c r="BM464" s="32"/>
    </x:row>
    <x:row r="465">
      <x:c r="A465" s="32"/>
      <x:c r="B465" s="32"/>
      <x:c r="C465" s="42"/>
      <x:c r="D465" s="32"/>
      <x:c r="E465" s="32"/>
      <x:c r="F465" s="32"/>
      <x:c r="G465" s="32"/>
      <x:c r="H465" s="32"/>
      <x:c r="I465" s="32"/>
      <x:c r="J465" s="32"/>
      <x:c r="K465" s="32"/>
      <x:c r="L465" s="32"/>
      <x:c r="M465" s="32"/>
      <x:c r="N465" s="32"/>
      <x:c r="O465" s="32"/>
      <x:c r="P465" s="32"/>
      <x:c r="Q465" s="32"/>
      <x:c r="R465" s="32"/>
      <x:c r="S465" s="32"/>
      <x:c r="T465" s="43" t="str">
        <x:f>IFERROR(S465/L465,"")</x:f>
      </x:c>
      <x:c r="U465" s="32"/>
      <x:c r="V465" s="32"/>
      <x:c r="W465" s="32"/>
      <x:c r="X465" s="32"/>
      <x:c r="Y465" s="32"/>
      <x:c r="Z465" s="32"/>
      <x:c r="AA465" s="32"/>
      <x:c r="AB465" s="32"/>
      <x:c r="AC465" s="32"/>
      <x:c r="AD465" s="32"/>
      <x:c r="AE465" s="32"/>
      <x:c r="AF465" s="32"/>
      <x:c r="AG465" s="32"/>
      <x:c r="AH465" s="32"/>
      <x:c r="AI465" s="32"/>
      <x:c r="AJ465" s="32"/>
      <x:c r="AK465" s="32"/>
      <x:c r="AL465" s="32"/>
      <x:c r="AM465" s="32"/>
      <x:c r="AN465" s="32"/>
      <x:c r="AO465" s="32"/>
      <x:c r="AP465" s="32"/>
      <x:c r="AQ465" s="32"/>
      <x:c r="AR465" s="32"/>
      <x:c r="AS465" s="32"/>
      <x:c r="AT465" s="32"/>
      <x:c r="AU465" s="32"/>
      <x:c r="AV465" s="32"/>
      <x:c r="AW465" s="32"/>
      <x:c r="AX465" s="32"/>
      <x:c r="AZ465" s="32"/>
      <x:c r="BA465" s="32"/>
      <x:c r="BB465" s="32"/>
      <x:c r="BC465" s="32"/>
      <x:c r="BD465" s="32"/>
      <x:c r="BE465" s="32"/>
      <x:c r="BF465" s="32"/>
      <x:c r="BG465" s="32"/>
      <x:c r="BH465" s="32"/>
      <x:c r="BI465" s="32"/>
      <x:c r="BJ465" s="32"/>
      <x:c r="BK465" s="32"/>
      <x:c r="BL465" s="32"/>
      <x:c r="BM465" s="32"/>
    </x:row>
    <x:row r="466">
      <x:c r="A466" s="32"/>
      <x:c r="B466" s="32"/>
      <x:c r="C466" s="42"/>
      <x:c r="D466" s="32"/>
      <x:c r="E466" s="32"/>
      <x:c r="F466" s="32"/>
      <x:c r="G466" s="32"/>
      <x:c r="H466" s="32"/>
      <x:c r="I466" s="32"/>
      <x:c r="J466" s="32"/>
      <x:c r="K466" s="32"/>
      <x:c r="L466" s="32"/>
      <x:c r="M466" s="32"/>
      <x:c r="N466" s="32"/>
      <x:c r="O466" s="32"/>
      <x:c r="P466" s="32"/>
      <x:c r="Q466" s="32"/>
      <x:c r="R466" s="32"/>
      <x:c r="S466" s="32"/>
      <x:c r="T466" s="43" t="str">
        <x:f>IFERROR(S466/L466,"")</x:f>
      </x:c>
      <x:c r="U466" s="32"/>
      <x:c r="V466" s="32"/>
      <x:c r="W466" s="32"/>
      <x:c r="X466" s="32"/>
      <x:c r="Y466" s="32"/>
      <x:c r="Z466" s="32"/>
      <x:c r="AA466" s="32"/>
      <x:c r="AB466" s="32"/>
      <x:c r="AC466" s="32"/>
      <x:c r="AD466" s="32"/>
      <x:c r="AE466" s="32"/>
      <x:c r="AF466" s="32"/>
      <x:c r="AG466" s="32"/>
      <x:c r="AH466" s="32"/>
      <x:c r="AI466" s="32"/>
      <x:c r="AJ466" s="32"/>
      <x:c r="AK466" s="32"/>
      <x:c r="AL466" s="32"/>
      <x:c r="AM466" s="32"/>
      <x:c r="AN466" s="32"/>
      <x:c r="AO466" s="32"/>
      <x:c r="AP466" s="32"/>
      <x:c r="AQ466" s="32"/>
      <x:c r="AR466" s="32"/>
      <x:c r="AS466" s="32"/>
      <x:c r="AT466" s="32"/>
      <x:c r="AU466" s="32"/>
      <x:c r="AV466" s="32"/>
      <x:c r="AW466" s="32"/>
      <x:c r="AX466" s="32"/>
      <x:c r="AZ466" s="32"/>
      <x:c r="BA466" s="32"/>
      <x:c r="BB466" s="32"/>
      <x:c r="BC466" s="32"/>
      <x:c r="BD466" s="32"/>
      <x:c r="BE466" s="32"/>
      <x:c r="BF466" s="32"/>
      <x:c r="BG466" s="32"/>
      <x:c r="BH466" s="32"/>
      <x:c r="BI466" s="32"/>
      <x:c r="BJ466" s="32"/>
      <x:c r="BK466" s="32"/>
      <x:c r="BL466" s="32"/>
      <x:c r="BM466" s="32"/>
    </x:row>
    <x:row r="467">
      <x:c r="A467" s="32"/>
      <x:c r="B467" s="32"/>
      <x:c r="C467" s="42"/>
      <x:c r="D467" s="32"/>
      <x:c r="E467" s="32"/>
      <x:c r="F467" s="32"/>
      <x:c r="G467" s="32"/>
      <x:c r="H467" s="32"/>
      <x:c r="I467" s="32"/>
      <x:c r="J467" s="32"/>
      <x:c r="K467" s="32"/>
      <x:c r="L467" s="32"/>
      <x:c r="M467" s="32"/>
      <x:c r="N467" s="32"/>
      <x:c r="O467" s="32"/>
      <x:c r="P467" s="32"/>
      <x:c r="Q467" s="32"/>
      <x:c r="R467" s="32"/>
      <x:c r="S467" s="32"/>
      <x:c r="T467" s="43" t="str">
        <x:f>IFERROR(S467/L467,"")</x:f>
      </x:c>
      <x:c r="U467" s="32"/>
      <x:c r="V467" s="32"/>
      <x:c r="W467" s="32"/>
      <x:c r="X467" s="32"/>
      <x:c r="Y467" s="32"/>
      <x:c r="Z467" s="32"/>
      <x:c r="AA467" s="32"/>
      <x:c r="AB467" s="32"/>
      <x:c r="AC467" s="32"/>
      <x:c r="AD467" s="32"/>
      <x:c r="AE467" s="32"/>
      <x:c r="AF467" s="32"/>
      <x:c r="AG467" s="32"/>
      <x:c r="AH467" s="32"/>
      <x:c r="AI467" s="32"/>
      <x:c r="AJ467" s="32"/>
      <x:c r="AK467" s="32"/>
      <x:c r="AL467" s="32"/>
      <x:c r="AM467" s="32"/>
      <x:c r="AN467" s="32"/>
      <x:c r="AO467" s="32"/>
      <x:c r="AP467" s="32"/>
      <x:c r="AQ467" s="32"/>
      <x:c r="AR467" s="32"/>
      <x:c r="AS467" s="32"/>
      <x:c r="AT467" s="32"/>
      <x:c r="AU467" s="32"/>
      <x:c r="AV467" s="32"/>
      <x:c r="AW467" s="32"/>
      <x:c r="AX467" s="32"/>
      <x:c r="AZ467" s="32"/>
      <x:c r="BA467" s="32"/>
      <x:c r="BB467" s="32"/>
      <x:c r="BC467" s="32"/>
      <x:c r="BD467" s="32"/>
      <x:c r="BE467" s="32"/>
      <x:c r="BF467" s="32"/>
      <x:c r="BG467" s="32"/>
      <x:c r="BH467" s="32"/>
      <x:c r="BI467" s="32"/>
      <x:c r="BJ467" s="32"/>
      <x:c r="BK467" s="32"/>
      <x:c r="BL467" s="32"/>
      <x:c r="BM467" s="32"/>
    </x:row>
    <x:row r="468">
      <x:c r="A468" s="32"/>
      <x:c r="B468" s="32"/>
      <x:c r="C468" s="42"/>
      <x:c r="D468" s="32"/>
      <x:c r="E468" s="32"/>
      <x:c r="F468" s="32"/>
      <x:c r="G468" s="32"/>
      <x:c r="H468" s="32"/>
      <x:c r="I468" s="32"/>
      <x:c r="J468" s="32"/>
      <x:c r="K468" s="32"/>
      <x:c r="L468" s="32"/>
      <x:c r="M468" s="32"/>
      <x:c r="N468" s="32"/>
      <x:c r="O468" s="32"/>
      <x:c r="P468" s="32"/>
      <x:c r="Q468" s="32"/>
      <x:c r="R468" s="32"/>
      <x:c r="S468" s="32"/>
      <x:c r="T468" s="43" t="str">
        <x:f>IFERROR(S468/L468,"")</x:f>
      </x:c>
      <x:c r="U468" s="32"/>
      <x:c r="V468" s="32"/>
      <x:c r="W468" s="32"/>
      <x:c r="X468" s="32"/>
      <x:c r="Y468" s="32"/>
      <x:c r="Z468" s="32"/>
      <x:c r="AA468" s="32"/>
      <x:c r="AB468" s="32"/>
      <x:c r="AC468" s="32"/>
      <x:c r="AD468" s="32"/>
      <x:c r="AE468" s="32"/>
      <x:c r="AF468" s="32"/>
      <x:c r="AG468" s="32"/>
      <x:c r="AH468" s="32"/>
      <x:c r="AI468" s="32"/>
      <x:c r="AJ468" s="32"/>
      <x:c r="AK468" s="32"/>
      <x:c r="AL468" s="32"/>
      <x:c r="AM468" s="32"/>
      <x:c r="AN468" s="32"/>
      <x:c r="AO468" s="32"/>
      <x:c r="AP468" s="32"/>
      <x:c r="AQ468" s="32"/>
      <x:c r="AR468" s="32"/>
      <x:c r="AS468" s="32"/>
      <x:c r="AT468" s="32"/>
      <x:c r="AU468" s="32"/>
      <x:c r="AV468" s="32"/>
      <x:c r="AW468" s="32"/>
      <x:c r="AX468" s="32"/>
      <x:c r="AZ468" s="32"/>
      <x:c r="BA468" s="32"/>
      <x:c r="BB468" s="32"/>
      <x:c r="BC468" s="32"/>
      <x:c r="BD468" s="32"/>
      <x:c r="BE468" s="32"/>
      <x:c r="BF468" s="32"/>
      <x:c r="BG468" s="32"/>
      <x:c r="BH468" s="32"/>
      <x:c r="BI468" s="32"/>
      <x:c r="BJ468" s="32"/>
      <x:c r="BK468" s="32"/>
      <x:c r="BL468" s="32"/>
      <x:c r="BM468" s="32"/>
    </x:row>
    <x:row r="469">
      <x:c r="A469" s="32"/>
      <x:c r="B469" s="32"/>
      <x:c r="C469" s="42"/>
      <x:c r="D469" s="32"/>
      <x:c r="E469" s="32"/>
      <x:c r="F469" s="32"/>
      <x:c r="G469" s="32"/>
      <x:c r="H469" s="32"/>
      <x:c r="I469" s="32"/>
      <x:c r="J469" s="32"/>
      <x:c r="K469" s="32"/>
      <x:c r="L469" s="32"/>
      <x:c r="M469" s="32"/>
      <x:c r="N469" s="32"/>
      <x:c r="O469" s="32"/>
      <x:c r="P469" s="32"/>
      <x:c r="Q469" s="32"/>
      <x:c r="R469" s="32"/>
      <x:c r="S469" s="32"/>
      <x:c r="T469" s="43" t="str">
        <x:f>IFERROR(S469/L469,"")</x:f>
      </x:c>
      <x:c r="U469" s="32"/>
      <x:c r="V469" s="32"/>
      <x:c r="W469" s="32"/>
      <x:c r="X469" s="32"/>
      <x:c r="Y469" s="32"/>
      <x:c r="Z469" s="32"/>
      <x:c r="AA469" s="32"/>
      <x:c r="AB469" s="32"/>
      <x:c r="AC469" s="32"/>
      <x:c r="AD469" s="32"/>
      <x:c r="AE469" s="32"/>
      <x:c r="AF469" s="32"/>
      <x:c r="AG469" s="32"/>
      <x:c r="AH469" s="32"/>
      <x:c r="AI469" s="32"/>
      <x:c r="AJ469" s="32"/>
      <x:c r="AK469" s="32"/>
      <x:c r="AL469" s="32"/>
      <x:c r="AM469" s="32"/>
      <x:c r="AN469" s="32"/>
      <x:c r="AO469" s="32"/>
      <x:c r="AP469" s="32"/>
      <x:c r="AQ469" s="32"/>
      <x:c r="AR469" s="32"/>
      <x:c r="AS469" s="32"/>
      <x:c r="AT469" s="32"/>
      <x:c r="AU469" s="32"/>
      <x:c r="AV469" s="32"/>
      <x:c r="AW469" s="32"/>
      <x:c r="AX469" s="32"/>
      <x:c r="AZ469" s="32"/>
      <x:c r="BA469" s="32"/>
      <x:c r="BB469" s="32"/>
      <x:c r="BC469" s="32"/>
      <x:c r="BD469" s="32"/>
      <x:c r="BE469" s="32"/>
      <x:c r="BF469" s="32"/>
      <x:c r="BG469" s="32"/>
      <x:c r="BH469" s="32"/>
      <x:c r="BI469" s="32"/>
      <x:c r="BJ469" s="32"/>
      <x:c r="BK469" s="32"/>
      <x:c r="BL469" s="32"/>
      <x:c r="BM469" s="32"/>
    </x:row>
    <x:row r="470">
      <x:c r="A470" s="32"/>
      <x:c r="B470" s="32"/>
      <x:c r="C470" s="42"/>
      <x:c r="D470" s="32"/>
      <x:c r="E470" s="32"/>
      <x:c r="F470" s="32"/>
      <x:c r="G470" s="32"/>
      <x:c r="H470" s="32"/>
      <x:c r="I470" s="32"/>
      <x:c r="J470" s="32"/>
      <x:c r="K470" s="32"/>
      <x:c r="L470" s="32"/>
      <x:c r="M470" s="32"/>
      <x:c r="N470" s="32"/>
      <x:c r="O470" s="32"/>
      <x:c r="P470" s="32"/>
      <x:c r="Q470" s="32"/>
      <x:c r="R470" s="32"/>
      <x:c r="S470" s="32"/>
      <x:c r="T470" s="43" t="str">
        <x:f>IFERROR(S470/L470,"")</x:f>
      </x:c>
      <x:c r="U470" s="32"/>
      <x:c r="V470" s="32"/>
      <x:c r="W470" s="32"/>
      <x:c r="X470" s="32"/>
      <x:c r="Y470" s="32"/>
      <x:c r="Z470" s="32"/>
      <x:c r="AA470" s="32"/>
      <x:c r="AB470" s="32"/>
      <x:c r="AC470" s="32"/>
      <x:c r="AD470" s="32"/>
      <x:c r="AE470" s="32"/>
      <x:c r="AF470" s="32"/>
      <x:c r="AG470" s="32"/>
      <x:c r="AH470" s="32"/>
      <x:c r="AI470" s="32"/>
      <x:c r="AJ470" s="32"/>
      <x:c r="AK470" s="32"/>
      <x:c r="AL470" s="32"/>
      <x:c r="AM470" s="32"/>
      <x:c r="AN470" s="32"/>
      <x:c r="AO470" s="32"/>
      <x:c r="AP470" s="32"/>
      <x:c r="AQ470" s="32"/>
      <x:c r="AR470" s="32"/>
      <x:c r="AS470" s="32"/>
      <x:c r="AT470" s="32"/>
      <x:c r="AU470" s="32"/>
      <x:c r="AV470" s="32"/>
      <x:c r="AW470" s="32"/>
      <x:c r="AX470" s="32"/>
      <x:c r="AZ470" s="32"/>
      <x:c r="BA470" s="32"/>
      <x:c r="BB470" s="32"/>
      <x:c r="BC470" s="32"/>
      <x:c r="BD470" s="32"/>
      <x:c r="BE470" s="32"/>
      <x:c r="BF470" s="32"/>
      <x:c r="BG470" s="32"/>
      <x:c r="BH470" s="32"/>
      <x:c r="BI470" s="32"/>
      <x:c r="BJ470" s="32"/>
      <x:c r="BK470" s="32"/>
      <x:c r="BL470" s="32"/>
      <x:c r="BM470" s="32"/>
    </x:row>
    <x:row r="471">
      <x:c r="A471" s="32"/>
      <x:c r="B471" s="32"/>
      <x:c r="C471" s="42"/>
      <x:c r="D471" s="32"/>
      <x:c r="E471" s="32"/>
      <x:c r="F471" s="32"/>
      <x:c r="G471" s="32"/>
      <x:c r="H471" s="32"/>
      <x:c r="I471" s="32"/>
      <x:c r="J471" s="32"/>
      <x:c r="K471" s="32"/>
      <x:c r="L471" s="32"/>
      <x:c r="M471" s="32"/>
      <x:c r="N471" s="32"/>
      <x:c r="O471" s="32"/>
      <x:c r="P471" s="32"/>
      <x:c r="Q471" s="32"/>
      <x:c r="R471" s="32"/>
      <x:c r="S471" s="32"/>
      <x:c r="T471" s="43" t="str">
        <x:f>IFERROR(S471/L471,"")</x:f>
      </x:c>
      <x:c r="U471" s="32"/>
      <x:c r="V471" s="32"/>
      <x:c r="W471" s="32"/>
      <x:c r="X471" s="32"/>
      <x:c r="Y471" s="32"/>
      <x:c r="Z471" s="32"/>
      <x:c r="AA471" s="32"/>
      <x:c r="AB471" s="32"/>
      <x:c r="AC471" s="32"/>
      <x:c r="AD471" s="32"/>
      <x:c r="AE471" s="32"/>
      <x:c r="AF471" s="32"/>
      <x:c r="AG471" s="32"/>
      <x:c r="AH471" s="32"/>
      <x:c r="AI471" s="32"/>
      <x:c r="AJ471" s="32"/>
      <x:c r="AK471" s="32"/>
      <x:c r="AL471" s="32"/>
      <x:c r="AM471" s="32"/>
      <x:c r="AN471" s="32"/>
      <x:c r="AO471" s="32"/>
      <x:c r="AP471" s="32"/>
      <x:c r="AQ471" s="32"/>
      <x:c r="AR471" s="32"/>
      <x:c r="AS471" s="32"/>
      <x:c r="AT471" s="32"/>
      <x:c r="AU471" s="32"/>
      <x:c r="AV471" s="32"/>
      <x:c r="AW471" s="32"/>
      <x:c r="AX471" s="32"/>
      <x:c r="AZ471" s="32"/>
      <x:c r="BA471" s="32"/>
      <x:c r="BB471" s="32"/>
      <x:c r="BC471" s="32"/>
      <x:c r="BD471" s="32"/>
      <x:c r="BE471" s="32"/>
      <x:c r="BF471" s="32"/>
      <x:c r="BG471" s="32"/>
      <x:c r="BH471" s="32"/>
      <x:c r="BI471" s="32"/>
      <x:c r="BJ471" s="32"/>
      <x:c r="BK471" s="32"/>
      <x:c r="BL471" s="32"/>
      <x:c r="BM471" s="32"/>
    </x:row>
    <x:row r="472">
      <x:c r="A472" s="32"/>
      <x:c r="B472" s="32"/>
      <x:c r="C472" s="42"/>
      <x:c r="D472" s="32"/>
      <x:c r="E472" s="32"/>
      <x:c r="F472" s="32"/>
      <x:c r="G472" s="32"/>
      <x:c r="H472" s="32"/>
      <x:c r="I472" s="32"/>
      <x:c r="J472" s="32"/>
      <x:c r="K472" s="32"/>
      <x:c r="L472" s="32"/>
      <x:c r="M472" s="32"/>
      <x:c r="N472" s="32"/>
      <x:c r="O472" s="32"/>
      <x:c r="P472" s="32"/>
      <x:c r="Q472" s="32"/>
      <x:c r="R472" s="32"/>
      <x:c r="S472" s="32"/>
      <x:c r="T472" s="43" t="str">
        <x:f>IFERROR(S472/L472,"")</x:f>
      </x:c>
      <x:c r="U472" s="32"/>
      <x:c r="V472" s="32"/>
      <x:c r="W472" s="32"/>
      <x:c r="X472" s="32"/>
      <x:c r="Y472" s="32"/>
      <x:c r="Z472" s="32"/>
      <x:c r="AA472" s="32"/>
      <x:c r="AB472" s="32"/>
      <x:c r="AC472" s="32"/>
      <x:c r="AD472" s="32"/>
      <x:c r="AE472" s="32"/>
      <x:c r="AF472" s="32"/>
      <x:c r="AG472" s="32"/>
      <x:c r="AH472" s="32"/>
      <x:c r="AI472" s="32"/>
      <x:c r="AJ472" s="32"/>
      <x:c r="AK472" s="32"/>
      <x:c r="AL472" s="32"/>
      <x:c r="AM472" s="32"/>
      <x:c r="AN472" s="32"/>
      <x:c r="AO472" s="32"/>
      <x:c r="AP472" s="32"/>
      <x:c r="AQ472" s="32"/>
      <x:c r="AR472" s="32"/>
      <x:c r="AS472" s="32"/>
      <x:c r="AT472" s="32"/>
      <x:c r="AU472" s="32"/>
      <x:c r="AV472" s="32"/>
      <x:c r="AW472" s="32"/>
      <x:c r="AX472" s="32"/>
      <x:c r="AZ472" s="32"/>
      <x:c r="BA472" s="32"/>
      <x:c r="BB472" s="32"/>
      <x:c r="BC472" s="32"/>
      <x:c r="BD472" s="32"/>
      <x:c r="BE472" s="32"/>
      <x:c r="BF472" s="32"/>
      <x:c r="BG472" s="32"/>
      <x:c r="BH472" s="32"/>
      <x:c r="BI472" s="32"/>
      <x:c r="BJ472" s="32"/>
      <x:c r="BK472" s="32"/>
      <x:c r="BL472" s="32"/>
      <x:c r="BM472" s="32"/>
    </x:row>
    <x:row r="473">
      <x:c r="A473" s="32"/>
      <x:c r="B473" s="32"/>
      <x:c r="C473" s="42"/>
      <x:c r="D473" s="32"/>
      <x:c r="E473" s="32"/>
      <x:c r="F473" s="32"/>
      <x:c r="G473" s="32"/>
      <x:c r="H473" s="32"/>
      <x:c r="I473" s="32"/>
      <x:c r="J473" s="32"/>
      <x:c r="K473" s="32"/>
      <x:c r="L473" s="32"/>
      <x:c r="M473" s="32"/>
      <x:c r="N473" s="32"/>
      <x:c r="O473" s="32"/>
      <x:c r="P473" s="32"/>
      <x:c r="Q473" s="32"/>
      <x:c r="R473" s="32"/>
      <x:c r="S473" s="32"/>
      <x:c r="T473" s="43" t="str">
        <x:f>IFERROR(S473/L473,"")</x:f>
      </x:c>
      <x:c r="U473" s="32"/>
      <x:c r="V473" s="32"/>
      <x:c r="W473" s="32"/>
      <x:c r="X473" s="32"/>
      <x:c r="Y473" s="32"/>
      <x:c r="Z473" s="32"/>
      <x:c r="AA473" s="32"/>
      <x:c r="AB473" s="32"/>
      <x:c r="AC473" s="32"/>
      <x:c r="AD473" s="32"/>
      <x:c r="AE473" s="32"/>
      <x:c r="AF473" s="32"/>
      <x:c r="AG473" s="32"/>
      <x:c r="AH473" s="32"/>
      <x:c r="AI473" s="32"/>
      <x:c r="AJ473" s="32"/>
      <x:c r="AK473" s="32"/>
      <x:c r="AL473" s="32"/>
      <x:c r="AM473" s="32"/>
      <x:c r="AN473" s="32"/>
      <x:c r="AO473" s="32"/>
      <x:c r="AP473" s="32"/>
      <x:c r="AQ473" s="32"/>
      <x:c r="AR473" s="32"/>
      <x:c r="AS473" s="32"/>
      <x:c r="AT473" s="32"/>
      <x:c r="AU473" s="32"/>
      <x:c r="AV473" s="32"/>
      <x:c r="AW473" s="32"/>
      <x:c r="AX473" s="32"/>
      <x:c r="AZ473" s="32"/>
      <x:c r="BA473" s="32"/>
      <x:c r="BB473" s="32"/>
      <x:c r="BC473" s="32"/>
      <x:c r="BD473" s="32"/>
      <x:c r="BE473" s="32"/>
      <x:c r="BF473" s="32"/>
      <x:c r="BG473" s="32"/>
      <x:c r="BH473" s="32"/>
      <x:c r="BI473" s="32"/>
      <x:c r="BJ473" s="32"/>
      <x:c r="BK473" s="32"/>
      <x:c r="BL473" s="32"/>
      <x:c r="BM473" s="32"/>
    </x:row>
    <x:row r="474">
      <x:c r="A474" s="32"/>
      <x:c r="B474" s="32"/>
      <x:c r="C474" s="42"/>
      <x:c r="D474" s="32"/>
      <x:c r="E474" s="32"/>
      <x:c r="F474" s="32"/>
      <x:c r="G474" s="32"/>
      <x:c r="H474" s="32"/>
      <x:c r="I474" s="32"/>
      <x:c r="J474" s="32"/>
      <x:c r="K474" s="32"/>
      <x:c r="L474" s="32"/>
      <x:c r="M474" s="32"/>
      <x:c r="N474" s="32"/>
      <x:c r="O474" s="32"/>
      <x:c r="P474" s="32"/>
      <x:c r="Q474" s="32"/>
      <x:c r="R474" s="32"/>
      <x:c r="S474" s="32"/>
      <x:c r="T474" s="43" t="str">
        <x:f>IFERROR(S474/L474,"")</x:f>
      </x:c>
      <x:c r="U474" s="32"/>
      <x:c r="V474" s="32"/>
      <x:c r="W474" s="32"/>
      <x:c r="X474" s="32"/>
      <x:c r="Y474" s="32"/>
      <x:c r="Z474" s="32"/>
      <x:c r="AA474" s="32"/>
      <x:c r="AB474" s="32"/>
      <x:c r="AC474" s="32"/>
      <x:c r="AD474" s="32"/>
      <x:c r="AE474" s="32"/>
      <x:c r="AF474" s="32"/>
      <x:c r="AG474" s="32"/>
      <x:c r="AH474" s="32"/>
      <x:c r="AI474" s="32"/>
      <x:c r="AJ474" s="32"/>
      <x:c r="AK474" s="32"/>
      <x:c r="AL474" s="32"/>
      <x:c r="AM474" s="32"/>
      <x:c r="AN474" s="32"/>
      <x:c r="AO474" s="32"/>
      <x:c r="AP474" s="32"/>
      <x:c r="AQ474" s="32"/>
      <x:c r="AR474" s="32"/>
      <x:c r="AS474" s="32"/>
      <x:c r="AT474" s="32"/>
      <x:c r="AU474" s="32"/>
      <x:c r="AV474" s="32"/>
      <x:c r="AW474" s="32"/>
      <x:c r="AX474" s="32"/>
      <x:c r="AZ474" s="32"/>
      <x:c r="BA474" s="32"/>
      <x:c r="BB474" s="32"/>
      <x:c r="BC474" s="32"/>
      <x:c r="BD474" s="32"/>
      <x:c r="BE474" s="32"/>
      <x:c r="BF474" s="32"/>
      <x:c r="BG474" s="32"/>
      <x:c r="BH474" s="32"/>
      <x:c r="BI474" s="32"/>
      <x:c r="BJ474" s="32"/>
      <x:c r="BK474" s="32"/>
      <x:c r="BL474" s="32"/>
      <x:c r="BM474" s="32"/>
    </x:row>
    <x:row r="475">
      <x:c r="A475" s="32"/>
      <x:c r="B475" s="32"/>
      <x:c r="C475" s="42"/>
      <x:c r="D475" s="32"/>
      <x:c r="E475" s="32"/>
      <x:c r="F475" s="32"/>
      <x:c r="G475" s="32"/>
      <x:c r="H475" s="32"/>
      <x:c r="I475" s="32"/>
      <x:c r="J475" s="32"/>
      <x:c r="K475" s="32"/>
      <x:c r="L475" s="32"/>
      <x:c r="M475" s="32"/>
      <x:c r="N475" s="32"/>
      <x:c r="O475" s="32"/>
      <x:c r="P475" s="32"/>
      <x:c r="Q475" s="32"/>
      <x:c r="R475" s="32"/>
      <x:c r="S475" s="32"/>
      <x:c r="T475" s="43" t="str">
        <x:f>IFERROR(S475/L475,"")</x:f>
      </x:c>
      <x:c r="U475" s="32"/>
      <x:c r="V475" s="32"/>
      <x:c r="W475" s="32"/>
      <x:c r="X475" s="32"/>
      <x:c r="Y475" s="32"/>
      <x:c r="Z475" s="32"/>
      <x:c r="AA475" s="32"/>
      <x:c r="AB475" s="32"/>
      <x:c r="AC475" s="32"/>
      <x:c r="AD475" s="32"/>
      <x:c r="AE475" s="32"/>
      <x:c r="AF475" s="32"/>
      <x:c r="AG475" s="32"/>
      <x:c r="AH475" s="32"/>
      <x:c r="AI475" s="32"/>
      <x:c r="AJ475" s="32"/>
      <x:c r="AK475" s="32"/>
      <x:c r="AL475" s="32"/>
      <x:c r="AM475" s="32"/>
      <x:c r="AN475" s="32"/>
      <x:c r="AO475" s="32"/>
      <x:c r="AP475" s="32"/>
      <x:c r="AQ475" s="32"/>
      <x:c r="AR475" s="32"/>
      <x:c r="AS475" s="32"/>
      <x:c r="AT475" s="32"/>
      <x:c r="AU475" s="32"/>
      <x:c r="AV475" s="32"/>
      <x:c r="AW475" s="32"/>
      <x:c r="AX475" s="32"/>
      <x:c r="AZ475" s="32"/>
      <x:c r="BA475" s="32"/>
      <x:c r="BB475" s="32"/>
      <x:c r="BC475" s="32"/>
      <x:c r="BD475" s="32"/>
      <x:c r="BE475" s="32"/>
      <x:c r="BF475" s="32"/>
      <x:c r="BG475" s="32"/>
      <x:c r="BH475" s="32"/>
      <x:c r="BI475" s="32"/>
      <x:c r="BJ475" s="32"/>
      <x:c r="BK475" s="32"/>
      <x:c r="BL475" s="32"/>
      <x:c r="BM475" s="32"/>
    </x:row>
    <x:row r="476">
      <x:c r="A476" s="32"/>
      <x:c r="B476" s="32"/>
      <x:c r="C476" s="42"/>
      <x:c r="D476" s="32"/>
      <x:c r="E476" s="32"/>
      <x:c r="F476" s="32"/>
      <x:c r="G476" s="32"/>
      <x:c r="H476" s="32"/>
      <x:c r="I476" s="32"/>
      <x:c r="J476" s="32"/>
      <x:c r="K476" s="32"/>
      <x:c r="L476" s="32"/>
      <x:c r="M476" s="32"/>
      <x:c r="N476" s="32"/>
      <x:c r="O476" s="32"/>
      <x:c r="P476" s="32"/>
      <x:c r="Q476" s="32"/>
      <x:c r="R476" s="32"/>
      <x:c r="S476" s="32"/>
      <x:c r="T476" s="43" t="str">
        <x:f>IFERROR(S476/L476,"")</x:f>
      </x:c>
      <x:c r="U476" s="32"/>
      <x:c r="V476" s="32"/>
      <x:c r="W476" s="32"/>
      <x:c r="X476" s="32"/>
      <x:c r="Y476" s="32"/>
      <x:c r="Z476" s="32"/>
      <x:c r="AA476" s="32"/>
      <x:c r="AB476" s="32"/>
      <x:c r="AC476" s="32"/>
      <x:c r="AD476" s="32"/>
      <x:c r="AE476" s="32"/>
      <x:c r="AF476" s="32"/>
      <x:c r="AG476" s="32"/>
      <x:c r="AH476" s="32"/>
      <x:c r="AI476" s="32"/>
      <x:c r="AJ476" s="32"/>
      <x:c r="AK476" s="32"/>
      <x:c r="AL476" s="32"/>
      <x:c r="AM476" s="32"/>
      <x:c r="AN476" s="32"/>
      <x:c r="AO476" s="32"/>
      <x:c r="AP476" s="32"/>
      <x:c r="AQ476" s="32"/>
      <x:c r="AR476" s="32"/>
      <x:c r="AS476" s="32"/>
      <x:c r="AT476" s="32"/>
      <x:c r="AU476" s="32"/>
      <x:c r="AV476" s="32"/>
      <x:c r="AW476" s="32"/>
      <x:c r="AX476" s="32"/>
      <x:c r="AZ476" s="32"/>
      <x:c r="BA476" s="32"/>
      <x:c r="BB476" s="32"/>
      <x:c r="BC476" s="32"/>
      <x:c r="BD476" s="32"/>
      <x:c r="BE476" s="32"/>
      <x:c r="BF476" s="32"/>
      <x:c r="BG476" s="32"/>
      <x:c r="BH476" s="32"/>
      <x:c r="BI476" s="32"/>
      <x:c r="BJ476" s="32"/>
      <x:c r="BK476" s="32"/>
      <x:c r="BL476" s="32"/>
      <x:c r="BM476" s="32"/>
    </x:row>
    <x:row r="477">
      <x:c r="A477" s="32"/>
      <x:c r="B477" s="32"/>
      <x:c r="C477" s="42"/>
      <x:c r="D477" s="32"/>
      <x:c r="E477" s="32"/>
      <x:c r="F477" s="32"/>
      <x:c r="G477" s="32"/>
      <x:c r="H477" s="32"/>
      <x:c r="I477" s="32"/>
      <x:c r="J477" s="32"/>
      <x:c r="K477" s="32"/>
      <x:c r="L477" s="32"/>
      <x:c r="M477" s="32"/>
      <x:c r="N477" s="32"/>
      <x:c r="O477" s="32"/>
      <x:c r="P477" s="32"/>
      <x:c r="Q477" s="32"/>
      <x:c r="R477" s="32"/>
      <x:c r="S477" s="32"/>
      <x:c r="T477" s="43" t="str">
        <x:f>IFERROR(S477/L477,"")</x:f>
      </x:c>
      <x:c r="U477" s="32"/>
      <x:c r="V477" s="32"/>
      <x:c r="W477" s="32"/>
      <x:c r="X477" s="32"/>
      <x:c r="Y477" s="32"/>
      <x:c r="Z477" s="32"/>
      <x:c r="AA477" s="32"/>
      <x:c r="AB477" s="32"/>
      <x:c r="AC477" s="32"/>
      <x:c r="AD477" s="32"/>
      <x:c r="AE477" s="32"/>
      <x:c r="AF477" s="32"/>
      <x:c r="AG477" s="32"/>
      <x:c r="AH477" s="32"/>
      <x:c r="AI477" s="32"/>
      <x:c r="AJ477" s="32"/>
      <x:c r="AK477" s="32"/>
      <x:c r="AL477" s="32"/>
      <x:c r="AM477" s="32"/>
      <x:c r="AN477" s="32"/>
      <x:c r="AO477" s="32"/>
      <x:c r="AP477" s="32"/>
      <x:c r="AQ477" s="32"/>
      <x:c r="AR477" s="32"/>
      <x:c r="AS477" s="32"/>
      <x:c r="AT477" s="32"/>
      <x:c r="AU477" s="32"/>
      <x:c r="AV477" s="32"/>
      <x:c r="AW477" s="32"/>
      <x:c r="AX477" s="32"/>
      <x:c r="AZ477" s="32"/>
      <x:c r="BA477" s="32"/>
      <x:c r="BB477" s="32"/>
      <x:c r="BC477" s="32"/>
      <x:c r="BD477" s="32"/>
      <x:c r="BE477" s="32"/>
      <x:c r="BF477" s="32"/>
      <x:c r="BG477" s="32"/>
      <x:c r="BH477" s="32"/>
      <x:c r="BI477" s="32"/>
      <x:c r="BJ477" s="32"/>
      <x:c r="BK477" s="32"/>
      <x:c r="BL477" s="32"/>
      <x:c r="BM477" s="32"/>
    </x:row>
    <x:row r="478">
      <x:c r="A478" s="32"/>
      <x:c r="B478" s="32"/>
      <x:c r="C478" s="42"/>
      <x:c r="D478" s="32"/>
      <x:c r="E478" s="32"/>
      <x:c r="F478" s="32"/>
      <x:c r="G478" s="32"/>
      <x:c r="H478" s="32"/>
      <x:c r="I478" s="32"/>
      <x:c r="J478" s="32"/>
      <x:c r="K478" s="32"/>
      <x:c r="L478" s="32"/>
      <x:c r="M478" s="32"/>
      <x:c r="N478" s="32"/>
      <x:c r="O478" s="32"/>
      <x:c r="P478" s="32"/>
      <x:c r="Q478" s="32"/>
      <x:c r="R478" s="32"/>
      <x:c r="S478" s="32"/>
      <x:c r="T478" s="43" t="str">
        <x:f>IFERROR(S478/L478,"")</x:f>
      </x:c>
      <x:c r="U478" s="32"/>
      <x:c r="V478" s="32"/>
      <x:c r="W478" s="32"/>
      <x:c r="X478" s="32"/>
      <x:c r="Y478" s="32"/>
      <x:c r="Z478" s="32"/>
      <x:c r="AA478" s="32"/>
      <x:c r="AB478" s="32"/>
      <x:c r="AC478" s="32"/>
      <x:c r="AD478" s="32"/>
      <x:c r="AE478" s="32"/>
      <x:c r="AF478" s="32"/>
      <x:c r="AG478" s="32"/>
      <x:c r="AH478" s="32"/>
      <x:c r="AI478" s="32"/>
      <x:c r="AJ478" s="32"/>
      <x:c r="AK478" s="32"/>
      <x:c r="AL478" s="32"/>
      <x:c r="AM478" s="32"/>
      <x:c r="AN478" s="32"/>
      <x:c r="AO478" s="32"/>
      <x:c r="AP478" s="32"/>
      <x:c r="AQ478" s="32"/>
      <x:c r="AR478" s="32"/>
      <x:c r="AS478" s="32"/>
      <x:c r="AT478" s="32"/>
      <x:c r="AU478" s="32"/>
      <x:c r="AV478" s="32"/>
      <x:c r="AW478" s="32"/>
      <x:c r="AX478" s="32"/>
      <x:c r="AZ478" s="32"/>
      <x:c r="BA478" s="32"/>
      <x:c r="BB478" s="32"/>
      <x:c r="BC478" s="32"/>
      <x:c r="BD478" s="32"/>
      <x:c r="BE478" s="32"/>
      <x:c r="BF478" s="32"/>
      <x:c r="BG478" s="32"/>
      <x:c r="BH478" s="32"/>
      <x:c r="BI478" s="32"/>
      <x:c r="BJ478" s="32"/>
      <x:c r="BK478" s="32"/>
      <x:c r="BL478" s="32"/>
      <x:c r="BM478" s="32"/>
    </x:row>
    <x:row r="479">
      <x:c r="A479" s="32"/>
      <x:c r="B479" s="32"/>
      <x:c r="C479" s="42"/>
      <x:c r="D479" s="32"/>
      <x:c r="E479" s="32"/>
      <x:c r="F479" s="32"/>
      <x:c r="G479" s="32"/>
      <x:c r="H479" s="32"/>
      <x:c r="I479" s="32"/>
      <x:c r="J479" s="32"/>
      <x:c r="K479" s="32"/>
      <x:c r="L479" s="32"/>
      <x:c r="M479" s="32"/>
      <x:c r="N479" s="32"/>
      <x:c r="O479" s="32"/>
      <x:c r="P479" s="32"/>
      <x:c r="Q479" s="32"/>
      <x:c r="R479" s="32"/>
      <x:c r="S479" s="32"/>
      <x:c r="T479" s="43" t="str">
        <x:f>IFERROR(S479/L479,"")</x:f>
      </x:c>
      <x:c r="U479" s="32"/>
      <x:c r="V479" s="32"/>
      <x:c r="W479" s="32"/>
      <x:c r="X479" s="32"/>
      <x:c r="Y479" s="32"/>
      <x:c r="Z479" s="32"/>
      <x:c r="AA479" s="32"/>
      <x:c r="AB479" s="32"/>
      <x:c r="AC479" s="32"/>
      <x:c r="AD479" s="32"/>
      <x:c r="AE479" s="32"/>
      <x:c r="AF479" s="32"/>
      <x:c r="AG479" s="32"/>
      <x:c r="AH479" s="32"/>
      <x:c r="AI479" s="32"/>
      <x:c r="AJ479" s="32"/>
      <x:c r="AK479" s="32"/>
      <x:c r="AL479" s="32"/>
      <x:c r="AM479" s="32"/>
      <x:c r="AN479" s="32"/>
      <x:c r="AO479" s="32"/>
      <x:c r="AP479" s="32"/>
      <x:c r="AQ479" s="32"/>
      <x:c r="AR479" s="32"/>
      <x:c r="AS479" s="32"/>
      <x:c r="AT479" s="32"/>
      <x:c r="AU479" s="32"/>
      <x:c r="AV479" s="32"/>
      <x:c r="AW479" s="32"/>
      <x:c r="AX479" s="32"/>
      <x:c r="AZ479" s="32"/>
      <x:c r="BA479" s="32"/>
      <x:c r="BB479" s="32"/>
      <x:c r="BC479" s="32"/>
      <x:c r="BD479" s="32"/>
      <x:c r="BE479" s="32"/>
      <x:c r="BF479" s="32"/>
      <x:c r="BG479" s="32"/>
      <x:c r="BH479" s="32"/>
      <x:c r="BI479" s="32"/>
      <x:c r="BJ479" s="32"/>
      <x:c r="BK479" s="32"/>
      <x:c r="BL479" s="32"/>
      <x:c r="BM479" s="32"/>
    </x:row>
    <x:row r="480">
      <x:c r="A480" s="32"/>
      <x:c r="B480" s="32"/>
      <x:c r="C480" s="42"/>
      <x:c r="D480" s="32"/>
      <x:c r="E480" s="32"/>
      <x:c r="F480" s="32"/>
      <x:c r="G480" s="32"/>
      <x:c r="H480" s="32"/>
      <x:c r="I480" s="32"/>
      <x:c r="J480" s="32"/>
      <x:c r="K480" s="32"/>
      <x:c r="L480" s="32"/>
      <x:c r="M480" s="32"/>
      <x:c r="N480" s="32"/>
      <x:c r="O480" s="32"/>
      <x:c r="P480" s="32"/>
      <x:c r="Q480" s="32"/>
      <x:c r="R480" s="32"/>
      <x:c r="S480" s="32"/>
      <x:c r="T480" s="43" t="str">
        <x:f>IFERROR(S480/L480,"")</x:f>
      </x:c>
      <x:c r="U480" s="32"/>
      <x:c r="V480" s="32"/>
      <x:c r="W480" s="32"/>
      <x:c r="X480" s="32"/>
      <x:c r="Y480" s="32"/>
      <x:c r="Z480" s="32"/>
      <x:c r="AA480" s="32"/>
      <x:c r="AB480" s="32"/>
      <x:c r="AC480" s="32"/>
      <x:c r="AD480" s="32"/>
      <x:c r="AE480" s="32"/>
      <x:c r="AF480" s="32"/>
      <x:c r="AG480" s="32"/>
      <x:c r="AH480" s="32"/>
      <x:c r="AI480" s="32"/>
      <x:c r="AJ480" s="32"/>
      <x:c r="AK480" s="32"/>
      <x:c r="AL480" s="32"/>
      <x:c r="AM480" s="32"/>
      <x:c r="AN480" s="32"/>
      <x:c r="AO480" s="32"/>
      <x:c r="AP480" s="32"/>
      <x:c r="AQ480" s="32"/>
      <x:c r="AR480" s="32"/>
      <x:c r="AS480" s="32"/>
      <x:c r="AT480" s="32"/>
      <x:c r="AU480" s="32"/>
      <x:c r="AV480" s="32"/>
      <x:c r="AW480" s="32"/>
      <x:c r="AX480" s="32"/>
      <x:c r="AZ480" s="32"/>
      <x:c r="BA480" s="32"/>
      <x:c r="BB480" s="32"/>
      <x:c r="BC480" s="32"/>
      <x:c r="BD480" s="32"/>
      <x:c r="BE480" s="32"/>
      <x:c r="BF480" s="32"/>
      <x:c r="BG480" s="32"/>
      <x:c r="BH480" s="32"/>
      <x:c r="BI480" s="32"/>
      <x:c r="BJ480" s="32"/>
      <x:c r="BK480" s="32"/>
      <x:c r="BL480" s="32"/>
      <x:c r="BM480" s="32"/>
    </x:row>
    <x:row r="481">
      <x:c r="A481" s="32"/>
      <x:c r="B481" s="32"/>
      <x:c r="C481" s="42"/>
      <x:c r="D481" s="32"/>
      <x:c r="E481" s="32"/>
      <x:c r="F481" s="32"/>
      <x:c r="G481" s="32"/>
      <x:c r="H481" s="32"/>
      <x:c r="I481" s="32"/>
      <x:c r="J481" s="32"/>
      <x:c r="K481" s="32"/>
      <x:c r="L481" s="32"/>
      <x:c r="M481" s="32"/>
      <x:c r="N481" s="32"/>
      <x:c r="O481" s="32"/>
      <x:c r="P481" s="32"/>
      <x:c r="Q481" s="32"/>
      <x:c r="R481" s="32"/>
      <x:c r="S481" s="32"/>
      <x:c r="T481" s="43" t="str">
        <x:f>IFERROR(S481/L481,"")</x:f>
      </x:c>
      <x:c r="U481" s="32"/>
      <x:c r="V481" s="32"/>
      <x:c r="W481" s="32"/>
      <x:c r="X481" s="32"/>
      <x:c r="Y481" s="32"/>
      <x:c r="Z481" s="32"/>
      <x:c r="AA481" s="32"/>
      <x:c r="AB481" s="32"/>
      <x:c r="AC481" s="32"/>
      <x:c r="AD481" s="32"/>
      <x:c r="AE481" s="32"/>
      <x:c r="AF481" s="32"/>
      <x:c r="AG481" s="32"/>
      <x:c r="AH481" s="32"/>
      <x:c r="AI481" s="32"/>
      <x:c r="AJ481" s="32"/>
      <x:c r="AK481" s="32"/>
      <x:c r="AL481" s="32"/>
      <x:c r="AM481" s="32"/>
      <x:c r="AN481" s="32"/>
      <x:c r="AO481" s="32"/>
      <x:c r="AP481" s="32"/>
      <x:c r="AQ481" s="32"/>
      <x:c r="AR481" s="32"/>
      <x:c r="AS481" s="32"/>
      <x:c r="AT481" s="32"/>
      <x:c r="AU481" s="32"/>
      <x:c r="AV481" s="32"/>
      <x:c r="AW481" s="32"/>
      <x:c r="AX481" s="32"/>
      <x:c r="AZ481" s="32"/>
      <x:c r="BA481" s="32"/>
      <x:c r="BB481" s="32"/>
      <x:c r="BC481" s="32"/>
      <x:c r="BD481" s="32"/>
      <x:c r="BE481" s="32"/>
      <x:c r="BF481" s="32"/>
      <x:c r="BG481" s="32"/>
      <x:c r="BH481" s="32"/>
      <x:c r="BI481" s="32"/>
      <x:c r="BJ481" s="32"/>
      <x:c r="BK481" s="32"/>
      <x:c r="BL481" s="32"/>
      <x:c r="BM481" s="32"/>
    </x:row>
    <x:row r="482">
      <x:c r="A482" s="32"/>
      <x:c r="B482" s="32"/>
      <x:c r="C482" s="42"/>
      <x:c r="D482" s="32"/>
      <x:c r="E482" s="32"/>
      <x:c r="F482" s="32"/>
      <x:c r="G482" s="32"/>
      <x:c r="H482" s="32"/>
      <x:c r="I482" s="32"/>
      <x:c r="J482" s="32"/>
      <x:c r="K482" s="32"/>
      <x:c r="L482" s="32"/>
      <x:c r="M482" s="32"/>
      <x:c r="N482" s="32"/>
      <x:c r="O482" s="32"/>
      <x:c r="P482" s="32"/>
      <x:c r="Q482" s="32"/>
      <x:c r="R482" s="32"/>
      <x:c r="S482" s="32"/>
      <x:c r="T482" s="43" t="str">
        <x:f>IFERROR(S482/L482,"")</x:f>
      </x:c>
      <x:c r="U482" s="32"/>
      <x:c r="V482" s="32"/>
      <x:c r="W482" s="32"/>
      <x:c r="X482" s="32"/>
      <x:c r="Y482" s="32"/>
      <x:c r="Z482" s="32"/>
      <x:c r="AA482" s="32"/>
      <x:c r="AB482" s="32"/>
      <x:c r="AC482" s="32"/>
      <x:c r="AD482" s="32"/>
      <x:c r="AE482" s="32"/>
      <x:c r="AF482" s="32"/>
      <x:c r="AG482" s="32"/>
      <x:c r="AH482" s="32"/>
      <x:c r="AI482" s="32"/>
      <x:c r="AJ482" s="32"/>
      <x:c r="AK482" s="32"/>
      <x:c r="AL482" s="32"/>
      <x:c r="AM482" s="32"/>
      <x:c r="AN482" s="32"/>
      <x:c r="AO482" s="32"/>
      <x:c r="AP482" s="32"/>
      <x:c r="AQ482" s="32"/>
      <x:c r="AR482" s="32"/>
      <x:c r="AS482" s="32"/>
      <x:c r="AT482" s="32"/>
      <x:c r="AU482" s="32"/>
      <x:c r="AV482" s="32"/>
      <x:c r="AW482" s="32"/>
      <x:c r="AX482" s="32"/>
      <x:c r="AZ482" s="32"/>
      <x:c r="BA482" s="32"/>
      <x:c r="BB482" s="32"/>
      <x:c r="BC482" s="32"/>
      <x:c r="BD482" s="32"/>
      <x:c r="BE482" s="32"/>
      <x:c r="BF482" s="32"/>
      <x:c r="BG482" s="32"/>
      <x:c r="BH482" s="32"/>
      <x:c r="BI482" s="32"/>
      <x:c r="BJ482" s="32"/>
      <x:c r="BK482" s="32"/>
      <x:c r="BL482" s="32"/>
      <x:c r="BM482" s="32"/>
    </x:row>
    <x:row r="483">
      <x:c r="A483" s="32"/>
      <x:c r="B483" s="32"/>
      <x:c r="C483" s="42"/>
      <x:c r="D483" s="32"/>
      <x:c r="E483" s="32"/>
      <x:c r="F483" s="32"/>
      <x:c r="G483" s="32"/>
      <x:c r="H483" s="32"/>
      <x:c r="I483" s="32"/>
      <x:c r="J483" s="32"/>
      <x:c r="K483" s="32"/>
      <x:c r="L483" s="32"/>
      <x:c r="M483" s="32"/>
      <x:c r="N483" s="32"/>
      <x:c r="O483" s="32"/>
      <x:c r="P483" s="32"/>
      <x:c r="Q483" s="32"/>
      <x:c r="R483" s="32"/>
      <x:c r="S483" s="32"/>
      <x:c r="T483" s="43" t="str">
        <x:f>IFERROR(S483/L483,"")</x:f>
      </x:c>
      <x:c r="U483" s="32"/>
      <x:c r="V483" s="32"/>
      <x:c r="W483" s="32"/>
      <x:c r="X483" s="32"/>
      <x:c r="Y483" s="32"/>
      <x:c r="Z483" s="32"/>
      <x:c r="AA483" s="32"/>
      <x:c r="AB483" s="32"/>
      <x:c r="AC483" s="32"/>
      <x:c r="AD483" s="32"/>
      <x:c r="AE483" s="32"/>
      <x:c r="AF483" s="32"/>
      <x:c r="AG483" s="32"/>
      <x:c r="AH483" s="32"/>
      <x:c r="AI483" s="32"/>
      <x:c r="AJ483" s="32"/>
      <x:c r="AK483" s="32"/>
      <x:c r="AL483" s="32"/>
      <x:c r="AM483" s="32"/>
      <x:c r="AN483" s="32"/>
      <x:c r="AO483" s="32"/>
      <x:c r="AP483" s="32"/>
      <x:c r="AQ483" s="32"/>
      <x:c r="AR483" s="32"/>
      <x:c r="AS483" s="32"/>
      <x:c r="AT483" s="32"/>
      <x:c r="AU483" s="32"/>
      <x:c r="AV483" s="32"/>
      <x:c r="AW483" s="32"/>
      <x:c r="AX483" s="32"/>
      <x:c r="AZ483" s="32"/>
      <x:c r="BA483" s="32"/>
      <x:c r="BB483" s="32"/>
      <x:c r="BC483" s="32"/>
      <x:c r="BD483" s="32"/>
      <x:c r="BE483" s="32"/>
      <x:c r="BF483" s="32"/>
      <x:c r="BG483" s="32"/>
      <x:c r="BH483" s="32"/>
      <x:c r="BI483" s="32"/>
      <x:c r="BJ483" s="32"/>
      <x:c r="BK483" s="32"/>
      <x:c r="BL483" s="32"/>
      <x:c r="BM483" s="32"/>
    </x:row>
    <x:row r="484">
      <x:c r="A484" s="32"/>
      <x:c r="B484" s="32"/>
      <x:c r="C484" s="42"/>
      <x:c r="D484" s="32"/>
      <x:c r="E484" s="32"/>
      <x:c r="F484" s="32"/>
      <x:c r="G484" s="32"/>
      <x:c r="H484" s="32"/>
      <x:c r="I484" s="32"/>
      <x:c r="J484" s="32"/>
      <x:c r="K484" s="32"/>
      <x:c r="L484" s="32"/>
      <x:c r="M484" s="32"/>
      <x:c r="N484" s="32"/>
      <x:c r="O484" s="32"/>
      <x:c r="P484" s="32"/>
      <x:c r="Q484" s="32"/>
      <x:c r="R484" s="32"/>
      <x:c r="S484" s="32"/>
      <x:c r="T484" s="43" t="str">
        <x:f>IFERROR(S484/L484,"")</x:f>
      </x:c>
      <x:c r="U484" s="32"/>
      <x:c r="V484" s="32"/>
      <x:c r="W484" s="32"/>
      <x:c r="X484" s="32"/>
      <x:c r="Y484" s="32"/>
      <x:c r="Z484" s="32"/>
      <x:c r="AA484" s="32"/>
      <x:c r="AB484" s="32"/>
      <x:c r="AC484" s="32"/>
      <x:c r="AD484" s="32"/>
      <x:c r="AE484" s="32"/>
      <x:c r="AF484" s="32"/>
      <x:c r="AG484" s="32"/>
      <x:c r="AH484" s="32"/>
      <x:c r="AI484" s="32"/>
      <x:c r="AJ484" s="32"/>
      <x:c r="AK484" s="32"/>
      <x:c r="AL484" s="32"/>
      <x:c r="AM484" s="32"/>
      <x:c r="AN484" s="32"/>
      <x:c r="AO484" s="32"/>
      <x:c r="AP484" s="32"/>
      <x:c r="AQ484" s="32"/>
      <x:c r="AR484" s="32"/>
      <x:c r="AS484" s="32"/>
      <x:c r="AT484" s="32"/>
      <x:c r="AU484" s="32"/>
      <x:c r="AV484" s="32"/>
      <x:c r="AW484" s="32"/>
      <x:c r="AX484" s="32"/>
      <x:c r="AZ484" s="32"/>
      <x:c r="BA484" s="32"/>
      <x:c r="BB484" s="32"/>
      <x:c r="BC484" s="32"/>
      <x:c r="BD484" s="32"/>
      <x:c r="BE484" s="32"/>
      <x:c r="BF484" s="32"/>
      <x:c r="BG484" s="32"/>
      <x:c r="BH484" s="32"/>
      <x:c r="BI484" s="32"/>
      <x:c r="BJ484" s="32"/>
      <x:c r="BK484" s="32"/>
      <x:c r="BL484" s="32"/>
      <x:c r="BM484" s="32"/>
    </x:row>
    <x:row r="485">
      <x:c r="A485" s="32"/>
      <x:c r="B485" s="32"/>
      <x:c r="C485" s="42"/>
      <x:c r="D485" s="32"/>
      <x:c r="E485" s="32"/>
      <x:c r="F485" s="32"/>
      <x:c r="G485" s="32"/>
      <x:c r="H485" s="32"/>
      <x:c r="I485" s="32"/>
      <x:c r="J485" s="32"/>
      <x:c r="K485" s="32"/>
      <x:c r="L485" s="32"/>
      <x:c r="M485" s="32"/>
      <x:c r="N485" s="32"/>
      <x:c r="O485" s="32"/>
      <x:c r="P485" s="32"/>
      <x:c r="Q485" s="32"/>
      <x:c r="R485" s="32"/>
      <x:c r="S485" s="32"/>
      <x:c r="T485" s="43" t="str">
        <x:f>IFERROR(S485/L485,"")</x:f>
      </x:c>
      <x:c r="U485" s="32"/>
      <x:c r="V485" s="32"/>
      <x:c r="W485" s="32"/>
      <x:c r="X485" s="32"/>
      <x:c r="Y485" s="32"/>
      <x:c r="Z485" s="32"/>
      <x:c r="AA485" s="32"/>
      <x:c r="AB485" s="32"/>
      <x:c r="AC485" s="32"/>
      <x:c r="AD485" s="32"/>
      <x:c r="AE485" s="32"/>
      <x:c r="AF485" s="32"/>
      <x:c r="AG485" s="32"/>
      <x:c r="AH485" s="32"/>
      <x:c r="AI485" s="32"/>
      <x:c r="AJ485" s="32"/>
      <x:c r="AK485" s="32"/>
      <x:c r="AL485" s="32"/>
      <x:c r="AM485" s="32"/>
      <x:c r="AN485" s="32"/>
      <x:c r="AO485" s="32"/>
      <x:c r="AP485" s="32"/>
      <x:c r="AQ485" s="32"/>
      <x:c r="AR485" s="32"/>
      <x:c r="AS485" s="32"/>
      <x:c r="AT485" s="32"/>
      <x:c r="AU485" s="32"/>
      <x:c r="AV485" s="32"/>
      <x:c r="AW485" s="32"/>
      <x:c r="AX485" s="32"/>
      <x:c r="AZ485" s="32"/>
      <x:c r="BA485" s="32"/>
      <x:c r="BB485" s="32"/>
      <x:c r="BC485" s="32"/>
      <x:c r="BD485" s="32"/>
      <x:c r="BE485" s="32"/>
      <x:c r="BF485" s="32"/>
      <x:c r="BG485" s="32"/>
      <x:c r="BH485" s="32"/>
      <x:c r="BI485" s="32"/>
      <x:c r="BJ485" s="32"/>
      <x:c r="BK485" s="32"/>
      <x:c r="BL485" s="32"/>
      <x:c r="BM485" s="32"/>
    </x:row>
    <x:row r="486">
      <x:c r="A486" s="32"/>
      <x:c r="B486" s="32"/>
      <x:c r="C486" s="42"/>
      <x:c r="D486" s="32"/>
      <x:c r="E486" s="32"/>
      <x:c r="F486" s="32"/>
      <x:c r="G486" s="32"/>
      <x:c r="H486" s="32"/>
      <x:c r="I486" s="32"/>
      <x:c r="J486" s="32"/>
      <x:c r="K486" s="32"/>
      <x:c r="L486" s="32"/>
      <x:c r="M486" s="32"/>
      <x:c r="N486" s="32"/>
      <x:c r="O486" s="32"/>
      <x:c r="P486" s="32"/>
      <x:c r="Q486" s="32"/>
      <x:c r="R486" s="32"/>
      <x:c r="S486" s="32"/>
      <x:c r="T486" s="43" t="str">
        <x:f>IFERROR(S486/L486,"")</x:f>
      </x:c>
      <x:c r="U486" s="32"/>
      <x:c r="V486" s="32"/>
      <x:c r="W486" s="32"/>
      <x:c r="X486" s="32"/>
      <x:c r="Y486" s="32"/>
      <x:c r="Z486" s="32"/>
      <x:c r="AA486" s="32"/>
      <x:c r="AB486" s="32"/>
      <x:c r="AC486" s="32"/>
      <x:c r="AD486" s="32"/>
      <x:c r="AE486" s="32"/>
      <x:c r="AF486" s="32"/>
      <x:c r="AG486" s="32"/>
      <x:c r="AH486" s="32"/>
      <x:c r="AI486" s="32"/>
      <x:c r="AJ486" s="32"/>
      <x:c r="AK486" s="32"/>
      <x:c r="AL486" s="32"/>
      <x:c r="AM486" s="32"/>
      <x:c r="AN486" s="32"/>
      <x:c r="AO486" s="32"/>
      <x:c r="AP486" s="32"/>
      <x:c r="AQ486" s="32"/>
      <x:c r="AR486" s="32"/>
      <x:c r="AS486" s="32"/>
      <x:c r="AT486" s="32"/>
      <x:c r="AU486" s="32"/>
      <x:c r="AV486" s="32"/>
      <x:c r="AW486" s="32"/>
      <x:c r="AX486" s="32"/>
      <x:c r="AZ486" s="32"/>
      <x:c r="BA486" s="32"/>
      <x:c r="BB486" s="32"/>
      <x:c r="BC486" s="32"/>
      <x:c r="BD486" s="32"/>
      <x:c r="BE486" s="32"/>
      <x:c r="BF486" s="32"/>
      <x:c r="BG486" s="32"/>
      <x:c r="BH486" s="32"/>
      <x:c r="BI486" s="32"/>
      <x:c r="BJ486" s="32"/>
      <x:c r="BK486" s="32"/>
      <x:c r="BL486" s="32"/>
      <x:c r="BM486" s="32"/>
    </x:row>
    <x:row r="487">
      <x:c r="A487" s="32"/>
      <x:c r="B487" s="32"/>
      <x:c r="C487" s="42"/>
      <x:c r="D487" s="32"/>
      <x:c r="E487" s="32"/>
      <x:c r="F487" s="32"/>
      <x:c r="G487" s="32"/>
      <x:c r="H487" s="32"/>
      <x:c r="I487" s="32"/>
      <x:c r="J487" s="32"/>
      <x:c r="K487" s="32"/>
      <x:c r="L487" s="32"/>
      <x:c r="M487" s="32"/>
      <x:c r="N487" s="32"/>
      <x:c r="O487" s="32"/>
      <x:c r="P487" s="32"/>
      <x:c r="Q487" s="32"/>
      <x:c r="R487" s="32"/>
      <x:c r="S487" s="32"/>
      <x:c r="T487" s="43" t="str">
        <x:f>IFERROR(S487/L487,"")</x:f>
      </x:c>
      <x:c r="U487" s="32"/>
      <x:c r="V487" s="32"/>
      <x:c r="W487" s="32"/>
      <x:c r="X487" s="32"/>
      <x:c r="Y487" s="32"/>
      <x:c r="Z487" s="32"/>
      <x:c r="AA487" s="32"/>
      <x:c r="AB487" s="32"/>
      <x:c r="AC487" s="32"/>
      <x:c r="AD487" s="32"/>
      <x:c r="AE487" s="32"/>
      <x:c r="AF487" s="32"/>
      <x:c r="AG487" s="32"/>
      <x:c r="AH487" s="32"/>
      <x:c r="AI487" s="32"/>
      <x:c r="AJ487" s="32"/>
      <x:c r="AK487" s="32"/>
      <x:c r="AL487" s="32"/>
      <x:c r="AM487" s="32"/>
      <x:c r="AN487" s="32"/>
      <x:c r="AO487" s="32"/>
      <x:c r="AP487" s="32"/>
      <x:c r="AQ487" s="32"/>
      <x:c r="AR487" s="32"/>
      <x:c r="AS487" s="32"/>
      <x:c r="AT487" s="32"/>
      <x:c r="AU487" s="32"/>
      <x:c r="AV487" s="32"/>
      <x:c r="AW487" s="32"/>
      <x:c r="AX487" s="32"/>
      <x:c r="AZ487" s="32"/>
      <x:c r="BA487" s="32"/>
      <x:c r="BB487" s="32"/>
      <x:c r="BC487" s="32"/>
      <x:c r="BD487" s="32"/>
      <x:c r="BE487" s="32"/>
      <x:c r="BF487" s="32"/>
      <x:c r="BG487" s="32"/>
      <x:c r="BH487" s="32"/>
      <x:c r="BI487" s="32"/>
      <x:c r="BJ487" s="32"/>
      <x:c r="BK487" s="32"/>
      <x:c r="BL487" s="32"/>
      <x:c r="BM487" s="32"/>
    </x:row>
    <x:row r="488">
      <x:c r="A488" s="32"/>
      <x:c r="B488" s="32"/>
      <x:c r="C488" s="42"/>
      <x:c r="D488" s="32"/>
      <x:c r="E488" s="32"/>
      <x:c r="F488" s="32"/>
      <x:c r="G488" s="32"/>
      <x:c r="H488" s="32"/>
      <x:c r="I488" s="32"/>
      <x:c r="J488" s="32"/>
      <x:c r="K488" s="32"/>
      <x:c r="L488" s="32"/>
      <x:c r="M488" s="32"/>
      <x:c r="N488" s="32"/>
      <x:c r="O488" s="32"/>
      <x:c r="P488" s="32"/>
      <x:c r="Q488" s="32"/>
      <x:c r="R488" s="32"/>
      <x:c r="S488" s="32"/>
      <x:c r="T488" s="43" t="str">
        <x:f>IFERROR(S488/L488,"")</x:f>
      </x:c>
      <x:c r="U488" s="32"/>
      <x:c r="V488" s="32"/>
      <x:c r="W488" s="32"/>
      <x:c r="X488" s="32"/>
      <x:c r="Y488" s="32"/>
      <x:c r="Z488" s="32"/>
      <x:c r="AA488" s="32"/>
      <x:c r="AB488" s="32"/>
      <x:c r="AC488" s="32"/>
      <x:c r="AD488" s="32"/>
      <x:c r="AE488" s="32"/>
      <x:c r="AF488" s="32"/>
      <x:c r="AG488" s="32"/>
      <x:c r="AH488" s="32"/>
      <x:c r="AI488" s="32"/>
      <x:c r="AJ488" s="32"/>
      <x:c r="AK488" s="32"/>
      <x:c r="AL488" s="32"/>
      <x:c r="AM488" s="32"/>
      <x:c r="AN488" s="32"/>
      <x:c r="AO488" s="32"/>
      <x:c r="AP488" s="32"/>
      <x:c r="AQ488" s="32"/>
      <x:c r="AR488" s="32"/>
      <x:c r="AS488" s="32"/>
      <x:c r="AT488" s="32"/>
      <x:c r="AU488" s="32"/>
      <x:c r="AV488" s="32"/>
      <x:c r="AW488" s="32"/>
      <x:c r="AX488" s="32"/>
      <x:c r="AZ488" s="32"/>
      <x:c r="BA488" s="32"/>
      <x:c r="BB488" s="32"/>
      <x:c r="BC488" s="32"/>
      <x:c r="BD488" s="32"/>
      <x:c r="BE488" s="32"/>
      <x:c r="BF488" s="32"/>
      <x:c r="BG488" s="32"/>
      <x:c r="BH488" s="32"/>
      <x:c r="BI488" s="32"/>
      <x:c r="BJ488" s="32"/>
      <x:c r="BK488" s="32"/>
      <x:c r="BL488" s="32"/>
      <x:c r="BM488" s="32"/>
    </x:row>
    <x:row r="489">
      <x:c r="A489" s="32"/>
      <x:c r="B489" s="32"/>
      <x:c r="C489" s="42"/>
      <x:c r="D489" s="32"/>
      <x:c r="E489" s="32"/>
      <x:c r="F489" s="32"/>
      <x:c r="G489" s="32"/>
      <x:c r="H489" s="32"/>
      <x:c r="I489" s="32"/>
      <x:c r="J489" s="32"/>
      <x:c r="K489" s="32"/>
      <x:c r="L489" s="32"/>
      <x:c r="M489" s="32"/>
      <x:c r="N489" s="32"/>
      <x:c r="O489" s="32"/>
      <x:c r="P489" s="32"/>
      <x:c r="Q489" s="32"/>
      <x:c r="R489" s="32"/>
      <x:c r="S489" s="32"/>
      <x:c r="T489" s="43" t="str">
        <x:f>IFERROR(S489/L489,"")</x:f>
      </x:c>
      <x:c r="U489" s="32"/>
      <x:c r="V489" s="32"/>
      <x:c r="W489" s="32"/>
      <x:c r="X489" s="32"/>
      <x:c r="Y489" s="32"/>
      <x:c r="Z489" s="32"/>
      <x:c r="AA489" s="32"/>
      <x:c r="AB489" s="32"/>
      <x:c r="AC489" s="32"/>
      <x:c r="AD489" s="32"/>
      <x:c r="AE489" s="32"/>
      <x:c r="AF489" s="32"/>
      <x:c r="AG489" s="32"/>
      <x:c r="AH489" s="32"/>
      <x:c r="AI489" s="32"/>
      <x:c r="AJ489" s="32"/>
      <x:c r="AK489" s="32"/>
      <x:c r="AL489" s="32"/>
      <x:c r="AM489" s="32"/>
      <x:c r="AN489" s="32"/>
      <x:c r="AO489" s="32"/>
      <x:c r="AP489" s="32"/>
      <x:c r="AQ489" s="32"/>
      <x:c r="AR489" s="32"/>
      <x:c r="AS489" s="32"/>
      <x:c r="AT489" s="32"/>
      <x:c r="AU489" s="32"/>
      <x:c r="AV489" s="32"/>
      <x:c r="AW489" s="32"/>
      <x:c r="AX489" s="32"/>
      <x:c r="AZ489" s="32"/>
      <x:c r="BA489" s="32"/>
      <x:c r="BB489" s="32"/>
      <x:c r="BC489" s="32"/>
      <x:c r="BD489" s="32"/>
      <x:c r="BE489" s="32"/>
      <x:c r="BF489" s="32"/>
      <x:c r="BG489" s="32"/>
      <x:c r="BH489" s="32"/>
      <x:c r="BI489" s="32"/>
      <x:c r="BJ489" s="32"/>
      <x:c r="BK489" s="32"/>
      <x:c r="BL489" s="32"/>
      <x:c r="BM489" s="32"/>
    </x:row>
    <x:row r="490">
      <x:c r="A490" s="32"/>
      <x:c r="B490" s="32"/>
      <x:c r="C490" s="42"/>
      <x:c r="D490" s="32"/>
      <x:c r="E490" s="32"/>
      <x:c r="F490" s="32"/>
      <x:c r="G490" s="32"/>
      <x:c r="H490" s="32"/>
      <x:c r="I490" s="32"/>
      <x:c r="J490" s="32"/>
      <x:c r="K490" s="32"/>
      <x:c r="L490" s="32"/>
      <x:c r="M490" s="32"/>
      <x:c r="N490" s="32"/>
      <x:c r="O490" s="32"/>
      <x:c r="P490" s="32"/>
      <x:c r="Q490" s="32"/>
      <x:c r="R490" s="32"/>
      <x:c r="S490" s="32"/>
      <x:c r="T490" s="43" t="str">
        <x:f>IFERROR(S490/L490,"")</x:f>
      </x:c>
      <x:c r="U490" s="32"/>
      <x:c r="V490" s="32"/>
      <x:c r="W490" s="32"/>
      <x:c r="X490" s="32"/>
      <x:c r="Y490" s="32"/>
      <x:c r="Z490" s="32"/>
      <x:c r="AA490" s="32"/>
      <x:c r="AB490" s="32"/>
      <x:c r="AC490" s="32"/>
      <x:c r="AD490" s="32"/>
      <x:c r="AE490" s="32"/>
      <x:c r="AF490" s="32"/>
      <x:c r="AG490" s="32"/>
      <x:c r="AH490" s="32"/>
      <x:c r="AI490" s="32"/>
      <x:c r="AJ490" s="32"/>
      <x:c r="AK490" s="32"/>
      <x:c r="AL490" s="32"/>
      <x:c r="AM490" s="32"/>
      <x:c r="AN490" s="32"/>
      <x:c r="AO490" s="32"/>
      <x:c r="AP490" s="32"/>
      <x:c r="AQ490" s="32"/>
      <x:c r="AR490" s="32"/>
      <x:c r="AS490" s="32"/>
      <x:c r="AT490" s="32"/>
      <x:c r="AU490" s="32"/>
      <x:c r="AV490" s="32"/>
      <x:c r="AW490" s="32"/>
      <x:c r="AX490" s="32"/>
      <x:c r="AZ490" s="32"/>
      <x:c r="BA490" s="32"/>
      <x:c r="BB490" s="32"/>
      <x:c r="BC490" s="32"/>
      <x:c r="BD490" s="32"/>
      <x:c r="BE490" s="32"/>
      <x:c r="BF490" s="32"/>
      <x:c r="BG490" s="32"/>
      <x:c r="BH490" s="32"/>
      <x:c r="BI490" s="32"/>
      <x:c r="BJ490" s="32"/>
      <x:c r="BK490" s="32"/>
      <x:c r="BL490" s="32"/>
      <x:c r="BM490" s="32"/>
    </x:row>
    <x:row r="491">
      <x:c r="A491" s="32"/>
      <x:c r="B491" s="32"/>
      <x:c r="C491" s="42"/>
      <x:c r="D491" s="32"/>
      <x:c r="E491" s="32"/>
      <x:c r="F491" s="32"/>
      <x:c r="G491" s="32"/>
      <x:c r="H491" s="32"/>
      <x:c r="I491" s="32"/>
      <x:c r="J491" s="32"/>
      <x:c r="K491" s="32"/>
      <x:c r="L491" s="32"/>
      <x:c r="M491" s="32"/>
      <x:c r="N491" s="32"/>
      <x:c r="O491" s="32"/>
      <x:c r="P491" s="32"/>
      <x:c r="Q491" s="32"/>
      <x:c r="R491" s="32"/>
      <x:c r="S491" s="32"/>
      <x:c r="T491" s="43" t="str">
        <x:f>IFERROR(S491/L491,"")</x:f>
      </x:c>
      <x:c r="U491" s="32"/>
      <x:c r="V491" s="32"/>
      <x:c r="W491" s="32"/>
      <x:c r="X491" s="32"/>
      <x:c r="Y491" s="32"/>
      <x:c r="Z491" s="32"/>
      <x:c r="AA491" s="32"/>
      <x:c r="AB491" s="32"/>
      <x:c r="AC491" s="32"/>
      <x:c r="AD491" s="32"/>
      <x:c r="AE491" s="32"/>
      <x:c r="AF491" s="32"/>
      <x:c r="AG491" s="32"/>
      <x:c r="AH491" s="32"/>
      <x:c r="AI491" s="32"/>
      <x:c r="AJ491" s="32"/>
      <x:c r="AK491" s="32"/>
      <x:c r="AL491" s="32"/>
      <x:c r="AM491" s="32"/>
      <x:c r="AN491" s="32"/>
      <x:c r="AO491" s="32"/>
      <x:c r="AP491" s="32"/>
      <x:c r="AQ491" s="32"/>
      <x:c r="AR491" s="32"/>
      <x:c r="AS491" s="32"/>
      <x:c r="AT491" s="32"/>
      <x:c r="AU491" s="32"/>
      <x:c r="AV491" s="32"/>
      <x:c r="AW491" s="32"/>
      <x:c r="AX491" s="32"/>
      <x:c r="AZ491" s="32"/>
      <x:c r="BA491" s="32"/>
      <x:c r="BB491" s="32"/>
      <x:c r="BC491" s="32"/>
      <x:c r="BD491" s="32"/>
      <x:c r="BE491" s="32"/>
      <x:c r="BF491" s="32"/>
      <x:c r="BG491" s="32"/>
      <x:c r="BH491" s="32"/>
      <x:c r="BI491" s="32"/>
      <x:c r="BJ491" s="32"/>
      <x:c r="BK491" s="32"/>
      <x:c r="BL491" s="32"/>
      <x:c r="BM491" s="32"/>
    </x:row>
    <x:row r="492">
      <x:c r="A492" s="32"/>
      <x:c r="B492" s="32"/>
      <x:c r="C492" s="42"/>
      <x:c r="D492" s="32"/>
      <x:c r="E492" s="32"/>
      <x:c r="F492" s="32"/>
      <x:c r="G492" s="32"/>
      <x:c r="H492" s="32"/>
      <x:c r="I492" s="32"/>
      <x:c r="J492" s="32"/>
      <x:c r="K492" s="32"/>
      <x:c r="L492" s="32"/>
      <x:c r="M492" s="32"/>
      <x:c r="N492" s="32"/>
      <x:c r="O492" s="32"/>
      <x:c r="P492" s="32"/>
      <x:c r="Q492" s="32"/>
      <x:c r="R492" s="32"/>
      <x:c r="S492" s="32"/>
      <x:c r="T492" s="43" t="str">
        <x:f>IFERROR(S492/L492,"")</x:f>
      </x:c>
      <x:c r="U492" s="32"/>
      <x:c r="V492" s="32"/>
      <x:c r="W492" s="32"/>
      <x:c r="X492" s="32"/>
      <x:c r="Y492" s="32"/>
      <x:c r="Z492" s="32"/>
      <x:c r="AA492" s="32"/>
      <x:c r="AB492" s="32"/>
      <x:c r="AC492" s="32"/>
      <x:c r="AD492" s="32"/>
      <x:c r="AE492" s="32"/>
      <x:c r="AF492" s="32"/>
      <x:c r="AG492" s="32"/>
      <x:c r="AH492" s="32"/>
      <x:c r="AI492" s="32"/>
      <x:c r="AJ492" s="32"/>
      <x:c r="AK492" s="32"/>
      <x:c r="AL492" s="32"/>
      <x:c r="AM492" s="32"/>
      <x:c r="AN492" s="32"/>
      <x:c r="AO492" s="32"/>
      <x:c r="AP492" s="32"/>
      <x:c r="AQ492" s="32"/>
      <x:c r="AR492" s="32"/>
      <x:c r="AS492" s="32"/>
      <x:c r="AT492" s="32"/>
      <x:c r="AU492" s="32"/>
      <x:c r="AV492" s="32"/>
      <x:c r="AW492" s="32"/>
      <x:c r="AX492" s="32"/>
      <x:c r="AZ492" s="32"/>
      <x:c r="BA492" s="32"/>
      <x:c r="BB492" s="32"/>
      <x:c r="BC492" s="32"/>
      <x:c r="BD492" s="32"/>
      <x:c r="BE492" s="32"/>
      <x:c r="BF492" s="32"/>
      <x:c r="BG492" s="32"/>
      <x:c r="BH492" s="32"/>
      <x:c r="BI492" s="32"/>
      <x:c r="BJ492" s="32"/>
      <x:c r="BK492" s="32"/>
      <x:c r="BL492" s="32"/>
      <x:c r="BM492" s="32"/>
    </x:row>
    <x:row r="493">
      <x:c r="A493" s="32"/>
      <x:c r="B493" s="32"/>
      <x:c r="C493" s="42"/>
      <x:c r="D493" s="32"/>
      <x:c r="E493" s="32"/>
      <x:c r="F493" s="32"/>
      <x:c r="G493" s="32"/>
      <x:c r="H493" s="32"/>
      <x:c r="I493" s="32"/>
      <x:c r="J493" s="32"/>
      <x:c r="K493" s="32"/>
      <x:c r="L493" s="32"/>
      <x:c r="M493" s="32"/>
      <x:c r="N493" s="32"/>
      <x:c r="O493" s="32"/>
      <x:c r="P493" s="32"/>
      <x:c r="Q493" s="32"/>
      <x:c r="R493" s="32"/>
      <x:c r="S493" s="32"/>
      <x:c r="T493" s="43" t="str">
        <x:f>IFERROR(S493/L493,"")</x:f>
      </x:c>
      <x:c r="U493" s="32"/>
      <x:c r="V493" s="32"/>
      <x:c r="W493" s="32"/>
      <x:c r="X493" s="32"/>
      <x:c r="Y493" s="32"/>
      <x:c r="Z493" s="32"/>
      <x:c r="AA493" s="32"/>
      <x:c r="AB493" s="32"/>
      <x:c r="AC493" s="32"/>
      <x:c r="AD493" s="32"/>
      <x:c r="AE493" s="32"/>
      <x:c r="AF493" s="32"/>
      <x:c r="AG493" s="32"/>
      <x:c r="AH493" s="32"/>
      <x:c r="AI493" s="32"/>
      <x:c r="AJ493" s="32"/>
      <x:c r="AK493" s="32"/>
      <x:c r="AL493" s="32"/>
      <x:c r="AM493" s="32"/>
      <x:c r="AN493" s="32"/>
      <x:c r="AO493" s="32"/>
      <x:c r="AP493" s="32"/>
      <x:c r="AQ493" s="32"/>
      <x:c r="AR493" s="32"/>
      <x:c r="AS493" s="32"/>
      <x:c r="AT493" s="32"/>
      <x:c r="AU493" s="32"/>
      <x:c r="AV493" s="32"/>
      <x:c r="AW493" s="32"/>
      <x:c r="AX493" s="32"/>
      <x:c r="AZ493" s="32"/>
      <x:c r="BA493" s="32"/>
      <x:c r="BB493" s="32"/>
      <x:c r="BC493" s="32"/>
      <x:c r="BD493" s="32"/>
      <x:c r="BE493" s="32"/>
      <x:c r="BF493" s="32"/>
      <x:c r="BG493" s="32"/>
      <x:c r="BH493" s="32"/>
      <x:c r="BI493" s="32"/>
      <x:c r="BJ493" s="32"/>
      <x:c r="BK493" s="32"/>
      <x:c r="BL493" s="32"/>
      <x:c r="BM493" s="32"/>
    </x:row>
    <x:row r="494">
      <x:c r="A494" s="32"/>
      <x:c r="B494" s="32"/>
      <x:c r="C494" s="42"/>
      <x:c r="D494" s="32"/>
      <x:c r="E494" s="32"/>
      <x:c r="F494" s="32"/>
      <x:c r="G494" s="32"/>
      <x:c r="H494" s="32"/>
      <x:c r="I494" s="32"/>
      <x:c r="J494" s="32"/>
      <x:c r="K494" s="32"/>
      <x:c r="L494" s="32"/>
      <x:c r="M494" s="32"/>
      <x:c r="N494" s="32"/>
      <x:c r="O494" s="32"/>
      <x:c r="P494" s="32"/>
      <x:c r="Q494" s="32"/>
      <x:c r="R494" s="32"/>
      <x:c r="S494" s="32"/>
      <x:c r="T494" s="43" t="str">
        <x:f>IFERROR(S494/L494,"")</x:f>
      </x:c>
      <x:c r="U494" s="32"/>
      <x:c r="V494" s="32"/>
      <x:c r="W494" s="32"/>
      <x:c r="X494" s="32"/>
      <x:c r="Y494" s="32"/>
      <x:c r="Z494" s="32"/>
      <x:c r="AA494" s="32"/>
      <x:c r="AB494" s="32"/>
      <x:c r="AC494" s="32"/>
      <x:c r="AD494" s="32"/>
      <x:c r="AE494" s="32"/>
      <x:c r="AF494" s="32"/>
      <x:c r="AG494" s="32"/>
      <x:c r="AH494" s="32"/>
      <x:c r="AI494" s="32"/>
      <x:c r="AJ494" s="32"/>
      <x:c r="AK494" s="32"/>
      <x:c r="AL494" s="32"/>
      <x:c r="AM494" s="32"/>
      <x:c r="AN494" s="32"/>
      <x:c r="AO494" s="32"/>
      <x:c r="AP494" s="32"/>
      <x:c r="AQ494" s="32"/>
      <x:c r="AR494" s="32"/>
      <x:c r="AS494" s="32"/>
      <x:c r="AT494" s="32"/>
      <x:c r="AU494" s="32"/>
      <x:c r="AV494" s="32"/>
      <x:c r="AW494" s="32"/>
      <x:c r="AX494" s="32"/>
      <x:c r="AZ494" s="32"/>
      <x:c r="BA494" s="32"/>
      <x:c r="BB494" s="32"/>
      <x:c r="BC494" s="32"/>
      <x:c r="BD494" s="32"/>
      <x:c r="BE494" s="32"/>
      <x:c r="BF494" s="32"/>
      <x:c r="BG494" s="32"/>
      <x:c r="BH494" s="32"/>
      <x:c r="BI494" s="32"/>
      <x:c r="BJ494" s="32"/>
      <x:c r="BK494" s="32"/>
      <x:c r="BL494" s="32"/>
      <x:c r="BM494" s="32"/>
    </x:row>
    <x:row r="495">
      <x:c r="A495" s="32"/>
      <x:c r="B495" s="32"/>
      <x:c r="C495" s="42"/>
      <x:c r="D495" s="32"/>
      <x:c r="E495" s="32"/>
      <x:c r="F495" s="32"/>
      <x:c r="G495" s="32"/>
      <x:c r="H495" s="32"/>
      <x:c r="I495" s="32"/>
      <x:c r="J495" s="32"/>
      <x:c r="K495" s="32"/>
      <x:c r="L495" s="32"/>
      <x:c r="M495" s="32"/>
      <x:c r="N495" s="32"/>
      <x:c r="O495" s="32"/>
      <x:c r="P495" s="32"/>
      <x:c r="Q495" s="32"/>
      <x:c r="R495" s="32"/>
      <x:c r="S495" s="32"/>
      <x:c r="T495" s="43" t="str">
        <x:f>IFERROR(S495/L495,"")</x:f>
      </x:c>
      <x:c r="U495" s="32"/>
      <x:c r="V495" s="32"/>
      <x:c r="W495" s="32"/>
      <x:c r="X495" s="32"/>
      <x:c r="Y495" s="32"/>
      <x:c r="Z495" s="32"/>
      <x:c r="AA495" s="32"/>
      <x:c r="AB495" s="32"/>
      <x:c r="AC495" s="32"/>
      <x:c r="AD495" s="32"/>
      <x:c r="AE495" s="32"/>
      <x:c r="AF495" s="32"/>
      <x:c r="AG495" s="32"/>
      <x:c r="AH495" s="32"/>
      <x:c r="AI495" s="32"/>
      <x:c r="AJ495" s="32"/>
      <x:c r="AK495" s="32"/>
      <x:c r="AL495" s="32"/>
      <x:c r="AM495" s="32"/>
      <x:c r="AN495" s="32"/>
      <x:c r="AO495" s="32"/>
      <x:c r="AP495" s="32"/>
      <x:c r="AQ495" s="32"/>
      <x:c r="AR495" s="32"/>
      <x:c r="AS495" s="32"/>
      <x:c r="AT495" s="32"/>
      <x:c r="AU495" s="32"/>
      <x:c r="AV495" s="32"/>
      <x:c r="AW495" s="32"/>
      <x:c r="AX495" s="32"/>
      <x:c r="AZ495" s="32"/>
      <x:c r="BA495" s="32"/>
      <x:c r="BB495" s="32"/>
      <x:c r="BC495" s="32"/>
      <x:c r="BD495" s="32"/>
      <x:c r="BE495" s="32"/>
      <x:c r="BF495" s="32"/>
      <x:c r="BG495" s="32"/>
      <x:c r="BH495" s="32"/>
      <x:c r="BI495" s="32"/>
      <x:c r="BJ495" s="32"/>
      <x:c r="BK495" s="32"/>
      <x:c r="BL495" s="32"/>
      <x:c r="BM495" s="32"/>
    </x:row>
    <x:row r="496">
      <x:c r="A496" s="32"/>
      <x:c r="B496" s="32"/>
      <x:c r="C496" s="42"/>
      <x:c r="D496" s="32"/>
      <x:c r="E496" s="32"/>
      <x:c r="F496" s="32"/>
      <x:c r="G496" s="32"/>
      <x:c r="H496" s="32"/>
      <x:c r="I496" s="32"/>
      <x:c r="J496" s="32"/>
      <x:c r="K496" s="32"/>
      <x:c r="L496" s="32"/>
      <x:c r="M496" s="32"/>
      <x:c r="N496" s="32"/>
      <x:c r="O496" s="32"/>
      <x:c r="P496" s="32"/>
      <x:c r="Q496" s="32"/>
      <x:c r="R496" s="32"/>
      <x:c r="S496" s="32"/>
      <x:c r="T496" s="43" t="str">
        <x:f>IFERROR(S496/L496,"")</x:f>
      </x:c>
      <x:c r="U496" s="32"/>
      <x:c r="V496" s="32"/>
      <x:c r="W496" s="32"/>
      <x:c r="X496" s="32"/>
      <x:c r="Y496" s="32"/>
      <x:c r="Z496" s="32"/>
      <x:c r="AA496" s="32"/>
      <x:c r="AB496" s="32"/>
      <x:c r="AC496" s="32"/>
      <x:c r="AD496" s="32"/>
      <x:c r="AE496" s="32"/>
      <x:c r="AF496" s="32"/>
      <x:c r="AG496" s="32"/>
      <x:c r="AH496" s="32"/>
      <x:c r="AI496" s="32"/>
      <x:c r="AJ496" s="32"/>
      <x:c r="AK496" s="32"/>
      <x:c r="AL496" s="32"/>
      <x:c r="AM496" s="32"/>
      <x:c r="AN496" s="32"/>
      <x:c r="AO496" s="32"/>
      <x:c r="AP496" s="32"/>
      <x:c r="AQ496" s="32"/>
      <x:c r="AR496" s="32"/>
      <x:c r="AS496" s="32"/>
      <x:c r="AT496" s="32"/>
      <x:c r="AU496" s="32"/>
      <x:c r="AV496" s="32"/>
      <x:c r="AW496" s="32"/>
      <x:c r="AX496" s="32"/>
      <x:c r="AZ496" s="32"/>
      <x:c r="BA496" s="32"/>
      <x:c r="BB496" s="32"/>
      <x:c r="BC496" s="32"/>
      <x:c r="BD496" s="32"/>
      <x:c r="BE496" s="32"/>
      <x:c r="BF496" s="32"/>
      <x:c r="BG496" s="32"/>
      <x:c r="BH496" s="32"/>
      <x:c r="BI496" s="32"/>
      <x:c r="BJ496" s="32"/>
      <x:c r="BK496" s="32"/>
      <x:c r="BL496" s="32"/>
      <x:c r="BM496" s="32"/>
    </x:row>
    <x:row r="497">
      <x:c r="A497" s="32"/>
      <x:c r="B497" s="32"/>
      <x:c r="C497" s="42"/>
      <x:c r="D497" s="32"/>
      <x:c r="E497" s="32"/>
      <x:c r="F497" s="32"/>
      <x:c r="G497" s="32"/>
      <x:c r="H497" s="32"/>
      <x:c r="I497" s="32"/>
      <x:c r="J497" s="32"/>
      <x:c r="K497" s="32"/>
      <x:c r="L497" s="32"/>
      <x:c r="M497" s="32"/>
      <x:c r="N497" s="32"/>
      <x:c r="O497" s="32"/>
      <x:c r="P497" s="32"/>
      <x:c r="Q497" s="32"/>
      <x:c r="R497" s="32"/>
      <x:c r="S497" s="32"/>
      <x:c r="T497" s="43" t="str">
        <x:f>IFERROR(S497/L497,"")</x:f>
      </x:c>
      <x:c r="U497" s="32"/>
      <x:c r="V497" s="32"/>
      <x:c r="W497" s="32"/>
      <x:c r="X497" s="32"/>
      <x:c r="Y497" s="32"/>
      <x:c r="Z497" s="32"/>
      <x:c r="AA497" s="32"/>
      <x:c r="AB497" s="32"/>
      <x:c r="AC497" s="32"/>
      <x:c r="AD497" s="32"/>
      <x:c r="AE497" s="32"/>
      <x:c r="AF497" s="32"/>
      <x:c r="AG497" s="32"/>
      <x:c r="AH497" s="32"/>
      <x:c r="AI497" s="32"/>
      <x:c r="AJ497" s="32"/>
      <x:c r="AK497" s="32"/>
      <x:c r="AL497" s="32"/>
      <x:c r="AM497" s="32"/>
      <x:c r="AN497" s="32"/>
      <x:c r="AO497" s="32"/>
      <x:c r="AP497" s="32"/>
      <x:c r="AQ497" s="32"/>
      <x:c r="AR497" s="32"/>
      <x:c r="AS497" s="32"/>
      <x:c r="AT497" s="32"/>
      <x:c r="AU497" s="32"/>
      <x:c r="AV497" s="32"/>
      <x:c r="AW497" s="32"/>
      <x:c r="AX497" s="32"/>
      <x:c r="AZ497" s="32"/>
      <x:c r="BA497" s="32"/>
      <x:c r="BB497" s="32"/>
      <x:c r="BC497" s="32"/>
      <x:c r="BD497" s="32"/>
      <x:c r="BE497" s="32"/>
      <x:c r="BF497" s="32"/>
      <x:c r="BG497" s="32"/>
      <x:c r="BH497" s="32"/>
      <x:c r="BI497" s="32"/>
      <x:c r="BJ497" s="32"/>
      <x:c r="BK497" s="32"/>
      <x:c r="BL497" s="32"/>
      <x:c r="BM497" s="32"/>
    </x:row>
    <x:row r="498">
      <x:c r="A498" s="32"/>
      <x:c r="B498" s="32"/>
      <x:c r="C498" s="42"/>
      <x:c r="D498" s="32"/>
      <x:c r="E498" s="32"/>
      <x:c r="F498" s="32"/>
      <x:c r="G498" s="32"/>
      <x:c r="H498" s="32"/>
      <x:c r="I498" s="32"/>
      <x:c r="J498" s="32"/>
      <x:c r="K498" s="32"/>
      <x:c r="L498" s="32"/>
      <x:c r="M498" s="32"/>
      <x:c r="N498" s="32"/>
      <x:c r="O498" s="32"/>
      <x:c r="P498" s="32"/>
      <x:c r="Q498" s="32"/>
      <x:c r="R498" s="32"/>
      <x:c r="S498" s="32"/>
      <x:c r="T498" s="43" t="str">
        <x:f>IFERROR(S498/L498,"")</x:f>
      </x:c>
      <x:c r="U498" s="32"/>
      <x:c r="V498" s="32"/>
      <x:c r="W498" s="32"/>
      <x:c r="X498" s="32"/>
      <x:c r="Y498" s="32"/>
      <x:c r="Z498" s="32"/>
      <x:c r="AA498" s="32"/>
      <x:c r="AB498" s="32"/>
      <x:c r="AC498" s="32"/>
      <x:c r="AD498" s="32"/>
      <x:c r="AE498" s="32"/>
      <x:c r="AF498" s="32"/>
      <x:c r="AG498" s="32"/>
      <x:c r="AH498" s="32"/>
      <x:c r="AI498" s="32"/>
      <x:c r="AJ498" s="32"/>
      <x:c r="AK498" s="32"/>
      <x:c r="AL498" s="32"/>
      <x:c r="AM498" s="32"/>
      <x:c r="AN498" s="32"/>
      <x:c r="AO498" s="32"/>
      <x:c r="AP498" s="32"/>
      <x:c r="AQ498" s="32"/>
      <x:c r="AR498" s="32"/>
      <x:c r="AS498" s="32"/>
      <x:c r="AT498" s="32"/>
      <x:c r="AU498" s="32"/>
      <x:c r="AV498" s="32"/>
      <x:c r="AW498" s="32"/>
      <x:c r="AX498" s="32"/>
      <x:c r="AZ498" s="32"/>
      <x:c r="BA498" s="32"/>
      <x:c r="BB498" s="32"/>
      <x:c r="BC498" s="32"/>
      <x:c r="BD498" s="32"/>
      <x:c r="BE498" s="32"/>
      <x:c r="BF498" s="32"/>
      <x:c r="BG498" s="32"/>
      <x:c r="BH498" s="32"/>
      <x:c r="BI498" s="32"/>
      <x:c r="BJ498" s="32"/>
      <x:c r="BK498" s="32"/>
      <x:c r="BL498" s="32"/>
      <x:c r="BM498" s="32"/>
    </x:row>
    <x:row r="499">
      <x:c r="A499" s="32"/>
      <x:c r="B499" s="32"/>
      <x:c r="C499" s="42"/>
      <x:c r="D499" s="32"/>
      <x:c r="E499" s="32"/>
      <x:c r="F499" s="32"/>
      <x:c r="G499" s="32"/>
      <x:c r="H499" s="32"/>
      <x:c r="I499" s="32"/>
      <x:c r="J499" s="32"/>
      <x:c r="K499" s="32"/>
      <x:c r="L499" s="32"/>
      <x:c r="M499" s="32"/>
      <x:c r="N499" s="32"/>
      <x:c r="O499" s="32"/>
      <x:c r="P499" s="32"/>
      <x:c r="Q499" s="32"/>
      <x:c r="R499" s="32"/>
      <x:c r="S499" s="32"/>
      <x:c r="T499" s="43" t="str">
        <x:f>IFERROR(S499/L499,"")</x:f>
      </x:c>
      <x:c r="U499" s="32"/>
      <x:c r="V499" s="32"/>
      <x:c r="W499" s="32"/>
      <x:c r="X499" s="32"/>
      <x:c r="Y499" s="32"/>
      <x:c r="Z499" s="32"/>
      <x:c r="AA499" s="32"/>
      <x:c r="AB499" s="32"/>
      <x:c r="AC499" s="32"/>
      <x:c r="AD499" s="32"/>
      <x:c r="AE499" s="32"/>
      <x:c r="AF499" s="32"/>
      <x:c r="AG499" s="32"/>
      <x:c r="AH499" s="32"/>
      <x:c r="AI499" s="32"/>
      <x:c r="AJ499" s="32"/>
      <x:c r="AK499" s="32"/>
      <x:c r="AL499" s="32"/>
      <x:c r="AM499" s="32"/>
      <x:c r="AN499" s="32"/>
      <x:c r="AO499" s="32"/>
      <x:c r="AP499" s="32"/>
      <x:c r="AQ499" s="32"/>
      <x:c r="AR499" s="32"/>
      <x:c r="AS499" s="32"/>
      <x:c r="AT499" s="32"/>
      <x:c r="AU499" s="32"/>
      <x:c r="AV499" s="32"/>
      <x:c r="AW499" s="32"/>
      <x:c r="AX499" s="32"/>
      <x:c r="AZ499" s="32"/>
      <x:c r="BA499" s="32"/>
      <x:c r="BB499" s="32"/>
      <x:c r="BC499" s="32"/>
      <x:c r="BD499" s="32"/>
      <x:c r="BE499" s="32"/>
      <x:c r="BF499" s="32"/>
      <x:c r="BG499" s="32"/>
      <x:c r="BH499" s="32"/>
      <x:c r="BI499" s="32"/>
      <x:c r="BJ499" s="32"/>
      <x:c r="BK499" s="32"/>
      <x:c r="BL499" s="32"/>
      <x:c r="BM499" s="32"/>
    </x:row>
    <x:row r="500">
      <x:c r="A500" s="32"/>
      <x:c r="B500" s="32"/>
      <x:c r="C500" s="42"/>
      <x:c r="D500" s="32"/>
      <x:c r="E500" s="32"/>
      <x:c r="F500" s="32"/>
      <x:c r="G500" s="32"/>
      <x:c r="H500" s="32"/>
      <x:c r="I500" s="32"/>
      <x:c r="J500" s="32"/>
      <x:c r="K500" s="32"/>
      <x:c r="L500" s="32"/>
      <x:c r="M500" s="32"/>
      <x:c r="N500" s="32"/>
      <x:c r="O500" s="32"/>
      <x:c r="P500" s="32"/>
      <x:c r="Q500" s="32"/>
      <x:c r="R500" s="32"/>
      <x:c r="S500" s="32"/>
      <x:c r="T500" s="43" t="str">
        <x:f>IFERROR(S500/L500,"")</x:f>
      </x:c>
      <x:c r="U500" s="32"/>
      <x:c r="V500" s="32"/>
      <x:c r="W500" s="32"/>
      <x:c r="X500" s="32"/>
      <x:c r="Y500" s="32"/>
      <x:c r="Z500" s="32"/>
      <x:c r="AA500" s="32"/>
      <x:c r="AB500" s="32"/>
      <x:c r="AC500" s="32"/>
      <x:c r="AD500" s="32"/>
      <x:c r="AE500" s="32"/>
      <x:c r="AF500" s="32"/>
      <x:c r="AG500" s="32"/>
      <x:c r="AH500" s="32"/>
      <x:c r="AI500" s="32"/>
      <x:c r="AJ500" s="32"/>
      <x:c r="AK500" s="32"/>
      <x:c r="AL500" s="32"/>
      <x:c r="AM500" s="32"/>
      <x:c r="AN500" s="32"/>
      <x:c r="AO500" s="32"/>
      <x:c r="AP500" s="32"/>
      <x:c r="AQ500" s="32"/>
      <x:c r="AR500" s="32"/>
      <x:c r="AS500" s="32"/>
      <x:c r="AT500" s="32"/>
      <x:c r="AU500" s="32"/>
      <x:c r="AV500" s="32"/>
      <x:c r="AW500" s="32"/>
      <x:c r="AX500" s="32"/>
      <x:c r="AZ500" s="32"/>
      <x:c r="BA500" s="32"/>
      <x:c r="BB500" s="32"/>
      <x:c r="BC500" s="32"/>
      <x:c r="BD500" s="32"/>
      <x:c r="BE500" s="32"/>
      <x:c r="BF500" s="32"/>
      <x:c r="BG500" s="32"/>
      <x:c r="BH500" s="32"/>
      <x:c r="BI500" s="32"/>
      <x:c r="BJ500" s="32"/>
      <x:c r="BK500" s="32"/>
      <x:c r="BL500" s="32"/>
      <x:c r="BM500" s="32"/>
    </x:row>
  </x:sheetData>
  <x:mergeCells>
    <x:mergeCell ref="A1:AJ2"/>
  </x:mergeCells>
  <x:conditionalFormatting sqref="AI5:AI500">
    <x:cfRule type="expression" dxfId="4" priority="1">
      <x:formula>AI5="PASS"</x:formula>
    </x:cfRule>
    <x:cfRule type="expression" dxfId="5" priority="2">
      <x:formula>AI5="PASS-WITH-FINDINGS"</x:formula>
    </x:cfRule>
    <x:cfRule type="expression" dxfId="6" priority="3">
      <x:formula>AI5="FAIL"</x:formula>
    </x:cfRule>
  </x:conditionalFormatting>
  <x:conditionalFormatting sqref="AJ5:AJ500">
    <x:cfRule type="expression" dxfId="7" priority="4">
      <x:formula>AJ5="GREEN"</x:formula>
    </x:cfRule>
    <x:cfRule type="expression" dxfId="8" priority="5">
      <x:formula>AJ5="ACCEPTABLE/REVIEW"</x:formula>
    </x:cfRule>
    <x:cfRule type="expression" dxfId="9" priority="6">
      <x:formula>AJ5="INVESTIGATE"</x:formula>
    </x:cfRule>
  </x:conditionalFormatting>
  <x:dataValidations count="2">
    <x:dataValidation type="list" sqref="AI5:AI500">
      <x:formula1>"PASS,PASS-WITH-FINDINGS,OBSERVED,FAIL,NOT-RUN"</x:formula1>
    </x:dataValidation>
    <x:dataValidation type="list" sqref="AJ5:AJ500">
      <x:formula1>"GREEN,ACCEPTABLE/REVIEW,INVESTIGATE,N/A"</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4" hidden="0" customWidth="1"/>
    <x:col min="3" max="3" width="12" hidden="0" customWidth="1"/>
    <x:col min="4" max="4" width="16" hidden="0" customWidth="1"/>
    <x:col min="5" max="5" width="18" hidden="0" customWidth="1"/>
    <x:col min="6" max="6" width="12" hidden="0" customWidth="1"/>
    <x:col min="7" max="7" width="36" hidden="0" customWidth="1"/>
    <x:col min="8" max="8" width="36" hidden="0" customWidth="1"/>
    <x:col min="9" max="9" width="32" hidden="0" customWidth="1"/>
    <x:col min="10" max="10" width="32" hidden="0" customWidth="1"/>
    <x:col min="11" max="11" width="14" hidden="0" customWidth="1"/>
    <x:col min="12" max="12" width="14" hidden="0" customWidth="1"/>
  </x:cols>
  <x:sheetData>
    <x:row r="1">
      <x:c r="A1" s="4" t="str">
        <x:v>Hallazgos — evidencia, hipótesis y acciones</x:v>
      </x:c>
      <x:c r="B1" s="4"/>
      <x:c r="C1" s="4"/>
      <x:c r="D1" s="4"/>
      <x:c r="E1" s="4"/>
      <x:c r="F1" s="4"/>
      <x:c r="G1" s="4"/>
      <x:c r="H1" s="4"/>
      <x:c r="I1" s="4"/>
      <x:c r="J1" s="4"/>
      <x:c r="K1" s="4"/>
      <x:c r="L1" s="4"/>
    </x:row>
    <x:row r="2">
      <x:c r="A2" s="4"/>
      <x:c r="B2" s="4"/>
      <x:c r="C2" s="4"/>
      <x:c r="D2" s="4"/>
      <x:c r="E2" s="4"/>
      <x:c r="F2" s="4"/>
      <x:c r="G2" s="4"/>
      <x:c r="H2" s="4"/>
      <x:c r="I2" s="4"/>
      <x:c r="J2" s="4"/>
      <x:c r="K2" s="4"/>
      <x:c r="L2" s="4"/>
    </x:row>
    <x:row r="4">
      <x:c r="A4" s="12" t="str">
        <x:v>Finding ID</x:v>
      </x:c>
      <x:c r="B4" s="12" t="str">
        <x:v>Run ID</x:v>
      </x:c>
      <x:c r="C4" s="12" t="str">
        <x:v>Test ID</x:v>
      </x:c>
      <x:c r="D4" s="12" t="str">
        <x:v>Date</x:v>
      </x:c>
      <x:c r="E4" s="12" t="str">
        <x:v>Category</x:v>
      </x:c>
      <x:c r="F4" s="12" t="str">
        <x:v>Severity</x:v>
      </x:c>
      <x:c r="G4" s="12" t="str">
        <x:v>Observation</x:v>
      </x:c>
      <x:c r="H4" s="12" t="str">
        <x:v>Evidence</x:v>
      </x:c>
      <x:c r="I4" s="12" t="str">
        <x:v>Hypothesis</x:v>
      </x:c>
      <x:c r="J4" s="12" t="str">
        <x:v>Proposed Action</x:v>
      </x:c>
      <x:c r="K4" s="12" t="str">
        <x:v>Status</x:v>
      </x:c>
      <x:c r="L4" s="12" t="str">
        <x:v>Decision ID</x:v>
      </x:c>
    </x:row>
    <x:row r="5">
      <x:c r="A5" s="32" t="str">
        <x:v>F-A001-000</x:v>
      </x:c>
      <x:c r="B5" s="32" t="str">
        <x:v>PRE-A001</x:v>
      </x:c>
      <x:c r="C5" s="32" t="str">
        <x:v>A-001</x:v>
      </x:c>
      <x:c r="D5" s="32" t="n">
        <x:v>46259.52291666667</x:v>
      </x:c>
      <x:c r="E5" s="32" t="str">
        <x:v>Lease/Fencing</x:v>
      </x:c>
      <x:c r="F5" s="32" t="str">
        <x:v>High</x:v>
      </x:c>
      <x:c r="G5" s="32" t="str">
        <x:v>El preflight con PhysicalAuthorityFence real detectó reentrada de fence en cache promotion y consumer-state update.</x:v>
      </x:c>
      <x:c r="H5" s="32" t="str">
        <x:v>Los dobles de test permitían reentrada; el fence físico intentaba adquirir el mismo flock dos veces.</x:v>
      </x:c>
      <x:c r="I5" s="32" t="str">
        <x:v>Los asserts internos eran redundantes porque fenced_mutation() ya valida autoridad dentro del fence.</x:v>
      </x:c>
      <x:c r="J5" s="32" t="str">
        <x:v>Aplicado fix mínimo en ada-alarms-runtime-process 0.14.1 y agregadas regresiones no-reentrantes.</x:v>
      </x:c>
      <x:c r="K5" s="32" t="str">
        <x:v>Fixed</x:v>
      </x:c>
      <x:c r="L5" s="32"/>
    </x:row>
    <x:row r="6">
      <x:c r="A6" s="32" t="str">
        <x:v>F-A001-001</x:v>
      </x:c>
      <x:c r="B6" s="32" t="str">
        <x:v>814c4814-de17-43fc-bc59-d2f2fcda6b92</x:v>
      </x:c>
      <x:c r="C6" s="32" t="str">
        <x:v>A-001</x:v>
      </x:c>
      <x:c r="D6" s="32" t="n">
        <x:v>46259.53097222222</x:v>
      </x:c>
      <x:c r="E6" s="32" t="str">
        <x:v>Memory</x:v>
      </x:c>
      <x:c r="F6" s="32" t="str">
        <x:v>Info</x:v>
      </x:c>
      <x:c r="G6" s="32" t="str">
        <x:v>No se observa presión de memoria acumulativa en el smoke de 2 minutos.</x:v>
      </x:c>
      <x:c r="H6" s="32" t="str">
        <x:v>RSS: 116.17 MB antes del bootstrap, 125.88 MB después; peak 125.98 MB; cierre 124.68 MB.</x:v>
      </x:c>
      <x:c r="I6" s="32" t="str">
        <x:v>La subida inicial corresponde a bootstrap/materialización y luego el proceso alcanza una meseta estable.</x:v>
      </x:c>
      <x:c r="J6" s="32" t="str">
        <x:v>No activar profiling granular de memoria todavía; continuar con carga progresiva.</x:v>
      </x:c>
      <x:c r="K6" s="32" t="str">
        <x:v>Accepted</x:v>
      </x:c>
      <x:c r="L6" s="32" t="str">
        <x:v>DEC-R35-001</x:v>
      </x:c>
    </x:row>
    <x:row r="7">
      <x:c r="A7" s="32" t="str">
        <x:v>F-A001-002</x:v>
      </x:c>
      <x:c r="B7" s="32" t="str">
        <x:v>814c4814-de17-43fc-bc59-d2f2fcda6b92</x:v>
      </x:c>
      <x:c r="C7" s="32" t="str">
        <x:v>A-001</x:v>
      </x:c>
      <x:c r="D7" s="32" t="n">
        <x:v>46259.53097222222</x:v>
      </x:c>
      <x:c r="E7" s="32" t="str">
        <x:v>CPU</x:v>
      </x:c>
      <x:c r="F7" s="32" t="str">
        <x:v>Info</x:v>
      </x:c>
      <x:c r="G7" s="32" t="str">
        <x:v>La métrica granular de CPU (~81.68% promedio, 104.84% peak) describe sólo el intervalo activo de cada iteration.</x:v>
      </x:c>
      <x:c r="H7" s="32" t="str">
        <x:v>Las 25 iterations acumularon ~2.05 CPU-s en 120.18 s; equivalente aproximado a 1.71% de un core promediado sobre todo el run.</x:v>
      </x:c>
      <x:c r="I7" s="32" t="str">
        <x:v>No es comparable directamente con el sampler general de Job Runtime, que usa otra ventana de muestreo.</x:v>
      </x:c>
      <x:c r="J7" s="32" t="str">
        <x:v>Documentar esta semántica y mantener ambas métricas; no hay evidencia de CPU bottleneck en A-001.</x:v>
      </x:c>
      <x:c r="K7" s="32" t="str">
        <x:v>Accepted</x:v>
      </x:c>
      <x:c r="L7" s="32" t="str">
        <x:v>DEC-R35-001</x:v>
      </x:c>
    </x:row>
    <x:row r="8">
      <x:c r="A8" s="32" t="str">
        <x:v>F-A002-001</x:v>
      </x:c>
      <x:c r="B8" s="32" t="str">
        <x:v>90ae9223-a513-4643-aa8c-a2658d41bec9</x:v>
      </x:c>
      <x:c r="C8" s="32" t="str">
        <x:v>A-002</x:v>
      </x:c>
      <x:c r="D8" s="32" t="n">
        <x:v>46259.54824074074</x:v>
      </x:c>
      <x:c r="E8" s="32" t="str">
        <x:v>Correctness</x:v>
      </x:c>
      <x:c r="F8" s="32" t="str">
        <x:v>Info</x:v>
      </x:c>
      <x:c r="G8" s="32" t="str">
        <x:v>La corrida larga produjo trabajo durable sólo cuando correspondía: bootstrap y evidencia periódica a ~5 y ~10 minutos.</x:v>
      </x:c>
      <x:c r="H8" s="32" t="str">
        <x:v>121 iterations: 118 empty, 3 work iterations (1, 61, 121). Commits: bootstrap con occurrence/assignment/journey/evidence y luego 2 commits con 250 evidence_records cada uno.</x:v>
      </x:c>
      <x:c r="I8" s="32" t="str">
        <x:v>El periodo interno de 5 s no genera escrituras espurias; next_evidence_due_at gobierna correctamente la evidencia periódica de 5 minutos.</x:v>
      </x:c>
      <x:c r="J8" s="32" t="str">
        <x:v>Mantener el comportamiento y seguir observándolo al aumentar alarm_count.</x:v>
      </x:c>
      <x:c r="K8" s="32" t="str">
        <x:v>Accepted</x:v>
      </x:c>
      <x:c r="L8" s="32" t="str">
        <x:v>DEC-R35-002</x:v>
      </x:c>
    </x:row>
    <x:row r="9">
      <x:c r="A9" s="32" t="str">
        <x:v>F-A002-002</x:v>
      </x:c>
      <x:c r="B9" s="32" t="str">
        <x:v>90ae9223-a513-4643-aa8c-a2658d41bec9</x:v>
      </x:c>
      <x:c r="C9" s="32" t="str">
        <x:v>A-002</x:v>
      </x:c>
      <x:c r="D9" s="32" t="n">
        <x:v>46259.54824074074</x:v>
      </x:c>
      <x:c r="E9" s="32" t="str">
        <x:v>Memory</x:v>
      </x:c>
      <x:c r="F9" s="32" t="str">
        <x:v>Info</x:v>
      </x:c>
      <x:c r="G9" s="32" t="str">
        <x:v>RSS alcanza una meseta inmediatamente después del bootstrap y permanece estable durante 10 minutos.</x:v>
      </x:c>
      <x:c r="H9" s="32" t="str">
        <x:v>RSS before bootstrap 116.09 MB; post-bootstrap 129.51 MB; peak/final 129.65 MB. No tendencia acumulativa visible en 121 iterations.</x:v>
      </x:c>
      <x:c r="I9" s="32" t="str">
        <x:v>La carga adicional de 150 alarmas frente a A-001 añade poca memoria incremental y no muestra fuga en este horizonte.</x:v>
      </x:c>
      <x:c r="J9" s="32" t="str">
        <x:v>No activar profiling granular de memoria; continuar carga progresiva.</x:v>
      </x:c>
      <x:c r="K9" s="32" t="str">
        <x:v>Accepted</x:v>
      </x:c>
      <x:c r="L9" s="32" t="str">
        <x:v>DEC-R35-002</x:v>
      </x:c>
    </x:row>
    <x:row r="10">
      <x:c r="A10" s="32" t="str">
        <x:v>F-A002-003</x:v>
      </x:c>
      <x:c r="B10" s="32" t="str">
        <x:v>90ae9223-a513-4643-aa8c-a2658d41bec9</x:v>
      </x:c>
      <x:c r="C10" s="32" t="str">
        <x:v>A-002</x:v>
      </x:c>
      <x:c r="D10" s="32" t="n">
        <x:v>46259.54824074074</x:v>
      </x:c>
      <x:c r="E10" s="32" t="str">
        <x:v>CPU</x:v>
      </x:c>
      <x:c r="F10" s="32" t="str">
        <x:v>Info</x:v>
      </x:c>
      <x:c r="G10" s="32" t="str">
        <x:v>Existe un outlier aislado de 909.02 ms en iteration 76, muy por debajo del periodo de 5 s y sin overrun.</x:v>
      </x:c>
      <x:c r="H10" s="32" t="str">
        <x:v>p95 307.32 ms; p99 444.97 ms; max 909.02 ms. La iteration 76 mostró CPU activa ~23.1%, sugiriendo espera/scheduling/I/O más que saturación de CPU.</x:v>
      </x:c>
      <x:c r="I10" s="32" t="str">
        <x:v>Un único outlier no justifica profiling; debe observarse si se repite o crece en A-003/A-004.</x:v>
      </x:c>
      <x:c r="J10" s="32" t="str">
        <x:v>Continuar sin instrumentación adicional y comparar distribución con 500 alarmas.</x:v>
      </x:c>
      <x:c r="K10" s="32" t="str">
        <x:v>Accepted</x:v>
      </x:c>
      <x:c r="L10" s="32" t="str">
        <x:v>DEC-R35-002</x:v>
      </x:c>
    </x:row>
    <x:row r="11">
      <x:c r="A11" s="32" t="str">
        <x:v>F-A003-001</x:v>
      </x:c>
      <x:c r="B11" s="32" t="str">
        <x:v>a6d0eae4-9bc6-47f7-91e2-7f02741ca635</x:v>
      </x:c>
      <x:c r="C11" s="32" t="str">
        <x:v>A-003</x:v>
      </x:c>
      <x:c r="D11" s="32" t="n">
        <x:v>46259.56309027778</x:v>
      </x:c>
      <x:c r="E11" s="32" t="str">
        <x:v>Correctness</x:v>
      </x:c>
      <x:c r="F11" s="32" t="str">
        <x:v>Info</x:v>
      </x:c>
      <x:c r="G11" s="32" t="str">
        <x:v>Con 500 alarmas se mantiene el patrón durable esperado: bootstrap y evidencia periódica aproximadamente a los 5 y 10 minutos.</x:v>
      </x:c>
      <x:c r="H11" s="32" t="str">
        <x:v>121 iterations: 118 empty y 3 work iterations (1, 61, 121). Journal con 3 records; bootstrap contiene 500 occurrence changes, 500 assignment changes, 1000 journey events y 500 evidence records; los dos commits siguientes contienen 500 evidence records cada uno.</x:v>
      </x:c>
      <x:c r="I11" s="32" t="str">
        <x:v>La cadencia de 5 s continúa sin producir escrituras espurias aun duplicando la carga de A-002.</x:v>
      </x:c>
      <x:c r="J11" s="32" t="str">
        <x:v>Mantener el escenario congelado y observar el mismo patrón en A-004.</x:v>
      </x:c>
      <x:c r="K11" s="32" t="str">
        <x:v>Accepted</x:v>
      </x:c>
      <x:c r="L11" s="32" t="str">
        <x:v>DEC-R35-003</x:v>
      </x:c>
    </x:row>
    <x:row r="12">
      <x:c r="A12" s="32" t="str">
        <x:v>F-A003-002</x:v>
      </x:c>
      <x:c r="B12" s="32" t="str">
        <x:v>a6d0eae4-9bc6-47f7-91e2-7f02741ca635</x:v>
      </x:c>
      <x:c r="C12" s="32" t="str">
        <x:v>A-003</x:v>
      </x:c>
      <x:c r="D12" s="32" t="n">
        <x:v>46259.56309027778</x:v>
      </x:c>
      <x:c r="E12" s="32" t="str">
        <x:v>Memory</x:v>
      </x:c>
      <x:c r="F12" s="32" t="str">
        <x:v>Info</x:v>
      </x:c>
      <x:c r="G12" s="32" t="str">
        <x:v>La memoria vuelve a alcanzar una meseta estable después del bootstrap con 500 alarmas.</x:v>
      </x:c>
      <x:c r="H12" s="32" t="str">
        <x:v>RSS before bootstrap 116.20 MB; post-bootstrap 131.20 MB; peak 131.27 MB; final 130.13 MB. Job Runtime reportó memory_peak_percent 0.831 y 0 resource_pressure_events.</x:v>
      </x:c>
      <x:c r="I12" s="32" t="str">
        <x:v>No hay señal de crecimiento acumulativo en 10 minutos; el incremento respecto de 250 alarmas es pequeño.</x:v>
      </x:c>
      <x:c r="J12" s="32" t="str">
        <x:v>No activar profiling granular de memoria; continuar a 750 alarmas.</x:v>
      </x:c>
      <x:c r="K12" s="32" t="str">
        <x:v>Accepted</x:v>
      </x:c>
      <x:c r="L12" s="32" t="str">
        <x:v>DEC-R35-003</x:v>
      </x:c>
    </x:row>
    <x:row r="13">
      <x:c r="A13" s="32" t="str">
        <x:v>F-A003-003</x:v>
      </x:c>
      <x:c r="B13" s="32" t="str">
        <x:v>a6d0eae4-9bc6-47f7-91e2-7f02741ca635</x:v>
      </x:c>
      <x:c r="C13" s="32" t="str">
        <x:v>A-003</x:v>
      </x:c>
      <x:c r="D13" s="32" t="n">
        <x:v>46259.56309027778</x:v>
      </x:c>
      <x:c r="E13" s="32" t="str">
        <x:v>CPU</x:v>
      </x:c>
      <x:c r="F13" s="32" t="str">
        <x:v>Info</x:v>
      </x:c>
      <x:c r="G13" s="32" t="str">
        <x:v>La curva de duración sigue sin mostrar inflexión al pasar de 250 a 500 alarmas.</x:v>
      </x:c>
      <x:c r="H13" s="32" t="str">
        <x:v>A-002→A-003: alarm_count ×2; p50 205.63→387.47 ms (~1.88×), p95 307.32→437.59 ms (~1.42×), p99 444.97→618.82 ms (~1.39×); max baja 909.02→728.32 ms; 0 overruns. CPU-time granular equivale aproximadamente a 7.66% de un core promediado sobre el run.</x:v>
      </x:c>
      <x:c r="I13" s="32" t="str">
        <x:v>El crecimiento observado es compatible con capacidad holgada; no hay evidencia de saturación ni de un cuello estable.</x:v>
      </x:c>
      <x:c r="J13" s="32" t="str">
        <x:v>Continuar sin profiling; A-004 debe buscar la primera desviación de esta tendencia.</x:v>
      </x:c>
      <x:c r="K13" s="32" t="str">
        <x:v>Accepted</x:v>
      </x:c>
      <x:c r="L13" s="32" t="str">
        <x:v>DEC-R35-003</x:v>
      </x:c>
    </x:row>
    <x:row r="14">
      <x:c r="A14" s="32" t="str">
        <x:v>F-A004-001</x:v>
      </x:c>
      <x:c r="B14" s="32" t="str">
        <x:v>79fff64c-2594-4e2d-958f-c32cb7f57d6c</x:v>
      </x:c>
      <x:c r="C14" s="32" t="str">
        <x:v>A-004</x:v>
      </x:c>
      <x:c r="D14" s="32" t="n">
        <x:v>46259.5750462963</x:v>
      </x:c>
      <x:c r="E14" s="32" t="str">
        <x:v>Correctness</x:v>
      </x:c>
      <x:c r="F14" s="32" t="str">
        <x:v>Info</x:v>
      </x:c>
      <x:c r="G14" s="32" t="str">
        <x:v>Con 750 alarmas se mantiene exactamente el patrón durable esperado: bootstrap y evidencia periódica aproximadamente a los 5 y 10 minutos.</x:v>
      </x:c>
      <x:c r="H14" s="32" t="str">
        <x:v>121 iterations: 118 empty y 3 work iterations (1, 61, 121). Journal con 3 records; bootstrap: 750 occurrence changes, 750 assignment changes, 1500 journey events y 750 evidence records; los dos commits siguientes: 750 evidence records cada uno.</x:v>
      </x:c>
      <x:c r="I14" s="32" t="str">
        <x:v>El periodo de 5 s continúa sin generar escrituras espurias; la persistencia sólo aparece cuando existe consecuencia durable.</x:v>
      </x:c>
      <x:c r="J14" s="32" t="str">
        <x:v>Mantener el escenario congelado para A-005 y verificar el mismo patrón con 1000 alarmas.</x:v>
      </x:c>
      <x:c r="K14" s="32" t="str">
        <x:v>Accepted</x:v>
      </x:c>
      <x:c r="L14" s="32" t="str">
        <x:v>DEC-R35-004</x:v>
      </x:c>
    </x:row>
    <x:row r="15">
      <x:c r="A15" s="32" t="str">
        <x:v>F-A004-002</x:v>
      </x:c>
      <x:c r="B15" s="32" t="str">
        <x:v>79fff64c-2594-4e2d-958f-c32cb7f57d6c</x:v>
      </x:c>
      <x:c r="C15" s="32" t="str">
        <x:v>A-004</x:v>
      </x:c>
      <x:c r="D15" s="32" t="n">
        <x:v>46259.5750462963</x:v>
      </x:c>
      <x:c r="E15" s="32" t="str">
        <x:v>Memory</x:v>
      </x:c>
      <x:c r="F15" s="32" t="str">
        <x:v>Info</x:v>
      </x:c>
      <x:c r="G15" s="32" t="str">
        <x:v>La memoria vuelve a alcanzar una meseta estable después del bootstrap con 750 alarmas.</x:v>
      </x:c>
      <x:c r="H15" s="32" t="str">
        <x:v>RSS before bootstrap 116.75 MB; post-bootstrap 134.63 MB; peak/final 135.63 MB. Job Runtime reportó memory_peak_percent 0.887 y 0 resource_pressure_events.</x:v>
      </x:c>
      <x:c r="I15" s="32" t="str">
        <x:v>El aumento respecto de 500 alarmas sigue siendo pequeño y no se observa crecimiento acumulativo en 10 minutos.</x:v>
      </x:c>
      <x:c r="J15" s="32" t="str">
        <x:v>Continuar a 1000 alarmas sin profiling granular de memoria.</x:v>
      </x:c>
      <x:c r="K15" s="32" t="str">
        <x:v>Accepted</x:v>
      </x:c>
      <x:c r="L15" s="32" t="str">
        <x:v>DEC-R35-004</x:v>
      </x:c>
    </x:row>
    <x:row r="16">
      <x:c r="A16" s="32" t="str">
        <x:v>F-A004-003</x:v>
      </x:c>
      <x:c r="B16" s="32" t="str">
        <x:v>79fff64c-2594-4e2d-958f-c32cb7f57d6c</x:v>
      </x:c>
      <x:c r="C16" s="32" t="str">
        <x:v>A-004</x:v>
      </x:c>
      <x:c r="D16" s="32" t="n">
        <x:v>46259.5750462963</x:v>
      </x:c>
      <x:c r="E16" s="32" t="str">
        <x:v>CPU</x:v>
      </x:c>
      <x:c r="F16" s="32" t="str">
        <x:v>Info</x:v>
      </x:c>
      <x:c r="G16" s="32" t="str">
        <x:v>La curva 500→750 sigue aproximadamente proporcional y sin evidencia de inflexión.</x:v>
      </x:c>
      <x:c r="H16" s="32" t="str">
        <x:v>Alarm count +50%; p50 387.47→585.99 ms (~1.51×), p95 437.59→645.03 ms (~1.47×), p99 618.82→888.15 ms (~1.44×); 0 overruns. Las 118 iterations sin commit tuvieron p95 ~624.51 ms y max ~755.05 ms. CPU-time granular equivale aproximadamente a 11.63% de un core promediado sobre el run.</x:v>
      </x:c>
      <x:c r="I16" s="32" t="str">
        <x:v>Los máximos de 955/895 ms coinciden con evidence commits de iterations 61/121; no hay patrón de saturación.</x:v>
      </x:c>
      <x:c r="J16" s="32" t="str">
        <x:v>Avanzar a A-005 antes de introducir profiling.</x:v>
      </x:c>
      <x:c r="K16" s="32" t="str">
        <x:v>Accepted</x:v>
      </x:c>
      <x:c r="L16" s="32" t="str">
        <x:v>DEC-R35-004</x:v>
      </x:c>
    </x:row>
    <x:row r="17">
      <x:c r="A17" s="32" t="str">
        <x:v>F-A005-001</x:v>
      </x:c>
      <x:c r="B17" s="32" t="str">
        <x:v>c4128825-75f6-43a9-8c1d-ec8112d89cf3</x:v>
      </x:c>
      <x:c r="C17" s="32" t="str">
        <x:v>A-005</x:v>
      </x:c>
      <x:c r="D17" s="32" t="n">
        <x:v>46259.587905092594</x:v>
      </x:c>
      <x:c r="E17" s="32" t="str">
        <x:v>Correctness</x:v>
      </x:c>
      <x:c r="F17" s="32" t="str">
        <x:v>Info</x:v>
      </x:c>
      <x:c r="G17" s="32" t="str">
        <x:v>Con 1000 alarmas se mantiene el patrón durable esperado y R3.5A completa el baseline sin escrituras espurias.</x:v>
      </x:c>
      <x:c r="H17" s="32" t="str">
        <x:v>121 iterations: 118 empty y 3 work iterations (1, 61, 121). Bootstrap: 1000 occurrence changes, 1000 assignment changes, 2000 journey events y 1000 evidence records; los commits de ~5/~10 min contienen 1000 evidence records cada uno. Journal durable==materialized.</x:v>
      </x:c>
      <x:c r="I17" s="32" t="str">
        <x:v>La cadencia de 5 s sigue desacoplada de la escritura: sólo se persiste cuando existe consecuencia durable real.</x:v>
      </x:c>
      <x:c r="J17" s="32" t="str">
        <x:v>Conservar esta propiedad como baseline al entrar a R3.5B.</x:v>
      </x:c>
      <x:c r="K17" s="32" t="str">
        <x:v>Accepted</x:v>
      </x:c>
      <x:c r="L17" s="32" t="str">
        <x:v>DEC-R35-005</x:v>
      </x:c>
    </x:row>
    <x:row r="18">
      <x:c r="A18" s="32" t="str">
        <x:v>F-A005-002</x:v>
      </x:c>
      <x:c r="B18" s="32" t="str">
        <x:v>c4128825-75f6-43a9-8c1d-ec8112d89cf3</x:v>
      </x:c>
      <x:c r="C18" s="32" t="str">
        <x:v>A-005</x:v>
      </x:c>
      <x:c r="D18" s="32" t="n">
        <x:v>46259.587905092594</x:v>
      </x:c>
      <x:c r="E18" s="32" t="str">
        <x:v>CPU</x:v>
      </x:c>
      <x:c r="F18" s="32" t="str">
        <x:v>Info</x:v>
      </x:c>
      <x:c r="G18" s="32" t="str">
        <x:v>La curva de 750→1000 alarmas continúa cercana a proporcional y sin rodilla de capacidad.</x:v>
      </x:c>
      <x:c r="H18" s="32" t="str">
        <x:v>Alarm count +33%; p50 585.99→806.64 ms (~1.38×), p95 645.03→907.38 ms (~1.41×), p99 888.15→1230.24 ms (~1.39×); máximo 1274.60 ms; 0 overruns. Las 118 iterations sin commit tuvieron p95 ~862.40 ms y max ~984.20 ms. CPU-time granular equivale aproximadamente a 16.20% de un core promediado sobre el run.</x:v>
      </x:c>
      <x:c r="I18" s="32" t="str">
        <x:v>El baseline de 1000 alarmas conserva margen amplio frente al periodo de 5 s; no hay evidencia que justifique profiling granular aún.</x:v>
      </x:c>
      <x:c r="J18" s="32" t="str">
        <x:v>Cerrar R3.5A y pasar a presión de datos/particiones.</x:v>
      </x:c>
      <x:c r="K18" s="32" t="str">
        <x:v>Accepted</x:v>
      </x:c>
      <x:c r="L18" s="32" t="str">
        <x:v>DEC-R35-005</x:v>
      </x:c>
    </x:row>
    <x:row r="19">
      <x:c r="A19" s="32" t="str">
        <x:v>F-A005-003</x:v>
      </x:c>
      <x:c r="B19" s="32" t="str">
        <x:v>c4128825-75f6-43a9-8c1d-ec8112d89cf3</x:v>
      </x:c>
      <x:c r="C19" s="32" t="str">
        <x:v>A-005</x:v>
      </x:c>
      <x:c r="D19" s="32" t="n">
        <x:v>46259.587905092594</x:v>
      </x:c>
      <x:c r="E19" s="32" t="str">
        <x:v>Memory</x:v>
      </x:c>
      <x:c r="F19" s="32" t="str">
        <x:v>Info</x:v>
      </x:c>
      <x:c r="G19" s="32" t="str">
        <x:v>El RSS no crece por iteration, pero muestra escalones de high-water coincidentes con commits grandes de evidencia.</x:v>
      </x:c>
      <x:c r="H19" s="32" t="str">
        <x:v>RSS pre-bootstrap 116.81 MB; post-bootstrap 135.68 MB. Entre iterations 2–60 se estabiliza ~133.4–135.4 MB; tras el commit de iteration 61 queda ~138.60 MB hasta iteration 120; al cierre alcanza 139.62 MB. Job Runtime: memory_peak_percent 0.909 y 0 resource_pressure_events.</x:v>
      </x:c>
      <x:c r="I19" s="32" t="str">
        <x:v>La señal es compatible con retención del allocator/high-water tras serialización/materialización, pero dos evidence refresh no bastan para distinguirla de crecimiento real.</x:v>
      </x:c>
      <x:c r="J19" s="32" t="str">
        <x:v>No marcar FAIL ni activar profiling ahora; verificar tendencia explícitamente en soak R3.5F y, si persiste, usar profiling granular.</x:v>
      </x:c>
      <x:c r="K19" s="32" t="str">
        <x:v>Accepted</x:v>
      </x:c>
      <x:c r="L19" s="32" t="str">
        <x:v>DEC-R35-005</x:v>
      </x:c>
    </x:row>
    <x:row r="20">
      <x:c r="A20" s="32" t="str">
        <x:v>F-B001-001</x:v>
      </x:c>
      <x:c r="B20" s="32" t="str">
        <x:v>a6bf1f5d-5664-40ca-bd9f-257d7e022c46</x:v>
      </x:c>
      <x:c r="C20" s="32" t="str">
        <x:v>B-001</x:v>
      </x:c>
      <x:c r="D20" s="32" t="n">
        <x:v>46259.60527777778</x:v>
      </x:c>
      <x:c r="E20" s="32" t="str">
        <x:v>Data Load</x:v>
      </x:c>
      <x:c r="F20" s="32" t="str">
        <x:v>Info</x:v>
      </x:c>
      <x:c r="G20" s="32" t="str">
        <x:v>Pasar de una señal Latest compartida a 1000 señales únicas aumenta el costo del ciclo, pero mantiene margen amplio y 0 overruns.</x:v>
      </x:c>
      <x:c r="H20" s="32" t="str">
        <x:v>A-005→B-001 con 1000 alarmas constantes: p50 806.64→982.30 ms (+21.8%), p95 907.38→1285.54 ms (+41.7%), p99 1230.24→1587.69 ms (+29.1%), max 1274.60→1633.94 ms (+28.2%).</x:v>
      </x:c>
      <x:c r="I20" s="32" t="str">
        <x:v>El costo adicional de requisitos/señales independientes es observable, pero no hay evidencia de saturación.</x:v>
      </x:c>
      <x:c r="J20" s="32" t="str">
        <x:v>Avanzar a B-002 para aumentar ancho por alarma manteniendo 1 source/1 partition.</x:v>
      </x:c>
      <x:c r="K20" s="32" t="str">
        <x:v>Accepted</x:v>
      </x:c>
      <x:c r="L20" s="32" t="str">
        <x:v>DEC-R35-006</x:v>
      </x:c>
    </x:row>
    <x:row r="21">
      <x:c r="A21" s="32" t="str">
        <x:v>F-B001-002</x:v>
      </x:c>
      <x:c r="B21" s="32" t="str">
        <x:v>a6bf1f5d-5664-40ca-bd9f-257d7e022c46</x:v>
      </x:c>
      <x:c r="C21" s="32" t="str">
        <x:v>B-001</x:v>
      </x:c>
      <x:c r="D21" s="32" t="n">
        <x:v>46259.60527777778</x:v>
      </x:c>
      <x:c r="E21" s="32" t="str">
        <x:v>Data Load</x:v>
      </x:c>
      <x:c r="F21" s="32" t="str">
        <x:v>Info</x:v>
      </x:c>
      <x:c r="G21" s="32" t="str">
        <x:v>El tiempo medido del source loader es muy pequeño frente al ciclo completo.</x:v>
      </x:c>
      <x:c r="H21" s="32" t="str">
        <x:v>Latest narrow: 1 view, 1000 columns, 1 row; source-load p50 5.88 ms, p95 7.69 ms, p99 8.41 ms. El p95 del loader representa ~0.60% del p95 total de 1285.54 ms.</x:v>
      </x:c>
      <x:c r="I21" s="32" t="str">
        <x:v>El incremento frente a A-005 ocurre principalmente después de construir/cargar la vista, probablemente en resolución/uso de requisitos y evaluación por alarma; B-001 no instrumenta fronteras internas suficientes para atribuirlo con mayor precisión.</x:v>
      </x:c>
      <x:c r="J21" s="32" t="str">
        <x:v>No activar profiling todavía; usar B-002/B-003 para determinar si el costo escala con ancho o particiones antes de instrumentar.</x:v>
      </x:c>
      <x:c r="K21" s="32" t="str">
        <x:v>Accepted</x:v>
      </x:c>
      <x:c r="L21" s="32" t="str">
        <x:v>DEC-R35-006</x:v>
      </x:c>
    </x:row>
    <x:row r="22">
      <x:c r="A22" s="32" t="str">
        <x:v>F-B001-003</x:v>
      </x:c>
      <x:c r="B22" s="32" t="str">
        <x:v>a6bf1f5d-5664-40ca-bd9f-257d7e022c46</x:v>
      </x:c>
      <x:c r="C22" s="32" t="str">
        <x:v>B-001</x:v>
      </x:c>
      <x:c r="D22" s="32" t="n">
        <x:v>46259.60527777778</x:v>
      </x:c>
      <x:c r="E22" s="32" t="str">
        <x:v>Memory</x:v>
      </x:c>
      <x:c r="F22" s="32" t="str">
        <x:v>Info</x:v>
      </x:c>
      <x:c r="G22" s="32" t="str">
        <x:v>RSS sigue estable por tramos; aparecen escalones alrededor de commits grandes, consistente con la observación de A-005.</x:v>
      </x:c>
      <x:c r="H22" s="32" t="str">
        <x:v>RSS pre-bootstrap 117.86 MB; post-bootstrap 139.27 MB; pre/post commit ~5m 136.98→141.05 MB; pre/post commit ~10m 140.07→142.03 MB; peak/final 142.03 MB. Job Runtime memory_peak_percent 0.899 y 0 resource_pressure_events.</x:v>
      </x:c>
      <x:c r="I22" s="32" t="str">
        <x:v>La señal sigue siendo compatible con high-water/allocator retention y no con crecimiento por cada iteration.</x:v>
      </x:c>
      <x:c r="J22" s="32" t="str">
        <x:v>Mantener como observación para soak R3.5F; no marcar FAIL.</x:v>
      </x:c>
      <x:c r="K22" s="32" t="str">
        <x:v>Accepted</x:v>
      </x:c>
      <x:c r="L22" s="32" t="str">
        <x:v>DEC-R35-006</x:v>
      </x:c>
    </x:row>
    <x:row r="23">
      <x:c r="A23" s="32" t="str">
        <x:v>F-B002-001</x:v>
      </x:c>
      <x:c r="B23" s="32" t="str">
        <x:v>1d262dd1-8264-4644-8b7c-55968584b09a</x:v>
      </x:c>
      <x:c r="C23" s="32" t="str">
        <x:v>B-002</x:v>
      </x:c>
      <x:c r="D23" s="32" t="n">
        <x:v>46259.616944444446</x:v>
      </x:c>
      <x:c r="E23" s="32" t="str">
        <x:v>Data Load</x:v>
      </x:c>
      <x:c r="F23" s="32" t="str">
        <x:v>Info</x:v>
      </x:c>
      <x:c r="G23" s="32" t="str">
        <x:v>Triplicar el ancho de Latest de 1000 a 3000 columnas no produce degradación del ciclo total ni overruns.</x:v>
      </x:c>
      <x:c r="H23" s="32" t="str">
        <x:v>B-001→B-002: source columns 1000→3000 (3×), frame bytes 8132→24132 (~2.97×), source-load p95 7.69→17.45 ms (~2.27×). Sin embargo p95 total 1285.54→1084.95 ms (-15.6%) y p99 1587.69→1423.10 ms (-10.4%).</x:v>
      </x:c>
      <x:c r="I23" s="32" t="str">
        <x:v>El ancho bruto aumenta el costo del loader de forma visible pero todavía pequeña frente al ciclo; la mejora total entre corridas puede incluir variación del host y no debe interpretarse como que más columnas hacen al Runtime más rápido.</x:v>
      </x:c>
      <x:c r="J23" s="32" t="str">
        <x:v>No activar profiling; pasar a múltiples particiones para probar una dimensión estructural distinta.</x:v>
      </x:c>
      <x:c r="K23" s="32" t="str">
        <x:v>Accepted</x:v>
      </x:c>
      <x:c r="L23" s="32" t="str">
        <x:v>DEC-R35-007</x:v>
      </x:c>
    </x:row>
    <x:row r="24">
      <x:c r="A24" s="32" t="str">
        <x:v>F-B002-002</x:v>
      </x:c>
      <x:c r="B24" s="32" t="str">
        <x:v>1d262dd1-8264-4644-8b7c-55968584b09a</x:v>
      </x:c>
      <x:c r="C24" s="32" t="str">
        <x:v>B-002</x:v>
      </x:c>
      <x:c r="D24" s="32" t="n">
        <x:v>46259.616944444446</x:v>
      </x:c>
      <x:c r="E24" s="32" t="str">
        <x:v>Data Load</x:v>
      </x:c>
      <x:c r="F24" s="32" t="str">
        <x:v>Info</x:v>
      </x:c>
      <x:c r="G24" s="32" t="str">
        <x:v>El source loader sigue siendo una fracción menor del tiempo total aun con 3000 columnas.</x:v>
      </x:c>
      <x:c r="H24" s="32" t="str">
        <x:v>Source-load p50 14.98 ms, p95 17.45 ms, p99 18.52 ms. El p95 del loader equivale a ~1.61% del p95 total de 1084.95 ms.</x:v>
      </x:c>
      <x:c r="I24" s="32" t="str">
        <x:v>En este rango, la preparación de la vista Latest no es el cuello dominante; el costo principal continúa después de la carga de la vista.</x:v>
      </x:c>
      <x:c r="J24" s="32" t="str">
        <x:v>Mantener medición del loader y observar cómo cambia al introducir particiones en B-003/B-004.</x:v>
      </x:c>
      <x:c r="K24" s="32" t="str">
        <x:v>Accepted</x:v>
      </x:c>
      <x:c r="L24" s="32" t="str">
        <x:v>DEC-R35-007</x:v>
      </x:c>
    </x:row>
    <x:row r="25">
      <x:c r="A25" s="32" t="str">
        <x:v>F-B002-003</x:v>
      </x:c>
      <x:c r="B25" s="32" t="str">
        <x:v>1d262dd1-8264-4644-8b7c-55968584b09a</x:v>
      </x:c>
      <x:c r="C25" s="32" t="str">
        <x:v>B-002</x:v>
      </x:c>
      <x:c r="D25" s="32" t="n">
        <x:v>46259.616944444446</x:v>
      </x:c>
      <x:c r="E25" s="32" t="str">
        <x:v>Memory</x:v>
      </x:c>
      <x:c r="F25" s="32" t="str">
        <x:v>Info</x:v>
      </x:c>
      <x:c r="G25" s="32" t="str">
        <x:v>RSS mantiene comportamiento por mesetas y escalones alrededor de commits grandes, sin crecimiento por cada iteration.</x:v>
      </x:c>
      <x:c r="H25" s="32" t="str">
        <x:v>RSS pre-bootstrap 117.88 MB; post-bootstrap 142.58 MB; iterations 2–60 ~139.26–139.35 MB; tras commit ~5m ~143.44 MB; iterations 62–120 ~141.96 MB; final/peak 144.91 MB. Job Runtime memory_peak_percent 0.917 y 0 resource_pressure_events.</x:v>
      </x:c>
      <x:c r="I25" s="32" t="str">
        <x:v>El aumento de ~2.88 MB de peak RSS frente a B-001 es pequeño frente al incremento de 3× columnas y sigue siendo compatible con high-water/allocator retention.</x:v>
      </x:c>
      <x:c r="J25" s="32" t="str">
        <x:v>Mantener como observación para soak; no marcar FAIL.</x:v>
      </x:c>
      <x:c r="K25" s="32" t="str">
        <x:v>Accepted</x:v>
      </x:c>
      <x:c r="L25" s="32" t="str">
        <x:v>DEC-R35-007</x:v>
      </x:c>
    </x:row>
    <x:row r="26">
      <x:c r="A26" s="32" t="str">
        <x:v>F-B003-001</x:v>
      </x:c>
      <x:c r="B26" s="32" t="str">
        <x:v>71c0030e-e5dc-4a33-887c-1399328db030</x:v>
      </x:c>
      <x:c r="C26" s="32" t="str">
        <x:v>B-003</x:v>
      </x:c>
      <x:c r="D26" s="32" t="n">
        <x:v>46259.63543981482</x:v>
      </x:c>
      <x:c r="E26" s="32" t="str">
        <x:v>Data Load</x:v>
      </x:c>
      <x:c r="F26" s="32" t="str">
        <x:v>Info</x:v>
      </x:c>
      <x:c r="G26" s="32" t="str">
        <x:v>Cuatro particiones físicas balanceadas no introducen presión relevante frente al baseline B-001 de una sola partición.</x:v>
      </x:c>
      <x:c r="H26" s="32" t="str">
        <x:v>B-001→B-003 mantiene 1000 alarmas/1000 columnas: source-load p95 7.69→8.09 ms (+~5.1%); merge p95 0.175 ms; cycle p95 1285.54→992.83 ms (-22.8%); p99 1587.69→1352.17 ms (-14.8%); 0 overruns.</x:v>
      </x:c>
      <x:c r="I26" s="32" t="str">
        <x:v>El costo específico de merge es despreciable en 4 particiones. La mejora del cycle entre runs puede contener variación del host y no prueba que particionar acelere el Runtime.</x:v>
      </x:c>
      <x:c r="J26" s="32" t="str">
        <x:v>Avanzar a 8 particiones balanceadas manteniendo el mismo harness y escenario.</x:v>
      </x:c>
      <x:c r="K26" s="32" t="str">
        <x:v>Accepted</x:v>
      </x:c>
      <x:c r="L26" s="32" t="str">
        <x:v>DEC-R35-008</x:v>
      </x:c>
    </x:row>
    <x:row r="27">
      <x:c r="A27" s="32" t="str">
        <x:v>F-B003-002</x:v>
      </x:c>
      <x:c r="B27" s="32" t="str">
        <x:v>71c0030e-e5dc-4a33-887c-1399328db030</x:v>
      </x:c>
      <x:c r="C27" s="32" t="str">
        <x:v>B-003</x:v>
      </x:c>
      <x:c r="D27" s="32" t="n">
        <x:v>46259.63543981482</x:v>
      </x:c>
      <x:c r="E27" s="32" t="str">
        <x:v>Correctness</x:v>
      </x:c>
      <x:c r="F27" s="32" t="str">
        <x:v>Info</x:v>
      </x:c>
      <x:c r="G27" s="32" t="str">
        <x:v>El reparto físico quedó exactamente balanceado y preservó una sola vista lógica Latest con integridad durable/materializada.</x:v>
      </x:c>
      <x:c r="H27" s="32" t="str">
        <x:v>physical_partition_count=4; column_counts=250/250/250/250; source_view_count=1; source_column_count=1000; journal durable offset=materialized offset=3,582,045. Journal: bootstrap + evidence ~5m + evidence ~10m.</x:v>
      </x:c>
      <x:c r="I27" s="32" t="str">
        <x:v>El particionamiento físico/merge no altera el contrato lógico ni la semántica durable.</x:v>
      </x:c>
      <x:c r="J27" s="32" t="str">
        <x:v>Conservar esta estructura para B-004 y comparar sólo el incremento 4→8 particiones.</x:v>
      </x:c>
      <x:c r="K27" s="32" t="str">
        <x:v>Accepted</x:v>
      </x:c>
      <x:c r="L27" s="32" t="str">
        <x:v>DEC-R35-008</x:v>
      </x:c>
    </x:row>
    <x:row r="28">
      <x:c r="A28" s="32" t="str">
        <x:v>F-B003-003</x:v>
      </x:c>
      <x:c r="B28" s="32" t="str">
        <x:v>71c0030e-e5dc-4a33-887c-1399328db030</x:v>
      </x:c>
      <x:c r="C28" s="32" t="str">
        <x:v>B-003</x:v>
      </x:c>
      <x:c r="D28" s="32" t="n">
        <x:v>46259.63543981482</x:v>
      </x:c>
      <x:c r="E28" s="32" t="str">
        <x:v>Memory</x:v>
      </x:c>
      <x:c r="F28" s="32" t="str">
        <x:v>Info</x:v>
      </x:c>
      <x:c r="G28" s="32" t="str">
        <x:v>RSS permanece en el mismo rango observado en B-001 pese a introducir cuatro particiones físicas.</x:v>
      </x:c>
      <x:c r="H28" s="32" t="str">
        <x:v>RSS pre-bootstrap 117.79 MB; post-bootstrap 138.14 MB; antes/después commit ~5m 135.80→141.12 MB; antes/después commit ~10m 139.12→142.14 MB; peak 142.14 MB. Job Runtime memory_peak_percent 0.894 y 0 resource_pressure_events.</x:v>
      </x:c>
      <x:c r="I28" s="32" t="str">
        <x:v>No hay evidencia de costo de memoria relevante por 4 particiones; persiste el patrón de high-water alrededor de commits grandes.</x:v>
      </x:c>
      <x:c r="J28" s="32" t="str">
        <x:v>Mantener observación para soak y continuar a B-004.</x:v>
      </x:c>
      <x:c r="K28" s="32" t="str">
        <x:v>Accepted</x:v>
      </x:c>
      <x:c r="L28" s="32" t="str">
        <x:v>DEC-R35-008</x:v>
      </x:c>
    </x:row>
    <x:row r="29">
      <x:c r="A29" s="32" t="str">
        <x:v>F-B004-001</x:v>
      </x:c>
      <x:c r="B29" s="32" t="str">
        <x:v>d613de53-a439-414b-a17a-e4d4d5a0bfe2</x:v>
      </x:c>
      <x:c r="C29" s="32" t="str">
        <x:v>B-004</x:v>
      </x:c>
      <x:c r="D29" s="32" t="n">
        <x:v>46259.65217592593</x:v>
      </x:c>
      <x:c r="E29" s="32" t="str">
        <x:v>Performance</x:v>
      </x:c>
      <x:c r="F29" s="32" t="str">
        <x:v>Info</x:v>
      </x:c>
      <x:c r="G29" s="32" t="str">
        <x:v>El salto adaptativo de 4 a 36 particiones produce por primera vez una degradación temporal material, pero el escenario sigue GREEN y sin overruns.</x:v>
      </x:c>
      <x:c r="H29" s="32" t="str">
        <x:v>B-003→B-004: partitions 4→36 (9×); p50 953.85→1646.51 ms (+72.6%); p95 992.83→1805.03 ms (+81.8%); p99 1352.17→2263.77 ms (+67.4%); max 1387.57→2412.45 ms (+73.9%). Empty-iteration p95 ~1791.36 ms; 0 overruns.</x:v>
      </x:c>
      <x:c r="I29" s="32" t="str">
        <x:v>La presión ya es visible en el ciclo base, no sólo en commits. Aun así, p95 usa ~36.1% del periodo de 5 s y conserva margen operacional.</x:v>
      </x:c>
      <x:c r="J29" s="32" t="str">
        <x:v>Cambiar de dimensión: comparar skewed vs balanced en las mismas 36 particiones, en lugar de ejecutar 8/16/32.</x:v>
      </x:c>
      <x:c r="K29" s="32" t="str">
        <x:v>Accepted</x:v>
      </x:c>
      <x:c r="L29" s="32" t="str">
        <x:v>DEC-R35-009</x:v>
      </x:c>
    </x:row>
    <x:row r="30">
      <x:c r="A30" s="32" t="str">
        <x:v>F-B004-002</x:v>
      </x:c>
      <x:c r="B30" s="32" t="str">
        <x:v>d613de53-a439-414b-a17a-e4d4d5a0bfe2</x:v>
      </x:c>
      <x:c r="C30" s="32" t="str">
        <x:v>B-004</x:v>
      </x:c>
      <x:c r="D30" s="32" t="n">
        <x:v>46259.65217592593</x:v>
      </x:c>
      <x:c r="E30" s="32" t="str">
        <x:v>Data Load</x:v>
      </x:c>
      <x:c r="F30" s="32" t="str">
        <x:v>Info</x:v>
      </x:c>
      <x:c r="G30" s="32" t="str">
        <x:v>El costo de source-load/merge crece con 36 particiones, pero sigue siendo demasiado pequeño para explicar por sí solo el incremento del ciclo.</x:v>
      </x:c>
      <x:c r="H30" s="32" t="str">
        <x:v>B-003→B-004: source-load p95 8.09→25.37 ms (~3.14×); merge p95 0.175→1.013 ms (~5.77×). En B-004, source-load p95 es ~1.41% del cycle p95 y merge p95 ~0.056%.</x:v>
      </x:c>
      <x:c r="I30" s="32" t="str">
        <x:v>La mayor duración ocurre después de la materialización/merge de la vista o refleja overhead de orquestación/objetos por partición y variabilidad del host; aún no hay evidencia suficiente para localizar una frontera interna.</x:v>
      </x:c>
      <x:c r="J30" s="32" t="str">
        <x:v>No activar profiling granular todavía; usar el contraste balanced→skewed para obtener más información estructural.</x:v>
      </x:c>
      <x:c r="K30" s="32" t="str">
        <x:v>Accepted</x:v>
      </x:c>
      <x:c r="L30" s="32" t="str">
        <x:v>DEC-R35-009</x:v>
      </x:c>
    </x:row>
    <x:row r="31">
      <x:c r="A31" s="32" t="str">
        <x:v>F-B004-003</x:v>
      </x:c>
      <x:c r="B31" s="32" t="str">
        <x:v>d613de53-a439-414b-a17a-e4d4d5a0bfe2</x:v>
      </x:c>
      <x:c r="C31" s="32" t="str">
        <x:v>B-004</x:v>
      </x:c>
      <x:c r="D31" s="32" t="n">
        <x:v>46259.65217592593</x:v>
      </x:c>
      <x:c r="E31" s="32" t="str">
        <x:v>Correctness / Memory</x:v>
      </x:c>
      <x:c r="F31" s="32" t="str">
        <x:v>Info</x:v>
      </x:c>
      <x:c r="G31" s="32" t="str">
        <x:v>La degradación temporal no viene acompañada de presión de memoria, corrupción ni cambios en la semántica durable.</x:v>
      </x:c>
      <x:c r="H31" s="32" t="str">
        <x:v>36 partitions = 28 partitions×28 columns + 8×27; snapshot 1000/1000; journal durable==materialized at byte_offset 3,582,045; 3 commits exactos. Peak RSS 141.50 MB vs 142.14 MB en B-003; Job Runtime: memory_peak 0.896%, resource_pressure_events=0, errors=0, warnings=0.</x:v>
      </x:c>
      <x:c r="I31" s="32" t="str">
        <x:v>El particionamiento alto afecta principalmente tiempo de ejecución/CPU activo en este escenario, no footprint durable ni RSS.</x:v>
      </x:c>
      <x:c r="J31" s="32" t="str">
        <x:v>Mantener Runtime sin cambios y continuar con skew.</x:v>
      </x:c>
      <x:c r="K31" s="32" t="str">
        <x:v>Accepted</x:v>
      </x:c>
      <x:c r="L31" s="32" t="str">
        <x:v>DEC-R35-009</x:v>
      </x:c>
    </x:row>
    <x:row r="32">
      <x:c r="A32" s="32" t="str">
        <x:v>F-B007-001</x:v>
      </x:c>
      <x:c r="B32" s="32" t="str">
        <x:v>89bc783e-94b8-470b-9f5e-09f4d9d5fa15</x:v>
      </x:c>
      <x:c r="C32" s="32" t="str">
        <x:v>B-007</x:v>
      </x:c>
      <x:c r="D32" s="32" t="n">
        <x:v>46259.670127314814</x:v>
      </x:c>
      <x:c r="E32" s="32" t="str">
        <x:v>Performance</x:v>
      </x:c>
      <x:c r="F32" s="32" t="str">
        <x:v>Info</x:v>
      </x:c>
      <x:c r="G32" s="32" t="str">
        <x:v>El skew ~80/20 sobre 36 particiones produce sólo una degradación pequeña frente al mismo número de particiones balanceadas.</x:v>
      </x:c>
      <x:c r="H32" s="32" t="str">
        <x:v>B-004→B-007: p50 1646.51→1708.26 ms (+3.8%); p95 1805.03→1899.99 ms (+5.3%); p99 2263.77→2337.01 ms (+3.2%); max 2412.45→2450.45 ms (+1.6%); 0 overruns.</x:v>
      </x:c>
      <x:c r="I32" s="32" t="str">
        <x:v>La geometría skewed no altera materialmente la capacidad; el costo dominante continúa asociado al escenario de 36 particiones, no a cómo se distribuyen las 1000 columnas.</x:v>
      </x:c>
      <x:c r="J32" s="32" t="str">
        <x:v>No ejecutar más variantes de skew; pasar a heterogeneidad/vacíos/missing-columns.</x:v>
      </x:c>
      <x:c r="K32" s="32" t="str">
        <x:v>Accepted</x:v>
      </x:c>
      <x:c r="L32" s="32" t="str">
        <x:v>DEC-R35-010</x:v>
      </x:c>
    </x:row>
    <x:row r="33">
      <x:c r="A33" s="32" t="str">
        <x:v>F-B007-002</x:v>
      </x:c>
      <x:c r="B33" s="32" t="str">
        <x:v>89bc783e-94b8-470b-9f5e-09f4d9d5fa15</x:v>
      </x:c>
      <x:c r="C33" s="32" t="str">
        <x:v>B-007</x:v>
      </x:c>
      <x:c r="D33" s="32" t="n">
        <x:v>46259.670127314814</x:v>
      </x:c>
      <x:c r="E33" s="32" t="str">
        <x:v>Data Load</x:v>
      </x:c>
      <x:c r="F33" s="32" t="str">
        <x:v>Info</x:v>
      </x:c>
      <x:c r="G33" s="32" t="str">
        <x:v>Source-load y merge cambian muy poco entre 36 balanced y 36 skewed.</x:v>
      </x:c>
      <x:c r="H33" s="32" t="str">
        <x:v>B-004→B-007: source-load p95 25.37→26.15 ms (+3.0%); merge p95 1.013→1.103 ms (+8.9%, +0.091 ms absolutos). En B-007, loader p95 ≈1.38% del cycle p95 y merge ≈0.058%.</x:v>
      </x:c>
      <x:c r="I33" s="32" t="str">
        <x:v>Ni el merge ni el loader explican una presión relevante por skew; el incremento absoluto es mínimo.</x:v>
      </x:c>
      <x:c r="J33" s="32" t="str">
        <x:v>Mantener instrumentación actual; no activar profiling granular.</x:v>
      </x:c>
      <x:c r="K33" s="32" t="str">
        <x:v>Accepted</x:v>
      </x:c>
      <x:c r="L33" s="32" t="str">
        <x:v>DEC-R35-010</x:v>
      </x:c>
    </x:row>
    <x:row r="34">
      <x:c r="A34" s="32" t="str">
        <x:v>F-B007-003</x:v>
      </x:c>
      <x:c r="B34" s="32" t="str">
        <x:v>89bc783e-94b8-470b-9f5e-09f4d9d5fa15</x:v>
      </x:c>
      <x:c r="C34" s="32" t="str">
        <x:v>B-007</x:v>
      </x:c>
      <x:c r="D34" s="32" t="n">
        <x:v>46259.670127314814</x:v>
      </x:c>
      <x:c r="E34" s="32" t="str">
        <x:v>Correctness / Memory</x:v>
      </x:c>
      <x:c r="F34" s="32" t="str">
        <x:v>Info</x:v>
      </x:c>
      <x:c r="G34" s="32" t="str">
        <x:v>El skew conserva integridad durable/materializada y no introduce presión adicional de memoria.</x:v>
      </x:c>
      <x:c r="H34" s="32" t="str">
        <x:v>36 partitions = 8×100 hot + 4×8 + 24×7 cold; snapshot 1000/1000; 3 durable records; appended journal bytes 3,582,045; journal head durable==materialized. Peak RSS 141.71 MB vs 141.50 MB en B-004. Job Runtime: memory_peak 0.921%, resource_pressure_events=0, errors=0, warnings=0.</x:v>
      </x:c>
      <x:c r="I34" s="32" t="str">
        <x:v>No existe señal de corrupción, pérdida durable, duplicación ni crecimiento de RSS atribuible al skew.</x:v>
      </x:c>
      <x:c r="J34" s="32" t="str">
        <x:v>Avanzar a B-008 para introducir heterogeneidad real de contenido.</x:v>
      </x:c>
      <x:c r="K34" s="32" t="str">
        <x:v>Accepted</x:v>
      </x:c>
      <x:c r="L34" s="32" t="str">
        <x:v>DEC-R35-010</x:v>
      </x:c>
    </x:row>
    <x:row r="35">
      <x:c r="A35" s="32" t="str">
        <x:v>F-B008-001</x:v>
      </x:c>
      <x:c r="B35" s="32" t="str">
        <x:v>6ee6ed1a-e592-4e76-a95b-777f242eb996</x:v>
      </x:c>
      <x:c r="C35" s="32" t="str">
        <x:v>B-008</x:v>
      </x:c>
      <x:c r="D35" s="32" t="n">
        <x:v>46259.684537037036</x:v>
      </x:c>
      <x:c r="E35" s="32" t="str">
        <x:v>Harness / Integrity Gate</x:v>
      </x:c>
      <x:c r="F35" s="32" t="str">
        <x:v>Medium</x:v>
      </x:c>
      <x:c r="G35" s="32" t="str">
        <x:v>El harness emitió un falso FAIL al exigir snapshot_alarm_count == alarm_count en un escenario que produce estados iniciales INACTIVE neutrales.</x:v>
      </x:c>
      <x:c r="H35" s="32" t="str">
        <x:v>Raw report: result=FAIL, snapshot_alarm_count=880, alarm_count=1000. El escenario reporta 120 missing_source_columns y 120 synthesized_null columns. El Core omite del snapshot cualquier AlarmRuntimeState neutral (sin occurrence, management_effect ni deactivation_effect).</x:v>
      </x:c>
      <x:c r="I35" s="32" t="str">
        <x:v>La regla era válida para los escenarios previos donde las 1000 alarmas estaban ACTIVE, pero confundía alarmas configuradas con hot-state durable materializado.</x:v>
      </x:c>
      <x:c r="J35" s="32" t="str">
        <x:v>R3.5B.3.1 applied and validated with B-008-GATE-SMOKE: expected_snapshot_alarm_count=880, snapshot_alarm_count=880, neutral_alarm_count=120, integrity_ok=true, result=PASS.</x:v>
      </x:c>
      <x:c r="K35" s="32" t="str">
        <x:v>Fixed</x:v>
      </x:c>
      <x:c r="L35" s="32" t="str">
        <x:v>DEC-R35-012</x:v>
      </x:c>
    </x:row>
    <x:row r="36">
      <x:c r="A36" s="32" t="str">
        <x:v>F-B008-002</x:v>
      </x:c>
      <x:c r="B36" s="32" t="str">
        <x:v>6ee6ed1a-e592-4e76-a95b-777f242eb996</x:v>
      </x:c>
      <x:c r="C36" s="32" t="str">
        <x:v>B-008</x:v>
      </x:c>
      <x:c r="D36" s="32" t="n">
        <x:v>46259.684537037036</x:v>
      </x:c>
      <x:c r="E36" s="32" t="str">
        <x:v>Correctness</x:v>
      </x:c>
      <x:c r="F36" s="32" t="str">
        <x:v>Info</x:v>
      </x:c>
      <x:c r="G36" s="32" t="str">
        <x:v>Las 120 señales primarias ausentes se resolvieron como null → INACTIVE y no generaron hot-state durable, exactamente según la semántica neutral del Core.</x:v>
      </x:c>
      <x:c r="H36" s="32" t="str">
        <x:v>Snapshot contiene 880 alarmas. El bootstrap contiene 880 occurrence_changes, 880 assignment_changes, 1760 journey_events y 880 evidence_records; los commits de ~5/~10 min contienen 880 evidence_records cada uno. Journal durable==materialized en byte_offset 3,152,565.</x:v>
      </x:c>
      <x:c r="I36" s="32" t="str">
        <x:v>No existe pérdida de 120 alarmas activas: esas identidades siguen configuradas, pero no tienen estado operacional durable que persistir.</x:v>
      </x:c>
      <x:c r="J36" s="32" t="str">
        <x:v>Reclasificar B-008 como PASS-WITH-FINDINGS; preservar el raw result FAIL para auditoría.</x:v>
      </x:c>
      <x:c r="K36" s="32" t="str">
        <x:v>Accepted</x:v>
      </x:c>
      <x:c r="L36" s="32" t="str">
        <x:v>DEC-R35-011</x:v>
      </x:c>
    </x:row>
    <x:row r="37">
      <x:c r="A37" s="32" t="str">
        <x:v>F-B008-003</x:v>
      </x:c>
      <x:c r="B37" s="32" t="str">
        <x:v>6ee6ed1a-e592-4e76-a95b-777f242eb996</x:v>
      </x:c>
      <x:c r="C37" s="32" t="str">
        <x:v>B-008</x:v>
      </x:c>
      <x:c r="D37" s="32" t="n">
        <x:v>46259.684537037036</x:v>
      </x:c>
      <x:c r="E37" s="32" t="str">
        <x:v>Performance</x:v>
      </x:c>
      <x:c r="F37" s="32" t="str">
        <x:v>Info</x:v>
      </x:c>
      <x:c r="G37" s="32" t="str">
        <x:v>El escenario mixed permanece holgado; performance es secundaria porque sólo 880 alarmas mantienen hot-state activo.</x:v>
      </x:c>
      <x:c r="H37" s="32" t="str">
        <x:v>p95 1003.20 ms, p99 1333.51 ms, max 1381.55 ms, 0 overruns. Las 118 iterations sin commit tuvieron p95 ~979.14 ms. Source-load p95 10.82 ms; merge p95 1.002 ms; peak RSS 140.87 MB; Job Runtime resource_pressure_events=0.</x:v>
      </x:c>
      <x:c r="I37" s="32" t="str">
        <x:v>La reducción frente a B-007 no prueba una optimización: el workload operacional efectivo cambió porque 120 alarmas son neutrales.</x:v>
      </x:c>
      <x:c r="J37" s="32" t="str">
        <x:v>Usar B-008 principalmente como correctness/heterogeneity evidence, no como punto directo de la curva de capacidad de 1000 alarmas activas.</x:v>
      </x:c>
      <x:c r="K37" s="32" t="str">
        <x:v>Accepted</x:v>
      </x:c>
      <x:c r="L37" s="32" t="str">
        <x:v>DEC-R35-011</x:v>
      </x:c>
    </x:row>
    <x:row r="38">
      <x:c r="A38" s="32" t="str">
        <x:v>F-B009-001</x:v>
      </x:c>
      <x:c r="B38" s="32" t="str">
        <x:v>804265bb-f165-4deb-96ef-e062d0ee8117</x:v>
      </x:c>
      <x:c r="C38" s="32" t="str">
        <x:v>B-009</x:v>
      </x:c>
      <x:c r="D38" s="32" t="n">
        <x:v>46259.77888888889</x:v>
      </x:c>
      <x:c r="E38" s="32" t="str">
        <x:v>Performance</x:v>
      </x:c>
      <x:c r="F38" s="32" t="str">
        <x:v>Info</x:v>
      </x:c>
      <x:c r="G38" s="32" t="str">
        <x:v>B-009 alcanzó la banda de frontera de ~3 s sin cruzar el periodo interno de 5 s.</x:v>
      </x:c>
      <x:c r="H38" s="32" t="str">
        <x:v>B-004 balanced→B-009: p50 1646.51→2625.46 ms (+59.5%); p95 1805.03→2997.01 ms (+66.0%); p99 2263.77→3284.83 ms (+45.1%); max 2412.45→3600.32 ms (+49.2%); 0 overruns.</x:v>
      </x:c>
      <x:c r="I38" s="32" t="str">
        <x:v>El valor 2997.01 ms está sólo ~3 ms por debajo del umbral nominal de 3 s; esa diferencia es ruido de timing, no evidencia de margen alto. La campaña ya obtuvo la reacción buscada.</x:v>
      </x:c>
      <x:c r="J38" s="32" t="str">
        <x:v>No ejecutar el candidato extremo 6 series × 3 h. Escalar una sola dimensión: mantener 3 series/alarm y llevar la ventana a 180 min.</x:v>
      </x:c>
      <x:c r="K38" s="32" t="str">
        <x:v>Accepted</x:v>
      </x:c>
      <x:c r="L38" s="32" t="str">
        <x:v>DEC-R35-013</x:v>
      </x:c>
    </x:row>
    <x:row r="39">
      <x:c r="A39" s="32" t="str">
        <x:v>F-B009-002</x:v>
      </x:c>
      <x:c r="B39" s="32" t="str">
        <x:v>804265bb-f165-4deb-96ef-e062d0ee8117</x:v>
      </x:c>
      <x:c r="C39" s="32" t="str">
        <x:v>B-009</x:v>
      </x:c>
      <x:c r="D39" s="32" t="n">
        <x:v>46259.77888888889</x:v>
      </x:c>
      <x:c r="E39" s="32" t="str">
        <x:v>CPU</x:v>
      </x:c>
      <x:c r="F39" s="32" t="str">
        <x:v>Info</x:v>
      </x:c>
      <x:c r="G39" s="32" t="str">
        <x:v>El ciclo histórico trabaja prácticamente a un core completo durante cada iteración.</x:v>
      </x:c>
      <x:c r="H39" s="32" t="str">
        <x:v>PerformanceRecorder: avg CPU 99.43%, peak 100.43%. Esa métrica usa CPU-time/wall-time del proceso y equivale aproximadamente a 1 core activo, no a 99% de los 8 cores del host. Job Runtime reportó cpu_limit_cores=8 y cpu_peak_percent=35.643 con 0 resource_pressure_events.</x:v>
      </x:c>
      <x:c r="I39" s="32" t="str">
        <x:v>La ruta evaluadora es CPU-intensiva y todavía conserva ~2 s de margen start-to-start. Las métricas de PerformanceRecorder y Job Runtime tienen denominadores/alcances distintos.</x:v>
      </x:c>
      <x:c r="J39" s="32" t="str">
        <x:v>Mantener instrumentación actual; perfilar sólo si el siguiente probe cruza/reproduce la frontera.</x:v>
      </x:c>
      <x:c r="K39" s="32" t="str">
        <x:v>Accepted</x:v>
      </x:c>
      <x:c r="L39" s="32" t="str">
        <x:v>DEC-R35-013</x:v>
      </x:c>
    </x:row>
    <x:row r="40">
      <x:c r="A40" s="32" t="str">
        <x:v>F-B009-003</x:v>
      </x:c>
      <x:c r="B40" s="32" t="str">
        <x:v>804265bb-f165-4deb-96ef-e062d0ee8117</x:v>
      </x:c>
      <x:c r="C40" s="32" t="str">
        <x:v>B-009</x:v>
      </x:c>
      <x:c r="D40" s="32" t="n">
        <x:v>46259.77888888889</x:v>
      </x:c>
      <x:c r="E40" s="32" t="str">
        <x:v>Data Load / Memory / Correctness</x:v>
      </x:c>
      <x:c r="F40" s="32" t="str">
        <x:v>Info</x:v>
      </x:c>
      <x:c r="G40" s="32" t="str">
        <x:v>El aumento temporal no viene del loader/merge ni de una presión de memoria o integridad.</x:v>
      </x:c>
      <x:c r="H40" s="32" t="str">
        <x:v>source-load p95 8.27 ms; merge p95 0.820 ms frente a cycle p95 2997.01 ms. Peak RSS 156.66 MB; 0 overruns; integrity_ok=true; journal aligned; snapshot 1000/1000; 3 durable records; Job Runtime errors=0, warnings=0 y resource_pressure_events=0.</x:v>
      </x:c>
      <x:c r="I40" s="32" t="str">
        <x:v>La mayor parte del costo aparece después de materializar las vistas, principalmente en resolución/evaluación de las 1000 alarmas sobre 3×360 puntos históricos por alarma. No hay evidencia de crecimiento no acotado de RSS.</x:v>
      </x:c>
      <x:c r="J40" s="32" t="str">
        <x:v>Usar B-010 como probe de profundidad temporal; si cruza 5 s, regresar a 120 min y aislar la rodilla.</x:v>
      </x:c>
      <x:c r="K40" s="32" t="str">
        <x:v>Accepted</x:v>
      </x:c>
      <x:c r="L40" s="32" t="str">
        <x:v>DEC-R35-013</x:v>
      </x:c>
    </x:row>
    <x:row r="41">
      <x:c r="A41" s="32" t="str">
        <x:v>F-B010-001</x:v>
      </x:c>
      <x:c r="B41" s="32" t="str">
        <x:v>013ab1e8-bc67-48af-92c2-44098a440a66</x:v>
      </x:c>
      <x:c r="C41" s="32" t="str">
        <x:v>B-010</x:v>
      </x:c>
      <x:c r="D41" s="32" t="n">
        <x:v>46259.79849537037</x:v>
      </x:c>
      <x:c r="E41" s="32" t="str">
        <x:v>Performance</x:v>
      </x:c>
      <x:c r="F41" s="32" t="str">
        <x:v>Info</x:v>
      </x:c>
      <x:c r="G41" s="32" t="str">
        <x:v>Triplicar la profundidad histórica elevó el ciclo de forma material pero sublineal y sin cruzar 5 s.</x:v>
      </x:c>
      <x:c r="H41" s="32" t="str">
        <x:v>B-009→B-010: historical values 1.08M→3.24M (3×); p50 2625.46→3141.72 ms (+19.7%); p95 2997.01→3796.33 ms (+26.7%); p99 3284.83→3999.59 ms (+21.8%); max 3600.32→4465.37 ms (+24.0%); 0 overruns en ambas corridas.</x:v>
      </x:c>
      <x:c r="I41" s="32" t="str">
        <x:v>La profundidad temporal por sí sola no escala cerca de linealmente con el número de valores. B-010 permanece en la boundary band 3–5 s y conserva ~1.2 s de margen p95 respecto del periodo candidato.</x:v>
      </x:c>
      <x:c r="J41" s="32" t="str">
        <x:v>Cambiar sólo ancho histórico en B-011: 3→6 series/alarm con profundidad fija en 180 min.</x:v>
      </x:c>
      <x:c r="K41" s="32" t="str">
        <x:v>Accepted</x:v>
      </x:c>
      <x:c r="L41" s="32" t="str">
        <x:v>DEC-R35-014</x:v>
      </x:c>
    </x:row>
    <x:row r="42">
      <x:c r="A42" s="32" t="str">
        <x:v>F-B010-002</x:v>
      </x:c>
      <x:c r="B42" s="32" t="str">
        <x:v>013ab1e8-bc67-48af-92c2-44098a440a66</x:v>
      </x:c>
      <x:c r="C42" s="32" t="str">
        <x:v>B-010</x:v>
      </x:c>
      <x:c r="D42" s="32" t="n">
        <x:v>46259.79849537037</x:v>
      </x:c>
      <x:c r="E42" s="32" t="str">
        <x:v>Memory / Scheduling</x:v>
      </x:c>
      <x:c r="F42" s="32" t="str">
        <x:v>Info</x:v>
      </x:c>
      <x:c r="G42" s="32" t="str">
        <x:v>La memoria alcanza una meseta y el scheduler mantiene el periodo start-to-start de 5 s.</x:v>
      </x:c>
      <x:c r="H42" s="32" t="str">
        <x:v>Peak RSS 179.77 MB. En la segunda mitad la pendiente observada es ~0.0015 MB/min; las últimas 20 iteraciones permanecen entre 179.715 y 179.766 MB. Start interval p50 ~5001.17 ms, min 5000.47 ms, max 5002.19 ms.</x:v>
      </x:c>
      <x:c r="I42" s="32" t="str">
        <x:v>No hay evidencia de crecimiento de memoria no acotado, backlog temporal ni deriva acumulativa. Job Runtime: cpu_limit_cores=8, cpu_peak_percent=52.883, memory_peak_percent=1.138, resource_pressure_events=0, errors=0, warnings=0.</x:v>
      </x:c>
      <x:c r="J42" s="32" t="str">
        <x:v>No perfilar todavía; mantener el stress discovery hasta encontrar o descartar la frontera por ancho.</x:v>
      </x:c>
      <x:c r="K42" s="32" t="str">
        <x:v>Accepted</x:v>
      </x:c>
      <x:c r="L42" s="32" t="str">
        <x:v>DEC-R35-014</x:v>
      </x:c>
    </x:row>
    <x:row r="43">
      <x:c r="A43" s="32" t="str">
        <x:v>F-B010-003</x:v>
      </x:c>
      <x:c r="B43" s="32" t="str">
        <x:v>013ab1e8-bc67-48af-92c2-44098a440a66</x:v>
      </x:c>
      <x:c r="C43" s="32" t="str">
        <x:v>B-010</x:v>
      </x:c>
      <x:c r="D43" s="32" t="n">
        <x:v>46259.79849537037</x:v>
      </x:c>
      <x:c r="E43" s="32" t="str">
        <x:v>Data Load / Correctness</x:v>
      </x:c>
      <x:c r="F43" s="32" t="str">
        <x:v>Info</x:v>
      </x:c>
      <x:c r="G43" s="32" t="str">
        <x:v>El loader y el merge siguen siendo marginales aun con 3.24 M valores históricos.</x:v>
      </x:c>
      <x:c r="H43" s="32" t="str">
        <x:v>Source frame 25,936,904 bytes; source-load p95 10.80 ms; merge p95 0.924 ms; cycle p95 3796.33 ms. Snapshot 1000/1000; journal durable==materialized; 3 durable commits; drain 407.98 ms; integrity_ok=true.</x:v>
      </x:c>
      <x:c r="I43" s="32" t="str">
        <x:v>El incremento de costo continúa concentrándose después de materializar las vistas. No existe evidencia para invertir esfuerzo en optimizar particionado/merge antes de probar el ancho histórico.</x:v>
      </x:c>
      <x:c r="J43" s="32" t="str">
        <x:v>B-011 debe mantener 180 min y duplicar sólo historical series/alarm a 6.</x:v>
      </x:c>
      <x:c r="K43" s="32" t="str">
        <x:v>Accepted</x:v>
      </x:c>
      <x:c r="L43" s="32" t="str">
        <x:v>DEC-R35-014</x:v>
      </x:c>
    </x:row>
    <x:row r="44">
      <x:c r="A44" s="32" t="str">
        <x:v>F-B011-001</x:v>
      </x:c>
      <x:c r="B44" s="32" t="str">
        <x:v>46865e37-d816-4710-8215-9c567a0edd2e</x:v>
      </x:c>
      <x:c r="C44" s="32" t="str">
        <x:v>B-011</x:v>
      </x:c>
      <x:c r="D44" s="32" t="n">
        <x:v>46259.8090625</x:v>
      </x:c>
      <x:c r="E44" s="32" t="str">
        <x:v>Performance</x:v>
      </x:c>
      <x:c r="F44" s="32" t="str">
        <x:v>Medium</x:v>
      </x:c>
      <x:c r="G44" s="32" t="str">
        <x:v>B-011 produjo el primer overrun real de la campaña adaptativa, pero no degradación sostenida del p95.</x:v>
      </x:c>
      <x:c r="H44" s="32" t="str">
        <x:v>B-010→B-011: historical values 3.24M→6.48M (2×); p50 3141.72→3185.63 ms (+1.40%); p95 3796.33→3814.49 ms (+0.48%); p99 3999.59→4033.21 ms (+0.84%); max 4465.37→5636.62 ms (+26.23%). Hubo 1 overrun de 121 iteraciones (0.826%) en la iteración 72.</x:v>
      </x:c>
      <x:c r="I44" s="32" t="str">
        <x:v>La curva central permanece casi plana pese a duplicar ancho. El único evento &gt;5 s es suficiente para activar la regla de regresión acordada, pero no basta para declarar saturación sostenida.</x:v>
      </x:c>
      <x:c r="J44" s="32" t="str">
        <x:v>Ejecutar B-011-R1 a 4 series/alarm manteniendo 180 min; no escalar ni perfilar todavía.</x:v>
      </x:c>
      <x:c r="K44" s="32" t="str">
        <x:v>Accepted</x:v>
      </x:c>
      <x:c r="L44" s="32" t="str">
        <x:v>DEC-R35-015</x:v>
      </x:c>
    </x:row>
    <x:row r="45">
      <x:c r="A45" s="32" t="str">
        <x:v>F-B011-002</x:v>
      </x:c>
      <x:c r="B45" s="32" t="str">
        <x:v>46865e37-d816-4710-8215-9c567a0edd2e</x:v>
      </x:c>
      <x:c r="C45" s="32" t="str">
        <x:v>B-011</x:v>
      </x:c>
      <x:c r="D45" s="32" t="n">
        <x:v>46259.8090625</x:v>
      </x:c>
      <x:c r="E45" s="32" t="str">
        <x:v>Scheduling / Reproducibility</x:v>
      </x:c>
      <x:c r="F45" s="32" t="str">
        <x:v>Medium</x:v>
      </x:c>
      <x:c r="G45" s="32" t="str">
        <x:v>El overrun desplazó efectivamente una cadencia start-to-start y debe tratarse como señal reproducible pendiente.</x:v>
      </x:c>
      <x:c r="H45" s="32" t="str">
        <x:v>Iteration 72 duró 5636.62 ms con CPU 99.88% y RSS ~193.91 MB. La iteration 73 comenzó 5638.20 ms después; luego los intervalos regresaron a ~5001 ms. Sólo 2 iteraciones superaron 4 s y sólo 1 superó 5 s.</x:v>
      </x:c>
      <x:c r="I45" s="32" t="str">
        <x:v>No hay evidencia en los artefactos para atribuir el evento a CPU global, memoria, loader, merge o corrupción. Puede ser workload-tail o jitter transitorio del host. La regresión debe discriminarlo.</x:v>
      </x:c>
      <x:c r="J45" s="32" t="str">
        <x:v>Si B-011-R1 queda limpio, repetir 6 series antes de interpolar a 5. Si 6 series vuelve a producir overrun, entonces usar 5 series para localizar la rodilla.</x:v>
      </x:c>
      <x:c r="K45" s="32" t="str">
        <x:v>Accepted</x:v>
      </x:c>
      <x:c r="L45" s="32" t="str">
        <x:v>DEC-R35-015</x:v>
      </x:c>
    </x:row>
    <x:row r="46">
      <x:c r="A46" s="32" t="str">
        <x:v>F-B011-003</x:v>
      </x:c>
      <x:c r="B46" s="32" t="str">
        <x:v>46865e37-d816-4710-8215-9c567a0edd2e</x:v>
      </x:c>
      <x:c r="C46" s="32" t="str">
        <x:v>B-011</x:v>
      </x:c>
      <x:c r="D46" s="32" t="n">
        <x:v>46259.8090625</x:v>
      </x:c>
      <x:c r="E46" s="32" t="str">
        <x:v>Memory / Data Load / Correctness</x:v>
      </x:c>
      <x:c r="F46" s="32" t="str">
        <x:v>Info</x:v>
      </x:c>
      <x:c r="G46" s="32" t="str">
        <x:v>Duplicar ancho incrementó memoria y carga de fuente moderadamente, sin presión de recursos ni pérdida de integridad.</x:v>
      </x:c>
      <x:c r="H46" s="32" t="str">
        <x:v>Avg RSS 178.27→193.36 MB (+8.46%); peak RSS 179.77→197.49 MB (+9.86%). Source frame ~25.94→51.86 MB; source-load p95 10.80→12.67 ms (+17.31%); merge p95 0.924→0.864 ms. Job Runtime: cpu_peak_percent=41.315, memory_peak_percent=1.25, resource_pressure_events=0, errors=0, warnings=0.</x:v>
      </x:c>
      <x:c r="I46" s="32" t="str">
        <x:v>Snapshot 1000/1000, journal durable==materialized, 3 durable commits y drain 490.29 ms. No hay OOM, crecimiento no acotado, duplicados ni pérdida durable.</x:v>
      </x:c>
      <x:c r="J46" s="32" t="str">
        <x:v>Mantener las mismas condiciones en la regresión y cambiar exclusivamente historical series/alarm.</x:v>
      </x:c>
      <x:c r="K46" s="32" t="str">
        <x:v>Accepted</x:v>
      </x:c>
      <x:c r="L46" s="32" t="str">
        <x:v>DEC-R35-015</x:v>
      </x:c>
    </x:row>
    <x:row r="47">
      <x:c r="A47" s="32" t="str">
        <x:v>F-B011R1-001</x:v>
      </x:c>
      <x:c r="B47" s="32" t="str">
        <x:v>ff67b804-d996-487a-93c7-766070fee7ec</x:v>
      </x:c>
      <x:c r="C47" s="32" t="str">
        <x:v>B-011-R1</x:v>
      </x:c>
      <x:c r="D47" s="32" t="n">
        <x:v>46259.82061342592</x:v>
      </x:c>
      <x:c r="E47" s="32" t="str">
        <x:v>Performance / Reproducibility</x:v>
      </x:c>
      <x:c r="F47" s="32" t="str">
        <x:v>Info</x:v>
      </x:c>
      <x:c r="G47" s="32" t="str">
        <x:v>La regresión a 4 series salió limpia y no reproduce una frontera operacional ≤4 series.</x:v>
      </x:c>
      <x:c r="H47" s="32" t="str">
        <x:v>B-011-R1: p50 3076.52 ms; p95 3467.22 ms; p99 4269.63 ms; max 4921.44 ms; 0 overruns. Frente a B-011 (6 series), p95 baja 3814.49→3467.22 ms (-9.10%) y desaparece el único overrun.</x:v>
      </x:c>
      <x:c r="I47" s="32" t="str">
        <x:v>El resultado elimina la hipótesis de una frontera reproducible a 4 series, pero aún no distingue entre inestabilidad propia de 6 series y jitter transitorio.</x:v>
      </x:c>
      <x:c r="J47" s="32" t="str">
        <x:v>Repetir exactamente 6 series como B-011-R2 antes de interpolar a 5.</x:v>
      </x:c>
      <x:c r="K47" s="32" t="str">
        <x:v>Accepted</x:v>
      </x:c>
      <x:c r="L47" s="32" t="str">
        <x:v>DEC-R35-016</x:v>
      </x:c>
    </x:row>
    <x:row r="48">
      <x:c r="A48" s="32" t="str">
        <x:v>F-B011R1-002</x:v>
      </x:c>
      <x:c r="B48" s="32" t="str">
        <x:v>ff67b804-d996-487a-93c7-766070fee7ec</x:v>
      </x:c>
      <x:c r="C48" s="32" t="str">
        <x:v>B-011-R1</x:v>
      </x:c>
      <x:c r="D48" s="32" t="n">
        <x:v>46259.82061342592</x:v>
      </x:c>
      <x:c r="E48" s="32" t="str">
        <x:v>Scheduling / Tail</x:v>
      </x:c>
      <x:c r="F48" s="32" t="str">
        <x:v>Info</x:v>
      </x:c>
      <x:c r="G48" s="32" t="str">
        <x:v>El máximo de 4921.44 ms no produjo overrun ni desplazamiento de cadencia.</x:v>
      </x:c>
      <x:c r="H48" s="32" t="str">
        <x:v>El máximo ocurrió en iteration 4. Sólo 2/121 iteraciones superaron 4 s, 1 superó 4.5 s y ninguna superó 5 s. Start-to-start min 5000.54 ms, p50 5001.13 ms, max 5001.95 ms.</x:v>
      </x:c>
      <x:c r="I48" s="32" t="str">
        <x:v>La ejecución mantuvo el periodo candidato durante toda la corrida. Un ciclo próximo a 5 s sin desplazar la siguiente cadencia no es un overrun.</x:v>
      </x:c>
      <x:c r="J48" s="32" t="str">
        <x:v>Mantener la regla sobre overrun real para la reproducción de 6 series.</x:v>
      </x:c>
      <x:c r="K48" s="32" t="str">
        <x:v>Accepted</x:v>
      </x:c>
      <x:c r="L48" s="32" t="str">
        <x:v>DEC-R35-016</x:v>
      </x:c>
    </x:row>
    <x:row r="49">
      <x:c r="A49" s="32" t="str">
        <x:v>F-B011R1-003</x:v>
      </x:c>
      <x:c r="B49" s="32" t="str">
        <x:v>ff67b804-d996-487a-93c7-766070fee7ec</x:v>
      </x:c>
      <x:c r="C49" s="32" t="str">
        <x:v>B-011-R1</x:v>
      </x:c>
      <x:c r="D49" s="32" t="n">
        <x:v>46259.82061342592</x:v>
      </x:c>
      <x:c r="E49" s="32" t="str">
        <x:v>Memory / Data Load / Correctness</x:v>
      </x:c>
      <x:c r="F49" s="32" t="str">
        <x:v>Info</x:v>
      </x:c>
      <x:c r="G49" s="32" t="str">
        <x:v>La regresión mantiene integridad y memoria acotada con 4.32 M valores históricos.</x:v>
      </x:c>
      <x:c r="H49" s="32" t="str">
        <x:v>Avg/peak RSS 176.70/180.16 MB; pendiente RSS segunda mitad ≈ -0.15 MB/min. Source-load p95 11.74 ms; merge p95 0.857 ms; source frame 34.58 MB. Snapshot 1000/1000; journal durable==materialized; 3 commits; drain 429.75 ms; resource_pressure_events=0, errors=0, warnings=0.</x:v>
      </x:c>
      <x:c r="I49" s="32" t="str">
        <x:v>No hay evidencia de fuga de memoria, presión de loader/merge ni pérdida durable. La única pregunta abierta de R3.5B es la reproducibilidad del overrun observado a 6 series.</x:v>
      </x:c>
      <x:c r="J49" s="32" t="str">
        <x:v>Ejecutar B-011-R2 sin cambiar ninguna otra dimensión.</x:v>
      </x:c>
      <x:c r="K49" s="32" t="str">
        <x:v>Accepted</x:v>
      </x:c>
      <x:c r="L49" s="32" t="str">
        <x:v>DEC-R35-016</x:v>
      </x:c>
    </x:row>
    <x:row r="50">
      <x:c r="A50" s="32" t="str">
        <x:v>F-B011R2-001</x:v>
      </x:c>
      <x:c r="B50" s="32" t="str">
        <x:v>d0375b0c-7cd0-4082-8b7e-aef300c8c392</x:v>
      </x:c>
      <x:c r="C50" s="32" t="str">
        <x:v>B-011-R2</x:v>
      </x:c>
      <x:c r="D50" s="32" t="n">
        <x:v>46259.83627314815</x:v>
      </x:c>
      <x:c r="E50" s="32" t="str">
        <x:v>Performance / Reproducibility</x:v>
      </x:c>
      <x:c r="F50" s="32" t="str">
        <x:v>Info</x:v>
      </x:c>
      <x:c r="G50" s="32" t="str">
        <x:v>La reproducción exacta de 6 series no repitió el overrun original de B-011.</x:v>
      </x:c>
      <x:c r="H50" s="32" t="str">
        <x:v>B-011-R2: p50 3260.76 ms; p95 4139.16 ms; p99 4865.38 ms; max 4969.75 ms; 0 overruns. B-011 original: p95 3814.49 ms; p99 4033.21 ms; max 5636.62 ms; 1 overrun. Ambas corridas usaron 6.48 M valores, 180 min, 10 s y 36 partitions/view.</x:v>
      </x:c>
      <x:c r="I50" s="32" t="str">
        <x:v>Con la evidencia actual, el único overrun de B-011 no es reproducible y no justifica interpolar a 5 series ni continuar consumiendo corridas de data pressure.</x:v>
      </x:c>
      <x:c r="J50" s="32" t="str">
        <x:v>Cerrar R3.5B y avanzar a functional pressure.</x:v>
      </x:c>
      <x:c r="K50" s="32" t="str">
        <x:v>Accepted</x:v>
      </x:c>
      <x:c r="L50" s="32" t="str">
        <x:v>DEC-R35-017</x:v>
      </x:c>
    </x:row>
    <x:row r="51">
      <x:c r="A51" s="32" t="str">
        <x:v>F-B011R2-002</x:v>
      </x:c>
      <x:c r="B51" s="32" t="str">
        <x:v>d0375b0c-7cd0-4082-8b7e-aef300c8c392</x:v>
      </x:c>
      <x:c r="C51" s="32" t="str">
        <x:v>B-011-R2</x:v>
      </x:c>
      <x:c r="D51" s="32" t="n">
        <x:v>46259.83627314815</x:v>
      </x:c>
      <x:c r="E51" s="32" t="str">
        <x:v>Scheduling / Stress Envelope</x:v>
      </x:c>
      <x:c r="F51" s="32" t="str">
        <x:v>Info</x:v>
      </x:c>
      <x:c r="G51" s="32" t="str">
        <x:v>La reproducción es limpia, pero el tail de 6 series × 3 h queda muy cerca del periodo candidato de 5 s.</x:v>
      </x:c>
      <x:c r="H51" s="32" t="str">
        <x:v>11/121 iteraciones &gt;4 s; 4 &gt;4.5 s; 2 &gt;4.9 s; ninguna &gt;=5 s. El máximo 4969.75 ms ocurrió en iteration 4 y la siguiente cadencia fue 5001.17 ms. Start-to-start min 5000.52 ms, p50 5001.13 ms, p95 5001.61 ms, max 5002.21 ms.</x:v>
      </x:c>
      <x:c r="I51" s="32" t="str">
        <x:v>R3.5B demuestra que el scheduler puede sostener este stress sintético durante 10 min, pero no certifica 6 series × 3 h como envelope productivo. El margen de tail es estrecho.</x:v>
      </x:c>
      <x:c r="J51" s="32" t="str">
        <x:v>Conservar el escenario como referencia de stress; no fijarlo como configuración productiva.</x:v>
      </x:c>
      <x:c r="K51" s="32" t="str">
        <x:v>Accepted</x:v>
      </x:c>
      <x:c r="L51" s="32" t="str">
        <x:v>DEC-R35-017</x:v>
      </x:c>
    </x:row>
    <x:row r="52">
      <x:c r="A52" s="32" t="str">
        <x:v>F-B011R2-003</x:v>
      </x:c>
      <x:c r="B52" s="32" t="str">
        <x:v>d0375b0c-7cd0-4082-8b7e-aef300c8c392</x:v>
      </x:c>
      <x:c r="C52" s="32" t="str">
        <x:v>B-011-R2</x:v>
      </x:c>
      <x:c r="D52" s="32" t="n">
        <x:v>46259.83627314815</x:v>
      </x:c>
      <x:c r="E52" s="32" t="str">
        <x:v>Memory / Data Load / Correctness</x:v>
      </x:c>
      <x:c r="F52" s="32" t="str">
        <x:v>Info</x:v>
      </x:c>
      <x:c r="G52" s="32" t="str">
        <x:v>R3.5B cierra sin evidencia de fuga de memoria, cuello en loader/merge o fallo de integridad.</x:v>
      </x:c>
      <x:c r="H52" s="32" t="str">
        <x:v>Avg/peak RSS 195.38/198.34 MB; pendiente RSS segunda mitad ≈ +0.018 MB/min. Source-load p95 13.83 ms; merge p95 0.910 ms; source frame 51.86 MB. Snapshot 1000/1000; journal durable==materialized; 3 commits; drain 411.66 ms. Job Runtime: resource_pressure_events=0, errors=0, warnings=0.</x:v>
      </x:c>
      <x:c r="I52" s="32" t="str">
        <x:v>La presión dominante continúa después de materializar las vistas. No hay fundamento para optimizar particionado/merge antes de explorar lifecycle/write churn.</x:v>
      </x:c>
      <x:c r="J52" s="32" t="str">
        <x:v>Mover la campaña a R3.5C y provocar cambios operacionales reales.</x:v>
      </x:c>
      <x:c r="K52" s="32" t="str">
        <x:v>Accepted</x:v>
      </x:c>
      <x:c r="L52" s="32" t="str">
        <x:v>DEC-R35-017</x:v>
      </x:c>
    </x:row>
    <x:row r="53">
      <x:c r="A53" s="32" t="str">
        <x:v>F-C001-001</x:v>
      </x:c>
      <x:c r="B53" s="32" t="str">
        <x:v>950633d5-157a-4d94-9b5b-a1cf48c4914b</x:v>
      </x:c>
      <x:c r="C53" s="32" t="str">
        <x:v>C-001</x:v>
      </x:c>
      <x:c r="D53" s="32" t="n">
        <x:v>46259.88398148148</x:v>
      </x:c>
      <x:c r="E53" s="32" t="str">
        <x:v>Functional correctness</x:v>
      </x:c>
      <x:c r="F53" s="32" t="str">
        <x:v>Info</x:v>
      </x:c>
      <x:c r="G53" s="32" t="str">
        <x:v>El churn normal ACTIVE↔INACTIVE produjo exactamente los efectos lifecycle previstos.</x:v>
      </x:c>
      <x:c r="H53" s="32" t="str">
        <x:v>60 generaciones × 100 transiciones = 6000. WAL independiente: 700 commits; 3500 occurrence STARTED, 3000 CLOSED, 100 episode STARTED, 0 CLOSED, 3500 assignment changes, 10000 journey events y 6500 evidence records. Cada uno de los 100 grupos tuvo exactamente 7 commits.</x:v>
      </x:c>
      <x:c r="I53" s="32" t="str">
        <x:v>No hay duplicados ni divergencia entre el resumen del harness y el WAL. Los snapshots finales contienen 100 grupos × 5 ACTIVE = 500 hot states.</x:v>
      </x:c>
      <x:c r="J53" s="32" t="str">
        <x:v>Cerrar C-001 como PASS/GREEN sin finding funcional abierto.</x:v>
      </x:c>
      <x:c r="K53" s="32" t="str">
        <x:v>Accepted</x:v>
      </x:c>
      <x:c r="L53" s="32" t="str">
        <x:v>DEC-R35-019</x:v>
      </x:c>
    </x:row>
    <x:row r="54">
      <x:c r="A54" s="32" t="str">
        <x:v>F-C001-002</x:v>
      </x:c>
      <x:c r="B54" s="32" t="str">
        <x:v>950633d5-157a-4d94-9b5b-a1cf48c4914b</x:v>
      </x:c>
      <x:c r="C54" s="32" t="str">
        <x:v>C-001</x:v>
      </x:c>
      <x:c r="D54" s="32" t="n">
        <x:v>46259.88398148148</x:v>
      </x:c>
      <x:c r="E54" s="32" t="str">
        <x:v>Performance / scheduling</x:v>
      </x:c>
      <x:c r="F54" s="32" t="str">
        <x:v>Info</x:v>
      </x:c>
      <x:c r="G54" s="32" t="str">
        <x:v>El 10% de churn lifecycle permanece ampliamente dentro del periodo candidato de 5 s.</x:v>
      </x:c>
      <x:c r="H54" s="32" t="str">
        <x:v>Global p50/p95/p99/max = 1009.88/1237.59/1565.79/1597.72 ms; 0 overruns. Iteraciones con generación de churn: p95 1287.22 ms. Iteraciones intermedias sin nueva generación: p95 1085.86 ms. Start-to-start min/p50/p95/max = 5000.75/5001.39/5001.89/5003.14 ms.</x:v>
      </x:c>
      <x:c r="I54" s="32" t="str">
        <x:v>La semántica lifecycle añade trabajo durable real sin acercar al motor a una frontera de scheduling. No hay señal que justifique perfilar C-001.</x:v>
      </x:c>
      <x:c r="J54" s="32" t="str">
        <x:v>Cambiar de dimensión semántica a ERROR/TechnicalHold en vez de aumentar puntos intermedios de churn normal.</x:v>
      </x:c>
      <x:c r="K54" s="32" t="str">
        <x:v>Accepted</x:v>
      </x:c>
      <x:c r="L54" s="32" t="str">
        <x:v>DEC-R35-019</x:v>
      </x:c>
    </x:row>
    <x:row r="55">
      <x:c r="A55" s="32" t="str">
        <x:v>F-C001-003</x:v>
      </x:c>
      <x:c r="B55" s="32" t="str">
        <x:v>950633d5-157a-4d94-9b5b-a1cf48c4914b</x:v>
      </x:c>
      <x:c r="C55" s="32" t="str">
        <x:v>C-001</x:v>
      </x:c>
      <x:c r="D55" s="32" t="n">
        <x:v>46259.88398148148</x:v>
      </x:c>
      <x:c r="E55" s="32" t="str">
        <x:v>Durability / memory</x:v>
      </x:c>
      <x:c r="F55" s="32" t="str">
        <x:v>Info</x:v>
      </x:c>
      <x:c r="G55" s="32" t="str">
        <x:v>La presión de writes permanece acotada y la memoria no muestra crecimiento sostenido.</x:v>
      </x:c>
      <x:c r="H55" s="32" t="str">
        <x:v>WAL 10,253,900 bytes en 700 commits; drain 1104.98 ms. Avg/peak RSS 132.85/133.12 MB; pendiente aproximada de RSS en la segunda mitad -0.022 MB/min. source-load p95 10.66 ms; merge p95 0.454 ms; resource_pressure_events=0.</x:v>
      </x:c>
      <x:c r="I55" s="32" t="str">
        <x:v>El drain aumenta respecto de varios baselines de lectura, como era esperable por el WAL mucho mayor, pero no compromete la ejecución ni la integridad.</x:v>
      </x:c>
      <x:c r="J55" s="32" t="str">
        <x:v>Conservar WAL/drain como referencia para comparar escenarios ERROR y expiry posteriores.</x:v>
      </x:c>
      <x:c r="K55" s="32" t="str">
        <x:v>Accepted</x:v>
      </x:c>
      <x:c r="L55" s="32" t="str">
        <x:v>DEC-R35-019</x:v>
      </x:c>
    </x:row>
    <x:row r="56">
      <x:c r="A56" s="32" t="str">
        <x:v>F-C002-001</x:v>
      </x:c>
      <x:c r="B56" s="32" t="str">
        <x:v>23009c7e-3c7f-4c41-a045-cbfa1a648318</x:v>
      </x:c>
      <x:c r="C56" s="32" t="str">
        <x:v>C-002</x:v>
      </x:c>
      <x:c r="D56" s="32" t="n">
        <x:v>46259.909583333334</x:v>
      </x:c>
      <x:c r="E56" s="32" t="str">
        <x:v>Functional correctness</x:v>
      </x:c>
      <x:c r="F56" s="32" t="str">
        <x:v>Info</x:v>
      </x:c>
      <x:c r="G56" s="32" t="str">
        <x:v>TechnicalHold transitorio preserva exactamente la continuidad de Occurrence y Episode.</x:v>
      </x:c>
      <x:c r="H56" s="32" t="str">
        <x:v>WAL independiente: 3000 technical_hold_started + 3000 technical_hold_recovered, 0 expired; cada una de las 1000 alarmas tuvo 3 pares STARTED/RECOVERED y cada hold duró 10 s exactos. Occurrence STARTED=1000 bootstrap, CLOSED=0; Episode STARTED=100, CLOSED=0; assignment changes=1000; occurrence identity mismatches=0.</x:v>
      </x:c>
      <x:c r="I56" s="32" t="str">
        <x:v>El comportamiento durable coincide con el contrato: ERROR temporal no rompe continuidad si se recupera antes del grace de 300 s.</x:v>
      </x:c>
      <x:c r="J56" s="32" t="str">
        <x:v>Cerrar C-002 como PASS/GREEN y cambiar la siguiente dimensión a expiry/reappearance.</x:v>
      </x:c>
      <x:c r="K56" s="32" t="str">
        <x:v>Accepted</x:v>
      </x:c>
      <x:c r="L56" s="32" t="str">
        <x:v>DEC-R35-021</x:v>
      </x:c>
    </x:row>
    <x:row r="57">
      <x:c r="A57" s="32" t="str">
        <x:v>F-C002-002</x:v>
      </x:c>
      <x:c r="B57" s="32" t="str">
        <x:v>23009c7e-3c7f-4c41-a045-cbfa1a648318</x:v>
      </x:c>
      <x:c r="C57" s="32" t="str">
        <x:v>C-002</x:v>
      </x:c>
      <x:c r="D57" s="32" t="n">
        <x:v>46259.909583333334</x:v>
      </x:c>
      <x:c r="E57" s="32" t="str">
        <x:v>Performance / scheduling</x:v>
      </x:c>
      <x:c r="F57" s="32" t="str">
        <x:v>Info</x:v>
      </x:c>
      <x:c r="G57" s="32" t="str">
        <x:v>El churn de TechnicalHold sigue ampliamente dentro del periodo candidato.</x:v>
      </x:c>
      <x:c r="H57" s="32" t="str">
        <x:v>Global p50/p95/p99/max = 1052.14/1170.53/1677.62/1771.45 ms; 0 overruns. Iteraciones con trabajo durable: p95 1359.51 ms; iteraciones intermedias: p95 1084.18 ms. Start-to-start min/p50/p95/max = 5000.78/5001.39/5003.60/5004.38 ms.</x:v>
      </x:c>
      <x:c r="I57" s="32" t="str">
        <x:v>C-002 no presenta una rodilla de performance. El tail de las iteraciones con hold es algo mayor que C-001, pero conserva más de 3.6 s de margen p95 frente al periodo de 5 s.</x:v>
      </x:c>
      <x:c r="J57" s="32" t="str">
        <x:v>No aumentar simplemente el porcentaje de ERROR transitorio; probar expiración real.</x:v>
      </x:c>
      <x:c r="K57" s="32" t="str">
        <x:v>Accepted</x:v>
      </x:c>
      <x:c r="L57" s="32" t="str">
        <x:v>DEC-R35-021</x:v>
      </x:c>
    </x:row>
    <x:row r="58">
      <x:c r="A58" s="32" t="str">
        <x:v>F-C002-003</x:v>
      </x:c>
      <x:c r="B58" s="32" t="str">
        <x:v>23009c7e-3c7f-4c41-a045-cbfa1a648318</x:v>
      </x:c>
      <x:c r="C58" s="32" t="str">
        <x:v>C-002</x:v>
      </x:c>
      <x:c r="D58" s="32" t="n">
        <x:v>46259.909583333334</x:v>
      </x:c>
      <x:c r="E58" s="32" t="str">
        <x:v>Durability / memory</x:v>
      </x:c>
      <x:c r="F58" s="32" t="str">
        <x:v>Info</x:v>
      </x:c>
      <x:c r="G58" s="32" t="str">
        <x:v>La presión durable y la memoria permanecen acotadas durante 6000 transiciones ERROR↔ACTIVE.</x:v>
      </x:c>
      <x:c r="H58" s="32" t="str">
        <x:v>WAL 10,013,800 bytes en 700 commits; drain 1156.15 ms. Avg/peak RSS 136.11/136.20 MB; pendiente RSS segunda mitad ≈ +0.0011 MB/min. Source-load p95 11.77 ms; merge p95 0.505 ms. Job Runtime: resource_pressure_events=0, errors=0, warnings=0.</x:v>
      </x:c>
      <x:c r="I58" s="32" t="str">
        <x:v>No existe señal de fuga de memoria, duplicados, corrupción ni presión en loader/merge. La próxima prueba debe aumentar semántica, no volumen de la misma transición.</x:v>
      </x:c>
      <x:c r="J58" s="32" t="str">
        <x:v>Usar C-003 para TechnicalHold EXPIRED y reappearance post-expiry.</x:v>
      </x:c>
      <x:c r="K58" s="32" t="str">
        <x:v>Accepted</x:v>
      </x:c>
      <x:c r="L58" s="32" t="str">
        <x:v>DEC-R35-021</x:v>
      </x:c>
    </x:row>
    <x:row r="59">
      <x:c r="A59" s="32" t="str">
        <x:v>F-C003-001</x:v>
      </x:c>
      <x:c r="B59" s="32" t="str">
        <x:v>9db89add-7ec1-4a7c-b21d-995145c3d0c4</x:v>
      </x:c>
      <x:c r="C59" s="32" t="str">
        <x:v>C-003</x:v>
      </x:c>
      <x:c r="D59" s="32" t="n">
        <x:v>46259.940405092595</x:v>
      </x:c>
      <x:c r="E59" s="32" t="str">
        <x:v>Functional correctness</x:v>
      </x:c>
      <x:c r="F59" s="32" t="str">
        <x:v>Info</x:v>
      </x:c>
      <x:c r="G59" s="32" t="str">
        <x:v>Expiry y reappearance cerraron y recrearon la continuidad exactamente según contrato.</x:v>
      </x:c>
      <x:c r="H59" s="32" t="str">
        <x:v>WAL independiente: 400 commits únicos; 1000 TechnicalHold STARTED, 1000 EXPIRED, 0 RECOVERED; Occurrence STARTED=2000, CLOSED=1000 con reason technical_hold_expired; Episode STARTED=200, CLOSED=100 con reason technical_uncertainty; assignments=2000. Cada alarma tiene exactamente dos Occurrences y la final es distinta de la inicial.</x:v>
      </x:c>
      <x:c r="I59" s="32" t="str">
        <x:v>El grace de 300 s se ejercitó realmente. La recuperación posterior no revive la Occurrence antigua: crea una nueva continuidad durable.</x:v>
      </x:c>
      <x:c r="J59" s="32" t="str">
        <x:v>Cerrar C-003 como PASS/GREEN sin finding funcional abierto.</x:v>
      </x:c>
      <x:c r="K59" s="32" t="str">
        <x:v>Accepted</x:v>
      </x:c>
      <x:c r="L59" s="32" t="str">
        <x:v>DEC-R35-023</x:v>
      </x:c>
    </x:row>
    <x:row r="60">
      <x:c r="A60" s="32" t="str">
        <x:v>F-C003-002</x:v>
      </x:c>
      <x:c r="B60" s="32" t="str">
        <x:v>9db89add-7ec1-4a7c-b21d-995145c3d0c4</x:v>
      </x:c>
      <x:c r="C60" s="32" t="str">
        <x:v>C-003</x:v>
      </x:c>
      <x:c r="D60" s="32" t="n">
        <x:v>46259.940405092595</x:v>
      </x:c>
      <x:c r="E60" s="32" t="str">
        <x:v>Performance / scheduling</x:v>
      </x:c>
      <x:c r="F60" s="32" t="str">
        <x:v>Info</x:v>
      </x:c>
      <x:c r="G60" s="32" t="str">
        <x:v>Expiry/reappearance no introduce una frontera de scheduling pese a ser la ruta C más rica hasta ahora.</x:v>
      </x:c>
      <x:c r="H60" s="32" t="str">
        <x:v>Global p50/p95/p99/max = 988.52/1162.84/1274.61/1820.48 ms; 0 overruns. Las 31 iteraciones con commits tuvieron p95 ≈1263.43 ms; las 90 sin commit p95 ≈1025.05 ms. Start-to-start min/p50/p95/max = 5000.52/5001.30/5003.42/5005.10 ms. El máximo 1820.48 ms fue el bootstrap, no un expiry.</x:v>
      </x:c>
      <x:c r="I60" s="32" t="str">
        <x:v>No hay razón para aumentar población o duración de TechnicalHold dentro de R3.5C. La siguiente corrida debe cerrar un borde semántico distinto.</x:v>
      </x:c>
      <x:c r="J60" s="32" t="str">
        <x:v>Cambiar a alarma que nace en ERROR antes de entrar a presión C1/C2.</x:v>
      </x:c>
      <x:c r="K60" s="32" t="str">
        <x:v>Accepted</x:v>
      </x:c>
      <x:c r="L60" s="32" t="str">
        <x:v>DEC-R35-023</x:v>
      </x:c>
    </x:row>
    <x:row r="61">
      <x:c r="A61" s="32" t="str">
        <x:v>F-C003-003</x:v>
      </x:c>
      <x:c r="B61" s="32" t="str">
        <x:v>9db89add-7ec1-4a7c-b21d-995145c3d0c4</x:v>
      </x:c>
      <x:c r="C61" s="32" t="str">
        <x:v>C-003</x:v>
      </x:c>
      <x:c r="D61" s="32" t="n">
        <x:v>46259.940405092595</x:v>
      </x:c>
      <x:c r="E61" s="32" t="str">
        <x:v>Durability / memory</x:v>
      </x:c>
      <x:c r="F61" s="32" t="str">
        <x:v>Info</x:v>
      </x:c>
      <x:c r="G61" s="32" t="str">
        <x:v>C-003 redujo volumen durable respecto de C-001/C-002 y mantuvo memoria totalmente estable.</x:v>
      </x:c>
      <x:c r="H61" s="32" t="str">
        <x:v>WAL 6,904,500 bytes; 400 commits; drain 771.77 ms. Avg/peak RSS 136.26/136.34 MB; pendiente RSS segunda mitad ≈ +0.0006 MB/min. Source-load p95 11.07 ms; merge p95 0.443 ms. Job Runtime: 31 work iterations, 90 empty, resource_pressure_events=0, errors=0, warnings=0.</x:v>
      </x:c>
      <x:c r="I61" s="32" t="str">
        <x:v>La integridad y el materializado permanecen alineados bajo expiración masiva escalonada. No aparece deuda de WAL ni crecimiento de memoria.</x:v>
      </x:c>
      <x:c r="J61" s="32" t="str">
        <x:v>Conservar C-003 como baseline de expiry para futuras pruebas de crash/recovery en R3.5E.</x:v>
      </x:c>
      <x:c r="K61" s="32" t="str">
        <x:v>Accepted</x:v>
      </x:c>
      <x:c r="L61" s="32" t="str">
        <x:v>DEC-R35-023</x:v>
      </x:c>
    </x:row>
    <x:row r="62">
      <x:c r="A62" s="32" t="str">
        <x:v>F-C004-001</x:v>
      </x:c>
      <x:c r="B62" s="32" t="str">
        <x:v>f86db606-7094-4da9-b488-8fd58d9dac80</x:v>
      </x:c>
      <x:c r="C62" s="32" t="str">
        <x:v>C-004</x:v>
      </x:c>
      <x:c r="D62" s="32" t="n">
        <x:v>46259.961875</x:v>
      </x:c>
      <x:c r="E62" s="32" t="str">
        <x:v>Functional correctness</x:v>
      </x:c>
      <x:c r="F62" s="32" t="str">
        <x:v>Info</x:v>
      </x:c>
      <x:c r="G62" s="32" t="str">
        <x:v>ERROR sin continuidad previa es durablemente neutro y la primera ACTIVE crea continuidad exactamente una vez.</x:v>
      </x:c>
      <x:c r="H62" s="32" t="str">
        <x:v>Pre-activation lifecycle commits=0. WAL total: 200 commits únicos = 100 lifecycle + 100 evidence-only. Lifecycle: 1000 Occurrence STARTED, 100 Episode STARTED, 1000 assignments; no closes; TechnicalHold STARTED/CLEARED/EXPIRED=0. Final snapshots: 100 groups × 10 ACTIVE = 1000 hot states, 100 Episodes abiertos y 0 TechnicalHolds.</x:v>
      </x:c>
      <x:c r="I62" s="32" t="str">
        <x:v>El caso funcional C-004 queda validado: ERROR inicial no materializa continuidad y la primera activación no se trata como reappearance.</x:v>
      </x:c>
      <x:c r="J62" s="32" t="str">
        <x:v>Mantener adjudicación funcional PASS.</x:v>
      </x:c>
      <x:c r="K62" s="32" t="str">
        <x:v>Accepted</x:v>
      </x:c>
      <x:c r="L62" s="32" t="str">
        <x:v>DEC-R35-025</x:v>
      </x:c>
    </x:row>
    <x:row r="63">
      <x:c r="A63" s="32" t="str">
        <x:v>F-C004-002</x:v>
      </x:c>
      <x:c r="B63" s="32" t="str">
        <x:v>f86db606-7094-4da9-b488-8fd58d9dac80</x:v>
      </x:c>
      <x:c r="C63" s="32" t="str">
        <x:v>C-004</x:v>
      </x:c>
      <x:c r="D63" s="32" t="n">
        <x:v>46259.961875</x:v>
      </x:c>
      <x:c r="E63" s="32" t="str">
        <x:v>Performance / mixed-state hotspot</x:v>
      </x:c>
      <x:c r="F63" s="32" t="str">
        <x:v>Medium</x:v>
      </x:c>
      <x:c r="G63" s="32" t="str">
        <x:v>La convivencia ERROR-sin-continuidad + ACTIVE produce una campana de latencia severa; C-004-R1 confirmó que el costo persiste con composición fija 50/50.</x:v>
      </x:c>
      <x:c r="H63" s="32" t="str">
        <x:v>C-004: p95 6.63 s, 18 overruns; mediana ~7.08 s en 50/50. C-004-R1: bootstrap 1.25 s y luego 46 ciclos consecutivos sin writes con steady p50/p95=6.43/6.57 s, 46/47 overruns. La forma C-004 correlaciona con active_groups×neutral_groups en r≈0.9974.</x:v>
      </x:c>
      <x:c r="I63" s="32" t="str">
        <x:v>La reproducción descarta stagger, activaciones y saturación por escrituras como causa principal. Inspección de código muestra que cada grupo sin snapshot llama _has_durable_group_history(), que relee y recorre todo el durable journal cuando ya existe durable head.</x:v>
      </x:c>
      <x:c r="J63" s="32" t="str">
        <x:v>Ejecutar C-004-R2 para instrumentar y comprobar causalmente el history lookup antes de modificar producto.</x:v>
      </x:c>
      <x:c r="K63" s="32" t="str">
        <x:v>Accepted</x:v>
      </x:c>
      <x:c r="L63" s="32" t="str">
        <x:v>DEC-R35-027</x:v>
      </x:c>
    </x:row>
    <x:row r="64">
      <x:c r="A64" s="32" t="str">
        <x:v>F-C004-003</x:v>
      </x:c>
      <x:c r="B64" s="32" t="str">
        <x:v>f86db606-7094-4da9-b488-8fd58d9dac80</x:v>
      </x:c>
      <x:c r="C64" s="32" t="str">
        <x:v>C-004</x:v>
      </x:c>
      <x:c r="D64" s="32" t="n">
        <x:v>46259.961875</x:v>
      </x:c>
      <x:c r="E64" s="32" t="str">
        <x:v>Resource interpretation</x:v>
      </x:c>
      <x:c r="F64" s="32" t="str">
        <x:v>Info</x:v>
      </x:c>
      <x:c r="G64" s="32" t="str">
        <x:v>El finding no es de memoria ni de loader; el proceso permanece CPU-bound durante la banda lenta.</x:v>
      </x:c>
      <x:c r="H64" s="32" t="str">
        <x:v>Avg/peak process CPU=97.83%/100.58%; avg/peak RSS=134.12/135.42 MB. Job Runtime reportó cpu_limit_cores=8.0 y memory_limit≈15.43 GiB; resource_pressure_events no aparecen. Al 100% ACTIVE, con el mismo envelope, las iteraciones vuelven a ~1 s.</x:v>
      </x:c>
      <x:c r="I64" s="32" t="str">
        <x:v>Esto refuerza que los resultados actuales son Engine Characterization del envelope local y que el futuro sizing Docker debe hacerse aparte; primero debe aislarse este hotspot lógico/composicional.</x:v>
      </x:c>
      <x:c r="J64" s="32" t="str">
        <x:v>No usar C-004 para inferir todavía el sizing 1.5 CPU / 3 GB.</x:v>
      </x:c>
      <x:c r="K64" s="32" t="str">
        <x:v>Accepted</x:v>
      </x:c>
      <x:c r="L64" s="32" t="str">
        <x:v>DEC-R35-025</x:v>
      </x:c>
    </x:row>
    <x:row r="65">
      <x:c r="A65" s="32" t="str">
        <x:v>F-C004R1-001</x:v>
      </x:c>
      <x:c r="B65" s="32" t="str">
        <x:v>fdc14ae0-9854-41c3-9ab8-a0b05ad3915c</x:v>
      </x:c>
      <x:c r="C65" s="32" t="str">
        <x:v>C-004-R1</x:v>
      </x:c>
      <x:c r="D65" s="32" t="n">
        <x:v>46259.99119212963</x:v>
      </x:c>
      <x:c r="E65" s="32" t="str">
        <x:v>Functional correctness / durability</x:v>
      </x:c>
      <x:c r="F65" s="32" t="str">
        <x:v>Info</x:v>
      </x:c>
      <x:c r="G65" s="32" t="str">
        <x:v>La reproducción fija conserva exactamente la semántica esperada y no escribe después del bootstrap.</x:v>
      </x:c>
      <x:c r="H65" s="32" t="str">
        <x:v>WAL independiente: 50 commits únicos, grupos 001..050 una vez cada uno, 500 Occurrence STARTED, 50 Episode STARTED, 500 assignments, 500 evidence iniciales y 1000 Journey events. No hay commits posteriores, closes ni TechnicalHold. Final: 50 snapshots, 500 ACTIVE, 500 neutral.</x:v>
      </x:c>
      <x:c r="I65" s="32" t="str">
        <x:v>La degradación sostenida se observa sin churn ni presión de escritura, por lo que el finding de performance está separado de integridad y persistencia.</x:v>
      </x:c>
      <x:c r="J65" s="32" t="str">
        <x:v>Mantener R1 como reproducción autoritativa del hotspot.</x:v>
      </x:c>
      <x:c r="K65" s="32" t="str">
        <x:v>Accepted</x:v>
      </x:c>
      <x:c r="L65" s="32" t="str">
        <x:v>DEC-R35-027</x:v>
      </x:c>
    </x:row>
    <x:row r="66">
      <x:c r="A66" s="32" t="str">
        <x:v>F-C004R1-002</x:v>
      </x:c>
      <x:c r="B66" s="32" t="str">
        <x:v>fdc14ae0-9854-41c3-9ab8-a0b05ad3915c</x:v>
      </x:c>
      <x:c r="C66" s="32" t="str">
        <x:v>C-004-R1</x:v>
      </x:c>
      <x:c r="D66" s="32" t="n">
        <x:v>46259.99119212963</x:v>
      </x:c>
      <x:c r="E66" s="32" t="str">
        <x:v>Root-cause candidate</x:v>
      </x:c>
      <x:c r="F66" s="32" t="str">
        <x:v>Medium</x:v>
      </x:c>
      <x:c r="G66" s="32" t="str">
        <x:v>La verificación de historia durable por grupo sin snapshot es consistente con toda la forma de la degradación.</x:v>
      </x:c>
      <x:c r="H66" s="32" t="str">
        <x:v>AlarmRuntimeComposition.load_group() consulta _has_durable_group_history() cuando read_snapshot() es None. _has_durable_group_history() llama read_head() y luego any(...) sobre persistence.read_durable_records(). En R1 hay 50 grupos sin snapshot y 50 records durables; la misma historia se relee repetidamente cada ciclo. En C-004 el término active_groups×neutral_groups predice la campana observada con r≈0.9974.</x:v>
      </x:c>
      <x:c r="I66" s="32" t="str">
        <x:v>La coincidencia es fuerte pero aún requiere aislamiento causal. Una optimización productiva no debe aplicarse hasta medir call count/time y demostrar que resolver la misma pregunta desde un índice/set por ciclo elimina la latencia sin debilitar las garantías de corrupción/recovery.</x:v>
      </x:c>
      <x:c r="J66" s="32" t="str">
        <x:v>Diseñar/ejecutar C-004-R2 con instrumentación focal y POC semánticamente equivalente.</x:v>
      </x:c>
      <x:c r="K66" s="32" t="str">
        <x:v>Accepted</x:v>
      </x:c>
      <x:c r="L66" s="32" t="str">
        <x:v>DEC-R35-027</x:v>
      </x:c>
    </x:row>
    <x:row r="67">
      <x:c r="A67" s="32" t="str">
        <x:v>F-C004R2-001</x:v>
      </x:c>
      <x:c r="B67" s="32" t="str">
        <x:v>local-isolated-poc</x:v>
      </x:c>
      <x:c r="C67" s="32" t="str">
        <x:v>C-004-R2</x:v>
      </x:c>
      <x:c r="D67" s="32" t="n">
        <x:v>46260.805555555555</x:v>
      </x:c>
      <x:c r="E67" s="32" t="str">
        <x:v>Root-cause isolation / POC</x:v>
      </x:c>
      <x:c r="F67" s="32" t="str">
        <x:v>Info</x:v>
      </x:c>
      <x:c r="G67" s="32" t="str">
        <x:v>El lookup indexado por ciclo elimina casi todo el costo aislado observado en el volumen autoritativo de R1.</x:v>
      </x:c>
      <x:c r="H67" s="32" t="str">
        <x:v>Sobre el WAL real de R1 (50 records / 1.015 MB), 3 ciclos baseline de 50 lookups tardaron 6567.58/6209.24/6406.58 ms y ejecutaron 150 scans / 7500 entries. Indexed tardó 127.79/129.19/124.88 ms con 3 scans / 150 entries. Las 50 consultas neutrales devolvieron exactamente el mismo resultado funcional.</x:v>
      </x:c>
      <x:c r="I67" s="32" t="str">
        <x:v>La evidencia aislada es causalmente muy fuerte y explica prácticamente todo el p50 ~6.43 s de R1. Aun así, el cambio permanece sólo en el harness hasta confirmar el ciclo Runtime completo en el host autoritativo.</x:v>
      </x:c>
      <x:c r="J67" s="32" t="str">
        <x:v>Ejecutar C-004-R2 end-to-end con lookup_mode=indexed; si vuelve al rango ~1–1.5 s, cerrar causalidad y diseñar fix productivo.</x:v>
      </x:c>
      <x:c r="K67" s="32" t="str">
        <x:v>Accepted</x:v>
      </x:c>
      <x:c r="L67" s="32" t="str">
        <x:v>DEC-R35-028</x:v>
      </x:c>
    </x:row>
    <x:row r="68">
      <x:c r="A68" s="32" t="str">
        <x:v>F-C004R2-002</x:v>
      </x:c>
      <x:c r="B68" s="32" t="str">
        <x:v>5669a356-5857-440d-941e-17cc8f6f5251</x:v>
      </x:c>
      <x:c r="C68" s="32" t="str">
        <x:v>C-004-R2</x:v>
      </x:c>
      <x:c r="D68" s="32" t="n">
        <x:v>46260.810752314814</x:v>
      </x:c>
      <x:c r="E68" s="32" t="str">
        <x:v>Root-cause confirmation</x:v>
      </x:c>
      <x:c r="F68" s="32" t="str">
        <x:v>Info</x:v>
      </x:c>
      <x:c r="G68" s="32" t="str">
        <x:v>La lectura repetida del journal durable por cada grupo sin snapshot queda causalmente confirmada como origen del hotspot mixed-state.</x:v>
      </x:c>
      <x:c r="H68" s="32" t="str">
        <x:v>Mismo 50/50 de R1: R1 p95=6569.58 ms con 46/47 overruns; R2 indexed p95=992.88 ms y 0/37 overruns. R2 hizo 1900 history lookups, 36 journal scans, 1800 record entries vistos y 36 index builds. Cada scan vio exactamente 50 durable records. WAL/snapshot/integridad son idénticos a R1.</x:v>
      </x:c>
      <x:c r="I68" s="32" t="str">
        <x:v>El cambio de complejidad intra-ciclo explica la recuperación: se mantiene la pregunta de integridad para cada grupo, pero la fuente durable se recorre una sola vez por ciclo. La evidencia aislada y end-to-end convergen.</x:v>
      </x:c>
      <x:c r="J68" s="32" t="str">
        <x:v>Cerrar aislamiento causal. Siguiente paso sujeto a acuerdo: implementar la misma estrategia como contrato productivo cycle-scoped y ejecutar C-004-R3 sin override del harness.</x:v>
      </x:c>
      <x:c r="K68" s="32" t="str">
        <x:v>Accepted</x:v>
      </x:c>
      <x:c r="L68" s="32" t="str">
        <x:v>DEC-R35-029</x:v>
      </x:c>
    </x:row>
    <x:row r="69">
      <x:c r="A69" s="32" t="str">
        <x:v>F-C004R3-001</x:v>
      </x:c>
      <x:c r="B69" s="32" t="str">
        <x:v>pre-run-product-fix</x:v>
      </x:c>
      <x:c r="C69" s="32" t="str">
        <x:v>C-004-R3</x:v>
      </x:c>
      <x:c r="D69" s="32" t="n">
        <x:v>46260.82777777778</x:v>
      </x:c>
      <x:c r="E69" s="32" t="str">
        <x:v>Product fix implementation</x:v>
      </x:c>
      <x:c r="F69" s="32" t="str">
        <x:v>Info</x:v>
      </x:c>
      <x:c r="G69" s="32" t="str">
        <x:v>El fix productivo traslada la optimización de R2 sin cache global y preserva el contrato fail-closed.</x:v>
      </x:c>
      <x:c r="H69" s="32" t="str">
        <x:v>AlarmOperationalCycle usa load_groups() una vez por ciclo. La composición lee snapshots del lote; si alguno falta, construye una sola pertenencia desde el durable journal para todos los faltantes. Si todos los snapshots existen, no lee durable records. 238 tests locales adaptados verdes.</x:v>
      </x:c>
      <x:c r="I69" s="32" t="str">
        <x:v>La implementación conserva la semántica individual load_group() y evita estado mutable entre ciclos. El smoke detectó y corrigió una colisión de nombre con el campo interno del harness R2 antes de empaquetar.</x:v>
      </x:c>
      <x:c r="J69" s="32" t="str">
        <x:v>Ejecutar C-004-R3 autoritativo 300 s sin durable_history_lookup_mode=indexed.</x:v>
      </x:c>
      <x:c r="K69" s="32" t="str">
        <x:v>Accepted</x:v>
      </x:c>
      <x:c r="L69" s="32" t="str">
        <x:v>DEC-R35-030</x:v>
      </x:c>
    </x:row>
    <x:row r="70">
      <x:c r="A70" s="32" t="str">
        <x:v>F-C004R3-002</x:v>
      </x:c>
      <x:c r="B70" s="32" t="str">
        <x:v>aaa915fa-41f3-4bac-8778-35c764634764</x:v>
      </x:c>
      <x:c r="C70" s="32" t="str">
        <x:v>C-004-R3</x:v>
      </x:c>
      <x:c r="D70" s="32" t="n">
        <x:v>46260.85099537037</x:v>
      </x:c>
      <x:c r="E70" s="32" t="str">
        <x:v>Product regression closure</x:v>
      </x:c>
      <x:c r="F70" s="32" t="str">
        <x:v>Info</x:v>
      </x:c>
      <x:c r="G70" s="32" t="str">
        <x:v>El fix productivo 0.14.2 elimina el hotspot sin override del harness y mantiene intacta la semántica 50/50.</x:v>
      </x:c>
      <x:c r="H70" s="32" t="str">
        <x:v>Harness lookup mode=baseline; p50/p95=956.86/987.97 ms; 0/61 overruns. Steady p95≈980.52 ms. WAL: 50 lifecycle bootstrap + 50 evidence-only al minuto 5; all records runtime_artifact_version=0.14.2. Snapshot final=500 ACTIVE; 500 neutral; 0 holds.</x:v>
      </x:c>
      <x:c r="I70" s="32" t="str">
        <x:v>R1→R2→R3 cierra la cadena reproducir→aislar→corregir: 6.57 s baseline antiguo, 0.99 s POC indexed y 0.99 s producto 0.14.2. No queda finding abierto de este hotspot.</x:v>
      </x:c>
      <x:c r="J70" s="32" t="str">
        <x:v>Cerrar C-004 product regression y cambiar la dimensión de R3.5C a routing C1.</x:v>
      </x:c>
      <x:c r="K70" s="32" t="str">
        <x:v>Accepted</x:v>
      </x:c>
      <x:c r="L70" s="32" t="str">
        <x:v>DEC-R35-031</x:v>
      </x:c>
    </x:row>
    <x:row r="71">
      <x:c r="A71" s="32" t="str">
        <x:v>F-C005-001</x:v>
      </x:c>
      <x:c r="B71" s="32" t="str">
        <x:v>c3547859-d2f4-4280-8359-e9913eb80e75</x:v>
      </x:c>
      <x:c r="C71" s="32" t="str">
        <x:v>C-005</x:v>
      </x:c>
      <x:c r="D71" s="32" t="n">
        <x:v>46260.87045138889</x:v>
      </x:c>
      <x:c r="E71" s="32" t="str">
        <x:v>C1 routing / performance</x:v>
      </x:c>
      <x:c r="F71" s="32" t="str">
        <x:v>Info</x:v>
      </x:c>
      <x:c r="G71" s="32" t="str">
        <x:v>C1 immediate fan-out a cuatro Tools por alarma aumenta estado durable, pero no degrada el steady cycle.</x:v>
      </x:c>
      <x:c r="H71" s="32" t="str">
        <x:v>4000 ASSIGNED exactos, 0 scheduled/rescheduled/removed, 0 pending. Global p95=978.11 ms y steady p95≈974.86 ms, 0 overruns. WAL=4,994,900 bytes y peak RSS=144.15 MB; frente a C-004-R3 son ~3.34× WAL y +11.26 MB RSS, mientras el p95 permanece prácticamente igual.</x:v>
      </x:c>
      <x:c r="I71" s="32" t="str">
        <x:v>El costo C1 está concentrado en materialización/bootstrap y evidencia con snapshots mayores, no en la evaluación estable. No hay razón para aumentar fan-out C1 antes de ejercer pending timers C2.</x:v>
      </x:c>
      <x:c r="J71" s="32" t="str">
        <x:v>Cerrar C-005 PASS/GREEN y cambiar a C2 delayed routing con tres deadlines dentro del run.</x:v>
      </x:c>
      <x:c r="K71" s="32" t="str">
        <x:v>Accepted</x:v>
      </x:c>
      <x:c r="L71" s="32" t="str">
        <x:v>DEC-R35-033</x:v>
      </x:c>
    </x:row>
    <x:row r="72">
      <x:c r="A72" s="32" t="str">
        <x:v>F-C006-001</x:v>
      </x:c>
      <x:c r="B72" s="32" t="str">
        <x:v>bccad405-b4a3-4d37-aced-d232a39dec33</x:v>
      </x:c>
      <x:c r="C72" s="32" t="str">
        <x:v>C-006</x:v>
      </x:c>
      <x:c r="D72" s="32" t="n">
        <x:v>46260.94861111111</x:v>
      </x:c>
      <x:c r="E72" s="32" t="str">
        <x:v>C2 delayed routing / temporal progression</x:v>
      </x:c>
      <x:c r="F72" s="32" t="str">
        <x:v>Info</x:v>
      </x:c>
      <x:c r="G72" s="32" t="str">
        <x:v>C2 pending routing cumple exactamente deadlines y materialización intermedia; las olas durables duplican temporalmente el costo de ciclo pero permanecen ampliamente dentro del budget de 5 s.</x:v>
      </x:c>
      <x:c r="H72" s="32" t="str">
        <x:v>Waves exactas: 1000/3000 bootstrap, 2000/2000 +60 s, 3000/1000 +120 s, 4000/0 +180 s. Wave durations≈1.95/1.98/1.98 s; global p95=1.95 s; steady p95≈0.985 s; 0 overruns. WAL=9.145 MB, peak RSS=145.77 MB, journal aligned.</x:v>
      </x:c>
      <x:c r="I72" s="32" t="str">
        <x:v>La progresión temporal base queda cerrada. El siguiente riesgo semántico no es más carga C2 estable, sino reconciliar pending assignments contra una nueva revisión de configuración.</x:v>
      </x:c>
      <x:c r="J72" s="32" t="str">
        <x:v>Cerrar C-006 PASS/GREEN y diseñar C-007 como dos ejecuciones sobre el mismo volumen para ejercer RESCHEDULED en un límite de configuración, no como refresh artificial dentro de la ventana.</x:v>
      </x:c>
      <x:c r="K72" s="32" t="str">
        <x:v>Accepted</x:v>
      </x:c>
      <x:c r="L72" s="32" t="str">
        <x:v>DEC-R35-035</x:v>
      </x:c>
    </x:row>
    <x:row r="73">
      <x:c r="A73" s="32" t="str">
        <x:v>F-C007-001</x:v>
      </x:c>
      <x:c r="B73" s="32" t="str">
        <x:v>52e52d15-ab29-4d02-ae0b-db8ef8b4346b</x:v>
      </x:c>
      <x:c r="C73" s="32" t="str">
        <x:v>C-007</x:v>
      </x:c>
      <x:c r="D73" s="32" t="n">
        <x:v>46260.992430555554</x:v>
      </x:c>
      <x:c r="E73" s="32" t="str">
        <x:v>C2 configuration adoption / RESCHEDULED</x:v>
      </x:c>
      <x:c r="F73" s="32" t="str">
        <x:v>Info</x:v>
      </x:c>
      <x:c r="G73" s="32" t="str">
        <x:v>La reconciliación AC-1→AC-2 reprograma exactamente los 3000 destinos pendientes sin recrear continuidad ni degradar el steady cycle.</x:v>
      </x:c>
      <x:c r="H73" s="32" t="str">
        <x:v>3000 RESCHEDULED exactos en 100 commits; offsets nuevos +90/+150/+210 s ×1000; occurrence_identity_mismatches=0; state_basis final AC-2 con occurrence start revision AC-1. p95 global=1.924 s, 0 overruns; steady p95≈0.984 s. WAL=10.663 MB; peak RSS=150.37 MB.</x:v>
      </x:c>
      <x:c r="I73" s="32" t="str">
        <x:v>RESCHEDULED queda cerrado. El costo adicional está limitado a adopción y olas durables; no existe degradación sostenida. La siguiente semántica de routing pendiente es REMOVED.</x:v>
      </x:c>
      <x:c r="J73" s="32" t="str">
        <x:v>Cerrar C-007 PASS/GREEN y diseñar C-008 como eliminación de destinos en una nueva ventana, cubriendo un destino ya reached y dos pending sin mezclar reschedule ni alarm removal.</x:v>
      </x:c>
      <x:c r="K73" s="32" t="str">
        <x:v>Accepted</x:v>
      </x:c>
      <x:c r="L73" s="32" t="str">
        <x:v>DEC-R35-037</x:v>
      </x:c>
    </x:row>
    <x:row r="74">
      <x:c r="A74" s="32" t="str">
        <x:v>F-C008-001</x:v>
      </x:c>
      <x:c r="B74" s="32" t="str">
        <x:v>d54b12b9-0300-48c4-a869-7c8402b7beba</x:v>
      </x:c>
      <x:c r="C74" s="32" t="str">
        <x:v>C-008</x:v>
      </x:c>
      <x:c r="D74" s="32" t="n">
        <x:v>46261.02116898148</x:v>
      </x:c>
      <x:c r="E74" s="32" t="str">
        <x:v>C2 configuration adoption / REMOVED</x:v>
      </x:c>
      <x:c r="F74" s="32" t="str">
        <x:v>Info</x:v>
      </x:c>
      <x:c r="G74" s="32" t="str">
        <x:v>C2 destination removal elimina correctamente tanto routing ya materializado como pending, sin recrear Occurrences ni dejar timers residuales.</x:v>
      </x:c>
      <x:c r="H74" s="32" t="str">
        <x:v>3000 REMOVED exactos: route-01/02/03=1000 cada uno; split reached/pending=1000/2000; REMOVED due_at=null; no records posteriores pese a cruzar antiguos deadlines +120/+180. p95=1.603 s, steady p95≈0.984 s, 0 overruns; WAL=7.696 MB; peak RSS=152.84 MB.</x:v>
      </x:c>
      <x:c r="I74" s="32" t="str">
        <x:v>REMOVED queda cerrado y con él se completa la matriz routing R3.5C: C1 immediate, C2 scheduled/deadlines, RESCHEDULED y REMOVED con continuidad durable.</x:v>
      </x:c>
      <x:c r="J74" s="32" t="str">
        <x:v>Cerrar C-008 PASS/GREEN, cerrar R3.5C 11/11 y abrir R3.5D con D-001 Single ManagementAction.</x:v>
      </x:c>
      <x:c r="K74" s="32" t="str">
        <x:v>Accepted</x:v>
      </x:c>
      <x:c r="L74" s="32" t="str">
        <x:v>DEC-R35-039</x:v>
      </x:c>
    </x:row>
    <x:row r="75">
      <x:c r="A75" s="32" t="str">
        <x:v>F-D001-001</x:v>
      </x:c>
      <x:c r="B75" s="32" t="str">
        <x:v>3204ca5b-1be9-4968-b9c0-c0b2fb6ede3e</x:v>
      </x:c>
      <x:c r="C75" s="32" t="str">
        <x:v>D-001</x:v>
      </x:c>
      <x:c r="D75" s="32" t="n">
        <x:v>46261.06543981482</x:v>
      </x:c>
      <x:c r="E75" s="32" t="str">
        <x:v>Management durable baseline</x:v>
      </x:c>
      <x:c r="F75" s="32" t="str">
        <x:v>Info</x:v>
      </x:c>
      <x:c r="G75" s="32" t="str">
        <x:v>Una ManagementAction individual atraviesa el consumer durable con receipt-before-cursor exacto y costo de ciclo cercano al steady baseline.</x:v>
      </x:c>
      <x:c r="H75" s="32" t="str">
        <x:v>Input→receipt=997.95 ms; management iteration=1017.67 ms; global p95=1006.57 ms; steady p95≈935.46 ms; 1 EFFECTIVE receipt, 1 STARTED effect, cursor=256, pending=0, WAL=2.038 MB, peak RSS=136.63 MB.</x:v>
      </x:c>
      <x:c r="I75" s="32" t="str">
        <x:v>El baseline no muestra deuda ni costo durable inesperado. La siguiente dimensión útil es arrival-rate sostenido, manteniendo cada acción EFFECTIVE para aislar throughput del consumer.</x:v>
      </x:c>
      <x:c r="J75" s="32" t="str">
        <x:v>Cerrar D-001 PASS/GREEN y diseñar D-002 a 1 ManagementAction/s con targets únicos distribuidos entre priority groups.</x:v>
      </x:c>
      <x:c r="K75" s="32" t="str">
        <x:v>Accepted</x:v>
      </x:c>
      <x:c r="L75" s="32" t="str">
        <x:v>DEC-R35-041</x:v>
      </x:c>
    </x:row>
    <x:row r="76">
      <x:c r="A76" s="32" t="str">
        <x:v>F-D002-001</x:v>
      </x:c>
      <x:c r="B76" s="32" t="str">
        <x:v>b318a6a4-d160-4b05-a5eb-300d7110040c</x:v>
      </x:c>
      <x:c r="C76" s="32" t="str">
        <x:v>D-002</x:v>
      </x:c>
      <x:c r="D76" s="32" t="n">
        <x:v>46261.09011574074</x:v>
      </x:c>
      <x:c r="E76" s="32" t="str">
        <x:v>Generic Job Runtime lease heartbeat / fenced mutation coordination</x:v>
      </x:c>
      <x:c r="F76" s="32" t="str">
        <x:v>High</x:v>
      </x:c>
      <x:c r="G76" s="32" t="str">
        <x:v>El heartbeat de ExecutionLease puede declararse fallido por no adquirir el PhysicalAuthorityFence dentro de 5 s mientras el mismo proceso realiza una secuencia legítima de fenced mutations, aun cuando owner/generation siguen válidos y el lease no ha expirado.</x:v>
      </x:c>
      <x:c r="H76" s="32" t="str">
        <x:v>D-002: 540/540 Management inputs ya durables; al segundo evidence tick (+600 s), 100 records se publican durable. Sólo 76 snapshots alcanzan materialización antes de LeaseRenewalError; 24 quedan para recovery. journal-head durable=02:09:40 group-100 vs materialized=02:09:10 group-040. POC independiente reproduce LeaseRenewalError manteniendo un fenced_mutation legítimo más allá de la ventana de adquisición del heartbeat, con lease file todavía owned/unexpired.</x:v>
      </x:c>
      <x:c r="I76" s="32" t="str">
        <x:v>No hay pérdida durable ni stale writer: el sistema falla cerrado y Recovery puede converger 24 applied + 76 skipped. Sin embargo, una carga legítima puede abortar cualquier job que mantenga/requiera fences durante suficiente tiempo, por lo que el defecto es transversal a atlanticus-job-runtime 0.7.0 y bloquea continuar R3.5D.</x:v>
      </x:c>
      <x:c r="J76" s="32" t="str">
        <x:v>CLOSED after clean D-002 rerun under atlanticus-job-runtime 0.7.1. The exact workload crossed the +600 s 100-group evidence wave without LeaseRenewalError; execution completed successfully and journal heads aligned. The generic fix is therefore confirmed end-to-end.</x:v>
      </x:c>
      <x:c r="K76" s="32" t="str">
        <x:v>Closed</x:v>
      </x:c>
      <x:c r="L76" s="32" t="str">
        <x:v>DEC-R35-046</x:v>
      </x:c>
    </x:row>
    <x:row r="77">
      <x:c r="A77" s="32" t="str">
        <x:v>F-D002-002</x:v>
      </x:c>
      <x:c r="B77" s="32" t="str">
        <x:v>5e7bd0dc-d6b9-4556-a3bd-8b81a3eb3478</x:v>
      </x:c>
      <x:c r="C77" s="32" t="str">
        <x:v>D-002</x:v>
      </x:c>
      <x:c r="D77" s="32" t="n">
        <x:v>46261.163518518515</x:v>
      </x:c>
      <x:c r="E77" s="32" t="str">
        <x:v>Sustained Management 1/s characterization</x:v>
      </x:c>
      <x:c r="F77" s="32" t="str">
        <x:v>Info</x:v>
      </x:c>
      <x:c r="G77" s="32" t="str">
        <x:v>El consumer durable sostiene 1 ManagementAction/s durante 540 inputs con batching natural de hasta 5 por ciclo, sin backlog, pérdida, duplicados ni cambio de identidad.</x:v>
      </x:c>
      <x:c r="H77" s="32" t="str">
        <x:v>540/540 EFFECTIVE + 540 STARTED; batches 1×1, 107×5, 1×4; cursor=138240; pending/high-water=0/0; input→receipt p50/p95/p99/max=3125.85/5212.46/5246.56/5919.02 ms; iteration p95=1057.78 ms; 0 overruns; WAL=835 records / 8.026 MB; peak RSS=137.83 MB.</x:v>
      </x:c>
      <x:c r="I77" s="32" t="str">
        <x:v>La latencia input→receipt está dominada por la espera hasta el siguiente ciclo de 5 s más ~1 s de procesamiento; no aparece backlog acumulativo. La siguiente dimensión independiente es absorción de burst instantáneo.</x:v>
      </x:c>
      <x:c r="J77" s="32" t="str">
        <x:v>Cerrar D-002 PASS/GREEN y avanzar a diseño D-003 Management burst 50, usando targets únicos en 50 grupos y un run corto que evite mezclar la ola periódica de evidencia.</x:v>
      </x:c>
      <x:c r="K77" s="32" t="str">
        <x:v>Accepted</x:v>
      </x:c>
      <x:c r="L77" s="32" t="str">
        <x:v>DEC-R35-047</x:v>
      </x:c>
    </x:row>
    <x:row r="78">
      <x:c r="A78" s="32" t="str">
        <x:v>F-D003-001</x:v>
      </x:c>
      <x:c r="B78" s="32" t="str">
        <x:v>8f918b47-edd2-46e7-bc0b-de8a4206183a</x:v>
      </x:c>
      <x:c r="C78" s="32" t="str">
        <x:v>D-003</x:v>
      </x:c>
      <x:c r="D78" s="32" t="n">
        <x:v>46261.58613425926</x:v>
      </x:c>
      <x:c r="E78" s="32" t="str">
        <x:v>Management burst 50 absorption</x:v>
      </x:c>
      <x:c r="F78" s="32" t="str">
        <x:v>Info</x:v>
      </x:c>
      <x:c r="G78" s="32" t="str">
        <x:v>Un burst simultáneo de 50 ManagementAction se absorbe íntegramente en la primera iteración elegible, sin backlog ni pérdida de identidad.</x:v>
      </x:c>
      <x:c r="H78" s="32" t="str">
        <x:v>first batch=50/50, one nonempty batch, 50 EFFECTIVE + 50 STARTED, lost/duplicates=0/0, pending/high-water=0/0, cursor=12800, receipt-before-cursor=50/50, input→receipt=1393.99 ms para las 50 acciones, burst iteration=1379.08 ms, global p95=1295.43 ms, 0 overruns, WAL=150 records / 2.377 MB, peak RSS=136.86 MB.</x:v>
      </x:c>
      <x:c r="I78" s="32" t="str">
        <x:v>No se observa cap interno por debajo de 50 ni deuda transitoria. La siguiente presión útil es duplicar el burst a 100, cubriendo los 100 priority groups en el mismo ciclo.</x:v>
      </x:c>
      <x:c r="J78" s="32" t="str">
        <x:v>Cerrar D-003 PASS/GREEN y ejecutar D-004 burst 100 con el mismo harness.</x:v>
      </x:c>
      <x:c r="K78" s="32" t="str">
        <x:v>Accepted</x:v>
      </x:c>
      <x:c r="L78" s="32" t="str">
        <x:v>DEC-R35-049</x:v>
      </x:c>
    </x:row>
    <x:row r="79">
      <x:c r="A79" s="32" t="str">
        <x:v>F-D004-001</x:v>
      </x:c>
      <x:c r="B79" s="32" t="str">
        <x:v>248c19b9-3f16-471c-b1cf-0d730744b47a</x:v>
      </x:c>
      <x:c r="C79" s="32" t="str">
        <x:v>D-004</x:v>
      </x:c>
      <x:c r="D79" s="32" t="n">
        <x:v>46261.59961805555</x:v>
      </x:c>
      <x:c r="E79" s="32" t="str">
        <x:v>Management burst 100 absorption</x:v>
      </x:c>
      <x:c r="F79" s="32" t="str">
        <x:v>Info</x:v>
      </x:c>
      <x:c r="G79" s="32" t="str">
        <x:v>Un burst simultáneo de 100 ManagementAction, una por priority group, se absorbe íntegramente en la primera iteración elegible sin backlog ni pérdida de identidad.</x:v>
      </x:c>
      <x:c r="H79" s="32" t="str">
        <x:v>first batch=100/100, one nonempty batch, 100 EFFECTIVE + 100 STARTED, lost/duplicates=0/0, pending/high-water=0/0, cursor=25600, receipt-before-cursor=100/100, input→receipt=1727.51 ms para todas, burst iteration=1716.54 ms, global p95=1563.58 ms, 0 overruns, WAL=200 records / 2.722 MB, peak RSS=137.16 MB.</x:v>
      </x:c>
      <x:c r="I79" s="32" t="str">
        <x:v>No aparece cap interno ni deuda transitoria al cubrir simultáneamente los 100 grupos. D-004 sigue GREEN; duplicar 50→100 incrementa el costo del burst ~24.5%, no 100%, bajo este workload.</x:v>
      </x:c>
      <x:c r="J79" s="32" t="str">
        <x:v>Cerrar D-004 PASS/GREEN y cambiar de dimensión a DeactivationDecision baseline.</x:v>
      </x:c>
      <x:c r="K79" s="32" t="str">
        <x:v>Accepted</x:v>
      </x:c>
      <x:c r="L79" s="32" t="str">
        <x:v>DEC-R35-051</x:v>
      </x:c>
    </x:row>
    <x:row r="80">
      <x:c r="A80" s="32" t="str">
        <x:v>F-D005-001</x:v>
      </x:c>
      <x:c r="B80" s="32" t="str">
        <x:v>fa708376-dcb7-4fa4-b8af-ec09ea6bb5b5</x:v>
      </x:c>
      <x:c r="C80" s="32" t="str">
        <x:v>D-005</x:v>
      </x:c>
      <x:c r="D80" s="32" t="n">
        <x:v>46261.63972222222</x:v>
      </x:c>
      <x:c r="E80" s="32" t="str">
        <x:v>Single DeactivationDecision causal/durable baseline</x:v>
      </x:c>
      <x:c r="F80" s="32" t="str">
        <x:v>Info</x:v>
      </x:c>
      <x:c r="G80" s="32" t="str">
        <x:v>Una DeactivationDecision APPROVED individual conserva causalidad exacta con su DeactivationRequest y occurrence, sin abrir backlog ni extender la ventana de desactivación desde la aprobación.</x:v>
      </x:c>
      <x:c r="H80" s="32" t="str">
        <x:v>Exactos: 1 request/PENDING_APPROVAL, 1 request durable approval_required=true, 1 decision/APPLIED, 1 ManagementEffect STARTED, 1 DeactivationEffect STARTED, 0 CLEARED; management/decision cursors=256/256; pending final=0/0/0; pending-request high-water=1; remaining window=270 s; decision input→receipt=981.46 ms; iteration p95=1.170 s; 0 overruns; WAL=102 records / 2.046 MB; durable==materialized.</x:v>
      </x:c>
      <x:c r="I80" s="32" t="str">
        <x:v>D-005 cierra el baseline de decisión individual. El siguiente riesgo útil es throughput sostenido de decisiones, pero para atribuir costo al decision consumer conviene pre-provisionar requests durables y medir las decisiones en una segunda fase sobre el mismo volumen.</x:v>
      </x:c>
      <x:c r="J80" s="32" t="str">
        <x:v>Cerrar D-005 PASS/GREEN y proponer D-006 como prueba two-phase: provisioning canónico de requests seguido por DeactivationDecision APPROVED a 1/s.</x:v>
      </x:c>
      <x:c r="K80" s="32" t="str">
        <x:v>Accepted</x:v>
      </x:c>
      <x:c r="L80" s="32" t="str">
        <x:v>DEC-R35-054</x:v>
      </x:c>
    </x:row>
    <x:row r="81">
      <x:c r="A81" s="32" t="str">
        <x:v>F-D006-001</x:v>
      </x:c>
      <x:c r="B81" s="32" t="str">
        <x:v>4a45dc70-1f12-47dc-8687-79f59a94b3db</x:v>
      </x:c>
      <x:c r="C81" s="32" t="str">
        <x:v>D-006</x:v>
      </x:c>
      <x:c r="D81" s="32" t="n">
        <x:v>46261.71229166667</x:v>
      </x:c>
      <x:c r="E81" s="32" t="str">
        <x:v>Sustained DeactivationDecision 1/s characterization</x:v>
      </x:c>
      <x:c r="F81" s="32" t="str">
        <x:v>Info</x:v>
      </x:c>
      <x:c r="G81" s="32" t="str">
        <x:v>El decision consumer sostiene 540 DeactivationDecision APPROVED a 1/s sin backlog ni pérdida; la latencia end-to-end refleja la cadencia de 5 s y la elegibilidad temporal por iteration.as_of.</x:v>
      </x:c>
      <x:c r="H81" s="32" t="str">
        <x:v>540/540 APPLIED y 540 STARTED; batches 106×5 + 2×2 + 1×6; decision input→receipt p50/p95/p99/max=4060.15/6107.42/6166.73/6807.17 ms; iteration p95=1060.12 ms, max=1932.63 ms, 0 overruns. WAL=1570 records / 15.161 MB; cursors=138240/138240; pending final=0/0/0; all 540 remaining windows=1197 s.</x:v>
      </x:c>
      <x:c r="I81" s="32" t="str">
        <x:v>El p95 decision→receipt supera 5 s porque una decisión que llega después del snapshot temporal de un ciclo espera legítimamente al siguiente, además del ~1 s de procesamiento. Frente a D-002 Management 1/s, el p95 aumenta ~17.2%, pero no existe backlog y el ciclo global usa ~21.2% del presupuesto de 5 s.</x:v>
      </x:c>
      <x:c r="J81" s="32" t="str">
        <x:v>Cerrar D-006 PASS/GREEN y avanzar al diseño D-007 Decision burst 50 two-phase.</x:v>
      </x:c>
      <x:c r="K81" s="32" t="str">
        <x:v>Accepted</x:v>
      </x:c>
      <x:c r="L81" s="32" t="str">
        <x:v>DEC-R35-059</x:v>
      </x:c>
    </x:row>
    <x:row r="82">
      <x:c r="A82" s="32" t="str">
        <x:v>F-D007-001</x:v>
      </x:c>
      <x:c r="B82" s="32" t="str">
        <x:v>b4acb562-5468-4276-b109-220c246065b2</x:v>
      </x:c>
      <x:c r="C82" s="32" t="str">
        <x:v>D-007</x:v>
      </x:c>
      <x:c r="D82" s="32" t="n">
        <x:v>46261.76210648148</x:v>
      </x:c>
      <x:c r="E82" s="32" t="str">
        <x:v>DeactivationDecision burst 50 absorption</x:v>
      </x:c>
      <x:c r="F82" s="32" t="str">
        <x:v>Info</x:v>
      </x:c>
      <x:c r="G82" s="32" t="str">
        <x:v>Un burst simultáneo de 50 DeactivationDecision APPROVED se absorbe íntegramente en la primera iteración elegible después de preparar sus requests en una fase aislada, sin backlog ni pérdida de identidad.</x:v>
      </x:c>
      <x:c r="H82" s="32" t="str">
        <x:v>Decision receipt batch=50/50, one nonempty batch, fully_absorbed=true; 50 APPLIED + 50 DeactivationEffect STARTED, 0 CLEARED/lost/duplicates; cursors=12800/12800, pending final=0/0/0. Decision input→receipt =1851.26 ms para las 50; decision work iteration≈1316 ms; global p95=1247.71 ms; 0 overruns. WAL=200 records / 2.776 MB; groups 001..050 have 3 records and 051..100 have 1; durable==materialized.</x:v>
      </x:c>
      <x:c r="I82" s="32" t="str">
        <x:v>La latencia visible→receipt es ~32.8% mayor que D-003 Management burst 50 (1851 vs 1394 ms), pero el ciclo de trabajo no es más lento (≈1316 ms vs ≈1379 ms). La diferencia es consistente con la frontera temporal/visibilidad de Decisions, no con una capacidad menor de procesamiento. No aparece cap ni deuda.</x:v>
      </x:c>
      <x:c r="J82" s="32" t="str">
        <x:v>Cerrar D-007 PASS/GREEN. Cambiar de dimensión a pending correlation con D-008: decisions entregadas antes de que sus requests sean durables, manteniendo requested_at &lt;= decided_at.</x:v>
      </x:c>
      <x:c r="K82" s="32" t="str">
        <x:v>Accepted</x:v>
      </x:c>
      <x:c r="L82" s="32" t="str">
        <x:v>DEC-R35-062</x:v>
      </x:c>
    </x:row>
    <x:row r="83">
      <x:c r="A83" s="32" t="str">
        <x:v>F-D008-001</x:v>
      </x:c>
      <x:c r="B83" s="32" t="str">
        <x:v>7b0edb58-fa4f-4fca-9c11-cfda59d5c5c2</x:v>
      </x:c>
      <x:c r="C83" s="32" t="str">
        <x:v>D-008</x:v>
      </x:c>
      <x:c r="D83" s="32" t="n">
        <x:v>46261.781343</x:v>
      </x:c>
      <x:c r="E83" s="32" t="str">
        <x:v>Decision pending correlation / inverted delivery</x:v>
      </x:c>
      <x:c r="F83" s="32" t="str">
        <x:v>Info</x:v>
      </x:c>
      <x:c r="G83" s="32" t="str">
        <x:v>El consumer conserva exactamente 50 Decision locators después de avanzar su cursor antes de que exista el request durable, y los reprocesa una sola vez cuando el prerequisito aparece, sin fresh redelivery ni pérdida.</x:v>
      </x:c>
      <x:c r="H83" s="32" t="str">
        <x:v>Milestone 1: decision cursor=12800, pending=50, receipts=0, management cursor unset. Milestone 2: management cursor=12800, 50 pending requests durables, decision pending=50, receipts=0. Milestone 3: 50 APPLIED + 50 DeactivationEffect STARTED, final pending=0/0/0. Fresh Decision records=50; pending read_at calls=200 (4.0/input average). WAL=200 records / 2.776 MB with cycles bootstrap +60 request +65 decision; global p95=1278.92 ms and 0 overruns.</x:v>
      </x:c>
      <x:c r="I83" s="32" t="str">
        <x:v>La estrategia cursor+pending durable es correcta para streams fuera de orden. Las 200 read_at calls son polling esperado durante cuatro ciclos de espera por los mismos 50 locators; no es un fallo a esta escala, pero es una referencia útil para observar amplificación si un workload mixto genera backlog pending mayor o más largo.</x:v>
      </x:c>
      <x:c r="J83" s="32" t="str">
        <x:v>Cerrar D-008 PASS/GREEN. D-009 debe cambiar de dimensión a Management + Decisions concurrentes y medir latencias, pending high-water y read_at amplification bajo overlap sostenido.</x:v>
      </x:c>
      <x:c r="K83" s="32" t="str">
        <x:v>Accepted</x:v>
      </x:c>
      <x:c r="L83" s="32" t="str">
        <x:v>DEC-R35-065</x:v>
      </x:c>
    </x:row>
    <x:row r="84">
      <x:c r="A84" s="32" t="str">
        <x:v>F-D009-001</x:v>
      </x:c>
      <x:c r="B84" s="32" t="str">
        <x:v>1cfa0555-b0c9-4674-b249-9dbde1f1d141</x:v>
      </x:c>
      <x:c r="C84" s="32" t="str">
        <x:v>D-009</x:v>
      </x:c>
      <x:c r="D84" s="32" t="n">
        <x:v>46261.80470561192</x:v>
      </x:c>
      <x:c r="E84" s="32" t="str">
        <x:v>Mixed Management + Decisions sustained characterization</x:v>
      </x:c>
      <x:c r="F84" s="32" t="str">
        <x:v>Info</x:v>
      </x:c>
      <x:c r="G84" s="32" t="str">
        <x:v>Los dos consumers sostienen 480 request/decision pairs concurrentes a 1/s con ~450 s de overlap, sin generar pending de stream, pérdida, duplicación ni interferencia de causalidad.</x:v>
      </x:c>
      <x:c r="H84" s="32" t="str">
        <x:v>480 PENDING_APPROVAL + 480 APPLIED; 480 ManagementEffect + 480 DeactivationEffect STARTED; 91 mixed receipt cycles. Request p95=5190.44 ms; Decision p95=5195.30 ms; both batch distributions 1×1 + 95×5 + 1×4. Management/Decision pending high-water=0/0 and read_at=0/0; request pending high-water=30. Global p95=1106.07 ms; mixed-cycle p95≈1101.77 ms; 0 overruns. WAL=1250 records / 11.895 MB, durable==materialized.</x:v>
      </x:c>
      <x:c r="I84" s="32" t="str">
        <x:v>El overlap no introduce asimetría material entre streams: sus p95 input→receipt difieren ~4.85 ms. Comparado con los baselines aislados, el costo central del ciclo sube sólo moderadamente; el max global de 3707.64 ms pertenece a la ola final de evidencia, no al periodo mixto. El lag de 30 s mantiene Decision pending/read_at en cero mientras estabiliza 30 requests pendientes de aprobación.</x:v>
      </x:c>
      <x:c r="J84" s="32" t="str">
        <x:v>Cerrar D-009 PASS/GREEN. D-010 debe cambiar de dimensión a late Decision sobre target removido y validar STALE_TARGET sin crear DeactivationEffect.</x:v>
      </x:c>
      <x:c r="K84" s="32" t="str">
        <x:v>Accepted</x:v>
      </x:c>
      <x:c r="L84" s="32" t="str">
        <x:v>DEC-R35-068</x:v>
      </x:c>
    </x:row>
    <x:row r="85">
      <x:c r="A85" s="32" t="str">
        <x:v>F-D010-001</x:v>
      </x:c>
      <x:c r="B85" s="32" t="str">
        <x:v>550948d8-3846-4cce-9f7b-29ed40bef027</x:v>
      </x:c>
      <x:c r="C85" s="32" t="str">
        <x:v>D-010</x:v>
      </x:c>
      <x:c r="D85" s="32" t="n">
        <x:v>46261.8564</x:v>
      </x:c>
      <x:c r="E85" s="32" t="str">
        <x:v>Harness false negative — stale-target durable serialization/adjudication</x:v>
      </x:c>
      <x:c r="F85" s="32" t="str">
        <x:v>Info</x:v>
      </x:c>
      <x:c r="G85" s="32" t="str">
        <x:v>El product path D-010 produjo exactamente la semántica esperada, pero el metrics builder devolvió FAIL por dos supuestos de serialización que no corresponden al WAL real.</x:v>
      </x:c>
      <x:c r="H85" s="32" t="str">
        <x:v>WAL independiente: 400 records / 4,037,700 bytes = 100 bootstrap + 100 request + 100 adoption + 100 decision; 100 CLOSED con closure_reason=configuration_removed; 100 ManagementEffect STARTED/CLEARED; 100 STALE_TARGET journeys co-localizados con sus Decision receipts; 0 APPLIED/DeactivationEffect; 0 duplicate commits/chains/snapshot mismatches; 900 alarmas finales. Harness reportó closure count=0 y wrong correlation=100.</x:v>
      </x:c>
      <x:c r="I85" s="32" t="str">
        <x:v>El builder comparaba closure_reason con `CONFIGURATION_REMOVED` y esperaba `journey_event.discriminator`, campo que no existe en la serialización durable. La correlación se reconstruye sin ambigüedad por receipt+jornada en el mismo engine commit/priority group y luego contra el request original.</x:v>
      </x:c>
      <x:c r="J85" s="32" t="str">
        <x:v>Aplicar harness 0.1.6 y repetir gate + una corrida limpia. No abrir finding de producto; no cerrar D-010 hasta que el adjudicador corregido devuelva PASS.</x:v>
      </x:c>
      <x:c r="K85" s="32" t="str">
        <x:v>Accepted</x:v>
      </x:c>
      <x:c r="L85" s="32" t="str">
        <x:v>DEC-R35-076</x:v>
      </x:c>
    </x:row>
    <x:row r="86">
      <x:c r="A86" s="32" t="str">
        <x:v>F-D010-002</x:v>
      </x:c>
      <x:c r="B86" s="32" t="str">
        <x:v>24b97fa3-80b4-4f25-bab1-ca074d05590c</x:v>
      </x:c>
      <x:c r="C86" s="32" t="str">
        <x:v>D-010</x:v>
      </x:c>
      <x:c r="D86" s="32" t="n">
        <x:v>46261.874925032236</x:v>
      </x:c>
      <x:c r="E86" s="32" t="str">
        <x:v>Configuration adoption single-iteration overrun</x:v>
      </x:c>
      <x:c r="F86" s="32" t="str">
        <x:v>Info</x:v>
      </x:c>
      <x:c r="G86" s="32" t="str">
        <x:v>La adopción real PERF-AC-2 removiendo 100 targets produjo el único overrun del run final D-010; la iteración de adoption tomó 5499.03 ms sobre un periodo objetivo de 5 s.</x:v>
      </x:c>
      <x:c r="H86" s="32" t="str">
        <x:v>Iteration 13: adoption_outcome=adopted, revision_origin=source_candidate, cycle_executed=false, 100 commits / 663,800 bytes, duration=5499.03 ms, CPU de la muestra≈13.46%. El resto de las iteraciones de trabajo relevantes quedaron ~1.60–1.71 s; p95 global=1670.58 ms; overrun ratio=1/37=2.70%; performance_class=GREEN; 0 errores de integridad/durabilidad.</x:v>
      </x:c>
      <x:c r="I86" s="32" t="str">
        <x:v>Es una observación aislada de la frontera de Configuration Adoption, no evidencia de saturación sostenida. Dado que R3.5E profundiza precisamente en adoption, conviene conservar 5499 ms como punto de referencia y observar si reaparece bajo E-001/E-003 antes de elevarlo a finding de performance.</x:v>
      </x:c>
      <x:c r="J86" s="32" t="str">
        <x:v>Cerrar D-010 PASS/GREEN y llevar esta caracterización a R3.5E; no abrir finding de producto.</x:v>
      </x:c>
      <x:c r="K86" s="32" t="str">
        <x:v>Accepted</x:v>
      </x:c>
      <x:c r="L86" s="32" t="str">
        <x:v>DEC-R35-077</x:v>
      </x:c>
    </x:row>
    <x:row r="87">
      <x:c r="A87" s="32"/>
      <x:c r="B87" s="32"/>
      <x:c r="C87" s="32"/>
      <x:c r="D87" s="32"/>
      <x:c r="E87" s="32"/>
      <x:c r="F87" s="32"/>
      <x:c r="G87" s="32"/>
      <x:c r="H87" s="32"/>
      <x:c r="I87" s="32"/>
      <x:c r="J87" s="32"/>
      <x:c r="K87" s="32"/>
      <x:c r="L87" s="32"/>
    </x:row>
    <x:row r="88">
      <x:c r="A88" s="32"/>
      <x:c r="B88" s="32"/>
      <x:c r="C88" s="32"/>
      <x:c r="D88" s="32"/>
      <x:c r="E88" s="32"/>
      <x:c r="F88" s="32"/>
      <x:c r="G88" s="32"/>
      <x:c r="H88" s="32"/>
      <x:c r="I88" s="32"/>
      <x:c r="J88" s="32"/>
      <x:c r="K88" s="32"/>
      <x:c r="L88" s="32"/>
    </x:row>
    <x:row r="89">
      <x:c r="A89" s="32"/>
      <x:c r="B89" s="32"/>
      <x:c r="C89" s="32"/>
      <x:c r="D89" s="32"/>
      <x:c r="E89" s="32"/>
      <x:c r="F89" s="32"/>
      <x:c r="G89" s="32"/>
      <x:c r="H89" s="32"/>
      <x:c r="I89" s="32"/>
      <x:c r="J89" s="32"/>
      <x:c r="K89" s="32"/>
      <x:c r="L89" s="32"/>
    </x:row>
    <x:row r="90">
      <x:c r="A90" s="32"/>
      <x:c r="B90" s="32"/>
      <x:c r="C90" s="32"/>
      <x:c r="D90" s="32"/>
      <x:c r="E90" s="32"/>
      <x:c r="F90" s="32"/>
      <x:c r="G90" s="32"/>
      <x:c r="H90" s="32"/>
      <x:c r="I90" s="32"/>
      <x:c r="J90" s="32"/>
      <x:c r="K90" s="32"/>
      <x:c r="L90" s="32"/>
    </x:row>
    <x:row r="91">
      <x:c r="A91" s="32"/>
      <x:c r="B91" s="32"/>
      <x:c r="C91" s="32"/>
      <x:c r="D91" s="32"/>
      <x:c r="E91" s="32"/>
      <x:c r="F91" s="32"/>
      <x:c r="G91" s="32"/>
      <x:c r="H91" s="32"/>
      <x:c r="I91" s="32"/>
      <x:c r="J91" s="32"/>
      <x:c r="K91" s="32"/>
      <x:c r="L91" s="32"/>
    </x:row>
    <x:row r="92">
      <x:c r="A92" s="32"/>
      <x:c r="B92" s="32"/>
      <x:c r="C92" s="32"/>
      <x:c r="D92" s="32"/>
      <x:c r="E92" s="32"/>
      <x:c r="F92" s="32"/>
      <x:c r="G92" s="32"/>
      <x:c r="H92" s="32"/>
      <x:c r="I92" s="32"/>
      <x:c r="J92" s="32"/>
      <x:c r="K92" s="32"/>
      <x:c r="L92" s="32"/>
    </x:row>
    <x:row r="93">
      <x:c r="A93" s="32"/>
      <x:c r="B93" s="32"/>
      <x:c r="C93" s="32"/>
      <x:c r="D93" s="32"/>
      <x:c r="E93" s="32"/>
      <x:c r="F93" s="32"/>
      <x:c r="G93" s="32"/>
      <x:c r="H93" s="32"/>
      <x:c r="I93" s="32"/>
      <x:c r="J93" s="32"/>
      <x:c r="K93" s="32"/>
      <x:c r="L93" s="32"/>
    </x:row>
    <x:row r="94">
      <x:c r="A94" s="32"/>
      <x:c r="B94" s="32"/>
      <x:c r="C94" s="32"/>
      <x:c r="D94" s="32"/>
      <x:c r="E94" s="32"/>
      <x:c r="F94" s="32"/>
      <x:c r="G94" s="32"/>
      <x:c r="H94" s="32"/>
      <x:c r="I94" s="32"/>
      <x:c r="J94" s="32"/>
      <x:c r="K94" s="32"/>
      <x:c r="L94" s="32"/>
    </x:row>
    <x:row r="95">
      <x:c r="A95" s="32"/>
      <x:c r="B95" s="32"/>
      <x:c r="C95" s="32"/>
      <x:c r="D95" s="32"/>
      <x:c r="E95" s="32"/>
      <x:c r="F95" s="32"/>
      <x:c r="G95" s="32"/>
      <x:c r="H95" s="32"/>
      <x:c r="I95" s="32"/>
      <x:c r="J95" s="32"/>
      <x:c r="K95" s="32"/>
      <x:c r="L95" s="32"/>
    </x:row>
    <x:row r="96">
      <x:c r="A96" s="32"/>
      <x:c r="B96" s="32"/>
      <x:c r="C96" s="32"/>
      <x:c r="D96" s="32"/>
      <x:c r="E96" s="32"/>
      <x:c r="F96" s="32"/>
      <x:c r="G96" s="32"/>
      <x:c r="H96" s="32"/>
      <x:c r="I96" s="32"/>
      <x:c r="J96" s="32"/>
      <x:c r="K96" s="32"/>
      <x:c r="L96" s="32"/>
    </x:row>
    <x:row r="97">
      <x:c r="A97" s="32"/>
      <x:c r="B97" s="32"/>
      <x:c r="C97" s="32"/>
      <x:c r="D97" s="32"/>
      <x:c r="E97" s="32"/>
      <x:c r="F97" s="32"/>
      <x:c r="G97" s="32"/>
      <x:c r="H97" s="32"/>
      <x:c r="I97" s="32"/>
      <x:c r="J97" s="32"/>
      <x:c r="K97" s="32"/>
      <x:c r="L97" s="32"/>
    </x:row>
    <x:row r="98">
      <x:c r="A98" s="32"/>
      <x:c r="B98" s="32"/>
      <x:c r="C98" s="32"/>
      <x:c r="D98" s="32"/>
      <x:c r="E98" s="32"/>
      <x:c r="F98" s="32"/>
      <x:c r="G98" s="32"/>
      <x:c r="H98" s="32"/>
      <x:c r="I98" s="32"/>
      <x:c r="J98" s="32"/>
      <x:c r="K98" s="32"/>
      <x:c r="L98" s="32"/>
    </x:row>
    <x:row r="99">
      <x:c r="A99" s="32"/>
      <x:c r="B99" s="32"/>
      <x:c r="C99" s="32"/>
      <x:c r="D99" s="32"/>
      <x:c r="E99" s="32"/>
      <x:c r="F99" s="32"/>
      <x:c r="G99" s="32"/>
      <x:c r="H99" s="32"/>
      <x:c r="I99" s="32"/>
      <x:c r="J99" s="32"/>
      <x:c r="K99" s="32"/>
      <x:c r="L99" s="32"/>
    </x:row>
    <x:row r="100">
      <x:c r="A100" s="32"/>
      <x:c r="B100" s="32"/>
      <x:c r="C100" s="32"/>
      <x:c r="D100" s="32"/>
      <x:c r="E100" s="32"/>
      <x:c r="F100" s="32"/>
      <x:c r="G100" s="32"/>
      <x:c r="H100" s="32"/>
      <x:c r="I100" s="32"/>
      <x:c r="J100" s="32"/>
      <x:c r="K100" s="32"/>
      <x:c r="L100" s="32"/>
    </x:row>
    <x:row r="101">
      <x:c r="A101" s="32"/>
      <x:c r="B101" s="32"/>
      <x:c r="C101" s="32"/>
      <x:c r="D101" s="32"/>
      <x:c r="E101" s="32"/>
      <x:c r="F101" s="32"/>
      <x:c r="G101" s="32"/>
      <x:c r="H101" s="32"/>
      <x:c r="I101" s="32"/>
      <x:c r="J101" s="32"/>
      <x:c r="K101" s="32"/>
      <x:c r="L101" s="32"/>
    </x:row>
    <x:row r="102">
      <x:c r="A102" s="32"/>
      <x:c r="B102" s="32"/>
      <x:c r="C102" s="32"/>
      <x:c r="D102" s="32"/>
      <x:c r="E102" s="32"/>
      <x:c r="F102" s="32"/>
      <x:c r="G102" s="32"/>
      <x:c r="H102" s="32"/>
      <x:c r="I102" s="32"/>
      <x:c r="J102" s="32"/>
      <x:c r="K102" s="32"/>
      <x:c r="L102" s="32"/>
    </x:row>
    <x:row r="103">
      <x:c r="A103" s="32"/>
      <x:c r="B103" s="32"/>
      <x:c r="C103" s="32"/>
      <x:c r="D103" s="32"/>
      <x:c r="E103" s="32"/>
      <x:c r="F103" s="32"/>
      <x:c r="G103" s="32"/>
      <x:c r="H103" s="32"/>
      <x:c r="I103" s="32"/>
      <x:c r="J103" s="32"/>
      <x:c r="K103" s="32"/>
      <x:c r="L103" s="32"/>
    </x:row>
    <x:row r="104">
      <x:c r="A104" s="32"/>
      <x:c r="B104" s="32"/>
      <x:c r="C104" s="32"/>
      <x:c r="D104" s="32"/>
      <x:c r="E104" s="32"/>
      <x:c r="F104" s="32"/>
      <x:c r="G104" s="32"/>
      <x:c r="H104" s="32"/>
      <x:c r="I104" s="32"/>
      <x:c r="J104" s="32"/>
      <x:c r="K104" s="32"/>
      <x:c r="L104" s="32"/>
    </x:row>
    <x:row r="105">
      <x:c r="A105" s="32"/>
      <x:c r="B105" s="32"/>
      <x:c r="C105" s="32"/>
      <x:c r="D105" s="32"/>
      <x:c r="E105" s="32"/>
      <x:c r="F105" s="32"/>
      <x:c r="G105" s="32"/>
      <x:c r="H105" s="32"/>
      <x:c r="I105" s="32"/>
      <x:c r="J105" s="32"/>
      <x:c r="K105" s="32"/>
      <x:c r="L105" s="32"/>
    </x:row>
    <x:row r="106">
      <x:c r="A106" s="32"/>
      <x:c r="B106" s="32"/>
      <x:c r="C106" s="32"/>
      <x:c r="D106" s="32"/>
      <x:c r="E106" s="32"/>
      <x:c r="F106" s="32"/>
      <x:c r="G106" s="32"/>
      <x:c r="H106" s="32"/>
      <x:c r="I106" s="32"/>
      <x:c r="J106" s="32"/>
      <x:c r="K106" s="32"/>
      <x:c r="L106" s="32"/>
    </x:row>
    <x:row r="107">
      <x:c r="A107" s="32"/>
      <x:c r="B107" s="32"/>
      <x:c r="C107" s="32"/>
      <x:c r="D107" s="32"/>
      <x:c r="E107" s="32"/>
      <x:c r="F107" s="32"/>
      <x:c r="G107" s="32"/>
      <x:c r="H107" s="32"/>
      <x:c r="I107" s="32"/>
      <x:c r="J107" s="32"/>
      <x:c r="K107" s="32"/>
      <x:c r="L107" s="32"/>
    </x:row>
    <x:row r="108">
      <x:c r="A108" s="32"/>
      <x:c r="B108" s="32"/>
      <x:c r="C108" s="32"/>
      <x:c r="D108" s="32"/>
      <x:c r="E108" s="32"/>
      <x:c r="F108" s="32"/>
      <x:c r="G108" s="32"/>
      <x:c r="H108" s="32"/>
      <x:c r="I108" s="32"/>
      <x:c r="J108" s="32"/>
      <x:c r="K108" s="32"/>
      <x:c r="L108" s="32"/>
    </x:row>
    <x:row r="109">
      <x:c r="A109" s="32"/>
      <x:c r="B109" s="32"/>
      <x:c r="C109" s="32"/>
      <x:c r="D109" s="32"/>
      <x:c r="E109" s="32"/>
      <x:c r="F109" s="32"/>
      <x:c r="G109" s="32"/>
      <x:c r="H109" s="32"/>
      <x:c r="I109" s="32"/>
      <x:c r="J109" s="32"/>
      <x:c r="K109" s="32"/>
      <x:c r="L109" s="32"/>
    </x:row>
    <x:row r="110">
      <x:c r="A110" s="32"/>
      <x:c r="B110" s="32"/>
      <x:c r="C110" s="32"/>
      <x:c r="D110" s="32"/>
      <x:c r="E110" s="32"/>
      <x:c r="F110" s="32"/>
      <x:c r="G110" s="32"/>
      <x:c r="H110" s="32"/>
      <x:c r="I110" s="32"/>
      <x:c r="J110" s="32"/>
      <x:c r="K110" s="32"/>
      <x:c r="L110" s="32"/>
    </x:row>
    <x:row r="111">
      <x:c r="A111" s="32"/>
      <x:c r="B111" s="32"/>
      <x:c r="C111" s="32"/>
      <x:c r="D111" s="32"/>
      <x:c r="E111" s="32"/>
      <x:c r="F111" s="32"/>
      <x:c r="G111" s="32"/>
      <x:c r="H111" s="32"/>
      <x:c r="I111" s="32"/>
      <x:c r="J111" s="32"/>
      <x:c r="K111" s="32"/>
      <x:c r="L111" s="32"/>
    </x:row>
    <x:row r="112">
      <x:c r="A112" s="32"/>
      <x:c r="B112" s="32"/>
      <x:c r="C112" s="32"/>
      <x:c r="D112" s="32"/>
      <x:c r="E112" s="32"/>
      <x:c r="F112" s="32"/>
      <x:c r="G112" s="32"/>
      <x:c r="H112" s="32"/>
      <x:c r="I112" s="32"/>
      <x:c r="J112" s="32"/>
      <x:c r="K112" s="32"/>
      <x:c r="L112" s="32"/>
    </x:row>
    <x:row r="113">
      <x:c r="A113" s="32"/>
      <x:c r="B113" s="32"/>
      <x:c r="C113" s="32"/>
      <x:c r="D113" s="32"/>
      <x:c r="E113" s="32"/>
      <x:c r="F113" s="32"/>
      <x:c r="G113" s="32"/>
      <x:c r="H113" s="32"/>
      <x:c r="I113" s="32"/>
      <x:c r="J113" s="32"/>
      <x:c r="K113" s="32"/>
      <x:c r="L113" s="32"/>
    </x:row>
    <x:row r="114">
      <x:c r="A114" s="32"/>
      <x:c r="B114" s="32"/>
      <x:c r="C114" s="32"/>
      <x:c r="D114" s="32"/>
      <x:c r="E114" s="32"/>
      <x:c r="F114" s="32"/>
      <x:c r="G114" s="32"/>
      <x:c r="H114" s="32"/>
      <x:c r="I114" s="32"/>
      <x:c r="J114" s="32"/>
      <x:c r="K114" s="32"/>
      <x:c r="L114" s="32"/>
    </x:row>
    <x:row r="115">
      <x:c r="A115" s="32"/>
      <x:c r="B115" s="32"/>
      <x:c r="C115" s="32"/>
      <x:c r="D115" s="32"/>
      <x:c r="E115" s="32"/>
      <x:c r="F115" s="32"/>
      <x:c r="G115" s="32"/>
      <x:c r="H115" s="32"/>
      <x:c r="I115" s="32"/>
      <x:c r="J115" s="32"/>
      <x:c r="K115" s="32"/>
      <x:c r="L115" s="32"/>
    </x:row>
    <x:row r="116">
      <x:c r="A116" s="32"/>
      <x:c r="B116" s="32"/>
      <x:c r="C116" s="32"/>
      <x:c r="D116" s="32"/>
      <x:c r="E116" s="32"/>
      <x:c r="F116" s="32"/>
      <x:c r="G116" s="32"/>
      <x:c r="H116" s="32"/>
      <x:c r="I116" s="32"/>
      <x:c r="J116" s="32"/>
      <x:c r="K116" s="32"/>
      <x:c r="L116" s="32"/>
    </x:row>
    <x:row r="117">
      <x:c r="A117" s="32"/>
      <x:c r="B117" s="32"/>
      <x:c r="C117" s="32"/>
      <x:c r="D117" s="32"/>
      <x:c r="E117" s="32"/>
      <x:c r="F117" s="32"/>
      <x:c r="G117" s="32"/>
      <x:c r="H117" s="32"/>
      <x:c r="I117" s="32"/>
      <x:c r="J117" s="32"/>
      <x:c r="K117" s="32"/>
      <x:c r="L117" s="32"/>
    </x:row>
    <x:row r="118">
      <x:c r="A118" s="32"/>
      <x:c r="B118" s="32"/>
      <x:c r="C118" s="32"/>
      <x:c r="D118" s="32"/>
      <x:c r="E118" s="32"/>
      <x:c r="F118" s="32"/>
      <x:c r="G118" s="32"/>
      <x:c r="H118" s="32"/>
      <x:c r="I118" s="32"/>
      <x:c r="J118" s="32"/>
      <x:c r="K118" s="32"/>
      <x:c r="L118" s="32"/>
    </x:row>
    <x:row r="119">
      <x:c r="A119" s="32"/>
      <x:c r="B119" s="32"/>
      <x:c r="C119" s="32"/>
      <x:c r="D119" s="32"/>
      <x:c r="E119" s="32"/>
      <x:c r="F119" s="32"/>
      <x:c r="G119" s="32"/>
      <x:c r="H119" s="32"/>
      <x:c r="I119" s="32"/>
      <x:c r="J119" s="32"/>
      <x:c r="K119" s="32"/>
      <x:c r="L119" s="32"/>
    </x:row>
    <x:row r="120">
      <x:c r="A120" s="32"/>
      <x:c r="B120" s="32"/>
      <x:c r="C120" s="32"/>
      <x:c r="D120" s="32"/>
      <x:c r="E120" s="32"/>
      <x:c r="F120" s="32"/>
      <x:c r="G120" s="32"/>
      <x:c r="H120" s="32"/>
      <x:c r="I120" s="32"/>
      <x:c r="J120" s="32"/>
      <x:c r="K120" s="32"/>
      <x:c r="L120" s="32"/>
    </x:row>
    <x:row r="121">
      <x:c r="A121" s="32"/>
      <x:c r="B121" s="32"/>
      <x:c r="C121" s="32"/>
      <x:c r="D121" s="32"/>
      <x:c r="E121" s="32"/>
      <x:c r="F121" s="32"/>
      <x:c r="G121" s="32"/>
      <x:c r="H121" s="32"/>
      <x:c r="I121" s="32"/>
      <x:c r="J121" s="32"/>
      <x:c r="K121" s="32"/>
      <x:c r="L121" s="32"/>
    </x:row>
    <x:row r="122">
      <x:c r="A122" s="32"/>
      <x:c r="B122" s="32"/>
      <x:c r="C122" s="32"/>
      <x:c r="D122" s="32"/>
      <x:c r="E122" s="32"/>
      <x:c r="F122" s="32"/>
      <x:c r="G122" s="32"/>
      <x:c r="H122" s="32"/>
      <x:c r="I122" s="32"/>
      <x:c r="J122" s="32"/>
      <x:c r="K122" s="32"/>
      <x:c r="L122" s="32"/>
    </x:row>
    <x:row r="123">
      <x:c r="A123" s="32"/>
      <x:c r="B123" s="32"/>
      <x:c r="C123" s="32"/>
      <x:c r="D123" s="32"/>
      <x:c r="E123" s="32"/>
      <x:c r="F123" s="32"/>
      <x:c r="G123" s="32"/>
      <x:c r="H123" s="32"/>
      <x:c r="I123" s="32"/>
      <x:c r="J123" s="32"/>
      <x:c r="K123" s="32"/>
      <x:c r="L123" s="32"/>
    </x:row>
    <x:row r="124">
      <x:c r="A124" s="32"/>
      <x:c r="B124" s="32"/>
      <x:c r="C124" s="32"/>
      <x:c r="D124" s="32"/>
      <x:c r="E124" s="32"/>
      <x:c r="F124" s="32"/>
      <x:c r="G124" s="32"/>
      <x:c r="H124" s="32"/>
      <x:c r="I124" s="32"/>
      <x:c r="J124" s="32"/>
      <x:c r="K124" s="32"/>
      <x:c r="L124" s="32"/>
    </x:row>
    <x:row r="125">
      <x:c r="A125" s="32"/>
      <x:c r="B125" s="32"/>
      <x:c r="C125" s="32"/>
      <x:c r="D125" s="32"/>
      <x:c r="E125" s="32"/>
      <x:c r="F125" s="32"/>
      <x:c r="G125" s="32"/>
      <x:c r="H125" s="32"/>
      <x:c r="I125" s="32"/>
      <x:c r="J125" s="32"/>
      <x:c r="K125" s="32"/>
      <x:c r="L125" s="32"/>
    </x:row>
    <x:row r="126">
      <x:c r="A126" s="32"/>
      <x:c r="B126" s="32"/>
      <x:c r="C126" s="32"/>
      <x:c r="D126" s="32"/>
      <x:c r="E126" s="32"/>
      <x:c r="F126" s="32"/>
      <x:c r="G126" s="32"/>
      <x:c r="H126" s="32"/>
      <x:c r="I126" s="32"/>
      <x:c r="J126" s="32"/>
      <x:c r="K126" s="32"/>
      <x:c r="L126" s="32"/>
    </x:row>
    <x:row r="127">
      <x:c r="A127" s="32"/>
      <x:c r="B127" s="32"/>
      <x:c r="C127" s="32"/>
      <x:c r="D127" s="32"/>
      <x:c r="E127" s="32"/>
      <x:c r="F127" s="32"/>
      <x:c r="G127" s="32"/>
      <x:c r="H127" s="32"/>
      <x:c r="I127" s="32"/>
      <x:c r="J127" s="32"/>
      <x:c r="K127" s="32"/>
      <x:c r="L127" s="32"/>
    </x:row>
    <x:row r="128">
      <x:c r="A128" s="32"/>
      <x:c r="B128" s="32"/>
      <x:c r="C128" s="32"/>
      <x:c r="D128" s="32"/>
      <x:c r="E128" s="32"/>
      <x:c r="F128" s="32"/>
      <x:c r="G128" s="32"/>
      <x:c r="H128" s="32"/>
      <x:c r="I128" s="32"/>
      <x:c r="J128" s="32"/>
      <x:c r="K128" s="32"/>
      <x:c r="L128" s="32"/>
    </x:row>
    <x:row r="129">
      <x:c r="A129" s="32"/>
      <x:c r="B129" s="32"/>
      <x:c r="C129" s="32"/>
      <x:c r="D129" s="32"/>
      <x:c r="E129" s="32"/>
      <x:c r="F129" s="32"/>
      <x:c r="G129" s="32"/>
      <x:c r="H129" s="32"/>
      <x:c r="I129" s="32"/>
      <x:c r="J129" s="32"/>
      <x:c r="K129" s="32"/>
      <x:c r="L129" s="32"/>
    </x:row>
    <x:row r="130">
      <x:c r="A130" s="32"/>
      <x:c r="B130" s="32"/>
      <x:c r="C130" s="32"/>
      <x:c r="D130" s="32"/>
      <x:c r="E130" s="32"/>
      <x:c r="F130" s="32"/>
      <x:c r="G130" s="32"/>
      <x:c r="H130" s="32"/>
      <x:c r="I130" s="32"/>
      <x:c r="J130" s="32"/>
      <x:c r="K130" s="32"/>
      <x:c r="L130" s="32"/>
    </x:row>
    <x:row r="131">
      <x:c r="A131" s="32"/>
      <x:c r="B131" s="32"/>
      <x:c r="C131" s="32"/>
      <x:c r="D131" s="32"/>
      <x:c r="E131" s="32"/>
      <x:c r="F131" s="32"/>
      <x:c r="G131" s="32"/>
      <x:c r="H131" s="32"/>
      <x:c r="I131" s="32"/>
      <x:c r="J131" s="32"/>
      <x:c r="K131" s="32"/>
      <x:c r="L131" s="32"/>
    </x:row>
    <x:row r="132">
      <x:c r="A132" s="32"/>
      <x:c r="B132" s="32"/>
      <x:c r="C132" s="32"/>
      <x:c r="D132" s="32"/>
      <x:c r="E132" s="32"/>
      <x:c r="F132" s="32"/>
      <x:c r="G132" s="32"/>
      <x:c r="H132" s="32"/>
      <x:c r="I132" s="32"/>
      <x:c r="J132" s="32"/>
      <x:c r="K132" s="32"/>
      <x:c r="L132" s="32"/>
    </x:row>
    <x:row r="133">
      <x:c r="A133" s="32"/>
      <x:c r="B133" s="32"/>
      <x:c r="C133" s="32"/>
      <x:c r="D133" s="32"/>
      <x:c r="E133" s="32"/>
      <x:c r="F133" s="32"/>
      <x:c r="G133" s="32"/>
      <x:c r="H133" s="32"/>
      <x:c r="I133" s="32"/>
      <x:c r="J133" s="32"/>
      <x:c r="K133" s="32"/>
      <x:c r="L133" s="32"/>
    </x:row>
    <x:row r="134">
      <x:c r="A134" s="32"/>
      <x:c r="B134" s="32"/>
      <x:c r="C134" s="32"/>
      <x:c r="D134" s="32"/>
      <x:c r="E134" s="32"/>
      <x:c r="F134" s="32"/>
      <x:c r="G134" s="32"/>
      <x:c r="H134" s="32"/>
      <x:c r="I134" s="32"/>
      <x:c r="J134" s="32"/>
      <x:c r="K134" s="32"/>
      <x:c r="L134" s="32"/>
    </x:row>
    <x:row r="135">
      <x:c r="A135" s="32"/>
      <x:c r="B135" s="32"/>
      <x:c r="C135" s="32"/>
      <x:c r="D135" s="32"/>
      <x:c r="E135" s="32"/>
      <x:c r="F135" s="32"/>
      <x:c r="G135" s="32"/>
      <x:c r="H135" s="32"/>
      <x:c r="I135" s="32"/>
      <x:c r="J135" s="32"/>
      <x:c r="K135" s="32"/>
      <x:c r="L135" s="32"/>
    </x:row>
    <x:row r="136">
      <x:c r="A136" s="32"/>
      <x:c r="B136" s="32"/>
      <x:c r="C136" s="32"/>
      <x:c r="D136" s="32"/>
      <x:c r="E136" s="32"/>
      <x:c r="F136" s="32"/>
      <x:c r="G136" s="32"/>
      <x:c r="H136" s="32"/>
      <x:c r="I136" s="32"/>
      <x:c r="J136" s="32"/>
      <x:c r="K136" s="32"/>
      <x:c r="L136" s="32"/>
    </x:row>
    <x:row r="137">
      <x:c r="A137" s="32"/>
      <x:c r="B137" s="32"/>
      <x:c r="C137" s="32"/>
      <x:c r="D137" s="32"/>
      <x:c r="E137" s="32"/>
      <x:c r="F137" s="32"/>
      <x:c r="G137" s="32"/>
      <x:c r="H137" s="32"/>
      <x:c r="I137" s="32"/>
      <x:c r="J137" s="32"/>
      <x:c r="K137" s="32"/>
      <x:c r="L137" s="32"/>
    </x:row>
    <x:row r="138">
      <x:c r="A138" s="32"/>
      <x:c r="B138" s="32"/>
      <x:c r="C138" s="32"/>
      <x:c r="D138" s="32"/>
      <x:c r="E138" s="32"/>
      <x:c r="F138" s="32"/>
      <x:c r="G138" s="32"/>
      <x:c r="H138" s="32"/>
      <x:c r="I138" s="32"/>
      <x:c r="J138" s="32"/>
      <x:c r="K138" s="32"/>
      <x:c r="L138" s="32"/>
    </x:row>
    <x:row r="139">
      <x:c r="A139" s="32"/>
      <x:c r="B139" s="32"/>
      <x:c r="C139" s="32"/>
      <x:c r="D139" s="32"/>
      <x:c r="E139" s="32"/>
      <x:c r="F139" s="32"/>
      <x:c r="G139" s="32"/>
      <x:c r="H139" s="32"/>
      <x:c r="I139" s="32"/>
      <x:c r="J139" s="32"/>
      <x:c r="K139" s="32"/>
      <x:c r="L139" s="32"/>
    </x:row>
    <x:row r="140">
      <x:c r="A140" s="32"/>
      <x:c r="B140" s="32"/>
      <x:c r="C140" s="32"/>
      <x:c r="D140" s="32"/>
      <x:c r="E140" s="32"/>
      <x:c r="F140" s="32"/>
      <x:c r="G140" s="32"/>
      <x:c r="H140" s="32"/>
      <x:c r="I140" s="32"/>
      <x:c r="J140" s="32"/>
      <x:c r="K140" s="32"/>
      <x:c r="L140" s="32"/>
    </x:row>
    <x:row r="141">
      <x:c r="A141" s="32"/>
      <x:c r="B141" s="32"/>
      <x:c r="C141" s="32"/>
      <x:c r="D141" s="32"/>
      <x:c r="E141" s="32"/>
      <x:c r="F141" s="32"/>
      <x:c r="G141" s="32"/>
      <x:c r="H141" s="32"/>
      <x:c r="I141" s="32"/>
      <x:c r="J141" s="32"/>
      <x:c r="K141" s="32"/>
      <x:c r="L141" s="32"/>
    </x:row>
    <x:row r="142">
      <x:c r="A142" s="32"/>
      <x:c r="B142" s="32"/>
      <x:c r="C142" s="32"/>
      <x:c r="D142" s="32"/>
      <x:c r="E142" s="32"/>
      <x:c r="F142" s="32"/>
      <x:c r="G142" s="32"/>
      <x:c r="H142" s="32"/>
      <x:c r="I142" s="32"/>
      <x:c r="J142" s="32"/>
      <x:c r="K142" s="32"/>
      <x:c r="L142" s="32"/>
    </x:row>
    <x:row r="143">
      <x:c r="A143" s="32"/>
      <x:c r="B143" s="32"/>
      <x:c r="C143" s="32"/>
      <x:c r="D143" s="32"/>
      <x:c r="E143" s="32"/>
      <x:c r="F143" s="32"/>
      <x:c r="G143" s="32"/>
      <x:c r="H143" s="32"/>
      <x:c r="I143" s="32"/>
      <x:c r="J143" s="32"/>
      <x:c r="K143" s="32"/>
      <x:c r="L143" s="32"/>
    </x:row>
    <x:row r="144">
      <x:c r="A144" s="32"/>
      <x:c r="B144" s="32"/>
      <x:c r="C144" s="32"/>
      <x:c r="D144" s="32"/>
      <x:c r="E144" s="32"/>
      <x:c r="F144" s="32"/>
      <x:c r="G144" s="32"/>
      <x:c r="H144" s="32"/>
      <x:c r="I144" s="32"/>
      <x:c r="J144" s="32"/>
      <x:c r="K144" s="32"/>
      <x:c r="L144" s="32"/>
    </x:row>
    <x:row r="145">
      <x:c r="A145" s="32"/>
      <x:c r="B145" s="32"/>
      <x:c r="C145" s="32"/>
      <x:c r="D145" s="32"/>
      <x:c r="E145" s="32"/>
      <x:c r="F145" s="32"/>
      <x:c r="G145" s="32"/>
      <x:c r="H145" s="32"/>
      <x:c r="I145" s="32"/>
      <x:c r="J145" s="32"/>
      <x:c r="K145" s="32"/>
      <x:c r="L145" s="32"/>
    </x:row>
    <x:row r="146">
      <x:c r="A146" s="32"/>
      <x:c r="B146" s="32"/>
      <x:c r="C146" s="32"/>
      <x:c r="D146" s="32"/>
      <x:c r="E146" s="32"/>
      <x:c r="F146" s="32"/>
      <x:c r="G146" s="32"/>
      <x:c r="H146" s="32"/>
      <x:c r="I146" s="32"/>
      <x:c r="J146" s="32"/>
      <x:c r="K146" s="32"/>
      <x:c r="L146" s="32"/>
    </x:row>
    <x:row r="147">
      <x:c r="A147" s="32"/>
      <x:c r="B147" s="32"/>
      <x:c r="C147" s="32"/>
      <x:c r="D147" s="32"/>
      <x:c r="E147" s="32"/>
      <x:c r="F147" s="32"/>
      <x:c r="G147" s="32"/>
      <x:c r="H147" s="32"/>
      <x:c r="I147" s="32"/>
      <x:c r="J147" s="32"/>
      <x:c r="K147" s="32"/>
      <x:c r="L147" s="32"/>
    </x:row>
    <x:row r="148">
      <x:c r="A148" s="32"/>
      <x:c r="B148" s="32"/>
      <x:c r="C148" s="32"/>
      <x:c r="D148" s="32"/>
      <x:c r="E148" s="32"/>
      <x:c r="F148" s="32"/>
      <x:c r="G148" s="32"/>
      <x:c r="H148" s="32"/>
      <x:c r="I148" s="32"/>
      <x:c r="J148" s="32"/>
      <x:c r="K148" s="32"/>
      <x:c r="L148" s="32"/>
    </x:row>
    <x:row r="149">
      <x:c r="A149" s="32"/>
      <x:c r="B149" s="32"/>
      <x:c r="C149" s="32"/>
      <x:c r="D149" s="32"/>
      <x:c r="E149" s="32"/>
      <x:c r="F149" s="32"/>
      <x:c r="G149" s="32"/>
      <x:c r="H149" s="32"/>
      <x:c r="I149" s="32"/>
      <x:c r="J149" s="32"/>
      <x:c r="K149" s="32"/>
      <x:c r="L149" s="32"/>
    </x:row>
    <x:row r="150">
      <x:c r="A150" s="32"/>
      <x:c r="B150" s="32"/>
      <x:c r="C150" s="32"/>
      <x:c r="D150" s="32"/>
      <x:c r="E150" s="32"/>
      <x:c r="F150" s="32"/>
      <x:c r="G150" s="32"/>
      <x:c r="H150" s="32"/>
      <x:c r="I150" s="32"/>
      <x:c r="J150" s="32"/>
      <x:c r="K150" s="32"/>
      <x:c r="L150" s="32"/>
    </x:row>
    <x:row r="151">
      <x:c r="A151" s="32"/>
      <x:c r="B151" s="32"/>
      <x:c r="C151" s="32"/>
      <x:c r="D151" s="32"/>
      <x:c r="E151" s="32"/>
      <x:c r="F151" s="32"/>
      <x:c r="G151" s="32"/>
      <x:c r="H151" s="32"/>
      <x:c r="I151" s="32"/>
      <x:c r="J151" s="32"/>
      <x:c r="K151" s="32"/>
      <x:c r="L151" s="32"/>
    </x:row>
    <x:row r="152">
      <x:c r="A152" s="32"/>
      <x:c r="B152" s="32"/>
      <x:c r="C152" s="32"/>
      <x:c r="D152" s="32"/>
      <x:c r="E152" s="32"/>
      <x:c r="F152" s="32"/>
      <x:c r="G152" s="32"/>
      <x:c r="H152" s="32"/>
      <x:c r="I152" s="32"/>
      <x:c r="J152" s="32"/>
      <x:c r="K152" s="32"/>
      <x:c r="L152" s="32"/>
    </x:row>
    <x:row r="153">
      <x:c r="A153" s="32"/>
      <x:c r="B153" s="32"/>
      <x:c r="C153" s="32"/>
      <x:c r="D153" s="32"/>
      <x:c r="E153" s="32"/>
      <x:c r="F153" s="32"/>
      <x:c r="G153" s="32"/>
      <x:c r="H153" s="32"/>
      <x:c r="I153" s="32"/>
      <x:c r="J153" s="32"/>
      <x:c r="K153" s="32"/>
      <x:c r="L153" s="32"/>
    </x:row>
    <x:row r="154">
      <x:c r="A154" s="32"/>
      <x:c r="B154" s="32"/>
      <x:c r="C154" s="32"/>
      <x:c r="D154" s="32"/>
      <x:c r="E154" s="32"/>
      <x:c r="F154" s="32"/>
      <x:c r="G154" s="32"/>
      <x:c r="H154" s="32"/>
      <x:c r="I154" s="32"/>
      <x:c r="J154" s="32"/>
      <x:c r="K154" s="32"/>
      <x:c r="L154" s="32"/>
    </x:row>
    <x:row r="155">
      <x:c r="A155" s="32"/>
      <x:c r="B155" s="32"/>
      <x:c r="C155" s="32"/>
      <x:c r="D155" s="32"/>
      <x:c r="E155" s="32"/>
      <x:c r="F155" s="32"/>
      <x:c r="G155" s="32"/>
      <x:c r="H155" s="32"/>
      <x:c r="I155" s="32"/>
      <x:c r="J155" s="32"/>
      <x:c r="K155" s="32"/>
      <x:c r="L155" s="32"/>
    </x:row>
    <x:row r="156">
      <x:c r="A156" s="32"/>
      <x:c r="B156" s="32"/>
      <x:c r="C156" s="32"/>
      <x:c r="D156" s="32"/>
      <x:c r="E156" s="32"/>
      <x:c r="F156" s="32"/>
      <x:c r="G156" s="32"/>
      <x:c r="H156" s="32"/>
      <x:c r="I156" s="32"/>
      <x:c r="J156" s="32"/>
      <x:c r="K156" s="32"/>
      <x:c r="L156" s="32"/>
    </x:row>
    <x:row r="157">
      <x:c r="A157" s="32"/>
      <x:c r="B157" s="32"/>
      <x:c r="C157" s="32"/>
      <x:c r="D157" s="32"/>
      <x:c r="E157" s="32"/>
      <x:c r="F157" s="32"/>
      <x:c r="G157" s="32"/>
      <x:c r="H157" s="32"/>
      <x:c r="I157" s="32"/>
      <x:c r="J157" s="32"/>
      <x:c r="K157" s="32"/>
      <x:c r="L157" s="32"/>
    </x:row>
    <x:row r="158">
      <x:c r="A158" s="32"/>
      <x:c r="B158" s="32"/>
      <x:c r="C158" s="32"/>
      <x:c r="D158" s="32"/>
      <x:c r="E158" s="32"/>
      <x:c r="F158" s="32"/>
      <x:c r="G158" s="32"/>
      <x:c r="H158" s="32"/>
      <x:c r="I158" s="32"/>
      <x:c r="J158" s="32"/>
      <x:c r="K158" s="32"/>
      <x:c r="L158" s="32"/>
    </x:row>
    <x:row r="159">
      <x:c r="A159" s="32"/>
      <x:c r="B159" s="32"/>
      <x:c r="C159" s="32"/>
      <x:c r="D159" s="32"/>
      <x:c r="E159" s="32"/>
      <x:c r="F159" s="32"/>
      <x:c r="G159" s="32"/>
      <x:c r="H159" s="32"/>
      <x:c r="I159" s="32"/>
      <x:c r="J159" s="32"/>
      <x:c r="K159" s="32"/>
      <x:c r="L159" s="32"/>
    </x:row>
    <x:row r="160">
      <x:c r="A160" s="32"/>
      <x:c r="B160" s="32"/>
      <x:c r="C160" s="32"/>
      <x:c r="D160" s="32"/>
      <x:c r="E160" s="32"/>
      <x:c r="F160" s="32"/>
      <x:c r="G160" s="32"/>
      <x:c r="H160" s="32"/>
      <x:c r="I160" s="32"/>
      <x:c r="J160" s="32"/>
      <x:c r="K160" s="32"/>
      <x:c r="L160" s="32"/>
    </x:row>
    <x:row r="161">
      <x:c r="A161" s="32"/>
      <x:c r="B161" s="32"/>
      <x:c r="C161" s="32"/>
      <x:c r="D161" s="32"/>
      <x:c r="E161" s="32"/>
      <x:c r="F161" s="32"/>
      <x:c r="G161" s="32"/>
      <x:c r="H161" s="32"/>
      <x:c r="I161" s="32"/>
      <x:c r="J161" s="32"/>
      <x:c r="K161" s="32"/>
      <x:c r="L161" s="32"/>
    </x:row>
    <x:row r="162">
      <x:c r="A162" s="32"/>
      <x:c r="B162" s="32"/>
      <x:c r="C162" s="32"/>
      <x:c r="D162" s="32"/>
      <x:c r="E162" s="32"/>
      <x:c r="F162" s="32"/>
      <x:c r="G162" s="32"/>
      <x:c r="H162" s="32"/>
      <x:c r="I162" s="32"/>
      <x:c r="J162" s="32"/>
      <x:c r="K162" s="32"/>
      <x:c r="L162" s="32"/>
    </x:row>
    <x:row r="163">
      <x:c r="A163" s="32"/>
      <x:c r="B163" s="32"/>
      <x:c r="C163" s="32"/>
      <x:c r="D163" s="32"/>
      <x:c r="E163" s="32"/>
      <x:c r="F163" s="32"/>
      <x:c r="G163" s="32"/>
      <x:c r="H163" s="32"/>
      <x:c r="I163" s="32"/>
      <x:c r="J163" s="32"/>
      <x:c r="K163" s="32"/>
      <x:c r="L163" s="32"/>
    </x:row>
    <x:row r="164">
      <x:c r="A164" s="32"/>
      <x:c r="B164" s="32"/>
      <x:c r="C164" s="32"/>
      <x:c r="D164" s="32"/>
      <x:c r="E164" s="32"/>
      <x:c r="F164" s="32"/>
      <x:c r="G164" s="32"/>
      <x:c r="H164" s="32"/>
      <x:c r="I164" s="32"/>
      <x:c r="J164" s="32"/>
      <x:c r="K164" s="32"/>
      <x:c r="L164" s="32"/>
    </x:row>
    <x:row r="165">
      <x:c r="A165" s="32"/>
      <x:c r="B165" s="32"/>
      <x:c r="C165" s="32"/>
      <x:c r="D165" s="32"/>
      <x:c r="E165" s="32"/>
      <x:c r="F165" s="32"/>
      <x:c r="G165" s="32"/>
      <x:c r="H165" s="32"/>
      <x:c r="I165" s="32"/>
      <x:c r="J165" s="32"/>
      <x:c r="K165" s="32"/>
      <x:c r="L165" s="32"/>
    </x:row>
    <x:row r="166">
      <x:c r="A166" s="32"/>
      <x:c r="B166" s="32"/>
      <x:c r="C166" s="32"/>
      <x:c r="D166" s="32"/>
      <x:c r="E166" s="32"/>
      <x:c r="F166" s="32"/>
      <x:c r="G166" s="32"/>
      <x:c r="H166" s="32"/>
      <x:c r="I166" s="32"/>
      <x:c r="J166" s="32"/>
      <x:c r="K166" s="32"/>
      <x:c r="L166" s="32"/>
    </x:row>
    <x:row r="167">
      <x:c r="A167" s="32"/>
      <x:c r="B167" s="32"/>
      <x:c r="C167" s="32"/>
      <x:c r="D167" s="32"/>
      <x:c r="E167" s="32"/>
      <x:c r="F167" s="32"/>
      <x:c r="G167" s="32"/>
      <x:c r="H167" s="32"/>
      <x:c r="I167" s="32"/>
      <x:c r="J167" s="32"/>
      <x:c r="K167" s="32"/>
      <x:c r="L167" s="32"/>
    </x:row>
    <x:row r="168">
      <x:c r="A168" s="32"/>
      <x:c r="B168" s="32"/>
      <x:c r="C168" s="32"/>
      <x:c r="D168" s="32"/>
      <x:c r="E168" s="32"/>
      <x:c r="F168" s="32"/>
      <x:c r="G168" s="32"/>
      <x:c r="H168" s="32"/>
      <x:c r="I168" s="32"/>
      <x:c r="J168" s="32"/>
      <x:c r="K168" s="32"/>
      <x:c r="L168" s="32"/>
    </x:row>
    <x:row r="169">
      <x:c r="A169" s="32"/>
      <x:c r="B169" s="32"/>
      <x:c r="C169" s="32"/>
      <x:c r="D169" s="32"/>
      <x:c r="E169" s="32"/>
      <x:c r="F169" s="32"/>
      <x:c r="G169" s="32"/>
      <x:c r="H169" s="32"/>
      <x:c r="I169" s="32"/>
      <x:c r="J169" s="32"/>
      <x:c r="K169" s="32"/>
      <x:c r="L169" s="32"/>
    </x:row>
    <x:row r="170">
      <x:c r="A170" s="32"/>
      <x:c r="B170" s="32"/>
      <x:c r="C170" s="32"/>
      <x:c r="D170" s="32"/>
      <x:c r="E170" s="32"/>
      <x:c r="F170" s="32"/>
      <x:c r="G170" s="32"/>
      <x:c r="H170" s="32"/>
      <x:c r="I170" s="32"/>
      <x:c r="J170" s="32"/>
      <x:c r="K170" s="32"/>
      <x:c r="L170" s="32"/>
    </x:row>
    <x:row r="171">
      <x:c r="A171" s="32"/>
      <x:c r="B171" s="32"/>
      <x:c r="C171" s="32"/>
      <x:c r="D171" s="32"/>
      <x:c r="E171" s="32"/>
      <x:c r="F171" s="32"/>
      <x:c r="G171" s="32"/>
      <x:c r="H171" s="32"/>
      <x:c r="I171" s="32"/>
      <x:c r="J171" s="32"/>
      <x:c r="K171" s="32"/>
      <x:c r="L171" s="32"/>
    </x:row>
    <x:row r="172">
      <x:c r="A172" s="32"/>
      <x:c r="B172" s="32"/>
      <x:c r="C172" s="32"/>
      <x:c r="D172" s="32"/>
      <x:c r="E172" s="32"/>
      <x:c r="F172" s="32"/>
      <x:c r="G172" s="32"/>
      <x:c r="H172" s="32"/>
      <x:c r="I172" s="32"/>
      <x:c r="J172" s="32"/>
      <x:c r="K172" s="32"/>
      <x:c r="L172" s="32"/>
    </x:row>
    <x:row r="173">
      <x:c r="A173" s="32"/>
      <x:c r="B173" s="32"/>
      <x:c r="C173" s="32"/>
      <x:c r="D173" s="32"/>
      <x:c r="E173" s="32"/>
      <x:c r="F173" s="32"/>
      <x:c r="G173" s="32"/>
      <x:c r="H173" s="32"/>
      <x:c r="I173" s="32"/>
      <x:c r="J173" s="32"/>
      <x:c r="K173" s="32"/>
      <x:c r="L173" s="32"/>
    </x:row>
    <x:row r="174">
      <x:c r="A174" s="32"/>
      <x:c r="B174" s="32"/>
      <x:c r="C174" s="32"/>
      <x:c r="D174" s="32"/>
      <x:c r="E174" s="32"/>
      <x:c r="F174" s="32"/>
      <x:c r="G174" s="32"/>
      <x:c r="H174" s="32"/>
      <x:c r="I174" s="32"/>
      <x:c r="J174" s="32"/>
      <x:c r="K174" s="32"/>
      <x:c r="L174" s="32"/>
    </x:row>
    <x:row r="175">
      <x:c r="A175" s="32"/>
      <x:c r="B175" s="32"/>
      <x:c r="C175" s="32"/>
      <x:c r="D175" s="32"/>
      <x:c r="E175" s="32"/>
      <x:c r="F175" s="32"/>
      <x:c r="G175" s="32"/>
      <x:c r="H175" s="32"/>
      <x:c r="I175" s="32"/>
      <x:c r="J175" s="32"/>
      <x:c r="K175" s="32"/>
      <x:c r="L175" s="32"/>
    </x:row>
    <x:row r="176">
      <x:c r="A176" s="32"/>
      <x:c r="B176" s="32"/>
      <x:c r="C176" s="32"/>
      <x:c r="D176" s="32"/>
      <x:c r="E176" s="32"/>
      <x:c r="F176" s="32"/>
      <x:c r="G176" s="32"/>
      <x:c r="H176" s="32"/>
      <x:c r="I176" s="32"/>
      <x:c r="J176" s="32"/>
      <x:c r="K176" s="32"/>
      <x:c r="L176" s="32"/>
    </x:row>
    <x:row r="177">
      <x:c r="A177" s="32"/>
      <x:c r="B177" s="32"/>
      <x:c r="C177" s="32"/>
      <x:c r="D177" s="32"/>
      <x:c r="E177" s="32"/>
      <x:c r="F177" s="32"/>
      <x:c r="G177" s="32"/>
      <x:c r="H177" s="32"/>
      <x:c r="I177" s="32"/>
      <x:c r="J177" s="32"/>
      <x:c r="K177" s="32"/>
      <x:c r="L177" s="32"/>
    </x:row>
    <x:row r="178">
      <x:c r="A178" s="32"/>
      <x:c r="B178" s="32"/>
      <x:c r="C178" s="32"/>
      <x:c r="D178" s="32"/>
      <x:c r="E178" s="32"/>
      <x:c r="F178" s="32"/>
      <x:c r="G178" s="32"/>
      <x:c r="H178" s="32"/>
      <x:c r="I178" s="32"/>
      <x:c r="J178" s="32"/>
      <x:c r="K178" s="32"/>
      <x:c r="L178" s="32"/>
    </x:row>
    <x:row r="179">
      <x:c r="A179" s="32"/>
      <x:c r="B179" s="32"/>
      <x:c r="C179" s="32"/>
      <x:c r="D179" s="32"/>
      <x:c r="E179" s="32"/>
      <x:c r="F179" s="32"/>
      <x:c r="G179" s="32"/>
      <x:c r="H179" s="32"/>
      <x:c r="I179" s="32"/>
      <x:c r="J179" s="32"/>
      <x:c r="K179" s="32"/>
      <x:c r="L179" s="32"/>
    </x:row>
    <x:row r="180">
      <x:c r="A180" s="32"/>
      <x:c r="B180" s="32"/>
      <x:c r="C180" s="32"/>
      <x:c r="D180" s="32"/>
      <x:c r="E180" s="32"/>
      <x:c r="F180" s="32"/>
      <x:c r="G180" s="32"/>
      <x:c r="H180" s="32"/>
      <x:c r="I180" s="32"/>
      <x:c r="J180" s="32"/>
      <x:c r="K180" s="32"/>
      <x:c r="L180" s="32"/>
    </x:row>
    <x:row r="181">
      <x:c r="A181" s="32"/>
      <x:c r="B181" s="32"/>
      <x:c r="C181" s="32"/>
      <x:c r="D181" s="32"/>
      <x:c r="E181" s="32"/>
      <x:c r="F181" s="32"/>
      <x:c r="G181" s="32"/>
      <x:c r="H181" s="32"/>
      <x:c r="I181" s="32"/>
      <x:c r="J181" s="32"/>
      <x:c r="K181" s="32"/>
      <x:c r="L181" s="32"/>
    </x:row>
    <x:row r="182">
      <x:c r="A182" s="32"/>
      <x:c r="B182" s="32"/>
      <x:c r="C182" s="32"/>
      <x:c r="D182" s="32"/>
      <x:c r="E182" s="32"/>
      <x:c r="F182" s="32"/>
      <x:c r="G182" s="32"/>
      <x:c r="H182" s="32"/>
      <x:c r="I182" s="32"/>
      <x:c r="J182" s="32"/>
      <x:c r="K182" s="32"/>
      <x:c r="L182" s="32"/>
    </x:row>
    <x:row r="183">
      <x:c r="A183" s="32"/>
      <x:c r="B183" s="32"/>
      <x:c r="C183" s="32"/>
      <x:c r="D183" s="32"/>
      <x:c r="E183" s="32"/>
      <x:c r="F183" s="32"/>
      <x:c r="G183" s="32"/>
      <x:c r="H183" s="32"/>
      <x:c r="I183" s="32"/>
      <x:c r="J183" s="32"/>
      <x:c r="K183" s="32"/>
      <x:c r="L183" s="32"/>
    </x:row>
    <x:row r="184">
      <x:c r="A184" s="32"/>
      <x:c r="B184" s="32"/>
      <x:c r="C184" s="32"/>
      <x:c r="D184" s="32"/>
      <x:c r="E184" s="32"/>
      <x:c r="F184" s="32"/>
      <x:c r="G184" s="32"/>
      <x:c r="H184" s="32"/>
      <x:c r="I184" s="32"/>
      <x:c r="J184" s="32"/>
      <x:c r="K184" s="32"/>
      <x:c r="L184" s="32"/>
    </x:row>
    <x:row r="185">
      <x:c r="A185" s="32"/>
      <x:c r="B185" s="32"/>
      <x:c r="C185" s="32"/>
      <x:c r="D185" s="32"/>
      <x:c r="E185" s="32"/>
      <x:c r="F185" s="32"/>
      <x:c r="G185" s="32"/>
      <x:c r="H185" s="32"/>
      <x:c r="I185" s="32"/>
      <x:c r="J185" s="32"/>
      <x:c r="K185" s="32"/>
      <x:c r="L185" s="32"/>
    </x:row>
    <x:row r="186">
      <x:c r="A186" s="32"/>
      <x:c r="B186" s="32"/>
      <x:c r="C186" s="32"/>
      <x:c r="D186" s="32"/>
      <x:c r="E186" s="32"/>
      <x:c r="F186" s="32"/>
      <x:c r="G186" s="32"/>
      <x:c r="H186" s="32"/>
      <x:c r="I186" s="32"/>
      <x:c r="J186" s="32"/>
      <x:c r="K186" s="32"/>
      <x:c r="L186" s="32"/>
    </x:row>
    <x:row r="187">
      <x:c r="A187" s="32"/>
      <x:c r="B187" s="32"/>
      <x:c r="C187" s="32"/>
      <x:c r="D187" s="32"/>
      <x:c r="E187" s="32"/>
      <x:c r="F187" s="32"/>
      <x:c r="G187" s="32"/>
      <x:c r="H187" s="32"/>
      <x:c r="I187" s="32"/>
      <x:c r="J187" s="32"/>
      <x:c r="K187" s="32"/>
      <x:c r="L187" s="32"/>
    </x:row>
    <x:row r="188">
      <x:c r="A188" s="32"/>
      <x:c r="B188" s="32"/>
      <x:c r="C188" s="32"/>
      <x:c r="D188" s="32"/>
      <x:c r="E188" s="32"/>
      <x:c r="F188" s="32"/>
      <x:c r="G188" s="32"/>
      <x:c r="H188" s="32"/>
      <x:c r="I188" s="32"/>
      <x:c r="J188" s="32"/>
      <x:c r="K188" s="32"/>
      <x:c r="L188" s="32"/>
    </x:row>
    <x:row r="189">
      <x:c r="A189" s="32"/>
      <x:c r="B189" s="32"/>
      <x:c r="C189" s="32"/>
      <x:c r="D189" s="32"/>
      <x:c r="E189" s="32"/>
      <x:c r="F189" s="32"/>
      <x:c r="G189" s="32"/>
      <x:c r="H189" s="32"/>
      <x:c r="I189" s="32"/>
      <x:c r="J189" s="32"/>
      <x:c r="K189" s="32"/>
      <x:c r="L189" s="32"/>
    </x:row>
    <x:row r="190">
      <x:c r="A190" s="32"/>
      <x:c r="B190" s="32"/>
      <x:c r="C190" s="32"/>
      <x:c r="D190" s="32"/>
      <x:c r="E190" s="32"/>
      <x:c r="F190" s="32"/>
      <x:c r="G190" s="32"/>
      <x:c r="H190" s="32"/>
      <x:c r="I190" s="32"/>
      <x:c r="J190" s="32"/>
      <x:c r="K190" s="32"/>
      <x:c r="L190" s="32"/>
    </x:row>
    <x:row r="191">
      <x:c r="A191" s="32"/>
      <x:c r="B191" s="32"/>
      <x:c r="C191" s="32"/>
      <x:c r="D191" s="32"/>
      <x:c r="E191" s="32"/>
      <x:c r="F191" s="32"/>
      <x:c r="G191" s="32"/>
      <x:c r="H191" s="32"/>
      <x:c r="I191" s="32"/>
      <x:c r="J191" s="32"/>
      <x:c r="K191" s="32"/>
      <x:c r="L191" s="32"/>
    </x:row>
    <x:row r="192">
      <x:c r="A192" s="32"/>
      <x:c r="B192" s="32"/>
      <x:c r="C192" s="32"/>
      <x:c r="D192" s="32"/>
      <x:c r="E192" s="32"/>
      <x:c r="F192" s="32"/>
      <x:c r="G192" s="32"/>
      <x:c r="H192" s="32"/>
      <x:c r="I192" s="32"/>
      <x:c r="J192" s="32"/>
      <x:c r="K192" s="32"/>
      <x:c r="L192" s="32"/>
    </x:row>
    <x:row r="193">
      <x:c r="A193" s="32"/>
      <x:c r="B193" s="32"/>
      <x:c r="C193" s="32"/>
      <x:c r="D193" s="32"/>
      <x:c r="E193" s="32"/>
      <x:c r="F193" s="32"/>
      <x:c r="G193" s="32"/>
      <x:c r="H193" s="32"/>
      <x:c r="I193" s="32"/>
      <x:c r="J193" s="32"/>
      <x:c r="K193" s="32"/>
      <x:c r="L193" s="32"/>
    </x:row>
    <x:row r="194">
      <x:c r="A194" s="32"/>
      <x:c r="B194" s="32"/>
      <x:c r="C194" s="32"/>
      <x:c r="D194" s="32"/>
      <x:c r="E194" s="32"/>
      <x:c r="F194" s="32"/>
      <x:c r="G194" s="32"/>
      <x:c r="H194" s="32"/>
      <x:c r="I194" s="32"/>
      <x:c r="J194" s="32"/>
      <x:c r="K194" s="32"/>
      <x:c r="L194" s="32"/>
    </x:row>
    <x:row r="195">
      <x:c r="A195" s="32"/>
      <x:c r="B195" s="32"/>
      <x:c r="C195" s="32"/>
      <x:c r="D195" s="32"/>
      <x:c r="E195" s="32"/>
      <x:c r="F195" s="32"/>
      <x:c r="G195" s="32"/>
      <x:c r="H195" s="32"/>
      <x:c r="I195" s="32"/>
      <x:c r="J195" s="32"/>
      <x:c r="K195" s="32"/>
      <x:c r="L195" s="32"/>
    </x:row>
    <x:row r="196">
      <x:c r="A196" s="32"/>
      <x:c r="B196" s="32"/>
      <x:c r="C196" s="32"/>
      <x:c r="D196" s="32"/>
      <x:c r="E196" s="32"/>
      <x:c r="F196" s="32"/>
      <x:c r="G196" s="32"/>
      <x:c r="H196" s="32"/>
      <x:c r="I196" s="32"/>
      <x:c r="J196" s="32"/>
      <x:c r="K196" s="32"/>
      <x:c r="L196" s="32"/>
    </x:row>
    <x:row r="197">
      <x:c r="A197" s="32"/>
      <x:c r="B197" s="32"/>
      <x:c r="C197" s="32"/>
      <x:c r="D197" s="32"/>
      <x:c r="E197" s="32"/>
      <x:c r="F197" s="32"/>
      <x:c r="G197" s="32"/>
      <x:c r="H197" s="32"/>
      <x:c r="I197" s="32"/>
      <x:c r="J197" s="32"/>
      <x:c r="K197" s="32"/>
      <x:c r="L197" s="32"/>
    </x:row>
    <x:row r="198">
      <x:c r="A198" s="32"/>
      <x:c r="B198" s="32"/>
      <x:c r="C198" s="32"/>
      <x:c r="D198" s="32"/>
      <x:c r="E198" s="32"/>
      <x:c r="F198" s="32"/>
      <x:c r="G198" s="32"/>
      <x:c r="H198" s="32"/>
      <x:c r="I198" s="32"/>
      <x:c r="J198" s="32"/>
      <x:c r="K198" s="32"/>
      <x:c r="L198" s="32"/>
    </x:row>
    <x:row r="199">
      <x:c r="A199" s="32"/>
      <x:c r="B199" s="32"/>
      <x:c r="C199" s="32"/>
      <x:c r="D199" s="32"/>
      <x:c r="E199" s="32"/>
      <x:c r="F199" s="32"/>
      <x:c r="G199" s="32"/>
      <x:c r="H199" s="32"/>
      <x:c r="I199" s="32"/>
      <x:c r="J199" s="32"/>
      <x:c r="K199" s="32"/>
      <x:c r="L199" s="32"/>
    </x:row>
    <x:row r="200">
      <x:c r="A200" s="32"/>
      <x:c r="B200" s="32"/>
      <x:c r="C200" s="32"/>
      <x:c r="D200" s="32"/>
      <x:c r="E200" s="32"/>
      <x:c r="F200" s="32"/>
      <x:c r="G200" s="32"/>
      <x:c r="H200" s="32"/>
      <x:c r="I200" s="32"/>
      <x:c r="J200" s="32"/>
      <x:c r="K200" s="32"/>
      <x:c r="L200" s="32"/>
    </x:row>
    <x:row r="201">
      <x:c r="A201" s="32"/>
      <x:c r="B201" s="32"/>
      <x:c r="C201" s="32"/>
      <x:c r="D201" s="32"/>
      <x:c r="E201" s="32"/>
      <x:c r="F201" s="32"/>
      <x:c r="G201" s="32"/>
      <x:c r="H201" s="32"/>
      <x:c r="I201" s="32"/>
      <x:c r="J201" s="32"/>
      <x:c r="K201" s="32"/>
      <x:c r="L201" s="32"/>
    </x:row>
    <x:row r="202">
      <x:c r="A202" s="32"/>
      <x:c r="B202" s="32"/>
      <x:c r="C202" s="32"/>
      <x:c r="D202" s="32"/>
      <x:c r="E202" s="32"/>
      <x:c r="F202" s="32"/>
      <x:c r="G202" s="32"/>
      <x:c r="H202" s="32"/>
      <x:c r="I202" s="32"/>
      <x:c r="J202" s="32"/>
      <x:c r="K202" s="32"/>
      <x:c r="L202" s="32"/>
    </x:row>
    <x:row r="203">
      <x:c r="A203" s="32"/>
      <x:c r="B203" s="32"/>
      <x:c r="C203" s="32"/>
      <x:c r="D203" s="32"/>
      <x:c r="E203" s="32"/>
      <x:c r="F203" s="32"/>
      <x:c r="G203" s="32"/>
      <x:c r="H203" s="32"/>
      <x:c r="I203" s="32"/>
      <x:c r="J203" s="32"/>
      <x:c r="K203" s="32"/>
      <x:c r="L203" s="32"/>
    </x:row>
    <x:row r="204">
      <x:c r="A204" s="32"/>
      <x:c r="B204" s="32"/>
      <x:c r="C204" s="32"/>
      <x:c r="D204" s="32"/>
      <x:c r="E204" s="32"/>
      <x:c r="F204" s="32"/>
      <x:c r="G204" s="32"/>
      <x:c r="H204" s="32"/>
      <x:c r="I204" s="32"/>
      <x:c r="J204" s="32"/>
      <x:c r="K204" s="32"/>
      <x:c r="L204" s="32"/>
    </x:row>
    <x:row r="205">
      <x:c r="A205" s="32"/>
      <x:c r="B205" s="32"/>
      <x:c r="C205" s="32"/>
      <x:c r="D205" s="32"/>
      <x:c r="E205" s="32"/>
      <x:c r="F205" s="32"/>
      <x:c r="G205" s="32"/>
      <x:c r="H205" s="32"/>
      <x:c r="I205" s="32"/>
      <x:c r="J205" s="32"/>
      <x:c r="K205" s="32"/>
      <x:c r="L205" s="32"/>
    </x:row>
    <x:row r="206">
      <x:c r="A206" s="32"/>
      <x:c r="B206" s="32"/>
      <x:c r="C206" s="32"/>
      <x:c r="D206" s="32"/>
      <x:c r="E206" s="32"/>
      <x:c r="F206" s="32"/>
      <x:c r="G206" s="32"/>
      <x:c r="H206" s="32"/>
      <x:c r="I206" s="32"/>
      <x:c r="J206" s="32"/>
      <x:c r="K206" s="32"/>
      <x:c r="L206" s="32"/>
    </x:row>
    <x:row r="207">
      <x:c r="A207" s="32"/>
      <x:c r="B207" s="32"/>
      <x:c r="C207" s="32"/>
      <x:c r="D207" s="32"/>
      <x:c r="E207" s="32"/>
      <x:c r="F207" s="32"/>
      <x:c r="G207" s="32"/>
      <x:c r="H207" s="32"/>
      <x:c r="I207" s="32"/>
      <x:c r="J207" s="32"/>
      <x:c r="K207" s="32"/>
      <x:c r="L207" s="32"/>
    </x:row>
    <x:row r="208">
      <x:c r="A208" s="32"/>
      <x:c r="B208" s="32"/>
      <x:c r="C208" s="32"/>
      <x:c r="D208" s="32"/>
      <x:c r="E208" s="32"/>
      <x:c r="F208" s="32"/>
      <x:c r="G208" s="32"/>
      <x:c r="H208" s="32"/>
      <x:c r="I208" s="32"/>
      <x:c r="J208" s="32"/>
      <x:c r="K208" s="32"/>
      <x:c r="L208" s="32"/>
    </x:row>
    <x:row r="209">
      <x:c r="A209" s="32"/>
      <x:c r="B209" s="32"/>
      <x:c r="C209" s="32"/>
      <x:c r="D209" s="32"/>
      <x:c r="E209" s="32"/>
      <x:c r="F209" s="32"/>
      <x:c r="G209" s="32"/>
      <x:c r="H209" s="32"/>
      <x:c r="I209" s="32"/>
      <x:c r="J209" s="32"/>
      <x:c r="K209" s="32"/>
      <x:c r="L209" s="32"/>
    </x:row>
    <x:row r="210">
      <x:c r="A210" s="32"/>
      <x:c r="B210" s="32"/>
      <x:c r="C210" s="32"/>
      <x:c r="D210" s="32"/>
      <x:c r="E210" s="32"/>
      <x:c r="F210" s="32"/>
      <x:c r="G210" s="32"/>
      <x:c r="H210" s="32"/>
      <x:c r="I210" s="32"/>
      <x:c r="J210" s="32"/>
      <x:c r="K210" s="32"/>
      <x:c r="L210" s="32"/>
    </x:row>
    <x:row r="211">
      <x:c r="A211" s="32"/>
      <x:c r="B211" s="32"/>
      <x:c r="C211" s="32"/>
      <x:c r="D211" s="32"/>
      <x:c r="E211" s="32"/>
      <x:c r="F211" s="32"/>
      <x:c r="G211" s="32"/>
      <x:c r="H211" s="32"/>
      <x:c r="I211" s="32"/>
      <x:c r="J211" s="32"/>
      <x:c r="K211" s="32"/>
      <x:c r="L211" s="32"/>
    </x:row>
    <x:row r="212">
      <x:c r="A212" s="32"/>
      <x:c r="B212" s="32"/>
      <x:c r="C212" s="32"/>
      <x:c r="D212" s="32"/>
      <x:c r="E212" s="32"/>
      <x:c r="F212" s="32"/>
      <x:c r="G212" s="32"/>
      <x:c r="H212" s="32"/>
      <x:c r="I212" s="32"/>
      <x:c r="J212" s="32"/>
      <x:c r="K212" s="32"/>
      <x:c r="L212" s="32"/>
    </x:row>
    <x:row r="213">
      <x:c r="A213" s="32"/>
      <x:c r="B213" s="32"/>
      <x:c r="C213" s="32"/>
      <x:c r="D213" s="32"/>
      <x:c r="E213" s="32"/>
      <x:c r="F213" s="32"/>
      <x:c r="G213" s="32"/>
      <x:c r="H213" s="32"/>
      <x:c r="I213" s="32"/>
      <x:c r="J213" s="32"/>
      <x:c r="K213" s="32"/>
      <x:c r="L213" s="32"/>
    </x:row>
    <x:row r="214">
      <x:c r="A214" s="32"/>
      <x:c r="B214" s="32"/>
      <x:c r="C214" s="32"/>
      <x:c r="D214" s="32"/>
      <x:c r="E214" s="32"/>
      <x:c r="F214" s="32"/>
      <x:c r="G214" s="32"/>
      <x:c r="H214" s="32"/>
      <x:c r="I214" s="32"/>
      <x:c r="J214" s="32"/>
      <x:c r="K214" s="32"/>
      <x:c r="L214" s="32"/>
    </x:row>
    <x:row r="215">
      <x:c r="A215" s="32"/>
      <x:c r="B215" s="32"/>
      <x:c r="C215" s="32"/>
      <x:c r="D215" s="32"/>
      <x:c r="E215" s="32"/>
      <x:c r="F215" s="32"/>
      <x:c r="G215" s="32"/>
      <x:c r="H215" s="32"/>
      <x:c r="I215" s="32"/>
      <x:c r="J215" s="32"/>
      <x:c r="K215" s="32"/>
      <x:c r="L215" s="32"/>
    </x:row>
    <x:row r="216">
      <x:c r="A216" s="32"/>
      <x:c r="B216" s="32"/>
      <x:c r="C216" s="32"/>
      <x:c r="D216" s="32"/>
      <x:c r="E216" s="32"/>
      <x:c r="F216" s="32"/>
      <x:c r="G216" s="32"/>
      <x:c r="H216" s="32"/>
      <x:c r="I216" s="32"/>
      <x:c r="J216" s="32"/>
      <x:c r="K216" s="32"/>
      <x:c r="L216" s="32"/>
    </x:row>
    <x:row r="217">
      <x:c r="A217" s="32"/>
      <x:c r="B217" s="32"/>
      <x:c r="C217" s="32"/>
      <x:c r="D217" s="32"/>
      <x:c r="E217" s="32"/>
      <x:c r="F217" s="32"/>
      <x:c r="G217" s="32"/>
      <x:c r="H217" s="32"/>
      <x:c r="I217" s="32"/>
      <x:c r="J217" s="32"/>
      <x:c r="K217" s="32"/>
      <x:c r="L217" s="32"/>
    </x:row>
    <x:row r="218">
      <x:c r="A218" s="32"/>
      <x:c r="B218" s="32"/>
      <x:c r="C218" s="32"/>
      <x:c r="D218" s="32"/>
      <x:c r="E218" s="32"/>
      <x:c r="F218" s="32"/>
      <x:c r="G218" s="32"/>
      <x:c r="H218" s="32"/>
      <x:c r="I218" s="32"/>
      <x:c r="J218" s="32"/>
      <x:c r="K218" s="32"/>
      <x:c r="L218" s="32"/>
    </x:row>
    <x:row r="219">
      <x:c r="A219" s="32"/>
      <x:c r="B219" s="32"/>
      <x:c r="C219" s="32"/>
      <x:c r="D219" s="32"/>
      <x:c r="E219" s="32"/>
      <x:c r="F219" s="32"/>
      <x:c r="G219" s="32"/>
      <x:c r="H219" s="32"/>
      <x:c r="I219" s="32"/>
      <x:c r="J219" s="32"/>
      <x:c r="K219" s="32"/>
      <x:c r="L219" s="32"/>
    </x:row>
    <x:row r="220">
      <x:c r="A220" s="32"/>
      <x:c r="B220" s="32"/>
      <x:c r="C220" s="32"/>
      <x:c r="D220" s="32"/>
      <x:c r="E220" s="32"/>
      <x:c r="F220" s="32"/>
      <x:c r="G220" s="32"/>
      <x:c r="H220" s="32"/>
      <x:c r="I220" s="32"/>
      <x:c r="J220" s="32"/>
      <x:c r="K220" s="32"/>
      <x:c r="L220" s="32"/>
    </x:row>
    <x:row r="221">
      <x:c r="A221" s="32"/>
      <x:c r="B221" s="32"/>
      <x:c r="C221" s="32"/>
      <x:c r="D221" s="32"/>
      <x:c r="E221" s="32"/>
      <x:c r="F221" s="32"/>
      <x:c r="G221" s="32"/>
      <x:c r="H221" s="32"/>
      <x:c r="I221" s="32"/>
      <x:c r="J221" s="32"/>
      <x:c r="K221" s="32"/>
      <x:c r="L221" s="32"/>
    </x:row>
    <x:row r="222">
      <x:c r="A222" s="32"/>
      <x:c r="B222" s="32"/>
      <x:c r="C222" s="32"/>
      <x:c r="D222" s="32"/>
      <x:c r="E222" s="32"/>
      <x:c r="F222" s="32"/>
      <x:c r="G222" s="32"/>
      <x:c r="H222" s="32"/>
      <x:c r="I222" s="32"/>
      <x:c r="J222" s="32"/>
      <x:c r="K222" s="32"/>
      <x:c r="L222" s="32"/>
    </x:row>
    <x:row r="223">
      <x:c r="A223" s="32"/>
      <x:c r="B223" s="32"/>
      <x:c r="C223" s="32"/>
      <x:c r="D223" s="32"/>
      <x:c r="E223" s="32"/>
      <x:c r="F223" s="32"/>
      <x:c r="G223" s="32"/>
      <x:c r="H223" s="32"/>
      <x:c r="I223" s="32"/>
      <x:c r="J223" s="32"/>
      <x:c r="K223" s="32"/>
      <x:c r="L223" s="32"/>
    </x:row>
    <x:row r="224">
      <x:c r="A224" s="32"/>
      <x:c r="B224" s="32"/>
      <x:c r="C224" s="32"/>
      <x:c r="D224" s="32"/>
      <x:c r="E224" s="32"/>
      <x:c r="F224" s="32"/>
      <x:c r="G224" s="32"/>
      <x:c r="H224" s="32"/>
      <x:c r="I224" s="32"/>
      <x:c r="J224" s="32"/>
      <x:c r="K224" s="32"/>
      <x:c r="L224" s="32"/>
    </x:row>
    <x:row r="225">
      <x:c r="A225" s="32"/>
      <x:c r="B225" s="32"/>
      <x:c r="C225" s="32"/>
      <x:c r="D225" s="32"/>
      <x:c r="E225" s="32"/>
      <x:c r="F225" s="32"/>
      <x:c r="G225" s="32"/>
      <x:c r="H225" s="32"/>
      <x:c r="I225" s="32"/>
      <x:c r="J225" s="32"/>
      <x:c r="K225" s="32"/>
      <x:c r="L225" s="32"/>
    </x:row>
    <x:row r="226">
      <x:c r="A226" s="32"/>
      <x:c r="B226" s="32"/>
      <x:c r="C226" s="32"/>
      <x:c r="D226" s="32"/>
      <x:c r="E226" s="32"/>
      <x:c r="F226" s="32"/>
      <x:c r="G226" s="32"/>
      <x:c r="H226" s="32"/>
      <x:c r="I226" s="32"/>
      <x:c r="J226" s="32"/>
      <x:c r="K226" s="32"/>
      <x:c r="L226" s="32"/>
    </x:row>
    <x:row r="227">
      <x:c r="A227" s="32"/>
      <x:c r="B227" s="32"/>
      <x:c r="C227" s="32"/>
      <x:c r="D227" s="32"/>
      <x:c r="E227" s="32"/>
      <x:c r="F227" s="32"/>
      <x:c r="G227" s="32"/>
      <x:c r="H227" s="32"/>
      <x:c r="I227" s="32"/>
      <x:c r="J227" s="32"/>
      <x:c r="K227" s="32"/>
      <x:c r="L227" s="32"/>
    </x:row>
    <x:row r="228">
      <x:c r="A228" s="32"/>
      <x:c r="B228" s="32"/>
      <x:c r="C228" s="32"/>
      <x:c r="D228" s="32"/>
      <x:c r="E228" s="32"/>
      <x:c r="F228" s="32"/>
      <x:c r="G228" s="32"/>
      <x:c r="H228" s="32"/>
      <x:c r="I228" s="32"/>
      <x:c r="J228" s="32"/>
      <x:c r="K228" s="32"/>
      <x:c r="L228" s="32"/>
    </x:row>
    <x:row r="229">
      <x:c r="A229" s="32"/>
      <x:c r="B229" s="32"/>
      <x:c r="C229" s="32"/>
      <x:c r="D229" s="32"/>
      <x:c r="E229" s="32"/>
      <x:c r="F229" s="32"/>
      <x:c r="G229" s="32"/>
      <x:c r="H229" s="32"/>
      <x:c r="I229" s="32"/>
      <x:c r="J229" s="32"/>
      <x:c r="K229" s="32"/>
      <x:c r="L229" s="32"/>
    </x:row>
    <x:row r="230">
      <x:c r="A230" s="32"/>
      <x:c r="B230" s="32"/>
      <x:c r="C230" s="32"/>
      <x:c r="D230" s="32"/>
      <x:c r="E230" s="32"/>
      <x:c r="F230" s="32"/>
      <x:c r="G230" s="32"/>
      <x:c r="H230" s="32"/>
      <x:c r="I230" s="32"/>
      <x:c r="J230" s="32"/>
      <x:c r="K230" s="32"/>
      <x:c r="L230" s="32"/>
    </x:row>
    <x:row r="231">
      <x:c r="A231" s="32"/>
      <x:c r="B231" s="32"/>
      <x:c r="C231" s="32"/>
      <x:c r="D231" s="32"/>
      <x:c r="E231" s="32"/>
      <x:c r="F231" s="32"/>
      <x:c r="G231" s="32"/>
      <x:c r="H231" s="32"/>
      <x:c r="I231" s="32"/>
      <x:c r="J231" s="32"/>
      <x:c r="K231" s="32"/>
      <x:c r="L231" s="32"/>
    </x:row>
    <x:row r="232">
      <x:c r="A232" s="32"/>
      <x:c r="B232" s="32"/>
      <x:c r="C232" s="32"/>
      <x:c r="D232" s="32"/>
      <x:c r="E232" s="32"/>
      <x:c r="F232" s="32"/>
      <x:c r="G232" s="32"/>
      <x:c r="H232" s="32"/>
      <x:c r="I232" s="32"/>
      <x:c r="J232" s="32"/>
      <x:c r="K232" s="32"/>
      <x:c r="L232" s="32"/>
    </x:row>
    <x:row r="233">
      <x:c r="A233" s="32"/>
      <x:c r="B233" s="32"/>
      <x:c r="C233" s="32"/>
      <x:c r="D233" s="32"/>
      <x:c r="E233" s="32"/>
      <x:c r="F233" s="32"/>
      <x:c r="G233" s="32"/>
      <x:c r="H233" s="32"/>
      <x:c r="I233" s="32"/>
      <x:c r="J233" s="32"/>
      <x:c r="K233" s="32"/>
      <x:c r="L233" s="32"/>
    </x:row>
    <x:row r="234">
      <x:c r="A234" s="32"/>
      <x:c r="B234" s="32"/>
      <x:c r="C234" s="32"/>
      <x:c r="D234" s="32"/>
      <x:c r="E234" s="32"/>
      <x:c r="F234" s="32"/>
      <x:c r="G234" s="32"/>
      <x:c r="H234" s="32"/>
      <x:c r="I234" s="32"/>
      <x:c r="J234" s="32"/>
      <x:c r="K234" s="32"/>
      <x:c r="L234" s="32"/>
    </x:row>
    <x:row r="235">
      <x:c r="A235" s="32"/>
      <x:c r="B235" s="32"/>
      <x:c r="C235" s="32"/>
      <x:c r="D235" s="32"/>
      <x:c r="E235" s="32"/>
      <x:c r="F235" s="32"/>
      <x:c r="G235" s="32"/>
      <x:c r="H235" s="32"/>
      <x:c r="I235" s="32"/>
      <x:c r="J235" s="32"/>
      <x:c r="K235" s="32"/>
      <x:c r="L235" s="32"/>
    </x:row>
    <x:row r="236">
      <x:c r="A236" s="32"/>
      <x:c r="B236" s="32"/>
      <x:c r="C236" s="32"/>
      <x:c r="D236" s="32"/>
      <x:c r="E236" s="32"/>
      <x:c r="F236" s="32"/>
      <x:c r="G236" s="32"/>
      <x:c r="H236" s="32"/>
      <x:c r="I236" s="32"/>
      <x:c r="J236" s="32"/>
      <x:c r="K236" s="32"/>
      <x:c r="L236" s="32"/>
    </x:row>
    <x:row r="237">
      <x:c r="A237" s="32"/>
      <x:c r="B237" s="32"/>
      <x:c r="C237" s="32"/>
      <x:c r="D237" s="32"/>
      <x:c r="E237" s="32"/>
      <x:c r="F237" s="32"/>
      <x:c r="G237" s="32"/>
      <x:c r="H237" s="32"/>
      <x:c r="I237" s="32"/>
      <x:c r="J237" s="32"/>
      <x:c r="K237" s="32"/>
      <x:c r="L237" s="32"/>
    </x:row>
    <x:row r="238">
      <x:c r="A238" s="32"/>
      <x:c r="B238" s="32"/>
      <x:c r="C238" s="32"/>
      <x:c r="D238" s="32"/>
      <x:c r="E238" s="32"/>
      <x:c r="F238" s="32"/>
      <x:c r="G238" s="32"/>
      <x:c r="H238" s="32"/>
      <x:c r="I238" s="32"/>
      <x:c r="J238" s="32"/>
      <x:c r="K238" s="32"/>
      <x:c r="L238" s="32"/>
    </x:row>
    <x:row r="239">
      <x:c r="A239" s="32"/>
      <x:c r="B239" s="32"/>
      <x:c r="C239" s="32"/>
      <x:c r="D239" s="32"/>
      <x:c r="E239" s="32"/>
      <x:c r="F239" s="32"/>
      <x:c r="G239" s="32"/>
      <x:c r="H239" s="32"/>
      <x:c r="I239" s="32"/>
      <x:c r="J239" s="32"/>
      <x:c r="K239" s="32"/>
      <x:c r="L239" s="32"/>
    </x:row>
    <x:row r="240">
      <x:c r="A240" s="32"/>
      <x:c r="B240" s="32"/>
      <x:c r="C240" s="32"/>
      <x:c r="D240" s="32"/>
      <x:c r="E240" s="32"/>
      <x:c r="F240" s="32"/>
      <x:c r="G240" s="32"/>
      <x:c r="H240" s="32"/>
      <x:c r="I240" s="32"/>
      <x:c r="J240" s="32"/>
      <x:c r="K240" s="32"/>
      <x:c r="L240" s="32"/>
    </x:row>
    <x:row r="241">
      <x:c r="A241" s="32"/>
      <x:c r="B241" s="32"/>
      <x:c r="C241" s="32"/>
      <x:c r="D241" s="32"/>
      <x:c r="E241" s="32"/>
      <x:c r="F241" s="32"/>
      <x:c r="G241" s="32"/>
      <x:c r="H241" s="32"/>
      <x:c r="I241" s="32"/>
      <x:c r="J241" s="32"/>
      <x:c r="K241" s="32"/>
      <x:c r="L241" s="32"/>
    </x:row>
    <x:row r="242">
      <x:c r="A242" s="32"/>
      <x:c r="B242" s="32"/>
      <x:c r="C242" s="32"/>
      <x:c r="D242" s="32"/>
      <x:c r="E242" s="32"/>
      <x:c r="F242" s="32"/>
      <x:c r="G242" s="32"/>
      <x:c r="H242" s="32"/>
      <x:c r="I242" s="32"/>
      <x:c r="J242" s="32"/>
      <x:c r="K242" s="32"/>
      <x:c r="L242" s="32"/>
    </x:row>
    <x:row r="243">
      <x:c r="A243" s="32"/>
      <x:c r="B243" s="32"/>
      <x:c r="C243" s="32"/>
      <x:c r="D243" s="32"/>
      <x:c r="E243" s="32"/>
      <x:c r="F243" s="32"/>
      <x:c r="G243" s="32"/>
      <x:c r="H243" s="32"/>
      <x:c r="I243" s="32"/>
      <x:c r="J243" s="32"/>
      <x:c r="K243" s="32"/>
      <x:c r="L243" s="32"/>
    </x:row>
    <x:row r="244">
      <x:c r="A244" s="32"/>
      <x:c r="B244" s="32"/>
      <x:c r="C244" s="32"/>
      <x:c r="D244" s="32"/>
      <x:c r="E244" s="32"/>
      <x:c r="F244" s="32"/>
      <x:c r="G244" s="32"/>
      <x:c r="H244" s="32"/>
      <x:c r="I244" s="32"/>
      <x:c r="J244" s="32"/>
      <x:c r="K244" s="32"/>
      <x:c r="L244" s="32"/>
    </x:row>
    <x:row r="245">
      <x:c r="A245" s="32"/>
      <x:c r="B245" s="32"/>
      <x:c r="C245" s="32"/>
      <x:c r="D245" s="32"/>
      <x:c r="E245" s="32"/>
      <x:c r="F245" s="32"/>
      <x:c r="G245" s="32"/>
      <x:c r="H245" s="32"/>
      <x:c r="I245" s="32"/>
      <x:c r="J245" s="32"/>
      <x:c r="K245" s="32"/>
      <x:c r="L245" s="32"/>
    </x:row>
    <x:row r="246">
      <x:c r="A246" s="32"/>
      <x:c r="B246" s="32"/>
      <x:c r="C246" s="32"/>
      <x:c r="D246" s="32"/>
      <x:c r="E246" s="32"/>
      <x:c r="F246" s="32"/>
      <x:c r="G246" s="32"/>
      <x:c r="H246" s="32"/>
      <x:c r="I246" s="32"/>
      <x:c r="J246" s="32"/>
      <x:c r="K246" s="32"/>
      <x:c r="L246" s="32"/>
    </x:row>
    <x:row r="247">
      <x:c r="A247" s="32"/>
      <x:c r="B247" s="32"/>
      <x:c r="C247" s="32"/>
      <x:c r="D247" s="32"/>
      <x:c r="E247" s="32"/>
      <x:c r="F247" s="32"/>
      <x:c r="G247" s="32"/>
      <x:c r="H247" s="32"/>
      <x:c r="I247" s="32"/>
      <x:c r="J247" s="32"/>
      <x:c r="K247" s="32"/>
      <x:c r="L247" s="32"/>
    </x:row>
    <x:row r="248">
      <x:c r="A248" s="32"/>
      <x:c r="B248" s="32"/>
      <x:c r="C248" s="32"/>
      <x:c r="D248" s="32"/>
      <x:c r="E248" s="32"/>
      <x:c r="F248" s="32"/>
      <x:c r="G248" s="32"/>
      <x:c r="H248" s="32"/>
      <x:c r="I248" s="32"/>
      <x:c r="J248" s="32"/>
      <x:c r="K248" s="32"/>
      <x:c r="L248" s="32"/>
    </x:row>
    <x:row r="249">
      <x:c r="A249" s="32"/>
      <x:c r="B249" s="32"/>
      <x:c r="C249" s="32"/>
      <x:c r="D249" s="32"/>
      <x:c r="E249" s="32"/>
      <x:c r="F249" s="32"/>
      <x:c r="G249" s="32"/>
      <x:c r="H249" s="32"/>
      <x:c r="I249" s="32"/>
      <x:c r="J249" s="32"/>
      <x:c r="K249" s="32"/>
      <x:c r="L249" s="32"/>
    </x:row>
    <x:row r="250">
      <x:c r="A250" s="32"/>
      <x:c r="B250" s="32"/>
      <x:c r="C250" s="32"/>
      <x:c r="D250" s="32"/>
      <x:c r="E250" s="32"/>
      <x:c r="F250" s="32"/>
      <x:c r="G250" s="32"/>
      <x:c r="H250" s="32"/>
      <x:c r="I250" s="32"/>
      <x:c r="J250" s="32"/>
      <x:c r="K250" s="32"/>
      <x:c r="L250" s="32"/>
    </x:row>
    <x:row r="251">
      <x:c r="A251" s="32"/>
      <x:c r="B251" s="32"/>
      <x:c r="C251" s="32"/>
      <x:c r="D251" s="32"/>
      <x:c r="E251" s="32"/>
      <x:c r="F251" s="32"/>
      <x:c r="G251" s="32"/>
      <x:c r="H251" s="32"/>
      <x:c r="I251" s="32"/>
      <x:c r="J251" s="32"/>
      <x:c r="K251" s="32"/>
      <x:c r="L251" s="32"/>
    </x:row>
    <x:row r="252">
      <x:c r="A252" s="32"/>
      <x:c r="B252" s="32"/>
      <x:c r="C252" s="32"/>
      <x:c r="D252" s="32"/>
      <x:c r="E252" s="32"/>
      <x:c r="F252" s="32"/>
      <x:c r="G252" s="32"/>
      <x:c r="H252" s="32"/>
      <x:c r="I252" s="32"/>
      <x:c r="J252" s="32"/>
      <x:c r="K252" s="32"/>
      <x:c r="L252" s="32"/>
    </x:row>
    <x:row r="253">
      <x:c r="A253" s="32"/>
      <x:c r="B253" s="32"/>
      <x:c r="C253" s="32"/>
      <x:c r="D253" s="32"/>
      <x:c r="E253" s="32"/>
      <x:c r="F253" s="32"/>
      <x:c r="G253" s="32"/>
      <x:c r="H253" s="32"/>
      <x:c r="I253" s="32"/>
      <x:c r="J253" s="32"/>
      <x:c r="K253" s="32"/>
      <x:c r="L253" s="32"/>
    </x:row>
    <x:row r="254">
      <x:c r="A254" s="32"/>
      <x:c r="B254" s="32"/>
      <x:c r="C254" s="32"/>
      <x:c r="D254" s="32"/>
      <x:c r="E254" s="32"/>
      <x:c r="F254" s="32"/>
      <x:c r="G254" s="32"/>
      <x:c r="H254" s="32"/>
      <x:c r="I254" s="32"/>
      <x:c r="J254" s="32"/>
      <x:c r="K254" s="32"/>
      <x:c r="L254" s="32"/>
    </x:row>
    <x:row r="255">
      <x:c r="A255" s="32"/>
      <x:c r="B255" s="32"/>
      <x:c r="C255" s="32"/>
      <x:c r="D255" s="32"/>
      <x:c r="E255" s="32"/>
      <x:c r="F255" s="32"/>
      <x:c r="G255" s="32"/>
      <x:c r="H255" s="32"/>
      <x:c r="I255" s="32"/>
      <x:c r="J255" s="32"/>
      <x:c r="K255" s="32"/>
      <x:c r="L255" s="32"/>
    </x:row>
    <x:row r="256">
      <x:c r="A256" s="32"/>
      <x:c r="B256" s="32"/>
      <x:c r="C256" s="32"/>
      <x:c r="D256" s="32"/>
      <x:c r="E256" s="32"/>
      <x:c r="F256" s="32"/>
      <x:c r="G256" s="32"/>
      <x:c r="H256" s="32"/>
      <x:c r="I256" s="32"/>
      <x:c r="J256" s="32"/>
      <x:c r="K256" s="32"/>
      <x:c r="L256" s="32"/>
    </x:row>
    <x:row r="257">
      <x:c r="A257" s="32"/>
      <x:c r="B257" s="32"/>
      <x:c r="C257" s="32"/>
      <x:c r="D257" s="32"/>
      <x:c r="E257" s="32"/>
      <x:c r="F257" s="32"/>
      <x:c r="G257" s="32"/>
      <x:c r="H257" s="32"/>
      <x:c r="I257" s="32"/>
      <x:c r="J257" s="32"/>
      <x:c r="K257" s="32"/>
      <x:c r="L257" s="32"/>
    </x:row>
    <x:row r="258">
      <x:c r="A258" s="32"/>
      <x:c r="B258" s="32"/>
      <x:c r="C258" s="32"/>
      <x:c r="D258" s="32"/>
      <x:c r="E258" s="32"/>
      <x:c r="F258" s="32"/>
      <x:c r="G258" s="32"/>
      <x:c r="H258" s="32"/>
      <x:c r="I258" s="32"/>
      <x:c r="J258" s="32"/>
      <x:c r="K258" s="32"/>
      <x:c r="L258" s="32"/>
    </x:row>
    <x:row r="259">
      <x:c r="A259" s="32"/>
      <x:c r="B259" s="32"/>
      <x:c r="C259" s="32"/>
      <x:c r="D259" s="32"/>
      <x:c r="E259" s="32"/>
      <x:c r="F259" s="32"/>
      <x:c r="G259" s="32"/>
      <x:c r="H259" s="32"/>
      <x:c r="I259" s="32"/>
      <x:c r="J259" s="32"/>
      <x:c r="K259" s="32"/>
      <x:c r="L259" s="32"/>
    </x:row>
    <x:row r="260">
      <x:c r="A260" s="32"/>
      <x:c r="B260" s="32"/>
      <x:c r="C260" s="32"/>
      <x:c r="D260" s="32"/>
      <x:c r="E260" s="32"/>
      <x:c r="F260" s="32"/>
      <x:c r="G260" s="32"/>
      <x:c r="H260" s="32"/>
      <x:c r="I260" s="32"/>
      <x:c r="J260" s="32"/>
      <x:c r="K260" s="32"/>
      <x:c r="L260" s="32"/>
    </x:row>
    <x:row r="261">
      <x:c r="A261" s="32"/>
      <x:c r="B261" s="32"/>
      <x:c r="C261" s="32"/>
      <x:c r="D261" s="32"/>
      <x:c r="E261" s="32"/>
      <x:c r="F261" s="32"/>
      <x:c r="G261" s="32"/>
      <x:c r="H261" s="32"/>
      <x:c r="I261" s="32"/>
      <x:c r="J261" s="32"/>
      <x:c r="K261" s="32"/>
      <x:c r="L261" s="32"/>
    </x:row>
    <x:row r="262">
      <x:c r="A262" s="32"/>
      <x:c r="B262" s="32"/>
      <x:c r="C262" s="32"/>
      <x:c r="D262" s="32"/>
      <x:c r="E262" s="32"/>
      <x:c r="F262" s="32"/>
      <x:c r="G262" s="32"/>
      <x:c r="H262" s="32"/>
      <x:c r="I262" s="32"/>
      <x:c r="J262" s="32"/>
      <x:c r="K262" s="32"/>
      <x:c r="L262" s="32"/>
    </x:row>
    <x:row r="263">
      <x:c r="A263" s="32"/>
      <x:c r="B263" s="32"/>
      <x:c r="C263" s="32"/>
      <x:c r="D263" s="32"/>
      <x:c r="E263" s="32"/>
      <x:c r="F263" s="32"/>
      <x:c r="G263" s="32"/>
      <x:c r="H263" s="32"/>
      <x:c r="I263" s="32"/>
      <x:c r="J263" s="32"/>
      <x:c r="K263" s="32"/>
      <x:c r="L263" s="32"/>
    </x:row>
    <x:row r="264">
      <x:c r="A264" s="32"/>
      <x:c r="B264" s="32"/>
      <x:c r="C264" s="32"/>
      <x:c r="D264" s="32"/>
      <x:c r="E264" s="32"/>
      <x:c r="F264" s="32"/>
      <x:c r="G264" s="32"/>
      <x:c r="H264" s="32"/>
      <x:c r="I264" s="32"/>
      <x:c r="J264" s="32"/>
      <x:c r="K264" s="32"/>
      <x:c r="L264" s="32"/>
    </x:row>
    <x:row r="265">
      <x:c r="A265" s="32"/>
      <x:c r="B265" s="32"/>
      <x:c r="C265" s="32"/>
      <x:c r="D265" s="32"/>
      <x:c r="E265" s="32"/>
      <x:c r="F265" s="32"/>
      <x:c r="G265" s="32"/>
      <x:c r="H265" s="32"/>
      <x:c r="I265" s="32"/>
      <x:c r="J265" s="32"/>
      <x:c r="K265" s="32"/>
      <x:c r="L265" s="32"/>
    </x:row>
    <x:row r="266">
      <x:c r="A266" s="32"/>
      <x:c r="B266" s="32"/>
      <x:c r="C266" s="32"/>
      <x:c r="D266" s="32"/>
      <x:c r="E266" s="32"/>
      <x:c r="F266" s="32"/>
      <x:c r="G266" s="32"/>
      <x:c r="H266" s="32"/>
      <x:c r="I266" s="32"/>
      <x:c r="J266" s="32"/>
      <x:c r="K266" s="32"/>
      <x:c r="L266" s="32"/>
    </x:row>
    <x:row r="267">
      <x:c r="A267" s="32"/>
      <x:c r="B267" s="32"/>
      <x:c r="C267" s="32"/>
      <x:c r="D267" s="32"/>
      <x:c r="E267" s="32"/>
      <x:c r="F267" s="32"/>
      <x:c r="G267" s="32"/>
      <x:c r="H267" s="32"/>
      <x:c r="I267" s="32"/>
      <x:c r="J267" s="32"/>
      <x:c r="K267" s="32"/>
      <x:c r="L267" s="32"/>
    </x:row>
    <x:row r="268">
      <x:c r="A268" s="32"/>
      <x:c r="B268" s="32"/>
      <x:c r="C268" s="32"/>
      <x:c r="D268" s="32"/>
      <x:c r="E268" s="32"/>
      <x:c r="F268" s="32"/>
      <x:c r="G268" s="32"/>
      <x:c r="H268" s="32"/>
      <x:c r="I268" s="32"/>
      <x:c r="J268" s="32"/>
      <x:c r="K268" s="32"/>
      <x:c r="L268" s="32"/>
    </x:row>
    <x:row r="269">
      <x:c r="A269" s="32"/>
      <x:c r="B269" s="32"/>
      <x:c r="C269" s="32"/>
      <x:c r="D269" s="32"/>
      <x:c r="E269" s="32"/>
      <x:c r="F269" s="32"/>
      <x:c r="G269" s="32"/>
      <x:c r="H269" s="32"/>
      <x:c r="I269" s="32"/>
      <x:c r="J269" s="32"/>
      <x:c r="K269" s="32"/>
      <x:c r="L269" s="32"/>
    </x:row>
    <x:row r="270">
      <x:c r="A270" s="32"/>
      <x:c r="B270" s="32"/>
      <x:c r="C270" s="32"/>
      <x:c r="D270" s="32"/>
      <x:c r="E270" s="32"/>
      <x:c r="F270" s="32"/>
      <x:c r="G270" s="32"/>
      <x:c r="H270" s="32"/>
      <x:c r="I270" s="32"/>
      <x:c r="J270" s="32"/>
      <x:c r="K270" s="32"/>
      <x:c r="L270" s="32"/>
    </x:row>
    <x:row r="271">
      <x:c r="A271" s="32"/>
      <x:c r="B271" s="32"/>
      <x:c r="C271" s="32"/>
      <x:c r="D271" s="32"/>
      <x:c r="E271" s="32"/>
      <x:c r="F271" s="32"/>
      <x:c r="G271" s="32"/>
      <x:c r="H271" s="32"/>
      <x:c r="I271" s="32"/>
      <x:c r="J271" s="32"/>
      <x:c r="K271" s="32"/>
      <x:c r="L271" s="32"/>
    </x:row>
    <x:row r="272">
      <x:c r="A272" s="32"/>
      <x:c r="B272" s="32"/>
      <x:c r="C272" s="32"/>
      <x:c r="D272" s="32"/>
      <x:c r="E272" s="32"/>
      <x:c r="F272" s="32"/>
      <x:c r="G272" s="32"/>
      <x:c r="H272" s="32"/>
      <x:c r="I272" s="32"/>
      <x:c r="J272" s="32"/>
      <x:c r="K272" s="32"/>
      <x:c r="L272" s="32"/>
    </x:row>
    <x:row r="273">
      <x:c r="A273" s="32"/>
      <x:c r="B273" s="32"/>
      <x:c r="C273" s="32"/>
      <x:c r="D273" s="32"/>
      <x:c r="E273" s="32"/>
      <x:c r="F273" s="32"/>
      <x:c r="G273" s="32"/>
      <x:c r="H273" s="32"/>
      <x:c r="I273" s="32"/>
      <x:c r="J273" s="32"/>
      <x:c r="K273" s="32"/>
      <x:c r="L273" s="32"/>
    </x:row>
    <x:row r="274">
      <x:c r="A274" s="32"/>
      <x:c r="B274" s="32"/>
      <x:c r="C274" s="32"/>
      <x:c r="D274" s="32"/>
      <x:c r="E274" s="32"/>
      <x:c r="F274" s="32"/>
      <x:c r="G274" s="32"/>
      <x:c r="H274" s="32"/>
      <x:c r="I274" s="32"/>
      <x:c r="J274" s="32"/>
      <x:c r="K274" s="32"/>
      <x:c r="L274" s="32"/>
    </x:row>
    <x:row r="275">
      <x:c r="A275" s="32"/>
      <x:c r="B275" s="32"/>
      <x:c r="C275" s="32"/>
      <x:c r="D275" s="32"/>
      <x:c r="E275" s="32"/>
      <x:c r="F275" s="32"/>
      <x:c r="G275" s="32"/>
      <x:c r="H275" s="32"/>
      <x:c r="I275" s="32"/>
      <x:c r="J275" s="32"/>
      <x:c r="K275" s="32"/>
      <x:c r="L275" s="32"/>
    </x:row>
    <x:row r="276">
      <x:c r="A276" s="32"/>
      <x:c r="B276" s="32"/>
      <x:c r="C276" s="32"/>
      <x:c r="D276" s="32"/>
      <x:c r="E276" s="32"/>
      <x:c r="F276" s="32"/>
      <x:c r="G276" s="32"/>
      <x:c r="H276" s="32"/>
      <x:c r="I276" s="32"/>
      <x:c r="J276" s="32"/>
      <x:c r="K276" s="32"/>
      <x:c r="L276" s="32"/>
    </x:row>
    <x:row r="277">
      <x:c r="A277" s="32"/>
      <x:c r="B277" s="32"/>
      <x:c r="C277" s="32"/>
      <x:c r="D277" s="32"/>
      <x:c r="E277" s="32"/>
      <x:c r="F277" s="32"/>
      <x:c r="G277" s="32"/>
      <x:c r="H277" s="32"/>
      <x:c r="I277" s="32"/>
      <x:c r="J277" s="32"/>
      <x:c r="K277" s="32"/>
      <x:c r="L277" s="32"/>
    </x:row>
    <x:row r="278">
      <x:c r="A278" s="32"/>
      <x:c r="B278" s="32"/>
      <x:c r="C278" s="32"/>
      <x:c r="D278" s="32"/>
      <x:c r="E278" s="32"/>
      <x:c r="F278" s="32"/>
      <x:c r="G278" s="32"/>
      <x:c r="H278" s="32"/>
      <x:c r="I278" s="32"/>
      <x:c r="J278" s="32"/>
      <x:c r="K278" s="32"/>
      <x:c r="L278" s="32"/>
    </x:row>
    <x:row r="279">
      <x:c r="A279" s="32"/>
      <x:c r="B279" s="32"/>
      <x:c r="C279" s="32"/>
      <x:c r="D279" s="32"/>
      <x:c r="E279" s="32"/>
      <x:c r="F279" s="32"/>
      <x:c r="G279" s="32"/>
      <x:c r="H279" s="32"/>
      <x:c r="I279" s="32"/>
      <x:c r="J279" s="32"/>
      <x:c r="K279" s="32"/>
      <x:c r="L279" s="32"/>
    </x:row>
    <x:row r="280">
      <x:c r="A280" s="32"/>
      <x:c r="B280" s="32"/>
      <x:c r="C280" s="32"/>
      <x:c r="D280" s="32"/>
      <x:c r="E280" s="32"/>
      <x:c r="F280" s="32"/>
      <x:c r="G280" s="32"/>
      <x:c r="H280" s="32"/>
      <x:c r="I280" s="32"/>
      <x:c r="J280" s="32"/>
      <x:c r="K280" s="32"/>
      <x:c r="L280" s="32"/>
    </x:row>
    <x:row r="281">
      <x:c r="A281" s="32"/>
      <x:c r="B281" s="32"/>
      <x:c r="C281" s="32"/>
      <x:c r="D281" s="32"/>
      <x:c r="E281" s="32"/>
      <x:c r="F281" s="32"/>
      <x:c r="G281" s="32"/>
      <x:c r="H281" s="32"/>
      <x:c r="I281" s="32"/>
      <x:c r="J281" s="32"/>
      <x:c r="K281" s="32"/>
      <x:c r="L281" s="32"/>
    </x:row>
    <x:row r="282">
      <x:c r="A282" s="32"/>
      <x:c r="B282" s="32"/>
      <x:c r="C282" s="32"/>
      <x:c r="D282" s="32"/>
      <x:c r="E282" s="32"/>
      <x:c r="F282" s="32"/>
      <x:c r="G282" s="32"/>
      <x:c r="H282" s="32"/>
      <x:c r="I282" s="32"/>
      <x:c r="J282" s="32"/>
      <x:c r="K282" s="32"/>
      <x:c r="L282" s="32"/>
    </x:row>
    <x:row r="283">
      <x:c r="A283" s="32"/>
      <x:c r="B283" s="32"/>
      <x:c r="C283" s="32"/>
      <x:c r="D283" s="32"/>
      <x:c r="E283" s="32"/>
      <x:c r="F283" s="32"/>
      <x:c r="G283" s="32"/>
      <x:c r="H283" s="32"/>
      <x:c r="I283" s="32"/>
      <x:c r="J283" s="32"/>
      <x:c r="K283" s="32"/>
      <x:c r="L283" s="32"/>
    </x:row>
    <x:row r="284">
      <x:c r="A284" s="32"/>
      <x:c r="B284" s="32"/>
      <x:c r="C284" s="32"/>
      <x:c r="D284" s="32"/>
      <x:c r="E284" s="32"/>
      <x:c r="F284" s="32"/>
      <x:c r="G284" s="32"/>
      <x:c r="H284" s="32"/>
      <x:c r="I284" s="32"/>
      <x:c r="J284" s="32"/>
      <x:c r="K284" s="32"/>
      <x:c r="L284" s="32"/>
    </x:row>
    <x:row r="285">
      <x:c r="A285" s="32"/>
      <x:c r="B285" s="32"/>
      <x:c r="C285" s="32"/>
      <x:c r="D285" s="32"/>
      <x:c r="E285" s="32"/>
      <x:c r="F285" s="32"/>
      <x:c r="G285" s="32"/>
      <x:c r="H285" s="32"/>
      <x:c r="I285" s="32"/>
      <x:c r="J285" s="32"/>
      <x:c r="K285" s="32"/>
      <x:c r="L285" s="32"/>
    </x:row>
    <x:row r="286">
      <x:c r="A286" s="32"/>
      <x:c r="B286" s="32"/>
      <x:c r="C286" s="32"/>
      <x:c r="D286" s="32"/>
      <x:c r="E286" s="32"/>
      <x:c r="F286" s="32"/>
      <x:c r="G286" s="32"/>
      <x:c r="H286" s="32"/>
      <x:c r="I286" s="32"/>
      <x:c r="J286" s="32"/>
      <x:c r="K286" s="32"/>
      <x:c r="L286" s="32"/>
    </x:row>
    <x:row r="287">
      <x:c r="A287" s="32"/>
      <x:c r="B287" s="32"/>
      <x:c r="C287" s="32"/>
      <x:c r="D287" s="32"/>
      <x:c r="E287" s="32"/>
      <x:c r="F287" s="32"/>
      <x:c r="G287" s="32"/>
      <x:c r="H287" s="32"/>
      <x:c r="I287" s="32"/>
      <x:c r="J287" s="32"/>
      <x:c r="K287" s="32"/>
      <x:c r="L287" s="32"/>
    </x:row>
    <x:row r="288">
      <x:c r="A288" s="32"/>
      <x:c r="B288" s="32"/>
      <x:c r="C288" s="32"/>
      <x:c r="D288" s="32"/>
      <x:c r="E288" s="32"/>
      <x:c r="F288" s="32"/>
      <x:c r="G288" s="32"/>
      <x:c r="H288" s="32"/>
      <x:c r="I288" s="32"/>
      <x:c r="J288" s="32"/>
      <x:c r="K288" s="32"/>
      <x:c r="L288" s="32"/>
    </x:row>
    <x:row r="289">
      <x:c r="A289" s="32"/>
      <x:c r="B289" s="32"/>
      <x:c r="C289" s="32"/>
      <x:c r="D289" s="32"/>
      <x:c r="E289" s="32"/>
      <x:c r="F289" s="32"/>
      <x:c r="G289" s="32"/>
      <x:c r="H289" s="32"/>
      <x:c r="I289" s="32"/>
      <x:c r="J289" s="32"/>
      <x:c r="K289" s="32"/>
      <x:c r="L289" s="32"/>
    </x:row>
    <x:row r="290">
      <x:c r="A290" s="32"/>
      <x:c r="B290" s="32"/>
      <x:c r="C290" s="32"/>
      <x:c r="D290" s="32"/>
      <x:c r="E290" s="32"/>
      <x:c r="F290" s="32"/>
      <x:c r="G290" s="32"/>
      <x:c r="H290" s="32"/>
      <x:c r="I290" s="32"/>
      <x:c r="J290" s="32"/>
      <x:c r="K290" s="32"/>
      <x:c r="L290" s="32"/>
    </x:row>
    <x:row r="291">
      <x:c r="A291" s="32"/>
      <x:c r="B291" s="32"/>
      <x:c r="C291" s="32"/>
      <x:c r="D291" s="32"/>
      <x:c r="E291" s="32"/>
      <x:c r="F291" s="32"/>
      <x:c r="G291" s="32"/>
      <x:c r="H291" s="32"/>
      <x:c r="I291" s="32"/>
      <x:c r="J291" s="32"/>
      <x:c r="K291" s="32"/>
      <x:c r="L291" s="32"/>
    </x:row>
    <x:row r="292">
      <x:c r="A292" s="32"/>
      <x:c r="B292" s="32"/>
      <x:c r="C292" s="32"/>
      <x:c r="D292" s="32"/>
      <x:c r="E292" s="32"/>
      <x:c r="F292" s="32"/>
      <x:c r="G292" s="32"/>
      <x:c r="H292" s="32"/>
      <x:c r="I292" s="32"/>
      <x:c r="J292" s="32"/>
      <x:c r="K292" s="32"/>
      <x:c r="L292" s="32"/>
    </x:row>
    <x:row r="293">
      <x:c r="A293" s="32"/>
      <x:c r="B293" s="32"/>
      <x:c r="C293" s="32"/>
      <x:c r="D293" s="32"/>
      <x:c r="E293" s="32"/>
      <x:c r="F293" s="32"/>
      <x:c r="G293" s="32"/>
      <x:c r="H293" s="32"/>
      <x:c r="I293" s="32"/>
      <x:c r="J293" s="32"/>
      <x:c r="K293" s="32"/>
      <x:c r="L293" s="32"/>
    </x:row>
    <x:row r="294">
      <x:c r="A294" s="32"/>
      <x:c r="B294" s="32"/>
      <x:c r="C294" s="32"/>
      <x:c r="D294" s="32"/>
      <x:c r="E294" s="32"/>
      <x:c r="F294" s="32"/>
      <x:c r="G294" s="32"/>
      <x:c r="H294" s="32"/>
      <x:c r="I294" s="32"/>
      <x:c r="J294" s="32"/>
      <x:c r="K294" s="32"/>
      <x:c r="L294" s="32"/>
    </x:row>
    <x:row r="295">
      <x:c r="A295" s="32"/>
      <x:c r="B295" s="32"/>
      <x:c r="C295" s="32"/>
      <x:c r="D295" s="32"/>
      <x:c r="E295" s="32"/>
      <x:c r="F295" s="32"/>
      <x:c r="G295" s="32"/>
      <x:c r="H295" s="32"/>
      <x:c r="I295" s="32"/>
      <x:c r="J295" s="32"/>
      <x:c r="K295" s="32"/>
      <x:c r="L295" s="32"/>
    </x:row>
    <x:row r="296">
      <x:c r="A296" s="32"/>
      <x:c r="B296" s="32"/>
      <x:c r="C296" s="32"/>
      <x:c r="D296" s="32"/>
      <x:c r="E296" s="32"/>
      <x:c r="F296" s="32"/>
      <x:c r="G296" s="32"/>
      <x:c r="H296" s="32"/>
      <x:c r="I296" s="32"/>
      <x:c r="J296" s="32"/>
      <x:c r="K296" s="32"/>
      <x:c r="L296" s="32"/>
    </x:row>
    <x:row r="297">
      <x:c r="A297" s="32"/>
      <x:c r="B297" s="32"/>
      <x:c r="C297" s="32"/>
      <x:c r="D297" s="32"/>
      <x:c r="E297" s="32"/>
      <x:c r="F297" s="32"/>
      <x:c r="G297" s="32"/>
      <x:c r="H297" s="32"/>
      <x:c r="I297" s="32"/>
      <x:c r="J297" s="32"/>
      <x:c r="K297" s="32"/>
      <x:c r="L297" s="32"/>
    </x:row>
    <x:row r="298">
      <x:c r="A298" s="32"/>
      <x:c r="B298" s="32"/>
      <x:c r="C298" s="32"/>
      <x:c r="D298" s="32"/>
      <x:c r="E298" s="32"/>
      <x:c r="F298" s="32"/>
      <x:c r="G298" s="32"/>
      <x:c r="H298" s="32"/>
      <x:c r="I298" s="32"/>
      <x:c r="J298" s="32"/>
      <x:c r="K298" s="32"/>
      <x:c r="L298" s="32"/>
    </x:row>
    <x:row r="299">
      <x:c r="A299" s="32"/>
      <x:c r="B299" s="32"/>
      <x:c r="C299" s="32"/>
      <x:c r="D299" s="32"/>
      <x:c r="E299" s="32"/>
      <x:c r="F299" s="32"/>
      <x:c r="G299" s="32"/>
      <x:c r="H299" s="32"/>
      <x:c r="I299" s="32"/>
      <x:c r="J299" s="32"/>
      <x:c r="K299" s="32"/>
      <x:c r="L299" s="32"/>
    </x:row>
    <x:row r="300">
      <x:c r="A300" s="32"/>
      <x:c r="B300" s="32"/>
      <x:c r="C300" s="32"/>
      <x:c r="D300" s="32"/>
      <x:c r="E300" s="32"/>
      <x:c r="F300" s="32"/>
      <x:c r="G300" s="32"/>
      <x:c r="H300" s="32"/>
      <x:c r="I300" s="32"/>
      <x:c r="J300" s="32"/>
      <x:c r="K300" s="32"/>
      <x:c r="L300" s="32"/>
    </x:row>
    <x:row r="301">
      <x:c r="A301" s="32"/>
      <x:c r="B301" s="32"/>
      <x:c r="C301" s="32"/>
      <x:c r="D301" s="32"/>
      <x:c r="E301" s="32"/>
      <x:c r="F301" s="32"/>
      <x:c r="G301" s="32"/>
      <x:c r="H301" s="32"/>
      <x:c r="I301" s="32"/>
      <x:c r="J301" s="32"/>
      <x:c r="K301" s="32"/>
      <x:c r="L301" s="32"/>
    </x:row>
    <x:row r="302">
      <x:c r="A302" s="32"/>
      <x:c r="B302" s="32"/>
      <x:c r="C302" s="32"/>
      <x:c r="D302" s="32"/>
      <x:c r="E302" s="32"/>
      <x:c r="F302" s="32"/>
      <x:c r="G302" s="32"/>
      <x:c r="H302" s="32"/>
      <x:c r="I302" s="32"/>
      <x:c r="J302" s="32"/>
      <x:c r="K302" s="32"/>
      <x:c r="L302" s="32"/>
    </x:row>
    <x:row r="303">
      <x:c r="A303" s="32"/>
      <x:c r="B303" s="32"/>
      <x:c r="C303" s="32"/>
      <x:c r="D303" s="32"/>
      <x:c r="E303" s="32"/>
      <x:c r="F303" s="32"/>
      <x:c r="G303" s="32"/>
      <x:c r="H303" s="32"/>
      <x:c r="I303" s="32"/>
      <x:c r="J303" s="32"/>
      <x:c r="K303" s="32"/>
      <x:c r="L303" s="32"/>
    </x:row>
    <x:row r="304">
      <x:c r="A304" s="32"/>
      <x:c r="B304" s="32"/>
      <x:c r="C304" s="32"/>
      <x:c r="D304" s="32"/>
      <x:c r="E304" s="32"/>
      <x:c r="F304" s="32"/>
      <x:c r="G304" s="32"/>
      <x:c r="H304" s="32"/>
      <x:c r="I304" s="32"/>
      <x:c r="J304" s="32"/>
      <x:c r="K304" s="32"/>
      <x:c r="L304" s="32"/>
    </x:row>
    <x:row r="305">
      <x:c r="A305" s="32"/>
      <x:c r="B305" s="32"/>
      <x:c r="C305" s="32"/>
      <x:c r="D305" s="32"/>
      <x:c r="E305" s="32"/>
      <x:c r="F305" s="32"/>
      <x:c r="G305" s="32"/>
      <x:c r="H305" s="32"/>
      <x:c r="I305" s="32"/>
      <x:c r="J305" s="32"/>
      <x:c r="K305" s="32"/>
      <x:c r="L305" s="32"/>
    </x:row>
    <x:row r="306">
      <x:c r="A306" s="32"/>
      <x:c r="B306" s="32"/>
      <x:c r="C306" s="32"/>
      <x:c r="D306" s="32"/>
      <x:c r="E306" s="32"/>
      <x:c r="F306" s="32"/>
      <x:c r="G306" s="32"/>
      <x:c r="H306" s="32"/>
      <x:c r="I306" s="32"/>
      <x:c r="J306" s="32"/>
      <x:c r="K306" s="32"/>
      <x:c r="L306" s="32"/>
    </x:row>
    <x:row r="307">
      <x:c r="A307" s="32"/>
      <x:c r="B307" s="32"/>
      <x:c r="C307" s="32"/>
      <x:c r="D307" s="32"/>
      <x:c r="E307" s="32"/>
      <x:c r="F307" s="32"/>
      <x:c r="G307" s="32"/>
      <x:c r="H307" s="32"/>
      <x:c r="I307" s="32"/>
      <x:c r="J307" s="32"/>
      <x:c r="K307" s="32"/>
      <x:c r="L307" s="32"/>
    </x:row>
    <x:row r="308">
      <x:c r="A308" s="32"/>
      <x:c r="B308" s="32"/>
      <x:c r="C308" s="32"/>
      <x:c r="D308" s="32"/>
      <x:c r="E308" s="32"/>
      <x:c r="F308" s="32"/>
      <x:c r="G308" s="32"/>
      <x:c r="H308" s="32"/>
      <x:c r="I308" s="32"/>
      <x:c r="J308" s="32"/>
      <x:c r="K308" s="32"/>
      <x:c r="L308" s="32"/>
    </x:row>
    <x:row r="309">
      <x:c r="A309" s="32"/>
      <x:c r="B309" s="32"/>
      <x:c r="C309" s="32"/>
      <x:c r="D309" s="32"/>
      <x:c r="E309" s="32"/>
      <x:c r="F309" s="32"/>
      <x:c r="G309" s="32"/>
      <x:c r="H309" s="32"/>
      <x:c r="I309" s="32"/>
      <x:c r="J309" s="32"/>
      <x:c r="K309" s="32"/>
      <x:c r="L309" s="32"/>
    </x:row>
    <x:row r="310">
      <x:c r="A310" s="32"/>
      <x:c r="B310" s="32"/>
      <x:c r="C310" s="32"/>
      <x:c r="D310" s="32"/>
      <x:c r="E310" s="32"/>
      <x:c r="F310" s="32"/>
      <x:c r="G310" s="32"/>
      <x:c r="H310" s="32"/>
      <x:c r="I310" s="32"/>
      <x:c r="J310" s="32"/>
      <x:c r="K310" s="32"/>
      <x:c r="L310" s="32"/>
    </x:row>
    <x:row r="311">
      <x:c r="A311" s="32"/>
      <x:c r="B311" s="32"/>
      <x:c r="C311" s="32"/>
      <x:c r="D311" s="32"/>
      <x:c r="E311" s="32"/>
      <x:c r="F311" s="32"/>
      <x:c r="G311" s="32"/>
      <x:c r="H311" s="32"/>
      <x:c r="I311" s="32"/>
      <x:c r="J311" s="32"/>
      <x:c r="K311" s="32"/>
      <x:c r="L311" s="32"/>
    </x:row>
    <x:row r="312">
      <x:c r="A312" s="32"/>
      <x:c r="B312" s="32"/>
      <x:c r="C312" s="32"/>
      <x:c r="D312" s="32"/>
      <x:c r="E312" s="32"/>
      <x:c r="F312" s="32"/>
      <x:c r="G312" s="32"/>
      <x:c r="H312" s="32"/>
      <x:c r="I312" s="32"/>
      <x:c r="J312" s="32"/>
      <x:c r="K312" s="32"/>
      <x:c r="L312" s="32"/>
    </x:row>
    <x:row r="313">
      <x:c r="A313" s="32"/>
      <x:c r="B313" s="32"/>
      <x:c r="C313" s="32"/>
      <x:c r="D313" s="32"/>
      <x:c r="E313" s="32"/>
      <x:c r="F313" s="32"/>
      <x:c r="G313" s="32"/>
      <x:c r="H313" s="32"/>
      <x:c r="I313" s="32"/>
      <x:c r="J313" s="32"/>
      <x:c r="K313" s="32"/>
      <x:c r="L313" s="32"/>
    </x:row>
    <x:row r="314">
      <x:c r="A314" s="32"/>
      <x:c r="B314" s="32"/>
      <x:c r="C314" s="32"/>
      <x:c r="D314" s="32"/>
      <x:c r="E314" s="32"/>
      <x:c r="F314" s="32"/>
      <x:c r="G314" s="32"/>
      <x:c r="H314" s="32"/>
      <x:c r="I314" s="32"/>
      <x:c r="J314" s="32"/>
      <x:c r="K314" s="32"/>
      <x:c r="L314" s="32"/>
    </x:row>
    <x:row r="315">
      <x:c r="A315" s="32"/>
      <x:c r="B315" s="32"/>
      <x:c r="C315" s="32"/>
      <x:c r="D315" s="32"/>
      <x:c r="E315" s="32"/>
      <x:c r="F315" s="32"/>
      <x:c r="G315" s="32"/>
      <x:c r="H315" s="32"/>
      <x:c r="I315" s="32"/>
      <x:c r="J315" s="32"/>
      <x:c r="K315" s="32"/>
      <x:c r="L315" s="32"/>
    </x:row>
    <x:row r="316">
      <x:c r="A316" s="32"/>
      <x:c r="B316" s="32"/>
      <x:c r="C316" s="32"/>
      <x:c r="D316" s="32"/>
      <x:c r="E316" s="32"/>
      <x:c r="F316" s="32"/>
      <x:c r="G316" s="32"/>
      <x:c r="H316" s="32"/>
      <x:c r="I316" s="32"/>
      <x:c r="J316" s="32"/>
      <x:c r="K316" s="32"/>
      <x:c r="L316" s="32"/>
    </x:row>
    <x:row r="317">
      <x:c r="A317" s="32"/>
      <x:c r="B317" s="32"/>
      <x:c r="C317" s="32"/>
      <x:c r="D317" s="32"/>
      <x:c r="E317" s="32"/>
      <x:c r="F317" s="32"/>
      <x:c r="G317" s="32"/>
      <x:c r="H317" s="32"/>
      <x:c r="I317" s="32"/>
      <x:c r="J317" s="32"/>
      <x:c r="K317" s="32"/>
      <x:c r="L317" s="32"/>
    </x:row>
    <x:row r="318">
      <x:c r="A318" s="32"/>
      <x:c r="B318" s="32"/>
      <x:c r="C318" s="32"/>
      <x:c r="D318" s="32"/>
      <x:c r="E318" s="32"/>
      <x:c r="F318" s="32"/>
      <x:c r="G318" s="32"/>
      <x:c r="H318" s="32"/>
      <x:c r="I318" s="32"/>
      <x:c r="J318" s="32"/>
      <x:c r="K318" s="32"/>
      <x:c r="L318" s="32"/>
    </x:row>
    <x:row r="319">
      <x:c r="A319" s="32"/>
      <x:c r="B319" s="32"/>
      <x:c r="C319" s="32"/>
      <x:c r="D319" s="32"/>
      <x:c r="E319" s="32"/>
      <x:c r="F319" s="32"/>
      <x:c r="G319" s="32"/>
      <x:c r="H319" s="32"/>
      <x:c r="I319" s="32"/>
      <x:c r="J319" s="32"/>
      <x:c r="K319" s="32"/>
      <x:c r="L319" s="32"/>
    </x:row>
    <x:row r="320">
      <x:c r="A320" s="32"/>
      <x:c r="B320" s="32"/>
      <x:c r="C320" s="32"/>
      <x:c r="D320" s="32"/>
      <x:c r="E320" s="32"/>
      <x:c r="F320" s="32"/>
      <x:c r="G320" s="32"/>
      <x:c r="H320" s="32"/>
      <x:c r="I320" s="32"/>
      <x:c r="J320" s="32"/>
      <x:c r="K320" s="32"/>
      <x:c r="L320" s="32"/>
    </x:row>
    <x:row r="321">
      <x:c r="A321" s="32"/>
      <x:c r="B321" s="32"/>
      <x:c r="C321" s="32"/>
      <x:c r="D321" s="32"/>
      <x:c r="E321" s="32"/>
      <x:c r="F321" s="32"/>
      <x:c r="G321" s="32"/>
      <x:c r="H321" s="32"/>
      <x:c r="I321" s="32"/>
      <x:c r="J321" s="32"/>
      <x:c r="K321" s="32"/>
      <x:c r="L321" s="32"/>
    </x:row>
    <x:row r="322">
      <x:c r="A322" s="32"/>
      <x:c r="B322" s="32"/>
      <x:c r="C322" s="32"/>
      <x:c r="D322" s="32"/>
      <x:c r="E322" s="32"/>
      <x:c r="F322" s="32"/>
      <x:c r="G322" s="32"/>
      <x:c r="H322" s="32"/>
      <x:c r="I322" s="32"/>
      <x:c r="J322" s="32"/>
      <x:c r="K322" s="32"/>
      <x:c r="L322" s="32"/>
    </x:row>
    <x:row r="323">
      <x:c r="A323" s="32"/>
      <x:c r="B323" s="32"/>
      <x:c r="C323" s="32"/>
      <x:c r="D323" s="32"/>
      <x:c r="E323" s="32"/>
      <x:c r="F323" s="32"/>
      <x:c r="G323" s="32"/>
      <x:c r="H323" s="32"/>
      <x:c r="I323" s="32"/>
      <x:c r="J323" s="32"/>
      <x:c r="K323" s="32"/>
      <x:c r="L323" s="32"/>
    </x:row>
    <x:row r="324">
      <x:c r="A324" s="32"/>
      <x:c r="B324" s="32"/>
      <x:c r="C324" s="32"/>
      <x:c r="D324" s="32"/>
      <x:c r="E324" s="32"/>
      <x:c r="F324" s="32"/>
      <x:c r="G324" s="32"/>
      <x:c r="H324" s="32"/>
      <x:c r="I324" s="32"/>
      <x:c r="J324" s="32"/>
      <x:c r="K324" s="32"/>
      <x:c r="L324" s="32"/>
    </x:row>
    <x:row r="325">
      <x:c r="A325" s="32"/>
      <x:c r="B325" s="32"/>
      <x:c r="C325" s="32"/>
      <x:c r="D325" s="32"/>
      <x:c r="E325" s="32"/>
      <x:c r="F325" s="32"/>
      <x:c r="G325" s="32"/>
      <x:c r="H325" s="32"/>
      <x:c r="I325" s="32"/>
      <x:c r="J325" s="32"/>
      <x:c r="K325" s="32"/>
      <x:c r="L325" s="32"/>
    </x:row>
    <x:row r="326">
      <x:c r="A326" s="32"/>
      <x:c r="B326" s="32"/>
      <x:c r="C326" s="32"/>
      <x:c r="D326" s="32"/>
      <x:c r="E326" s="32"/>
      <x:c r="F326" s="32"/>
      <x:c r="G326" s="32"/>
      <x:c r="H326" s="32"/>
      <x:c r="I326" s="32"/>
      <x:c r="J326" s="32"/>
      <x:c r="K326" s="32"/>
      <x:c r="L326" s="32"/>
    </x:row>
    <x:row r="327">
      <x:c r="A327" s="32"/>
      <x:c r="B327" s="32"/>
      <x:c r="C327" s="32"/>
      <x:c r="D327" s="32"/>
      <x:c r="E327" s="32"/>
      <x:c r="F327" s="32"/>
      <x:c r="G327" s="32"/>
      <x:c r="H327" s="32"/>
      <x:c r="I327" s="32"/>
      <x:c r="J327" s="32"/>
      <x:c r="K327" s="32"/>
      <x:c r="L327" s="32"/>
    </x:row>
    <x:row r="328">
      <x:c r="A328" s="32"/>
      <x:c r="B328" s="32"/>
      <x:c r="C328" s="32"/>
      <x:c r="D328" s="32"/>
      <x:c r="E328" s="32"/>
      <x:c r="F328" s="32"/>
      <x:c r="G328" s="32"/>
      <x:c r="H328" s="32"/>
      <x:c r="I328" s="32"/>
      <x:c r="J328" s="32"/>
      <x:c r="K328" s="32"/>
      <x:c r="L328" s="32"/>
    </x:row>
    <x:row r="329">
      <x:c r="A329" s="32"/>
      <x:c r="B329" s="32"/>
      <x:c r="C329" s="32"/>
      <x:c r="D329" s="32"/>
      <x:c r="E329" s="32"/>
      <x:c r="F329" s="32"/>
      <x:c r="G329" s="32"/>
      <x:c r="H329" s="32"/>
      <x:c r="I329" s="32"/>
      <x:c r="J329" s="32"/>
      <x:c r="K329" s="32"/>
      <x:c r="L329" s="32"/>
    </x:row>
    <x:row r="330">
      <x:c r="A330" s="32"/>
      <x:c r="B330" s="32"/>
      <x:c r="C330" s="32"/>
      <x:c r="D330" s="32"/>
      <x:c r="E330" s="32"/>
      <x:c r="F330" s="32"/>
      <x:c r="G330" s="32"/>
      <x:c r="H330" s="32"/>
      <x:c r="I330" s="32"/>
      <x:c r="J330" s="32"/>
      <x:c r="K330" s="32"/>
      <x:c r="L330" s="32"/>
    </x:row>
    <x:row r="331">
      <x:c r="A331" s="32"/>
      <x:c r="B331" s="32"/>
      <x:c r="C331" s="32"/>
      <x:c r="D331" s="32"/>
      <x:c r="E331" s="32"/>
      <x:c r="F331" s="32"/>
      <x:c r="G331" s="32"/>
      <x:c r="H331" s="32"/>
      <x:c r="I331" s="32"/>
      <x:c r="J331" s="32"/>
      <x:c r="K331" s="32"/>
      <x:c r="L331" s="32"/>
    </x:row>
    <x:row r="332">
      <x:c r="A332" s="32"/>
      <x:c r="B332" s="32"/>
      <x:c r="C332" s="32"/>
      <x:c r="D332" s="32"/>
      <x:c r="E332" s="32"/>
      <x:c r="F332" s="32"/>
      <x:c r="G332" s="32"/>
      <x:c r="H332" s="32"/>
      <x:c r="I332" s="32"/>
      <x:c r="J332" s="32"/>
      <x:c r="K332" s="32"/>
      <x:c r="L332" s="32"/>
    </x:row>
    <x:row r="333">
      <x:c r="A333" s="32"/>
      <x:c r="B333" s="32"/>
      <x:c r="C333" s="32"/>
      <x:c r="D333" s="32"/>
      <x:c r="E333" s="32"/>
      <x:c r="F333" s="32"/>
      <x:c r="G333" s="32"/>
      <x:c r="H333" s="32"/>
      <x:c r="I333" s="32"/>
      <x:c r="J333" s="32"/>
      <x:c r="K333" s="32"/>
      <x:c r="L333" s="32"/>
    </x:row>
    <x:row r="334">
      <x:c r="A334" s="32"/>
      <x:c r="B334" s="32"/>
      <x:c r="C334" s="32"/>
      <x:c r="D334" s="32"/>
      <x:c r="E334" s="32"/>
      <x:c r="F334" s="32"/>
      <x:c r="G334" s="32"/>
      <x:c r="H334" s="32"/>
      <x:c r="I334" s="32"/>
      <x:c r="J334" s="32"/>
      <x:c r="K334" s="32"/>
      <x:c r="L334" s="32"/>
    </x:row>
    <x:row r="335">
      <x:c r="A335" s="32"/>
      <x:c r="B335" s="32"/>
      <x:c r="C335" s="32"/>
      <x:c r="D335" s="32"/>
      <x:c r="E335" s="32"/>
      <x:c r="F335" s="32"/>
      <x:c r="G335" s="32"/>
      <x:c r="H335" s="32"/>
      <x:c r="I335" s="32"/>
      <x:c r="J335" s="32"/>
      <x:c r="K335" s="32"/>
      <x:c r="L335" s="32"/>
    </x:row>
    <x:row r="336">
      <x:c r="A336" s="32"/>
      <x:c r="B336" s="32"/>
      <x:c r="C336" s="32"/>
      <x:c r="D336" s="32"/>
      <x:c r="E336" s="32"/>
      <x:c r="F336" s="32"/>
      <x:c r="G336" s="32"/>
      <x:c r="H336" s="32"/>
      <x:c r="I336" s="32"/>
      <x:c r="J336" s="32"/>
      <x:c r="K336" s="32"/>
      <x:c r="L336" s="32"/>
    </x:row>
    <x:row r="337">
      <x:c r="A337" s="32"/>
      <x:c r="B337" s="32"/>
      <x:c r="C337" s="32"/>
      <x:c r="D337" s="32"/>
      <x:c r="E337" s="32"/>
      <x:c r="F337" s="32"/>
      <x:c r="G337" s="32"/>
      <x:c r="H337" s="32"/>
      <x:c r="I337" s="32"/>
      <x:c r="J337" s="32"/>
      <x:c r="K337" s="32"/>
      <x:c r="L337" s="32"/>
    </x:row>
    <x:row r="338">
      <x:c r="A338" s="32"/>
      <x:c r="B338" s="32"/>
      <x:c r="C338" s="32"/>
      <x:c r="D338" s="32"/>
      <x:c r="E338" s="32"/>
      <x:c r="F338" s="32"/>
      <x:c r="G338" s="32"/>
      <x:c r="H338" s="32"/>
      <x:c r="I338" s="32"/>
      <x:c r="J338" s="32"/>
      <x:c r="K338" s="32"/>
      <x:c r="L338" s="32"/>
    </x:row>
    <x:row r="339">
      <x:c r="A339" s="32"/>
      <x:c r="B339" s="32"/>
      <x:c r="C339" s="32"/>
      <x:c r="D339" s="32"/>
      <x:c r="E339" s="32"/>
      <x:c r="F339" s="32"/>
      <x:c r="G339" s="32"/>
      <x:c r="H339" s="32"/>
      <x:c r="I339" s="32"/>
      <x:c r="J339" s="32"/>
      <x:c r="K339" s="32"/>
      <x:c r="L339" s="32"/>
    </x:row>
    <x:row r="340">
      <x:c r="A340" s="32"/>
      <x:c r="B340" s="32"/>
      <x:c r="C340" s="32"/>
      <x:c r="D340" s="32"/>
      <x:c r="E340" s="32"/>
      <x:c r="F340" s="32"/>
      <x:c r="G340" s="32"/>
      <x:c r="H340" s="32"/>
      <x:c r="I340" s="32"/>
      <x:c r="J340" s="32"/>
      <x:c r="K340" s="32"/>
      <x:c r="L340" s="32"/>
    </x:row>
    <x:row r="341">
      <x:c r="A341" s="32"/>
      <x:c r="B341" s="32"/>
      <x:c r="C341" s="32"/>
      <x:c r="D341" s="32"/>
      <x:c r="E341" s="32"/>
      <x:c r="F341" s="32"/>
      <x:c r="G341" s="32"/>
      <x:c r="H341" s="32"/>
      <x:c r="I341" s="32"/>
      <x:c r="J341" s="32"/>
      <x:c r="K341" s="32"/>
      <x:c r="L341" s="32"/>
    </x:row>
    <x:row r="342">
      <x:c r="A342" s="32"/>
      <x:c r="B342" s="32"/>
      <x:c r="C342" s="32"/>
      <x:c r="D342" s="32"/>
      <x:c r="E342" s="32"/>
      <x:c r="F342" s="32"/>
      <x:c r="G342" s="32"/>
      <x:c r="H342" s="32"/>
      <x:c r="I342" s="32"/>
      <x:c r="J342" s="32"/>
      <x:c r="K342" s="32"/>
      <x:c r="L342" s="32"/>
    </x:row>
    <x:row r="343">
      <x:c r="A343" s="32"/>
      <x:c r="B343" s="32"/>
      <x:c r="C343" s="32"/>
      <x:c r="D343" s="32"/>
      <x:c r="E343" s="32"/>
      <x:c r="F343" s="32"/>
      <x:c r="G343" s="32"/>
      <x:c r="H343" s="32"/>
      <x:c r="I343" s="32"/>
      <x:c r="J343" s="32"/>
      <x:c r="K343" s="32"/>
      <x:c r="L343" s="32"/>
    </x:row>
    <x:row r="344">
      <x:c r="A344" s="32"/>
      <x:c r="B344" s="32"/>
      <x:c r="C344" s="32"/>
      <x:c r="D344" s="32"/>
      <x:c r="E344" s="32"/>
      <x:c r="F344" s="32"/>
      <x:c r="G344" s="32"/>
      <x:c r="H344" s="32"/>
      <x:c r="I344" s="32"/>
      <x:c r="J344" s="32"/>
      <x:c r="K344" s="32"/>
      <x:c r="L344" s="32"/>
    </x:row>
    <x:row r="345">
      <x:c r="A345" s="32"/>
      <x:c r="B345" s="32"/>
      <x:c r="C345" s="32"/>
      <x:c r="D345" s="32"/>
      <x:c r="E345" s="32"/>
      <x:c r="F345" s="32"/>
      <x:c r="G345" s="32"/>
      <x:c r="H345" s="32"/>
      <x:c r="I345" s="32"/>
      <x:c r="J345" s="32"/>
      <x:c r="K345" s="32"/>
      <x:c r="L345" s="32"/>
    </x:row>
    <x:row r="346">
      <x:c r="A346" s="32"/>
      <x:c r="B346" s="32"/>
      <x:c r="C346" s="32"/>
      <x:c r="D346" s="32"/>
      <x:c r="E346" s="32"/>
      <x:c r="F346" s="32"/>
      <x:c r="G346" s="32"/>
      <x:c r="H346" s="32"/>
      <x:c r="I346" s="32"/>
      <x:c r="J346" s="32"/>
      <x:c r="K346" s="32"/>
      <x:c r="L346" s="32"/>
    </x:row>
    <x:row r="347">
      <x:c r="A347" s="32"/>
      <x:c r="B347" s="32"/>
      <x:c r="C347" s="32"/>
      <x:c r="D347" s="32"/>
      <x:c r="E347" s="32"/>
      <x:c r="F347" s="32"/>
      <x:c r="G347" s="32"/>
      <x:c r="H347" s="32"/>
      <x:c r="I347" s="32"/>
      <x:c r="J347" s="32"/>
      <x:c r="K347" s="32"/>
      <x:c r="L347" s="32"/>
    </x:row>
    <x:row r="348">
      <x:c r="A348" s="32"/>
      <x:c r="B348" s="32"/>
      <x:c r="C348" s="32"/>
      <x:c r="D348" s="32"/>
      <x:c r="E348" s="32"/>
      <x:c r="F348" s="32"/>
      <x:c r="G348" s="32"/>
      <x:c r="H348" s="32"/>
      <x:c r="I348" s="32"/>
      <x:c r="J348" s="32"/>
      <x:c r="K348" s="32"/>
      <x:c r="L348" s="32"/>
    </x:row>
    <x:row r="349">
      <x:c r="A349" s="32"/>
      <x:c r="B349" s="32"/>
      <x:c r="C349" s="32"/>
      <x:c r="D349" s="32"/>
      <x:c r="E349" s="32"/>
      <x:c r="F349" s="32"/>
      <x:c r="G349" s="32"/>
      <x:c r="H349" s="32"/>
      <x:c r="I349" s="32"/>
      <x:c r="J349" s="32"/>
      <x:c r="K349" s="32"/>
      <x:c r="L349" s="32"/>
    </x:row>
    <x:row r="350">
      <x:c r="A350" s="32"/>
      <x:c r="B350" s="32"/>
      <x:c r="C350" s="32"/>
      <x:c r="D350" s="32"/>
      <x:c r="E350" s="32"/>
      <x:c r="F350" s="32"/>
      <x:c r="G350" s="32"/>
      <x:c r="H350" s="32"/>
      <x:c r="I350" s="32"/>
      <x:c r="J350" s="32"/>
      <x:c r="K350" s="32"/>
      <x:c r="L350" s="32"/>
    </x:row>
    <x:row r="351">
      <x:c r="A351" s="32"/>
      <x:c r="B351" s="32"/>
      <x:c r="C351" s="32"/>
      <x:c r="D351" s="32"/>
      <x:c r="E351" s="32"/>
      <x:c r="F351" s="32"/>
      <x:c r="G351" s="32"/>
      <x:c r="H351" s="32"/>
      <x:c r="I351" s="32"/>
      <x:c r="J351" s="32"/>
      <x:c r="K351" s="32"/>
      <x:c r="L351" s="32"/>
    </x:row>
    <x:row r="352">
      <x:c r="A352" s="32"/>
      <x:c r="B352" s="32"/>
      <x:c r="C352" s="32"/>
      <x:c r="D352" s="32"/>
      <x:c r="E352" s="32"/>
      <x:c r="F352" s="32"/>
      <x:c r="G352" s="32"/>
      <x:c r="H352" s="32"/>
      <x:c r="I352" s="32"/>
      <x:c r="J352" s="32"/>
      <x:c r="K352" s="32"/>
      <x:c r="L352" s="32"/>
    </x:row>
    <x:row r="353">
      <x:c r="A353" s="32"/>
      <x:c r="B353" s="32"/>
      <x:c r="C353" s="32"/>
      <x:c r="D353" s="32"/>
      <x:c r="E353" s="32"/>
      <x:c r="F353" s="32"/>
      <x:c r="G353" s="32"/>
      <x:c r="H353" s="32"/>
      <x:c r="I353" s="32"/>
      <x:c r="J353" s="32"/>
      <x:c r="K353" s="32"/>
      <x:c r="L353" s="32"/>
    </x:row>
    <x:row r="354">
      <x:c r="A354" s="32"/>
      <x:c r="B354" s="32"/>
      <x:c r="C354" s="32"/>
      <x:c r="D354" s="32"/>
      <x:c r="E354" s="32"/>
      <x:c r="F354" s="32"/>
      <x:c r="G354" s="32"/>
      <x:c r="H354" s="32"/>
      <x:c r="I354" s="32"/>
      <x:c r="J354" s="32"/>
      <x:c r="K354" s="32"/>
      <x:c r="L354" s="32"/>
    </x:row>
    <x:row r="355">
      <x:c r="A355" s="32"/>
      <x:c r="B355" s="32"/>
      <x:c r="C355" s="32"/>
      <x:c r="D355" s="32"/>
      <x:c r="E355" s="32"/>
      <x:c r="F355" s="32"/>
      <x:c r="G355" s="32"/>
      <x:c r="H355" s="32"/>
      <x:c r="I355" s="32"/>
      <x:c r="J355" s="32"/>
      <x:c r="K355" s="32"/>
      <x:c r="L355" s="32"/>
    </x:row>
    <x:row r="356">
      <x:c r="A356" s="32"/>
      <x:c r="B356" s="32"/>
      <x:c r="C356" s="32"/>
      <x:c r="D356" s="32"/>
      <x:c r="E356" s="32"/>
      <x:c r="F356" s="32"/>
      <x:c r="G356" s="32"/>
      <x:c r="H356" s="32"/>
      <x:c r="I356" s="32"/>
      <x:c r="J356" s="32"/>
      <x:c r="K356" s="32"/>
      <x:c r="L356" s="32"/>
    </x:row>
    <x:row r="357">
      <x:c r="A357" s="32"/>
      <x:c r="B357" s="32"/>
      <x:c r="C357" s="32"/>
      <x:c r="D357" s="32"/>
      <x:c r="E357" s="32"/>
      <x:c r="F357" s="32"/>
      <x:c r="G357" s="32"/>
      <x:c r="H357" s="32"/>
      <x:c r="I357" s="32"/>
      <x:c r="J357" s="32"/>
      <x:c r="K357" s="32"/>
      <x:c r="L357" s="32"/>
    </x:row>
    <x:row r="358">
      <x:c r="A358" s="32"/>
      <x:c r="B358" s="32"/>
      <x:c r="C358" s="32"/>
      <x:c r="D358" s="32"/>
      <x:c r="E358" s="32"/>
      <x:c r="F358" s="32"/>
      <x:c r="G358" s="32"/>
      <x:c r="H358" s="32"/>
      <x:c r="I358" s="32"/>
      <x:c r="J358" s="32"/>
      <x:c r="K358" s="32"/>
      <x:c r="L358" s="32"/>
    </x:row>
    <x:row r="359">
      <x:c r="A359" s="32"/>
      <x:c r="B359" s="32"/>
      <x:c r="C359" s="32"/>
      <x:c r="D359" s="32"/>
      <x:c r="E359" s="32"/>
      <x:c r="F359" s="32"/>
      <x:c r="G359" s="32"/>
      <x:c r="H359" s="32"/>
      <x:c r="I359" s="32"/>
      <x:c r="J359" s="32"/>
      <x:c r="K359" s="32"/>
      <x:c r="L359" s="32"/>
    </x:row>
    <x:row r="360">
      <x:c r="A360" s="32"/>
      <x:c r="B360" s="32"/>
      <x:c r="C360" s="32"/>
      <x:c r="D360" s="32"/>
      <x:c r="E360" s="32"/>
      <x:c r="F360" s="32"/>
      <x:c r="G360" s="32"/>
      <x:c r="H360" s="32"/>
      <x:c r="I360" s="32"/>
      <x:c r="J360" s="32"/>
      <x:c r="K360" s="32"/>
      <x:c r="L360" s="32"/>
    </x:row>
    <x:row r="361">
      <x:c r="A361" s="32"/>
      <x:c r="B361" s="32"/>
      <x:c r="C361" s="32"/>
      <x:c r="D361" s="32"/>
      <x:c r="E361" s="32"/>
      <x:c r="F361" s="32"/>
      <x:c r="G361" s="32"/>
      <x:c r="H361" s="32"/>
      <x:c r="I361" s="32"/>
      <x:c r="J361" s="32"/>
      <x:c r="K361" s="32"/>
      <x:c r="L361" s="32"/>
    </x:row>
    <x:row r="362">
      <x:c r="A362" s="32"/>
      <x:c r="B362" s="32"/>
      <x:c r="C362" s="32"/>
      <x:c r="D362" s="32"/>
      <x:c r="E362" s="32"/>
      <x:c r="F362" s="32"/>
      <x:c r="G362" s="32"/>
      <x:c r="H362" s="32"/>
      <x:c r="I362" s="32"/>
      <x:c r="J362" s="32"/>
      <x:c r="K362" s="32"/>
      <x:c r="L362" s="32"/>
    </x:row>
    <x:row r="363">
      <x:c r="A363" s="32"/>
      <x:c r="B363" s="32"/>
      <x:c r="C363" s="32"/>
      <x:c r="D363" s="32"/>
      <x:c r="E363" s="32"/>
      <x:c r="F363" s="32"/>
      <x:c r="G363" s="32"/>
      <x:c r="H363" s="32"/>
      <x:c r="I363" s="32"/>
      <x:c r="J363" s="32"/>
      <x:c r="K363" s="32"/>
      <x:c r="L363" s="32"/>
    </x:row>
    <x:row r="364">
      <x:c r="A364" s="32"/>
      <x:c r="B364" s="32"/>
      <x:c r="C364" s="32"/>
      <x:c r="D364" s="32"/>
      <x:c r="E364" s="32"/>
      <x:c r="F364" s="32"/>
      <x:c r="G364" s="32"/>
      <x:c r="H364" s="32"/>
      <x:c r="I364" s="32"/>
      <x:c r="J364" s="32"/>
      <x:c r="K364" s="32"/>
      <x:c r="L364" s="32"/>
    </x:row>
    <x:row r="365">
      <x:c r="A365" s="32"/>
      <x:c r="B365" s="32"/>
      <x:c r="C365" s="32"/>
      <x:c r="D365" s="32"/>
      <x:c r="E365" s="32"/>
      <x:c r="F365" s="32"/>
      <x:c r="G365" s="32"/>
      <x:c r="H365" s="32"/>
      <x:c r="I365" s="32"/>
      <x:c r="J365" s="32"/>
      <x:c r="K365" s="32"/>
      <x:c r="L365" s="32"/>
    </x:row>
    <x:row r="366">
      <x:c r="A366" s="32"/>
      <x:c r="B366" s="32"/>
      <x:c r="C366" s="32"/>
      <x:c r="D366" s="32"/>
      <x:c r="E366" s="32"/>
      <x:c r="F366" s="32"/>
      <x:c r="G366" s="32"/>
      <x:c r="H366" s="32"/>
      <x:c r="I366" s="32"/>
      <x:c r="J366" s="32"/>
      <x:c r="K366" s="32"/>
      <x:c r="L366" s="32"/>
    </x:row>
    <x:row r="367">
      <x:c r="A367" s="32"/>
      <x:c r="B367" s="32"/>
      <x:c r="C367" s="32"/>
      <x:c r="D367" s="32"/>
      <x:c r="E367" s="32"/>
      <x:c r="F367" s="32"/>
      <x:c r="G367" s="32"/>
      <x:c r="H367" s="32"/>
      <x:c r="I367" s="32"/>
      <x:c r="J367" s="32"/>
      <x:c r="K367" s="32"/>
      <x:c r="L367" s="32"/>
    </x:row>
    <x:row r="368">
      <x:c r="A368" s="32"/>
      <x:c r="B368" s="32"/>
      <x:c r="C368" s="32"/>
      <x:c r="D368" s="32"/>
      <x:c r="E368" s="32"/>
      <x:c r="F368" s="32"/>
      <x:c r="G368" s="32"/>
      <x:c r="H368" s="32"/>
      <x:c r="I368" s="32"/>
      <x:c r="J368" s="32"/>
      <x:c r="K368" s="32"/>
      <x:c r="L368" s="32"/>
    </x:row>
    <x:row r="369">
      <x:c r="A369" s="32"/>
      <x:c r="B369" s="32"/>
      <x:c r="C369" s="32"/>
      <x:c r="D369" s="32"/>
      <x:c r="E369" s="32"/>
      <x:c r="F369" s="32"/>
      <x:c r="G369" s="32"/>
      <x:c r="H369" s="32"/>
      <x:c r="I369" s="32"/>
      <x:c r="J369" s="32"/>
      <x:c r="K369" s="32"/>
      <x:c r="L369" s="32"/>
    </x:row>
    <x:row r="370">
      <x:c r="A370" s="32"/>
      <x:c r="B370" s="32"/>
      <x:c r="C370" s="32"/>
      <x:c r="D370" s="32"/>
      <x:c r="E370" s="32"/>
      <x:c r="F370" s="32"/>
      <x:c r="G370" s="32"/>
      <x:c r="H370" s="32"/>
      <x:c r="I370" s="32"/>
      <x:c r="J370" s="32"/>
      <x:c r="K370" s="32"/>
      <x:c r="L370" s="32"/>
    </x:row>
    <x:row r="371">
      <x:c r="A371" s="32"/>
      <x:c r="B371" s="32"/>
      <x:c r="C371" s="32"/>
      <x:c r="D371" s="32"/>
      <x:c r="E371" s="32"/>
      <x:c r="F371" s="32"/>
      <x:c r="G371" s="32"/>
      <x:c r="H371" s="32"/>
      <x:c r="I371" s="32"/>
      <x:c r="J371" s="32"/>
      <x:c r="K371" s="32"/>
      <x:c r="L371" s="32"/>
    </x:row>
    <x:row r="372">
      <x:c r="A372" s="32"/>
      <x:c r="B372" s="32"/>
      <x:c r="C372" s="32"/>
      <x:c r="D372" s="32"/>
      <x:c r="E372" s="32"/>
      <x:c r="F372" s="32"/>
      <x:c r="G372" s="32"/>
      <x:c r="H372" s="32"/>
      <x:c r="I372" s="32"/>
      <x:c r="J372" s="32"/>
      <x:c r="K372" s="32"/>
      <x:c r="L372" s="32"/>
    </x:row>
    <x:row r="373">
      <x:c r="A373" s="32"/>
      <x:c r="B373" s="32"/>
      <x:c r="C373" s="32"/>
      <x:c r="D373" s="32"/>
      <x:c r="E373" s="32"/>
      <x:c r="F373" s="32"/>
      <x:c r="G373" s="32"/>
      <x:c r="H373" s="32"/>
      <x:c r="I373" s="32"/>
      <x:c r="J373" s="32"/>
      <x:c r="K373" s="32"/>
      <x:c r="L373" s="32"/>
    </x:row>
    <x:row r="374">
      <x:c r="A374" s="32"/>
      <x:c r="B374" s="32"/>
      <x:c r="C374" s="32"/>
      <x:c r="D374" s="32"/>
      <x:c r="E374" s="32"/>
      <x:c r="F374" s="32"/>
      <x:c r="G374" s="32"/>
      <x:c r="H374" s="32"/>
      <x:c r="I374" s="32"/>
      <x:c r="J374" s="32"/>
      <x:c r="K374" s="32"/>
      <x:c r="L374" s="32"/>
    </x:row>
    <x:row r="375">
      <x:c r="A375" s="32"/>
      <x:c r="B375" s="32"/>
      <x:c r="C375" s="32"/>
      <x:c r="D375" s="32"/>
      <x:c r="E375" s="32"/>
      <x:c r="F375" s="32"/>
      <x:c r="G375" s="32"/>
      <x:c r="H375" s="32"/>
      <x:c r="I375" s="32"/>
      <x:c r="J375" s="32"/>
      <x:c r="K375" s="32"/>
      <x:c r="L375" s="32"/>
    </x:row>
    <x:row r="376">
      <x:c r="A376" s="32"/>
      <x:c r="B376" s="32"/>
      <x:c r="C376" s="32"/>
      <x:c r="D376" s="32"/>
      <x:c r="E376" s="32"/>
      <x:c r="F376" s="32"/>
      <x:c r="G376" s="32"/>
      <x:c r="H376" s="32"/>
      <x:c r="I376" s="32"/>
      <x:c r="J376" s="32"/>
      <x:c r="K376" s="32"/>
      <x:c r="L376" s="32"/>
    </x:row>
    <x:row r="377">
      <x:c r="A377" s="32"/>
      <x:c r="B377" s="32"/>
      <x:c r="C377" s="32"/>
      <x:c r="D377" s="32"/>
      <x:c r="E377" s="32"/>
      <x:c r="F377" s="32"/>
      <x:c r="G377" s="32"/>
      <x:c r="H377" s="32"/>
      <x:c r="I377" s="32"/>
      <x:c r="J377" s="32"/>
      <x:c r="K377" s="32"/>
      <x:c r="L377" s="32"/>
    </x:row>
    <x:row r="378">
      <x:c r="A378" s="32"/>
      <x:c r="B378" s="32"/>
      <x:c r="C378" s="32"/>
      <x:c r="D378" s="32"/>
      <x:c r="E378" s="32"/>
      <x:c r="F378" s="32"/>
      <x:c r="G378" s="32"/>
      <x:c r="H378" s="32"/>
      <x:c r="I378" s="32"/>
      <x:c r="J378" s="32"/>
      <x:c r="K378" s="32"/>
      <x:c r="L378" s="32"/>
    </x:row>
    <x:row r="379">
      <x:c r="A379" s="32"/>
      <x:c r="B379" s="32"/>
      <x:c r="C379" s="32"/>
      <x:c r="D379" s="32"/>
      <x:c r="E379" s="32"/>
      <x:c r="F379" s="32"/>
      <x:c r="G379" s="32"/>
      <x:c r="H379" s="32"/>
      <x:c r="I379" s="32"/>
      <x:c r="J379" s="32"/>
      <x:c r="K379" s="32"/>
      <x:c r="L379" s="32"/>
    </x:row>
    <x:row r="380">
      <x:c r="A380" s="32"/>
      <x:c r="B380" s="32"/>
      <x:c r="C380" s="32"/>
      <x:c r="D380" s="32"/>
      <x:c r="E380" s="32"/>
      <x:c r="F380" s="32"/>
      <x:c r="G380" s="32"/>
      <x:c r="H380" s="32"/>
      <x:c r="I380" s="32"/>
      <x:c r="J380" s="32"/>
      <x:c r="K380" s="32"/>
      <x:c r="L380" s="32"/>
    </x:row>
    <x:row r="381">
      <x:c r="A381" s="32"/>
      <x:c r="B381" s="32"/>
      <x:c r="C381" s="32"/>
      <x:c r="D381" s="32"/>
      <x:c r="E381" s="32"/>
      <x:c r="F381" s="32"/>
      <x:c r="G381" s="32"/>
      <x:c r="H381" s="32"/>
      <x:c r="I381" s="32"/>
      <x:c r="J381" s="32"/>
      <x:c r="K381" s="32"/>
      <x:c r="L381" s="32"/>
    </x:row>
    <x:row r="382">
      <x:c r="A382" s="32"/>
      <x:c r="B382" s="32"/>
      <x:c r="C382" s="32"/>
      <x:c r="D382" s="32"/>
      <x:c r="E382" s="32"/>
      <x:c r="F382" s="32"/>
      <x:c r="G382" s="32"/>
      <x:c r="H382" s="32"/>
      <x:c r="I382" s="32"/>
      <x:c r="J382" s="32"/>
      <x:c r="K382" s="32"/>
      <x:c r="L382" s="32"/>
    </x:row>
    <x:row r="383">
      <x:c r="A383" s="32"/>
      <x:c r="B383" s="32"/>
      <x:c r="C383" s="32"/>
      <x:c r="D383" s="32"/>
      <x:c r="E383" s="32"/>
      <x:c r="F383" s="32"/>
      <x:c r="G383" s="32"/>
      <x:c r="H383" s="32"/>
      <x:c r="I383" s="32"/>
      <x:c r="J383" s="32"/>
      <x:c r="K383" s="32"/>
      <x:c r="L383" s="32"/>
    </x:row>
    <x:row r="384">
      <x:c r="A384" s="32"/>
      <x:c r="B384" s="32"/>
      <x:c r="C384" s="32"/>
      <x:c r="D384" s="32"/>
      <x:c r="E384" s="32"/>
      <x:c r="F384" s="32"/>
      <x:c r="G384" s="32"/>
      <x:c r="H384" s="32"/>
      <x:c r="I384" s="32"/>
      <x:c r="J384" s="32"/>
      <x:c r="K384" s="32"/>
      <x:c r="L384" s="32"/>
    </x:row>
    <x:row r="385">
      <x:c r="A385" s="32"/>
      <x:c r="B385" s="32"/>
      <x:c r="C385" s="32"/>
      <x:c r="D385" s="32"/>
      <x:c r="E385" s="32"/>
      <x:c r="F385" s="32"/>
      <x:c r="G385" s="32"/>
      <x:c r="H385" s="32"/>
      <x:c r="I385" s="32"/>
      <x:c r="J385" s="32"/>
      <x:c r="K385" s="32"/>
      <x:c r="L385" s="32"/>
    </x:row>
    <x:row r="386">
      <x:c r="A386" s="32"/>
      <x:c r="B386" s="32"/>
      <x:c r="C386" s="32"/>
      <x:c r="D386" s="32"/>
      <x:c r="E386" s="32"/>
      <x:c r="F386" s="32"/>
      <x:c r="G386" s="32"/>
      <x:c r="H386" s="32"/>
      <x:c r="I386" s="32"/>
      <x:c r="J386" s="32"/>
      <x:c r="K386" s="32"/>
      <x:c r="L386" s="32"/>
    </x:row>
    <x:row r="387">
      <x:c r="A387" s="32"/>
      <x:c r="B387" s="32"/>
      <x:c r="C387" s="32"/>
      <x:c r="D387" s="32"/>
      <x:c r="E387" s="32"/>
      <x:c r="F387" s="32"/>
      <x:c r="G387" s="32"/>
      <x:c r="H387" s="32"/>
      <x:c r="I387" s="32"/>
      <x:c r="J387" s="32"/>
      <x:c r="K387" s="32"/>
      <x:c r="L387" s="32"/>
    </x:row>
    <x:row r="388">
      <x:c r="A388" s="32"/>
      <x:c r="B388" s="32"/>
      <x:c r="C388" s="32"/>
      <x:c r="D388" s="32"/>
      <x:c r="E388" s="32"/>
      <x:c r="F388" s="32"/>
      <x:c r="G388" s="32"/>
      <x:c r="H388" s="32"/>
      <x:c r="I388" s="32"/>
      <x:c r="J388" s="32"/>
      <x:c r="K388" s="32"/>
      <x:c r="L388" s="32"/>
    </x:row>
    <x:row r="389">
      <x:c r="A389" s="32"/>
      <x:c r="B389" s="32"/>
      <x:c r="C389" s="32"/>
      <x:c r="D389" s="32"/>
      <x:c r="E389" s="32"/>
      <x:c r="F389" s="32"/>
      <x:c r="G389" s="32"/>
      <x:c r="H389" s="32"/>
      <x:c r="I389" s="32"/>
      <x:c r="J389" s="32"/>
      <x:c r="K389" s="32"/>
      <x:c r="L389" s="32"/>
    </x:row>
    <x:row r="390">
      <x:c r="A390" s="32"/>
      <x:c r="B390" s="32"/>
      <x:c r="C390" s="32"/>
      <x:c r="D390" s="32"/>
      <x:c r="E390" s="32"/>
      <x:c r="F390" s="32"/>
      <x:c r="G390" s="32"/>
      <x:c r="H390" s="32"/>
      <x:c r="I390" s="32"/>
      <x:c r="J390" s="32"/>
      <x:c r="K390" s="32"/>
      <x:c r="L390" s="32"/>
    </x:row>
    <x:row r="391">
      <x:c r="A391" s="32"/>
      <x:c r="B391" s="32"/>
      <x:c r="C391" s="32"/>
      <x:c r="D391" s="32"/>
      <x:c r="E391" s="32"/>
      <x:c r="F391" s="32"/>
      <x:c r="G391" s="32"/>
      <x:c r="H391" s="32"/>
      <x:c r="I391" s="32"/>
      <x:c r="J391" s="32"/>
      <x:c r="K391" s="32"/>
      <x:c r="L391" s="32"/>
    </x:row>
    <x:row r="392">
      <x:c r="A392" s="32"/>
      <x:c r="B392" s="32"/>
      <x:c r="C392" s="32"/>
      <x:c r="D392" s="32"/>
      <x:c r="E392" s="32"/>
      <x:c r="F392" s="32"/>
      <x:c r="G392" s="32"/>
      <x:c r="H392" s="32"/>
      <x:c r="I392" s="32"/>
      <x:c r="J392" s="32"/>
      <x:c r="K392" s="32"/>
      <x:c r="L392" s="32"/>
    </x:row>
    <x:row r="393">
      <x:c r="A393" s="32"/>
      <x:c r="B393" s="32"/>
      <x:c r="C393" s="32"/>
      <x:c r="D393" s="32"/>
      <x:c r="E393" s="32"/>
      <x:c r="F393" s="32"/>
      <x:c r="G393" s="32"/>
      <x:c r="H393" s="32"/>
      <x:c r="I393" s="32"/>
      <x:c r="J393" s="32"/>
      <x:c r="K393" s="32"/>
      <x:c r="L393" s="32"/>
    </x:row>
    <x:row r="394">
      <x:c r="A394" s="32"/>
      <x:c r="B394" s="32"/>
      <x:c r="C394" s="32"/>
      <x:c r="D394" s="32"/>
      <x:c r="E394" s="32"/>
      <x:c r="F394" s="32"/>
      <x:c r="G394" s="32"/>
      <x:c r="H394" s="32"/>
      <x:c r="I394" s="32"/>
      <x:c r="J394" s="32"/>
      <x:c r="K394" s="32"/>
      <x:c r="L394" s="32"/>
    </x:row>
    <x:row r="395">
      <x:c r="A395" s="32"/>
      <x:c r="B395" s="32"/>
      <x:c r="C395" s="32"/>
      <x:c r="D395" s="32"/>
      <x:c r="E395" s="32"/>
      <x:c r="F395" s="32"/>
      <x:c r="G395" s="32"/>
      <x:c r="H395" s="32"/>
      <x:c r="I395" s="32"/>
      <x:c r="J395" s="32"/>
      <x:c r="K395" s="32"/>
      <x:c r="L395" s="32"/>
    </x:row>
    <x:row r="396">
      <x:c r="A396" s="32"/>
      <x:c r="B396" s="32"/>
      <x:c r="C396" s="32"/>
      <x:c r="D396" s="32"/>
      <x:c r="E396" s="32"/>
      <x:c r="F396" s="32"/>
      <x:c r="G396" s="32"/>
      <x:c r="H396" s="32"/>
      <x:c r="I396" s="32"/>
      <x:c r="J396" s="32"/>
      <x:c r="K396" s="32"/>
      <x:c r="L396" s="32"/>
    </x:row>
    <x:row r="397">
      <x:c r="A397" s="32"/>
      <x:c r="B397" s="32"/>
      <x:c r="C397" s="32"/>
      <x:c r="D397" s="32"/>
      <x:c r="E397" s="32"/>
      <x:c r="F397" s="32"/>
      <x:c r="G397" s="32"/>
      <x:c r="H397" s="32"/>
      <x:c r="I397" s="32"/>
      <x:c r="J397" s="32"/>
      <x:c r="K397" s="32"/>
      <x:c r="L397" s="32"/>
    </x:row>
    <x:row r="398">
      <x:c r="A398" s="32"/>
      <x:c r="B398" s="32"/>
      <x:c r="C398" s="32"/>
      <x:c r="D398" s="32"/>
      <x:c r="E398" s="32"/>
      <x:c r="F398" s="32"/>
      <x:c r="G398" s="32"/>
      <x:c r="H398" s="32"/>
      <x:c r="I398" s="32"/>
      <x:c r="J398" s="32"/>
      <x:c r="K398" s="32"/>
      <x:c r="L398" s="32"/>
    </x:row>
    <x:row r="399">
      <x:c r="A399" s="32"/>
      <x:c r="B399" s="32"/>
      <x:c r="C399" s="32"/>
      <x:c r="D399" s="32"/>
      <x:c r="E399" s="32"/>
      <x:c r="F399" s="32"/>
      <x:c r="G399" s="32"/>
      <x:c r="H399" s="32"/>
      <x:c r="I399" s="32"/>
      <x:c r="J399" s="32"/>
      <x:c r="K399" s="32"/>
      <x:c r="L399" s="32"/>
    </x:row>
    <x:row r="400">
      <x:c r="A400" s="32"/>
      <x:c r="B400" s="32"/>
      <x:c r="C400" s="32"/>
      <x:c r="D400" s="32"/>
      <x:c r="E400" s="32"/>
      <x:c r="F400" s="32"/>
      <x:c r="G400" s="32"/>
      <x:c r="H400" s="32"/>
      <x:c r="I400" s="32"/>
      <x:c r="J400" s="32"/>
      <x:c r="K400" s="32"/>
      <x:c r="L400" s="32"/>
    </x:row>
    <x:row r="401">
      <x:c r="A401" s="32"/>
      <x:c r="B401" s="32"/>
      <x:c r="C401" s="32"/>
      <x:c r="D401" s="32"/>
      <x:c r="E401" s="32"/>
      <x:c r="F401" s="32"/>
      <x:c r="G401" s="32"/>
      <x:c r="H401" s="32"/>
      <x:c r="I401" s="32"/>
      <x:c r="J401" s="32"/>
      <x:c r="K401" s="32"/>
      <x:c r="L401" s="32"/>
    </x:row>
    <x:row r="402">
      <x:c r="A402" s="32"/>
      <x:c r="B402" s="32"/>
      <x:c r="C402" s="32"/>
      <x:c r="D402" s="32"/>
      <x:c r="E402" s="32"/>
      <x:c r="F402" s="32"/>
      <x:c r="G402" s="32"/>
      <x:c r="H402" s="32"/>
      <x:c r="I402" s="32"/>
      <x:c r="J402" s="32"/>
      <x:c r="K402" s="32"/>
      <x:c r="L402" s="32"/>
    </x:row>
    <x:row r="403">
      <x:c r="A403" s="32"/>
      <x:c r="B403" s="32"/>
      <x:c r="C403" s="32"/>
      <x:c r="D403" s="32"/>
      <x:c r="E403" s="32"/>
      <x:c r="F403" s="32"/>
      <x:c r="G403" s="32"/>
      <x:c r="H403" s="32"/>
      <x:c r="I403" s="32"/>
      <x:c r="J403" s="32"/>
      <x:c r="K403" s="32"/>
      <x:c r="L403" s="32"/>
    </x:row>
    <x:row r="404">
      <x:c r="A404" s="32"/>
      <x:c r="B404" s="32"/>
      <x:c r="C404" s="32"/>
      <x:c r="D404" s="32"/>
      <x:c r="E404" s="32"/>
      <x:c r="F404" s="32"/>
      <x:c r="G404" s="32"/>
      <x:c r="H404" s="32"/>
      <x:c r="I404" s="32"/>
      <x:c r="J404" s="32"/>
      <x:c r="K404" s="32"/>
      <x:c r="L404" s="32"/>
    </x:row>
    <x:row r="405">
      <x:c r="A405" s="32"/>
      <x:c r="B405" s="32"/>
      <x:c r="C405" s="32"/>
      <x:c r="D405" s="32"/>
      <x:c r="E405" s="32"/>
      <x:c r="F405" s="32"/>
      <x:c r="G405" s="32"/>
      <x:c r="H405" s="32"/>
      <x:c r="I405" s="32"/>
      <x:c r="J405" s="32"/>
      <x:c r="K405" s="32"/>
      <x:c r="L405" s="32"/>
    </x:row>
    <x:row r="406">
      <x:c r="A406" s="32"/>
      <x:c r="B406" s="32"/>
      <x:c r="C406" s="32"/>
      <x:c r="D406" s="32"/>
      <x:c r="E406" s="32"/>
      <x:c r="F406" s="32"/>
      <x:c r="G406" s="32"/>
      <x:c r="H406" s="32"/>
      <x:c r="I406" s="32"/>
      <x:c r="J406" s="32"/>
      <x:c r="K406" s="32"/>
      <x:c r="L406" s="32"/>
    </x:row>
    <x:row r="407">
      <x:c r="A407" s="32"/>
      <x:c r="B407" s="32"/>
      <x:c r="C407" s="32"/>
      <x:c r="D407" s="32"/>
      <x:c r="E407" s="32"/>
      <x:c r="F407" s="32"/>
      <x:c r="G407" s="32"/>
      <x:c r="H407" s="32"/>
      <x:c r="I407" s="32"/>
      <x:c r="J407" s="32"/>
      <x:c r="K407" s="32"/>
      <x:c r="L407" s="32"/>
    </x:row>
    <x:row r="408">
      <x:c r="A408" s="32"/>
      <x:c r="B408" s="32"/>
      <x:c r="C408" s="32"/>
      <x:c r="D408" s="32"/>
      <x:c r="E408" s="32"/>
      <x:c r="F408" s="32"/>
      <x:c r="G408" s="32"/>
      <x:c r="H408" s="32"/>
      <x:c r="I408" s="32"/>
      <x:c r="J408" s="32"/>
      <x:c r="K408" s="32"/>
      <x:c r="L408" s="32"/>
    </x:row>
    <x:row r="409">
      <x:c r="A409" s="32"/>
      <x:c r="B409" s="32"/>
      <x:c r="C409" s="32"/>
      <x:c r="D409" s="32"/>
      <x:c r="E409" s="32"/>
      <x:c r="F409" s="32"/>
      <x:c r="G409" s="32"/>
      <x:c r="H409" s="32"/>
      <x:c r="I409" s="32"/>
      <x:c r="J409" s="32"/>
      <x:c r="K409" s="32"/>
      <x:c r="L409" s="32"/>
    </x:row>
    <x:row r="410">
      <x:c r="A410" s="32"/>
      <x:c r="B410" s="32"/>
      <x:c r="C410" s="32"/>
      <x:c r="D410" s="32"/>
      <x:c r="E410" s="32"/>
      <x:c r="F410" s="32"/>
      <x:c r="G410" s="32"/>
      <x:c r="H410" s="32"/>
      <x:c r="I410" s="32"/>
      <x:c r="J410" s="32"/>
      <x:c r="K410" s="32"/>
      <x:c r="L410" s="32"/>
    </x:row>
    <x:row r="411">
      <x:c r="A411" s="32"/>
      <x:c r="B411" s="32"/>
      <x:c r="C411" s="32"/>
      <x:c r="D411" s="32"/>
      <x:c r="E411" s="32"/>
      <x:c r="F411" s="32"/>
      <x:c r="G411" s="32"/>
      <x:c r="H411" s="32"/>
      <x:c r="I411" s="32"/>
      <x:c r="J411" s="32"/>
      <x:c r="K411" s="32"/>
      <x:c r="L411" s="32"/>
    </x:row>
    <x:row r="412">
      <x:c r="A412" s="32"/>
      <x:c r="B412" s="32"/>
      <x:c r="C412" s="32"/>
      <x:c r="D412" s="32"/>
      <x:c r="E412" s="32"/>
      <x:c r="F412" s="32"/>
      <x:c r="G412" s="32"/>
      <x:c r="H412" s="32"/>
      <x:c r="I412" s="32"/>
      <x:c r="J412" s="32"/>
      <x:c r="K412" s="32"/>
      <x:c r="L412" s="32"/>
    </x:row>
    <x:row r="413">
      <x:c r="A413" s="32"/>
      <x:c r="B413" s="32"/>
      <x:c r="C413" s="32"/>
      <x:c r="D413" s="32"/>
      <x:c r="E413" s="32"/>
      <x:c r="F413" s="32"/>
      <x:c r="G413" s="32"/>
      <x:c r="H413" s="32"/>
      <x:c r="I413" s="32"/>
      <x:c r="J413" s="32"/>
      <x:c r="K413" s="32"/>
      <x:c r="L413" s="32"/>
    </x:row>
    <x:row r="414">
      <x:c r="A414" s="32"/>
      <x:c r="B414" s="32"/>
      <x:c r="C414" s="32"/>
      <x:c r="D414" s="32"/>
      <x:c r="E414" s="32"/>
      <x:c r="F414" s="32"/>
      <x:c r="G414" s="32"/>
      <x:c r="H414" s="32"/>
      <x:c r="I414" s="32"/>
      <x:c r="J414" s="32"/>
      <x:c r="K414" s="32"/>
      <x:c r="L414" s="32"/>
    </x:row>
    <x:row r="415">
      <x:c r="A415" s="32"/>
      <x:c r="B415" s="32"/>
      <x:c r="C415" s="32"/>
      <x:c r="D415" s="32"/>
      <x:c r="E415" s="32"/>
      <x:c r="F415" s="32"/>
      <x:c r="G415" s="32"/>
      <x:c r="H415" s="32"/>
      <x:c r="I415" s="32"/>
      <x:c r="J415" s="32"/>
      <x:c r="K415" s="32"/>
      <x:c r="L415" s="32"/>
    </x:row>
    <x:row r="416">
      <x:c r="A416" s="32"/>
      <x:c r="B416" s="32"/>
      <x:c r="C416" s="32"/>
      <x:c r="D416" s="32"/>
      <x:c r="E416" s="32"/>
      <x:c r="F416" s="32"/>
      <x:c r="G416" s="32"/>
      <x:c r="H416" s="32"/>
      <x:c r="I416" s="32"/>
      <x:c r="J416" s="32"/>
      <x:c r="K416" s="32"/>
      <x:c r="L416" s="32"/>
    </x:row>
    <x:row r="417">
      <x:c r="A417" s="32"/>
      <x:c r="B417" s="32"/>
      <x:c r="C417" s="32"/>
      <x:c r="D417" s="32"/>
      <x:c r="E417" s="32"/>
      <x:c r="F417" s="32"/>
      <x:c r="G417" s="32"/>
      <x:c r="H417" s="32"/>
      <x:c r="I417" s="32"/>
      <x:c r="J417" s="32"/>
      <x:c r="K417" s="32"/>
      <x:c r="L417" s="32"/>
    </x:row>
    <x:row r="418">
      <x:c r="A418" s="32"/>
      <x:c r="B418" s="32"/>
      <x:c r="C418" s="32"/>
      <x:c r="D418" s="32"/>
      <x:c r="E418" s="32"/>
      <x:c r="F418" s="32"/>
      <x:c r="G418" s="32"/>
      <x:c r="H418" s="32"/>
      <x:c r="I418" s="32"/>
      <x:c r="J418" s="32"/>
      <x:c r="K418" s="32"/>
      <x:c r="L418" s="32"/>
    </x:row>
    <x:row r="419">
      <x:c r="A419" s="32"/>
      <x:c r="B419" s="32"/>
      <x:c r="C419" s="32"/>
      <x:c r="D419" s="32"/>
      <x:c r="E419" s="32"/>
      <x:c r="F419" s="32"/>
      <x:c r="G419" s="32"/>
      <x:c r="H419" s="32"/>
      <x:c r="I419" s="32"/>
      <x:c r="J419" s="32"/>
      <x:c r="K419" s="32"/>
      <x:c r="L419" s="32"/>
    </x:row>
    <x:row r="420">
      <x:c r="A420" s="32"/>
      <x:c r="B420" s="32"/>
      <x:c r="C420" s="32"/>
      <x:c r="D420" s="32"/>
      <x:c r="E420" s="32"/>
      <x:c r="F420" s="32"/>
      <x:c r="G420" s="32"/>
      <x:c r="H420" s="32"/>
      <x:c r="I420" s="32"/>
      <x:c r="J420" s="32"/>
      <x:c r="K420" s="32"/>
      <x:c r="L420" s="32"/>
    </x:row>
    <x:row r="421">
      <x:c r="A421" s="32"/>
      <x:c r="B421" s="32"/>
      <x:c r="C421" s="32"/>
      <x:c r="D421" s="32"/>
      <x:c r="E421" s="32"/>
      <x:c r="F421" s="32"/>
      <x:c r="G421" s="32"/>
      <x:c r="H421" s="32"/>
      <x:c r="I421" s="32"/>
      <x:c r="J421" s="32"/>
      <x:c r="K421" s="32"/>
      <x:c r="L421" s="32"/>
    </x:row>
    <x:row r="422">
      <x:c r="A422" s="32"/>
      <x:c r="B422" s="32"/>
      <x:c r="C422" s="32"/>
      <x:c r="D422" s="32"/>
      <x:c r="E422" s="32"/>
      <x:c r="F422" s="32"/>
      <x:c r="G422" s="32"/>
      <x:c r="H422" s="32"/>
      <x:c r="I422" s="32"/>
      <x:c r="J422" s="32"/>
      <x:c r="K422" s="32"/>
      <x:c r="L422" s="32"/>
    </x:row>
    <x:row r="423">
      <x:c r="A423" s="32"/>
      <x:c r="B423" s="32"/>
      <x:c r="C423" s="32"/>
      <x:c r="D423" s="32"/>
      <x:c r="E423" s="32"/>
      <x:c r="F423" s="32"/>
      <x:c r="G423" s="32"/>
      <x:c r="H423" s="32"/>
      <x:c r="I423" s="32"/>
      <x:c r="J423" s="32"/>
      <x:c r="K423" s="32"/>
      <x:c r="L423" s="32"/>
    </x:row>
    <x:row r="424">
      <x:c r="A424" s="32"/>
      <x:c r="B424" s="32"/>
      <x:c r="C424" s="32"/>
      <x:c r="D424" s="32"/>
      <x:c r="E424" s="32"/>
      <x:c r="F424" s="32"/>
      <x:c r="G424" s="32"/>
      <x:c r="H424" s="32"/>
      <x:c r="I424" s="32"/>
      <x:c r="J424" s="32"/>
      <x:c r="K424" s="32"/>
      <x:c r="L424" s="32"/>
    </x:row>
    <x:row r="425">
      <x:c r="A425" s="32"/>
      <x:c r="B425" s="32"/>
      <x:c r="C425" s="32"/>
      <x:c r="D425" s="32"/>
      <x:c r="E425" s="32"/>
      <x:c r="F425" s="32"/>
      <x:c r="G425" s="32"/>
      <x:c r="H425" s="32"/>
      <x:c r="I425" s="32"/>
      <x:c r="J425" s="32"/>
      <x:c r="K425" s="32"/>
      <x:c r="L425" s="32"/>
    </x:row>
    <x:row r="426">
      <x:c r="A426" s="32"/>
      <x:c r="B426" s="32"/>
      <x:c r="C426" s="32"/>
      <x:c r="D426" s="32"/>
      <x:c r="E426" s="32"/>
      <x:c r="F426" s="32"/>
      <x:c r="G426" s="32"/>
      <x:c r="H426" s="32"/>
      <x:c r="I426" s="32"/>
      <x:c r="J426" s="32"/>
      <x:c r="K426" s="32"/>
      <x:c r="L426" s="32"/>
    </x:row>
    <x:row r="427">
      <x:c r="A427" s="32"/>
      <x:c r="B427" s="32"/>
      <x:c r="C427" s="32"/>
      <x:c r="D427" s="32"/>
      <x:c r="E427" s="32"/>
      <x:c r="F427" s="32"/>
      <x:c r="G427" s="32"/>
      <x:c r="H427" s="32"/>
      <x:c r="I427" s="32"/>
      <x:c r="J427" s="32"/>
      <x:c r="K427" s="32"/>
      <x:c r="L427" s="32"/>
    </x:row>
    <x:row r="428">
      <x:c r="A428" s="32"/>
      <x:c r="B428" s="32"/>
      <x:c r="C428" s="32"/>
      <x:c r="D428" s="32"/>
      <x:c r="E428" s="32"/>
      <x:c r="F428" s="32"/>
      <x:c r="G428" s="32"/>
      <x:c r="H428" s="32"/>
      <x:c r="I428" s="32"/>
      <x:c r="J428" s="32"/>
      <x:c r="K428" s="32"/>
      <x:c r="L428" s="32"/>
    </x:row>
    <x:row r="429">
      <x:c r="A429" s="32"/>
      <x:c r="B429" s="32"/>
      <x:c r="C429" s="32"/>
      <x:c r="D429" s="32"/>
      <x:c r="E429" s="32"/>
      <x:c r="F429" s="32"/>
      <x:c r="G429" s="32"/>
      <x:c r="H429" s="32"/>
      <x:c r="I429" s="32"/>
      <x:c r="J429" s="32"/>
      <x:c r="K429" s="32"/>
      <x:c r="L429" s="32"/>
    </x:row>
    <x:row r="430">
      <x:c r="A430" s="32"/>
      <x:c r="B430" s="32"/>
      <x:c r="C430" s="32"/>
      <x:c r="D430" s="32"/>
      <x:c r="E430" s="32"/>
      <x:c r="F430" s="32"/>
      <x:c r="G430" s="32"/>
      <x:c r="H430" s="32"/>
      <x:c r="I430" s="32"/>
      <x:c r="J430" s="32"/>
      <x:c r="K430" s="32"/>
      <x:c r="L430" s="32"/>
    </x:row>
    <x:row r="431">
      <x:c r="A431" s="32"/>
      <x:c r="B431" s="32"/>
      <x:c r="C431" s="32"/>
      <x:c r="D431" s="32"/>
      <x:c r="E431" s="32"/>
      <x:c r="F431" s="32"/>
      <x:c r="G431" s="32"/>
      <x:c r="H431" s="32"/>
      <x:c r="I431" s="32"/>
      <x:c r="J431" s="32"/>
      <x:c r="K431" s="32"/>
      <x:c r="L431" s="32"/>
    </x:row>
    <x:row r="432">
      <x:c r="A432" s="32"/>
      <x:c r="B432" s="32"/>
      <x:c r="C432" s="32"/>
      <x:c r="D432" s="32"/>
      <x:c r="E432" s="32"/>
      <x:c r="F432" s="32"/>
      <x:c r="G432" s="32"/>
      <x:c r="H432" s="32"/>
      <x:c r="I432" s="32"/>
      <x:c r="J432" s="32"/>
      <x:c r="K432" s="32"/>
      <x:c r="L432" s="32"/>
    </x:row>
    <x:row r="433">
      <x:c r="A433" s="32"/>
      <x:c r="B433" s="32"/>
      <x:c r="C433" s="32"/>
      <x:c r="D433" s="32"/>
      <x:c r="E433" s="32"/>
      <x:c r="F433" s="32"/>
      <x:c r="G433" s="32"/>
      <x:c r="H433" s="32"/>
      <x:c r="I433" s="32"/>
      <x:c r="J433" s="32"/>
      <x:c r="K433" s="32"/>
      <x:c r="L433" s="32"/>
    </x:row>
    <x:row r="434">
      <x:c r="A434" s="32"/>
      <x:c r="B434" s="32"/>
      <x:c r="C434" s="32"/>
      <x:c r="D434" s="32"/>
      <x:c r="E434" s="32"/>
      <x:c r="F434" s="32"/>
      <x:c r="G434" s="32"/>
      <x:c r="H434" s="32"/>
      <x:c r="I434" s="32"/>
      <x:c r="J434" s="32"/>
      <x:c r="K434" s="32"/>
      <x:c r="L434" s="32"/>
    </x:row>
    <x:row r="435">
      <x:c r="A435" s="32"/>
      <x:c r="B435" s="32"/>
      <x:c r="C435" s="32"/>
      <x:c r="D435" s="32"/>
      <x:c r="E435" s="32"/>
      <x:c r="F435" s="32"/>
      <x:c r="G435" s="32"/>
      <x:c r="H435" s="32"/>
      <x:c r="I435" s="32"/>
      <x:c r="J435" s="32"/>
      <x:c r="K435" s="32"/>
      <x:c r="L435" s="32"/>
    </x:row>
    <x:row r="436">
      <x:c r="A436" s="32"/>
      <x:c r="B436" s="32"/>
      <x:c r="C436" s="32"/>
      <x:c r="D436" s="32"/>
      <x:c r="E436" s="32"/>
      <x:c r="F436" s="32"/>
      <x:c r="G436" s="32"/>
      <x:c r="H436" s="32"/>
      <x:c r="I436" s="32"/>
      <x:c r="J436" s="32"/>
      <x:c r="K436" s="32"/>
      <x:c r="L436" s="32"/>
    </x:row>
    <x:row r="437">
      <x:c r="A437" s="32"/>
      <x:c r="B437" s="32"/>
      <x:c r="C437" s="32"/>
      <x:c r="D437" s="32"/>
      <x:c r="E437" s="32"/>
      <x:c r="F437" s="32"/>
      <x:c r="G437" s="32"/>
      <x:c r="H437" s="32"/>
      <x:c r="I437" s="32"/>
      <x:c r="J437" s="32"/>
      <x:c r="K437" s="32"/>
      <x:c r="L437" s="32"/>
    </x:row>
    <x:row r="438">
      <x:c r="A438" s="32"/>
      <x:c r="B438" s="32"/>
      <x:c r="C438" s="32"/>
      <x:c r="D438" s="32"/>
      <x:c r="E438" s="32"/>
      <x:c r="F438" s="32"/>
      <x:c r="G438" s="32"/>
      <x:c r="H438" s="32"/>
      <x:c r="I438" s="32"/>
      <x:c r="J438" s="32"/>
      <x:c r="K438" s="32"/>
      <x:c r="L438" s="32"/>
    </x:row>
    <x:row r="439">
      <x:c r="A439" s="32"/>
      <x:c r="B439" s="32"/>
      <x:c r="C439" s="32"/>
      <x:c r="D439" s="32"/>
      <x:c r="E439" s="32"/>
      <x:c r="F439" s="32"/>
      <x:c r="G439" s="32"/>
      <x:c r="H439" s="32"/>
      <x:c r="I439" s="32"/>
      <x:c r="J439" s="32"/>
      <x:c r="K439" s="32"/>
      <x:c r="L439" s="32"/>
    </x:row>
    <x:row r="440">
      <x:c r="A440" s="32"/>
      <x:c r="B440" s="32"/>
      <x:c r="C440" s="32"/>
      <x:c r="D440" s="32"/>
      <x:c r="E440" s="32"/>
      <x:c r="F440" s="32"/>
      <x:c r="G440" s="32"/>
      <x:c r="H440" s="32"/>
      <x:c r="I440" s="32"/>
      <x:c r="J440" s="32"/>
      <x:c r="K440" s="32"/>
      <x:c r="L440" s="32"/>
    </x:row>
    <x:row r="441">
      <x:c r="A441" s="32"/>
      <x:c r="B441" s="32"/>
      <x:c r="C441" s="32"/>
      <x:c r="D441" s="32"/>
      <x:c r="E441" s="32"/>
      <x:c r="F441" s="32"/>
      <x:c r="G441" s="32"/>
      <x:c r="H441" s="32"/>
      <x:c r="I441" s="32"/>
      <x:c r="J441" s="32"/>
      <x:c r="K441" s="32"/>
      <x:c r="L441" s="32"/>
    </x:row>
    <x:row r="442">
      <x:c r="A442" s="32"/>
      <x:c r="B442" s="32"/>
      <x:c r="C442" s="32"/>
      <x:c r="D442" s="32"/>
      <x:c r="E442" s="32"/>
      <x:c r="F442" s="32"/>
      <x:c r="G442" s="32"/>
      <x:c r="H442" s="32"/>
      <x:c r="I442" s="32"/>
      <x:c r="J442" s="32"/>
      <x:c r="K442" s="32"/>
      <x:c r="L442" s="32"/>
    </x:row>
    <x:row r="443">
      <x:c r="A443" s="32"/>
      <x:c r="B443" s="32"/>
      <x:c r="C443" s="32"/>
      <x:c r="D443" s="32"/>
      <x:c r="E443" s="32"/>
      <x:c r="F443" s="32"/>
      <x:c r="G443" s="32"/>
      <x:c r="H443" s="32"/>
      <x:c r="I443" s="32"/>
      <x:c r="J443" s="32"/>
      <x:c r="K443" s="32"/>
      <x:c r="L443" s="32"/>
    </x:row>
    <x:row r="444">
      <x:c r="A444" s="32"/>
      <x:c r="B444" s="32"/>
      <x:c r="C444" s="32"/>
      <x:c r="D444" s="32"/>
      <x:c r="E444" s="32"/>
      <x:c r="F444" s="32"/>
      <x:c r="G444" s="32"/>
      <x:c r="H444" s="32"/>
      <x:c r="I444" s="32"/>
      <x:c r="J444" s="32"/>
      <x:c r="K444" s="32"/>
      <x:c r="L444" s="32"/>
    </x:row>
    <x:row r="445">
      <x:c r="A445" s="32"/>
      <x:c r="B445" s="32"/>
      <x:c r="C445" s="32"/>
      <x:c r="D445" s="32"/>
      <x:c r="E445" s="32"/>
      <x:c r="F445" s="32"/>
      <x:c r="G445" s="32"/>
      <x:c r="H445" s="32"/>
      <x:c r="I445" s="32"/>
      <x:c r="J445" s="32"/>
      <x:c r="K445" s="32"/>
      <x:c r="L445" s="32"/>
    </x:row>
    <x:row r="446">
      <x:c r="A446" s="32"/>
      <x:c r="B446" s="32"/>
      <x:c r="C446" s="32"/>
      <x:c r="D446" s="32"/>
      <x:c r="E446" s="32"/>
      <x:c r="F446" s="32"/>
      <x:c r="G446" s="32"/>
      <x:c r="H446" s="32"/>
      <x:c r="I446" s="32"/>
      <x:c r="J446" s="32"/>
      <x:c r="K446" s="32"/>
      <x:c r="L446" s="32"/>
    </x:row>
    <x:row r="447">
      <x:c r="A447" s="32"/>
      <x:c r="B447" s="32"/>
      <x:c r="C447" s="32"/>
      <x:c r="D447" s="32"/>
      <x:c r="E447" s="32"/>
      <x:c r="F447" s="32"/>
      <x:c r="G447" s="32"/>
      <x:c r="H447" s="32"/>
      <x:c r="I447" s="32"/>
      <x:c r="J447" s="32"/>
      <x:c r="K447" s="32"/>
      <x:c r="L447" s="32"/>
    </x:row>
    <x:row r="448">
      <x:c r="A448" s="32"/>
      <x:c r="B448" s="32"/>
      <x:c r="C448" s="32"/>
      <x:c r="D448" s="32"/>
      <x:c r="E448" s="32"/>
      <x:c r="F448" s="32"/>
      <x:c r="G448" s="32"/>
      <x:c r="H448" s="32"/>
      <x:c r="I448" s="32"/>
      <x:c r="J448" s="32"/>
      <x:c r="K448" s="32"/>
      <x:c r="L448" s="32"/>
    </x:row>
    <x:row r="449">
      <x:c r="A449" s="32"/>
      <x:c r="B449" s="32"/>
      <x:c r="C449" s="32"/>
      <x:c r="D449" s="32"/>
      <x:c r="E449" s="32"/>
      <x:c r="F449" s="32"/>
      <x:c r="G449" s="32"/>
      <x:c r="H449" s="32"/>
      <x:c r="I449" s="32"/>
      <x:c r="J449" s="32"/>
      <x:c r="K449" s="32"/>
      <x:c r="L449" s="32"/>
    </x:row>
    <x:row r="450">
      <x:c r="A450" s="32"/>
      <x:c r="B450" s="32"/>
      <x:c r="C450" s="32"/>
      <x:c r="D450" s="32"/>
      <x:c r="E450" s="32"/>
      <x:c r="F450" s="32"/>
      <x:c r="G450" s="32"/>
      <x:c r="H450" s="32"/>
      <x:c r="I450" s="32"/>
      <x:c r="J450" s="32"/>
      <x:c r="K450" s="32"/>
      <x:c r="L450" s="32"/>
    </x:row>
    <x:row r="451">
      <x:c r="A451" s="32"/>
      <x:c r="B451" s="32"/>
      <x:c r="C451" s="32"/>
      <x:c r="D451" s="32"/>
      <x:c r="E451" s="32"/>
      <x:c r="F451" s="32"/>
      <x:c r="G451" s="32"/>
      <x:c r="H451" s="32"/>
      <x:c r="I451" s="32"/>
      <x:c r="J451" s="32"/>
      <x:c r="K451" s="32"/>
      <x:c r="L451" s="32"/>
    </x:row>
    <x:row r="452">
      <x:c r="A452" s="32"/>
      <x:c r="B452" s="32"/>
      <x:c r="C452" s="32"/>
      <x:c r="D452" s="32"/>
      <x:c r="E452" s="32"/>
      <x:c r="F452" s="32"/>
      <x:c r="G452" s="32"/>
      <x:c r="H452" s="32"/>
      <x:c r="I452" s="32"/>
      <x:c r="J452" s="32"/>
      <x:c r="K452" s="32"/>
      <x:c r="L452" s="32"/>
    </x:row>
    <x:row r="453">
      <x:c r="A453" s="32"/>
      <x:c r="B453" s="32"/>
      <x:c r="C453" s="32"/>
      <x:c r="D453" s="32"/>
      <x:c r="E453" s="32"/>
      <x:c r="F453" s="32"/>
      <x:c r="G453" s="32"/>
      <x:c r="H453" s="32"/>
      <x:c r="I453" s="32"/>
      <x:c r="J453" s="32"/>
      <x:c r="K453" s="32"/>
      <x:c r="L453" s="32"/>
    </x:row>
    <x:row r="454">
      <x:c r="A454" s="32"/>
      <x:c r="B454" s="32"/>
      <x:c r="C454" s="32"/>
      <x:c r="D454" s="32"/>
      <x:c r="E454" s="32"/>
      <x:c r="F454" s="32"/>
      <x:c r="G454" s="32"/>
      <x:c r="H454" s="32"/>
      <x:c r="I454" s="32"/>
      <x:c r="J454" s="32"/>
      <x:c r="K454" s="32"/>
      <x:c r="L454" s="32"/>
    </x:row>
    <x:row r="455">
      <x:c r="A455" s="32"/>
      <x:c r="B455" s="32"/>
      <x:c r="C455" s="32"/>
      <x:c r="D455" s="32"/>
      <x:c r="E455" s="32"/>
      <x:c r="F455" s="32"/>
      <x:c r="G455" s="32"/>
      <x:c r="H455" s="32"/>
      <x:c r="I455" s="32"/>
      <x:c r="J455" s="32"/>
      <x:c r="K455" s="32"/>
      <x:c r="L455" s="32"/>
    </x:row>
    <x:row r="456">
      <x:c r="A456" s="32"/>
      <x:c r="B456" s="32"/>
      <x:c r="C456" s="32"/>
      <x:c r="D456" s="32"/>
      <x:c r="E456" s="32"/>
      <x:c r="F456" s="32"/>
      <x:c r="G456" s="32"/>
      <x:c r="H456" s="32"/>
      <x:c r="I456" s="32"/>
      <x:c r="J456" s="32"/>
      <x:c r="K456" s="32"/>
      <x:c r="L456" s="32"/>
    </x:row>
    <x:row r="457">
      <x:c r="A457" s="32"/>
      <x:c r="B457" s="32"/>
      <x:c r="C457" s="32"/>
      <x:c r="D457" s="32"/>
      <x:c r="E457" s="32"/>
      <x:c r="F457" s="32"/>
      <x:c r="G457" s="32"/>
      <x:c r="H457" s="32"/>
      <x:c r="I457" s="32"/>
      <x:c r="J457" s="32"/>
      <x:c r="K457" s="32"/>
      <x:c r="L457" s="32"/>
    </x:row>
    <x:row r="458">
      <x:c r="A458" s="32"/>
      <x:c r="B458" s="32"/>
      <x:c r="C458" s="32"/>
      <x:c r="D458" s="32"/>
      <x:c r="E458" s="32"/>
      <x:c r="F458" s="32"/>
      <x:c r="G458" s="32"/>
      <x:c r="H458" s="32"/>
      <x:c r="I458" s="32"/>
      <x:c r="J458" s="32"/>
      <x:c r="K458" s="32"/>
      <x:c r="L458" s="32"/>
    </x:row>
    <x:row r="459">
      <x:c r="A459" s="32"/>
      <x:c r="B459" s="32"/>
      <x:c r="C459" s="32"/>
      <x:c r="D459" s="32"/>
      <x:c r="E459" s="32"/>
      <x:c r="F459" s="32"/>
      <x:c r="G459" s="32"/>
      <x:c r="H459" s="32"/>
      <x:c r="I459" s="32"/>
      <x:c r="J459" s="32"/>
      <x:c r="K459" s="32"/>
      <x:c r="L459" s="32"/>
    </x:row>
    <x:row r="460">
      <x:c r="A460" s="32"/>
      <x:c r="B460" s="32"/>
      <x:c r="C460" s="32"/>
      <x:c r="D460" s="32"/>
      <x:c r="E460" s="32"/>
      <x:c r="F460" s="32"/>
      <x:c r="G460" s="32"/>
      <x:c r="H460" s="32"/>
      <x:c r="I460" s="32"/>
      <x:c r="J460" s="32"/>
      <x:c r="K460" s="32"/>
      <x:c r="L460" s="32"/>
    </x:row>
    <x:row r="461">
      <x:c r="A461" s="32"/>
      <x:c r="B461" s="32"/>
      <x:c r="C461" s="32"/>
      <x:c r="D461" s="32"/>
      <x:c r="E461" s="32"/>
      <x:c r="F461" s="32"/>
      <x:c r="G461" s="32"/>
      <x:c r="H461" s="32"/>
      <x:c r="I461" s="32"/>
      <x:c r="J461" s="32"/>
      <x:c r="K461" s="32"/>
      <x:c r="L461" s="32"/>
    </x:row>
    <x:row r="462">
      <x:c r="A462" s="32"/>
      <x:c r="B462" s="32"/>
      <x:c r="C462" s="32"/>
      <x:c r="D462" s="32"/>
      <x:c r="E462" s="32"/>
      <x:c r="F462" s="32"/>
      <x:c r="G462" s="32"/>
      <x:c r="H462" s="32"/>
      <x:c r="I462" s="32"/>
      <x:c r="J462" s="32"/>
      <x:c r="K462" s="32"/>
      <x:c r="L462" s="32"/>
    </x:row>
    <x:row r="463">
      <x:c r="A463" s="32"/>
      <x:c r="B463" s="32"/>
      <x:c r="C463" s="32"/>
      <x:c r="D463" s="32"/>
      <x:c r="E463" s="32"/>
      <x:c r="F463" s="32"/>
      <x:c r="G463" s="32"/>
      <x:c r="H463" s="32"/>
      <x:c r="I463" s="32"/>
      <x:c r="J463" s="32"/>
      <x:c r="K463" s="32"/>
      <x:c r="L463" s="32"/>
    </x:row>
    <x:row r="464">
      <x:c r="A464" s="32"/>
      <x:c r="B464" s="32"/>
      <x:c r="C464" s="32"/>
      <x:c r="D464" s="32"/>
      <x:c r="E464" s="32"/>
      <x:c r="F464" s="32"/>
      <x:c r="G464" s="32"/>
      <x:c r="H464" s="32"/>
      <x:c r="I464" s="32"/>
      <x:c r="J464" s="32"/>
      <x:c r="K464" s="32"/>
      <x:c r="L464" s="32"/>
    </x:row>
    <x:row r="465">
      <x:c r="A465" s="32"/>
      <x:c r="B465" s="32"/>
      <x:c r="C465" s="32"/>
      <x:c r="D465" s="32"/>
      <x:c r="E465" s="32"/>
      <x:c r="F465" s="32"/>
      <x:c r="G465" s="32"/>
      <x:c r="H465" s="32"/>
      <x:c r="I465" s="32"/>
      <x:c r="J465" s="32"/>
      <x:c r="K465" s="32"/>
      <x:c r="L465" s="32"/>
    </x:row>
    <x:row r="466">
      <x:c r="A466" s="32"/>
      <x:c r="B466" s="32"/>
      <x:c r="C466" s="32"/>
      <x:c r="D466" s="32"/>
      <x:c r="E466" s="32"/>
      <x:c r="F466" s="32"/>
      <x:c r="G466" s="32"/>
      <x:c r="H466" s="32"/>
      <x:c r="I466" s="32"/>
      <x:c r="J466" s="32"/>
      <x:c r="K466" s="32"/>
      <x:c r="L466" s="32"/>
    </x:row>
    <x:row r="467">
      <x:c r="A467" s="32"/>
      <x:c r="B467" s="32"/>
      <x:c r="C467" s="32"/>
      <x:c r="D467" s="32"/>
      <x:c r="E467" s="32"/>
      <x:c r="F467" s="32"/>
      <x:c r="G467" s="32"/>
      <x:c r="H467" s="32"/>
      <x:c r="I467" s="32"/>
      <x:c r="J467" s="32"/>
      <x:c r="K467" s="32"/>
      <x:c r="L467" s="32"/>
    </x:row>
    <x:row r="468">
      <x:c r="A468" s="32"/>
      <x:c r="B468" s="32"/>
      <x:c r="C468" s="32"/>
      <x:c r="D468" s="32"/>
      <x:c r="E468" s="32"/>
      <x:c r="F468" s="32"/>
      <x:c r="G468" s="32"/>
      <x:c r="H468" s="32"/>
      <x:c r="I468" s="32"/>
      <x:c r="J468" s="32"/>
      <x:c r="K468" s="32"/>
      <x:c r="L468" s="32"/>
    </x:row>
    <x:row r="469">
      <x:c r="A469" s="32"/>
      <x:c r="B469" s="32"/>
      <x:c r="C469" s="32"/>
      <x:c r="D469" s="32"/>
      <x:c r="E469" s="32"/>
      <x:c r="F469" s="32"/>
      <x:c r="G469" s="32"/>
      <x:c r="H469" s="32"/>
      <x:c r="I469" s="32"/>
      <x:c r="J469" s="32"/>
      <x:c r="K469" s="32"/>
      <x:c r="L469" s="32"/>
    </x:row>
    <x:row r="470">
      <x:c r="A470" s="32"/>
      <x:c r="B470" s="32"/>
      <x:c r="C470" s="32"/>
      <x:c r="D470" s="32"/>
      <x:c r="E470" s="32"/>
      <x:c r="F470" s="32"/>
      <x:c r="G470" s="32"/>
      <x:c r="H470" s="32"/>
      <x:c r="I470" s="32"/>
      <x:c r="J470" s="32"/>
      <x:c r="K470" s="32"/>
      <x:c r="L470" s="32"/>
    </x:row>
    <x:row r="471">
      <x:c r="A471" s="32"/>
      <x:c r="B471" s="32"/>
      <x:c r="C471" s="32"/>
      <x:c r="D471" s="32"/>
      <x:c r="E471" s="32"/>
      <x:c r="F471" s="32"/>
      <x:c r="G471" s="32"/>
      <x:c r="H471" s="32"/>
      <x:c r="I471" s="32"/>
      <x:c r="J471" s="32"/>
      <x:c r="K471" s="32"/>
      <x:c r="L471" s="32"/>
    </x:row>
    <x:row r="472">
      <x:c r="A472" s="32"/>
      <x:c r="B472" s="32"/>
      <x:c r="C472" s="32"/>
      <x:c r="D472" s="32"/>
      <x:c r="E472" s="32"/>
      <x:c r="F472" s="32"/>
      <x:c r="G472" s="32"/>
      <x:c r="H472" s="32"/>
      <x:c r="I472" s="32"/>
      <x:c r="J472" s="32"/>
      <x:c r="K472" s="32"/>
      <x:c r="L472" s="32"/>
    </x:row>
    <x:row r="473">
      <x:c r="A473" s="32"/>
      <x:c r="B473" s="32"/>
      <x:c r="C473" s="32"/>
      <x:c r="D473" s="32"/>
      <x:c r="E473" s="32"/>
      <x:c r="F473" s="32"/>
      <x:c r="G473" s="32"/>
      <x:c r="H473" s="32"/>
      <x:c r="I473" s="32"/>
      <x:c r="J473" s="32"/>
      <x:c r="K473" s="32"/>
      <x:c r="L473" s="32"/>
    </x:row>
    <x:row r="474">
      <x:c r="A474" s="32"/>
      <x:c r="B474" s="32"/>
      <x:c r="C474" s="32"/>
      <x:c r="D474" s="32"/>
      <x:c r="E474" s="32"/>
      <x:c r="F474" s="32"/>
      <x:c r="G474" s="32"/>
      <x:c r="H474" s="32"/>
      <x:c r="I474" s="32"/>
      <x:c r="J474" s="32"/>
      <x:c r="K474" s="32"/>
      <x:c r="L474" s="32"/>
    </x:row>
    <x:row r="475">
      <x:c r="A475" s="32"/>
      <x:c r="B475" s="32"/>
      <x:c r="C475" s="32"/>
      <x:c r="D475" s="32"/>
      <x:c r="E475" s="32"/>
      <x:c r="F475" s="32"/>
      <x:c r="G475" s="32"/>
      <x:c r="H475" s="32"/>
      <x:c r="I475" s="32"/>
      <x:c r="J475" s="32"/>
      <x:c r="K475" s="32"/>
      <x:c r="L475" s="32"/>
    </x:row>
    <x:row r="476">
      <x:c r="A476" s="32"/>
      <x:c r="B476" s="32"/>
      <x:c r="C476" s="32"/>
      <x:c r="D476" s="32"/>
      <x:c r="E476" s="32"/>
      <x:c r="F476" s="32"/>
      <x:c r="G476" s="32"/>
      <x:c r="H476" s="32"/>
      <x:c r="I476" s="32"/>
      <x:c r="J476" s="32"/>
      <x:c r="K476" s="32"/>
      <x:c r="L476" s="32"/>
    </x:row>
    <x:row r="477">
      <x:c r="A477" s="32"/>
      <x:c r="B477" s="32"/>
      <x:c r="C477" s="32"/>
      <x:c r="D477" s="32"/>
      <x:c r="E477" s="32"/>
      <x:c r="F477" s="32"/>
      <x:c r="G477" s="32"/>
      <x:c r="H477" s="32"/>
      <x:c r="I477" s="32"/>
      <x:c r="J477" s="32"/>
      <x:c r="K477" s="32"/>
      <x:c r="L477" s="32"/>
    </x:row>
    <x:row r="478">
      <x:c r="A478" s="32"/>
      <x:c r="B478" s="32"/>
      <x:c r="C478" s="32"/>
      <x:c r="D478" s="32"/>
      <x:c r="E478" s="32"/>
      <x:c r="F478" s="32"/>
      <x:c r="G478" s="32"/>
      <x:c r="H478" s="32"/>
      <x:c r="I478" s="32"/>
      <x:c r="J478" s="32"/>
      <x:c r="K478" s="32"/>
      <x:c r="L478" s="32"/>
    </x:row>
    <x:row r="479">
      <x:c r="A479" s="32"/>
      <x:c r="B479" s="32"/>
      <x:c r="C479" s="32"/>
      <x:c r="D479" s="32"/>
      <x:c r="E479" s="32"/>
      <x:c r="F479" s="32"/>
      <x:c r="G479" s="32"/>
      <x:c r="H479" s="32"/>
      <x:c r="I479" s="32"/>
      <x:c r="J479" s="32"/>
      <x:c r="K479" s="32"/>
      <x:c r="L479" s="32"/>
    </x:row>
    <x:row r="480">
      <x:c r="A480" s="32"/>
      <x:c r="B480" s="32"/>
      <x:c r="C480" s="32"/>
      <x:c r="D480" s="32"/>
      <x:c r="E480" s="32"/>
      <x:c r="F480" s="32"/>
      <x:c r="G480" s="32"/>
      <x:c r="H480" s="32"/>
      <x:c r="I480" s="32"/>
      <x:c r="J480" s="32"/>
      <x:c r="K480" s="32"/>
      <x:c r="L480" s="32"/>
    </x:row>
    <x:row r="481">
      <x:c r="A481" s="32"/>
      <x:c r="B481" s="32"/>
      <x:c r="C481" s="32"/>
      <x:c r="D481" s="32"/>
      <x:c r="E481" s="32"/>
      <x:c r="F481" s="32"/>
      <x:c r="G481" s="32"/>
      <x:c r="H481" s="32"/>
      <x:c r="I481" s="32"/>
      <x:c r="J481" s="32"/>
      <x:c r="K481" s="32"/>
      <x:c r="L481" s="32"/>
    </x:row>
    <x:row r="482">
      <x:c r="A482" s="32"/>
      <x:c r="B482" s="32"/>
      <x:c r="C482" s="32"/>
      <x:c r="D482" s="32"/>
      <x:c r="E482" s="32"/>
      <x:c r="F482" s="32"/>
      <x:c r="G482" s="32"/>
      <x:c r="H482" s="32"/>
      <x:c r="I482" s="32"/>
      <x:c r="J482" s="32"/>
      <x:c r="K482" s="32"/>
      <x:c r="L482" s="32"/>
    </x:row>
    <x:row r="483">
      <x:c r="A483" s="32"/>
      <x:c r="B483" s="32"/>
      <x:c r="C483" s="32"/>
      <x:c r="D483" s="32"/>
      <x:c r="E483" s="32"/>
      <x:c r="F483" s="32"/>
      <x:c r="G483" s="32"/>
      <x:c r="H483" s="32"/>
      <x:c r="I483" s="32"/>
      <x:c r="J483" s="32"/>
      <x:c r="K483" s="32"/>
      <x:c r="L483" s="32"/>
    </x:row>
    <x:row r="484">
      <x:c r="A484" s="32"/>
      <x:c r="B484" s="32"/>
      <x:c r="C484" s="32"/>
      <x:c r="D484" s="32"/>
      <x:c r="E484" s="32"/>
      <x:c r="F484" s="32"/>
      <x:c r="G484" s="32"/>
      <x:c r="H484" s="32"/>
      <x:c r="I484" s="32"/>
      <x:c r="J484" s="32"/>
      <x:c r="K484" s="32"/>
      <x:c r="L484" s="32"/>
    </x:row>
    <x:row r="485">
      <x:c r="A485" s="32"/>
      <x:c r="B485" s="32"/>
      <x:c r="C485" s="32"/>
      <x:c r="D485" s="32"/>
      <x:c r="E485" s="32"/>
      <x:c r="F485" s="32"/>
      <x:c r="G485" s="32"/>
      <x:c r="H485" s="32"/>
      <x:c r="I485" s="32"/>
      <x:c r="J485" s="32"/>
      <x:c r="K485" s="32"/>
      <x:c r="L485" s="32"/>
    </x:row>
    <x:row r="486">
      <x:c r="A486" s="32"/>
      <x:c r="B486" s="32"/>
      <x:c r="C486" s="32"/>
      <x:c r="D486" s="32"/>
      <x:c r="E486" s="32"/>
      <x:c r="F486" s="32"/>
      <x:c r="G486" s="32"/>
      <x:c r="H486" s="32"/>
      <x:c r="I486" s="32"/>
      <x:c r="J486" s="32"/>
      <x:c r="K486" s="32"/>
      <x:c r="L486" s="32"/>
    </x:row>
    <x:row r="487">
      <x:c r="A487" s="32"/>
      <x:c r="B487" s="32"/>
      <x:c r="C487" s="32"/>
      <x:c r="D487" s="32"/>
      <x:c r="E487" s="32"/>
      <x:c r="F487" s="32"/>
      <x:c r="G487" s="32"/>
      <x:c r="H487" s="32"/>
      <x:c r="I487" s="32"/>
      <x:c r="J487" s="32"/>
      <x:c r="K487" s="32"/>
      <x:c r="L487" s="32"/>
    </x:row>
    <x:row r="488">
      <x:c r="A488" s="32"/>
      <x:c r="B488" s="32"/>
      <x:c r="C488" s="32"/>
      <x:c r="D488" s="32"/>
      <x:c r="E488" s="32"/>
      <x:c r="F488" s="32"/>
      <x:c r="G488" s="32"/>
      <x:c r="H488" s="32"/>
      <x:c r="I488" s="32"/>
      <x:c r="J488" s="32"/>
      <x:c r="K488" s="32"/>
      <x:c r="L488" s="32"/>
    </x:row>
    <x:row r="489">
      <x:c r="A489" s="32"/>
      <x:c r="B489" s="32"/>
      <x:c r="C489" s="32"/>
      <x:c r="D489" s="32"/>
      <x:c r="E489" s="32"/>
      <x:c r="F489" s="32"/>
      <x:c r="G489" s="32"/>
      <x:c r="H489" s="32"/>
      <x:c r="I489" s="32"/>
      <x:c r="J489" s="32"/>
      <x:c r="K489" s="32"/>
      <x:c r="L489" s="32"/>
    </x:row>
    <x:row r="490">
      <x:c r="A490" s="32"/>
      <x:c r="B490" s="32"/>
      <x:c r="C490" s="32"/>
      <x:c r="D490" s="32"/>
      <x:c r="E490" s="32"/>
      <x:c r="F490" s="32"/>
      <x:c r="G490" s="32"/>
      <x:c r="H490" s="32"/>
      <x:c r="I490" s="32"/>
      <x:c r="J490" s="32"/>
      <x:c r="K490" s="32"/>
      <x:c r="L490" s="32"/>
    </x:row>
    <x:row r="491">
      <x:c r="A491" s="32"/>
      <x:c r="B491" s="32"/>
      <x:c r="C491" s="32"/>
      <x:c r="D491" s="32"/>
      <x:c r="E491" s="32"/>
      <x:c r="F491" s="32"/>
      <x:c r="G491" s="32"/>
      <x:c r="H491" s="32"/>
      <x:c r="I491" s="32"/>
      <x:c r="J491" s="32"/>
      <x:c r="K491" s="32"/>
      <x:c r="L491" s="32"/>
    </x:row>
    <x:row r="492">
      <x:c r="A492" s="32"/>
      <x:c r="B492" s="32"/>
      <x:c r="C492" s="32"/>
      <x:c r="D492" s="32"/>
      <x:c r="E492" s="32"/>
      <x:c r="F492" s="32"/>
      <x:c r="G492" s="32"/>
      <x:c r="H492" s="32"/>
      <x:c r="I492" s="32"/>
      <x:c r="J492" s="32"/>
      <x:c r="K492" s="32"/>
      <x:c r="L492" s="32"/>
    </x:row>
    <x:row r="493">
      <x:c r="A493" s="32"/>
      <x:c r="B493" s="32"/>
      <x:c r="C493" s="32"/>
      <x:c r="D493" s="32"/>
      <x:c r="E493" s="32"/>
      <x:c r="F493" s="32"/>
      <x:c r="G493" s="32"/>
      <x:c r="H493" s="32"/>
      <x:c r="I493" s="32"/>
      <x:c r="J493" s="32"/>
      <x:c r="K493" s="32"/>
      <x:c r="L493" s="32"/>
    </x:row>
    <x:row r="494">
      <x:c r="A494" s="32"/>
      <x:c r="B494" s="32"/>
      <x:c r="C494" s="32"/>
      <x:c r="D494" s="32"/>
      <x:c r="E494" s="32"/>
      <x:c r="F494" s="32"/>
      <x:c r="G494" s="32"/>
      <x:c r="H494" s="32"/>
      <x:c r="I494" s="32"/>
      <x:c r="J494" s="32"/>
      <x:c r="K494" s="32"/>
      <x:c r="L494" s="32"/>
    </x:row>
    <x:row r="495">
      <x:c r="A495" s="32"/>
      <x:c r="B495" s="32"/>
      <x:c r="C495" s="32"/>
      <x:c r="D495" s="32"/>
      <x:c r="E495" s="32"/>
      <x:c r="F495" s="32"/>
      <x:c r="G495" s="32"/>
      <x:c r="H495" s="32"/>
      <x:c r="I495" s="32"/>
      <x:c r="J495" s="32"/>
      <x:c r="K495" s="32"/>
      <x:c r="L495" s="32"/>
    </x:row>
    <x:row r="496">
      <x:c r="A496" s="32"/>
      <x:c r="B496" s="32"/>
      <x:c r="C496" s="32"/>
      <x:c r="D496" s="32"/>
      <x:c r="E496" s="32"/>
      <x:c r="F496" s="32"/>
      <x:c r="G496" s="32"/>
      <x:c r="H496" s="32"/>
      <x:c r="I496" s="32"/>
      <x:c r="J496" s="32"/>
      <x:c r="K496" s="32"/>
      <x:c r="L496" s="32"/>
    </x:row>
    <x:row r="497">
      <x:c r="A497" s="32"/>
      <x:c r="B497" s="32"/>
      <x:c r="C497" s="32"/>
      <x:c r="D497" s="32"/>
      <x:c r="E497" s="32"/>
      <x:c r="F497" s="32"/>
      <x:c r="G497" s="32"/>
      <x:c r="H497" s="32"/>
      <x:c r="I497" s="32"/>
      <x:c r="J497" s="32"/>
      <x:c r="K497" s="32"/>
      <x:c r="L497" s="32"/>
    </x:row>
    <x:row r="498">
      <x:c r="A498" s="32"/>
      <x:c r="B498" s="32"/>
      <x:c r="C498" s="32"/>
      <x:c r="D498" s="32"/>
      <x:c r="E498" s="32"/>
      <x:c r="F498" s="32"/>
      <x:c r="G498" s="32"/>
      <x:c r="H498" s="32"/>
      <x:c r="I498" s="32"/>
      <x:c r="J498" s="32"/>
      <x:c r="K498" s="32"/>
      <x:c r="L498" s="32"/>
    </x:row>
    <x:row r="499">
      <x:c r="A499" s="32"/>
      <x:c r="B499" s="32"/>
      <x:c r="C499" s="32"/>
      <x:c r="D499" s="32"/>
      <x:c r="E499" s="32"/>
      <x:c r="F499" s="32"/>
      <x:c r="G499" s="32"/>
      <x:c r="H499" s="32"/>
      <x:c r="I499" s="32"/>
      <x:c r="J499" s="32"/>
      <x:c r="K499" s="32"/>
      <x:c r="L499" s="32"/>
    </x:row>
    <x:row r="500">
      <x:c r="A500" s="32"/>
      <x:c r="B500" s="32"/>
      <x:c r="C500" s="32"/>
      <x:c r="D500" s="32"/>
      <x:c r="E500" s="32"/>
      <x:c r="F500" s="32"/>
      <x:c r="G500" s="32"/>
      <x:c r="H500" s="32"/>
      <x:c r="I500" s="32"/>
      <x:c r="J500" s="32"/>
      <x:c r="K500" s="32"/>
      <x:c r="L500" s="32"/>
    </x:row>
  </x:sheetData>
  <x:mergeCells>
    <x:mergeCell ref="A1:L2"/>
  </x:mergeCells>
  <x:conditionalFormatting sqref="F5:F500">
    <x:cfRule type="expression" dxfId="10" priority="1">
      <x:formula>F5="Critical"</x:formula>
    </x:cfRule>
    <x:cfRule type="expression" dxfId="11" priority="2">
      <x:formula>F5="High"</x:formula>
    </x:cfRule>
  </x:conditionalFormatting>
  <x:conditionalFormatting sqref="K5:K500">
    <x:cfRule type="expression" dxfId="12" priority="3">
      <x:formula>K5="Closed"</x:formula>
    </x:cfRule>
  </x:conditionalFormatting>
  <x:dataValidations count="3">
    <x:dataValidation type="list" sqref="E5:E500">
      <x:formula1>"CPU,Memory,Data Load,Partition Merge,Core,WAL,Snapshot,Consumer,Management,Decision,Revision,Lease/Fencing,Drain,Correctness,Other"</x:formula1>
    </x:dataValidation>
    <x:dataValidation type="list" sqref="F5:F500">
      <x:formula1>"Info,Low,Medium,High,Critical"</x:formula1>
    </x:dataValidation>
    <x:dataValidation type="list" sqref="K5:K500">
      <x:formula1>"Open,Investigating,Accepted,Fixed,Rejected,Closed"</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4" hidden="0" customWidth="1"/>
    <x:col min="2" max="2" width="16" hidden="0" customWidth="1"/>
    <x:col min="3" max="3" width="22" hidden="0" customWidth="1"/>
    <x:col min="4" max="4" width="38" hidden="0" customWidth="1"/>
    <x:col min="5" max="5" width="38" hidden="0" customWidth="1"/>
    <x:col min="6" max="6" width="26" hidden="0" customWidth="1"/>
    <x:col min="7" max="7" width="28" hidden="0" customWidth="1"/>
    <x:col min="8" max="8" width="14" hidden="0" customWidth="1"/>
    <x:col min="9" max="9" width="30" hidden="0" customWidth="1"/>
  </x:cols>
  <x:sheetData>
    <x:row r="1">
      <x:c r="A1" s="4" t="str">
        <x:v>Decisiones técnicas derivadas de la campaña</x:v>
      </x:c>
      <x:c r="B1" s="4"/>
      <x:c r="C1" s="4"/>
      <x:c r="D1" s="4"/>
      <x:c r="E1" s="4"/>
      <x:c r="F1" s="4"/>
      <x:c r="G1" s="4"/>
      <x:c r="H1" s="4"/>
      <x:c r="I1" s="4"/>
    </x:row>
    <x:row r="2">
      <x:c r="A2" s="4"/>
      <x:c r="B2" s="4"/>
      <x:c r="C2" s="4"/>
      <x:c r="D2" s="4"/>
      <x:c r="E2" s="4"/>
      <x:c r="F2" s="4"/>
      <x:c r="G2" s="4"/>
      <x:c r="H2" s="4"/>
      <x:c r="I2" s="4"/>
    </x:row>
    <x:row r="4">
      <x:c r="A4" s="12" t="str">
        <x:v>Decision ID</x:v>
      </x:c>
      <x:c r="B4" s="12" t="str">
        <x:v>Date</x:v>
      </x:c>
      <x:c r="C4" s="12" t="str">
        <x:v>Scope</x:v>
      </x:c>
      <x:c r="D4" s="12" t="str">
        <x:v>Decision</x:v>
      </x:c>
      <x:c r="E4" s="12" t="str">
        <x:v>Rationale</x:v>
      </x:c>
      <x:c r="F4" s="12" t="str">
        <x:v>Evidence Runs</x:v>
      </x:c>
      <x:c r="G4" s="12" t="str">
        <x:v>Impact</x:v>
      </x:c>
      <x:c r="H4" s="12" t="str">
        <x:v>Status</x:v>
      </x:c>
      <x:c r="I4" s="12" t="str">
        <x:v>Follow-up</x:v>
      </x:c>
    </x:row>
    <x:row r="5">
      <x:c r="A5" s="32" t="str">
        <x:v>DEC-R35-001</x:v>
      </x:c>
      <x:c r="B5" s="32" t="n">
        <x:v>46259.53472222222</x:v>
      </x:c>
      <x:c r="C5" s="32" t="str">
        <x:v>R3.5A Baseline Load</x:v>
      </x:c>
      <x:c r="D5" s="32" t="str">
        <x:v>Cerrar A-001 como PASS/GREEN y avanzar a A-002 (250 alarmas, 10 minutos) sin activar profiling granular.</x:v>
      </x:c>
      <x:c r="E5" s="32" t="str">
        <x:v>A-001 mantuvo p95 141.46 ms y p99 150.43 ms, 0 overruns, start-to-start ~5 s, integridad durable/materializada alineada y RSS estable.</x:v>
      </x:c>
      <x:c r="F5" s="32" t="str">
        <x:v>814c4814-de17-43fc-bc59-d2f2fcda6b92</x:v>
      </x:c>
      <x:c r="G5" s="32" t="str">
        <x:v>Continúa la caracterización progresiva; cualquier inflexión se buscará aumentando carga antes de instrumentar fronteras internas.</x:v>
      </x:c>
      <x:c r="H5" s="32" t="str">
        <x:v>Accepted</x:v>
      </x:c>
      <x:c r="I5" s="32" t="str">
        <x:v>Ejecutar A-002 con el mismo perfil steady-state/latest y Local FS.</x:v>
      </x:c>
    </x:row>
    <x:row r="6">
      <x:c r="A6" s="32" t="str">
        <x:v>DEC-R35-002</x:v>
      </x:c>
      <x:c r="B6" s="32" t="n">
        <x:v>46259.552083333336</x:v>
      </x:c>
      <x:c r="C6" s="32" t="str">
        <x:v>R3.5A Baseline Load</x:v>
      </x:c>
      <x:c r="D6" s="32" t="str">
        <x:v>Cerrar A-002 como PASS/GREEN y avanzar a A-003 (500 alarmas, 10 minutos) sin cambios de código ni profiling granular.</x:v>
      </x:c>
      <x:c r="E6" s="32" t="str">
        <x:v>Con 2.5× alarmas vs A-001, p95 aumentó ~2.17× (141.46→307.32 ms), 0 overruns, RSS estable y journal durable/materialized alineado. El máximo aislado de 909 ms no muestra patrón de saturación.</x:v>
      </x:c>
      <x:c r="F6" s="32" t="str">
        <x:v>A-001; 90ae9223-a513-4643-aa8c-a2658d41bec9</x:v>
      </x:c>
      <x:c r="G6" s="32" t="str">
        <x:v>Mantener el mismo escenario y artefacto para obtener el siguiente punto comparable de la curva.</x:v>
      </x:c>
      <x:c r="H6" s="32" t="str">
        <x:v>Accepted</x:v>
      </x:c>
      <x:c r="I6" s="32" t="str">
        <x:v>Ejecutar A-003 con 500 alarmas durante 10 minutos.</x:v>
      </x:c>
    </x:row>
    <x:row r="7">
      <x:c r="A7" s="32" t="str">
        <x:v>DEC-R35-003</x:v>
      </x:c>
      <x:c r="B7" s="32" t="n">
        <x:v>46259.56597222222</x:v>
      </x:c>
      <x:c r="C7" s="32" t="str">
        <x:v>R3.5A Baseline Load</x:v>
      </x:c>
      <x:c r="D7" s="32" t="str">
        <x:v>Cerrar A-003 como PASS/GREEN y avanzar a A-004 (750 alarmas, 10 minutos) sin cambios de código ni profiling granular.</x:v>
      </x:c>
      <x:c r="E7" s="32" t="str">
        <x:v>Con 500 alarmas, p95 quedó en 437.59 ms y p99 en 618.82 ms, 0 overruns, RSS estable y journal durable/materialized alineado. Duplicar alarmas frente a A-002 no duplicó p95/p99 y el máximo incluso disminuyó.</x:v>
      </x:c>
      <x:c r="F7" s="32" t="str">
        <x:v>A-001; A-002; a6d0eae4-9bc6-47f7-91e2-7f02741ca635</x:v>
      </x:c>
      <x:c r="G7" s="32" t="str">
        <x:v>Se mantiene el mismo artefacto y escenario para medir 750 alarmas y detectar cualquier inicio de no-linealidad.</x:v>
      </x:c>
      <x:c r="H7" s="32" t="str">
        <x:v>Accepted</x:v>
      </x:c>
      <x:c r="I7" s="32" t="str">
        <x:v>Ejecutar A-004 con 750 alarmas durante 10 minutos.</x:v>
      </x:c>
    </x:row>
    <x:row r="8">
      <x:c r="A8" s="32" t="str">
        <x:v>DEC-R35-004</x:v>
      </x:c>
      <x:c r="B8" s="32" t="n">
        <x:v>46259.57777777778</x:v>
      </x:c>
      <x:c r="C8" s="32" t="str">
        <x:v>R3.5A Baseline Load</x:v>
      </x:c>
      <x:c r="D8" s="32" t="str">
        <x:v>Cerrar A-004 como PASS/GREEN y avanzar a A-005 (1000 alarmas, 10 minutos) sin cambios de código ni profiling granular.</x:v>
      </x:c>
      <x:c r="E8" s="32" t="str">
        <x:v>Con 750 alarmas, p95 quedó en 645.03 ms y p99 en 888.15 ms, 0 overruns, RSS estable y journal durable/materialized alineado. El crecimiento 500→750 es aproximadamente proporcional y no muestra rodilla.</x:v>
      </x:c>
      <x:c r="F8" s="32" t="str">
        <x:v>A-001; A-002; A-003; 79fff64c-2594-4e2d-958f-c32cb7f57d6c</x:v>
      </x:c>
      <x:c r="G8" s="32" t="str">
        <x:v>Completar el baseline objetivo de 1000 alarmas antes de entrar a presión de datos/particiones.</x:v>
      </x:c>
      <x:c r="H8" s="32" t="str">
        <x:v>Accepted</x:v>
      </x:c>
      <x:c r="I8" s="32" t="str">
        <x:v>Ejecutar A-005 con 1000 alarmas durante 10 minutos.</x:v>
      </x:c>
    </x:row>
    <x:row r="9">
      <x:c r="A9" s="32" t="str">
        <x:v>DEC-R35-005</x:v>
      </x:c>
      <x:c r="B9" s="32" t="n">
        <x:v>46259.59166666667</x:v>
      </x:c>
      <x:c r="C9" s="32" t="str">
        <x:v>R3.5A Baseline Load</x:v>
      </x:c>
      <x:c r="D9" s="32" t="str">
        <x:v>Cerrar R3.5A Baseline Load con A-001→A-005 en PASS/GREEN y avanzar a B-001 Latest narrow, sin cambios de código ni profiling granular.</x:v>
      </x:c>
      <x:c r="E9" s="32" t="str">
        <x:v>El baseline progresivo 100→1000 alarmas mantuvo 0 overruns y 0 errores de integridad. A-005: p95 907.38 ms, p99 1230.24 ms y máximo 1274.60 ms frente a periodo objetivo 5 s; journal alineado y 1000 alarmas materializadas. No se observó rodilla de capacidad.</x:v>
      </x:c>
      <x:c r="F9" s="32" t="str">
        <x:v>A-001; A-002; A-003; A-004; c4128825-75f6-43a9-8c1d-ec8112d89cf3</x:v>
      </x:c>
      <x:c r="G9" s="32" t="str">
        <x:v>R3.5A queda como baseline de motor. R3.5B aumentará presión de lectura manteniendo 1000 alarmas para aislar costo de datos/particiones/fuentes.</x:v>
      </x:c>
      <x:c r="H9" s="32" t="str">
        <x:v>Accepted</x:v>
      </x:c>
      <x:c r="I9" s="32" t="str">
        <x:v>Ejecutar B-001 con 1000 alarmas, Latest narrow, 1 partición / 1 fuente, 10 minutos.</x:v>
      </x:c>
    </x:row>
    <x:row r="10">
      <x:c r="A10" s="32" t="str">
        <x:v>DEC-R35-006</x:v>
      </x:c>
      <x:c r="B10" s="32" t="n">
        <x:v>46259.60833333333</x:v>
      </x:c>
      <x:c r="C10" s="32" t="str">
        <x:v>R3.5B Data &amp; Partition Pressure</x:v>
      </x:c>
      <x:c r="D10" s="32" t="str">
        <x:v>Cerrar B-001 como PASS/GREEN y avanzar a B-002 Latest wide sin cambios del Runtime productivo ni profiling granular.</x:v>
      </x:c>
      <x:c r="E10" s="32" t="str">
        <x:v>Con 1000 alarmas y 1000 señales únicas, B-001 mantiene 0 overruns, p95 1285.54 ms y p99 1587.69 ms. Source-load p95 es sólo 7.69 ms, por lo que aún existe margen y conviene aumentar ancho antes de instrumentar internamente.</x:v>
      </x:c>
      <x:c r="F10" s="32" t="str">
        <x:v>A-005; a6bf1f5d-5664-40ca-bd9f-257d7e022c46</x:v>
      </x:c>
      <x:c r="G10" s="32" t="str">
        <x:v>R3.5B continúa aislando presión de datos. B-002 debe aumentar columnas por alarma manteniendo 1 source / 1 partition / 1000 alarms.</x:v>
      </x:c>
      <x:c r="H10" s="32" t="str">
        <x:v>Accepted</x:v>
      </x:c>
      <x:c r="I10" s="32" t="str">
        <x:v>Ejecutar B-002 Latest wide con el mismo harness y comparar contra B-001.</x:v>
      </x:c>
    </x:row>
    <x:row r="11">
      <x:c r="A11" s="32" t="str">
        <x:v>DEC-R35-007</x:v>
      </x:c>
      <x:c r="B11" s="32" t="n">
        <x:v>46259.62013888889</x:v>
      </x:c>
      <x:c r="C11" s="32" t="str">
        <x:v>R3.5B Data &amp; Partition Pressure</x:v>
      </x:c>
      <x:c r="D11" s="32" t="str">
        <x:v>Cerrar B-002 como PASS/GREEN y avanzar a B-003 (4 partitions balanced) sin cambios del Runtime productivo ni profiling granular.</x:v>
      </x:c>
      <x:c r="E11" s="32" t="str">
        <x:v>Con 3000 columnas Latest, B-002 mantiene 0 overruns, p95 1084.95 ms y p99 1423.10 ms. El source-loader p95 crece a 17.45 ms pero sólo representa ~1.61% del ciclo; no aparece presión significativa por ancho.</x:v>
      </x:c>
      <x:c r="F11" s="32" t="str">
        <x:v>B-001; 1d262dd1-8264-4644-8b7c-55968584b09a</x:v>
      </x:c>
      <x:c r="G11" s="32" t="str">
        <x:v>La próxima dimensión debe ser particionamiento, manteniendo 1000 alarmas para aislar el costo de merge/resolución entre particiones.</x:v>
      </x:c>
      <x:c r="H11" s="32" t="str">
        <x:v>Accepted</x:v>
      </x:c>
      <x:c r="I11" s="32" t="str">
        <x:v>Ejecutar B-003 con 4 particiones balanceadas.</x:v>
      </x:c>
    </x:row>
    <x:row r="12">
      <x:c r="A12" s="32" t="str">
        <x:v>DEC-R35-008</x:v>
      </x:c>
      <x:c r="B12" s="32" t="n">
        <x:v>46259.63888888889</x:v>
      </x:c>
      <x:c r="C12" s="32" t="str">
        <x:v>R3.5B Data &amp; Partition Pressure</x:v>
      </x:c>
      <x:c r="D12" s="32" t="str">
        <x:v>Cerrar B-003 como PASS/GREEN y avanzar a B-004 (8 partitions balanced) sin cambios de código ni profiling granular.</x:v>
      </x:c>
      <x:c r="E12" s="32" t="str">
        <x:v>Con 4 particiones físicas balanceadas de 250 columnas, B-003 mantiene 0 overruns, p95 992.83 ms y p99 1352.17 ms. El merge p95 es 0.175 ms y source-load p95 8.09 ms, sin señal de presión estructural.</x:v>
      </x:c>
      <x:c r="F12" s="32" t="str">
        <x:v>B-001; B-002; 71c0030e-e5dc-4a33-887c-1399328db030</x:v>
      </x:c>
      <x:c r="G12" s="32" t="str">
        <x:v>El mismo harness ya permite escalar a 8 particiones; la siguiente prueba aislará la tendencia 4→8 manteniendo 1000 alarmas y 1000 columnas.</x:v>
      </x:c>
      <x:c r="H12" s="32" t="str">
        <x:v>Accepted</x:v>
      </x:c>
      <x:c r="I12" s="32" t="str">
        <x:v>Ejecutar B-004 con 8 particiones físicas balanceadas.</x:v>
      </x:c>
    </x:row>
    <x:row r="13">
      <x:c r="A13" s="32" t="str">
        <x:v>DEC-R35-009</x:v>
      </x:c>
      <x:c r="B13" s="32" t="n">
        <x:v>46259.65555555555</x:v>
      </x:c>
      <x:c r="C13" s="32" t="str">
        <x:v>R3.5B Data &amp; Partition Pressure</x:v>
      </x:c>
      <x:c r="D13" s="32" t="str">
        <x:v>Cerrar B-004 (36 partitions balanced) como PASS/GREEN y formalizar campaña adaptativa: omitir los puntos balanceados 8/16/32 y pasar a B-007 = 36 partitions skewed.</x:v>
      </x:c>
      <x:c r="E13" s="32" t="str">
        <x:v>El salto 4→36 hizo visible la presión (p95 +81.8%) sin overrun ni fallo de integridad. Source-load/merge siguen siendo una fracción mínima del ciclo y existe margen amplio frente a 5 s; repetir escalones intermedios tiene bajo valor experimental.</x:v>
      </x:c>
      <x:c r="F13" s="32" t="str">
        <x:v>B-003; d613de53-a439-414b-a17a-e4d4d5a0bfe2</x:v>
      </x:c>
      <x:c r="G13" s="32" t="str">
        <x:v>Reduce ejecuciones redundantes y conserva capacidad de volver a puntos intermedios sólo si una prueba posterior cruza una rodilla o gate.</x:v>
      </x:c>
      <x:c r="H13" s="32" t="str">
        <x:v>Accepted</x:v>
      </x:c>
      <x:c r="I13" s="32" t="str">
        <x:v>Preparar/ejecutar B-007 con 36 particiones skewed (~80% de columnas en ~20% de particiones).</x:v>
      </x:c>
    </x:row>
    <x:row r="14">
      <x:c r="A14" s="32" t="str">
        <x:v>DEC-R35-010</x:v>
      </x:c>
      <x:c r="B14" s="32" t="n">
        <x:v>46259.67291666667</x:v>
      </x:c>
      <x:c r="C14" s="32" t="str">
        <x:v>R3.5B Data &amp; Partition Pressure</x:v>
      </x:c>
      <x:c r="D14" s="32" t="str">
        <x:v>Cerrar B-007 (36 partitions skewed) como PASS/GREEN y avanzar a B-008 (36 mixed empty/missing-column), sin nuevas variantes de skew ni profiling granular.</x:v>
      </x:c>
      <x:c r="E14" s="32" t="str">
        <x:v>Con el mismo número de alarmas/columnas/particiones que B-004, el skew sólo aumenta p95 ~5.3%, p99 ~3.2% y max ~1.6%; 0 overruns, loader/merge marginales e integridad limpia.</x:v>
      </x:c>
      <x:c r="F14" s="32" t="str">
        <x:v>B-004; 89bc783e-94b8-470b-9f5e-09f4d9d5fa15</x:v>
      </x:c>
      <x:c r="G14" s="32" t="str">
        <x:v>La campaña adaptativa cambia a una dimensión de mayor información: heterogeneidad, particiones vacías y columnas ausentes.</x:v>
      </x:c>
      <x:c r="H14" s="32" t="str">
        <x:v>Accepted</x:v>
      </x:c>
      <x:c r="I14" s="32" t="str">
        <x:v>Preparar/ejecutar B-008 con 36 particiones mixed, preservando 1000 alarmas y una vista lógica Latest.</x:v>
      </x:c>
    </x:row>
    <x:row r="15">
      <x:c r="A15" s="32" t="str">
        <x:v>DEC-R35-011</x:v>
      </x:c>
      <x:c r="B15" s="32" t="n">
        <x:v>46259.69236111111</x:v>
      </x:c>
      <x:c r="C15" s="32" t="str">
        <x:v>R3.5B Data &amp; Partition Pressure</x:v>
      </x:c>
      <x:c r="D15" s="32" t="str">
        <x:v>Adjudicar B-008 como PASS-WITH-FINDINGS/GREEN: el FAIL crudo es un defecto del gate del harness, no del Runtime/Core. Corregir el gate neutral-snapshot y no repetir la corrida completa salvo que la validación 3.14.2 falle.</x:v>
      </x:c>
      <x:c r="E15" s="32" t="str">
        <x:v>Los 120 null primarios generan evaluaciones iniciales INACTIVE; el lifecycle no crea occurrence y el snapshot omite estados neutrales por contrato. Observado 880 == esperado 880, journal alineado, 3 commits correctos, 0 overruns y ejecución Job Runtime status=success.</x:v>
      </x:c>
      <x:c r="F15" s="32" t="str">
        <x:v>6ee6ed1a-e592-4e76-a95b-777f242eb996; Core lifecycle/snapshot contracts</x:v>
      </x:c>
      <x:c r="G15" s="32" t="str">
        <x:v>Evita tratar ausencia de hot-state como pérdida de configuración y hace que futuros escenarios heterogéneos usen un gate de integridad semánticamente correcto.</x:v>
      </x:c>
      <x:c r="H15" s="32" t="str">
        <x:v>Accepted</x:v>
      </x:c>
      <x:c r="I15" s="32" t="str">
        <x:v>Aplicar y validar R3.5B.3.1 en Python 3.14.2; luego liberar B-009 Historical window short.</x:v>
      </x:c>
    </x:row>
    <x:row r="16">
      <x:c r="A16" s="32" t="str">
        <x:v>DEC-R35-012</x:v>
      </x:c>
      <x:c r="B16" s="32" t="n">
        <x:v>46259.705555555556</x:v>
      </x:c>
      <x:c r="C16" s="32" t="str">
        <x:v>R3.5B Data &amp; Partition Pressure</x:v>
      </x:c>
      <x:c r="D16" s="32" t="str">
        <x:v>Cerrar R3.5B.3.1 Neutral Snapshot Integrity Gate Fix como validado y liberar B-009 sin repetir B-008 completo.</x:v>
      </x:c>
      <x:c r="E16" s="32" t="str">
        <x:v>El smoke de 30 s produjo result=PASS, integrity_ok=true, expected/observed snapshot=880/880, neutral_alarm_count=120, 0 overruns, journal durable==materialized y Job Runtime status=success. La corrida original de B-008 conserva valor autoritativo y su raw FAIL queda auditado como defecto del harness corregido.</x:v>
      </x:c>
      <x:c r="F16" s="32" t="str">
        <x:v>B-008 raw run 6ee6ed1a-e592-4e76-a95b-777f242eb996; B-008-GATE-SMOKE 1cd959ef-3cc6-452d-806c-72f9d3a738ed</x:v>
      </x:c>
      <x:c r="G16" s="32" t="str">
        <x:v>El gate de integridad queda semánticamente alineado con hot-state neutral; escenarios futuros con null/INACTIVE ya no confundirán configuración con materialización.</x:v>
      </x:c>
      <x:c r="H16" s="32" t="str">
        <x:v>Accepted</x:v>
      </x:c>
      <x:c r="I16" s="32" t="str">
        <x:v>Ejecutar B-009 Historical window short.</x:v>
      </x:c>
    </x:row>
    <x:row r="17">
      <x:c r="A17" s="32" t="str">
        <x:v>DEC-R35-013</x:v>
      </x:c>
      <x:c r="B17" s="32" t="n">
        <x:v>46259.77888888889</x:v>
      </x:c>
      <x:c r="C17" s="32" t="str">
        <x:v>R3.5B Data &amp; Partition Pressure</x:v>
      </x:c>
      <x:c r="D17" s="32" t="str">
        <x:v>Cerrar B-009 como PASS/GREEN pero clasificar p95≈3 s como boundary band, no como margen alto. Refinar B-010 para aumentar sólo profundidad temporal a 180 min manteniendo 3 series/alarm; supersede el candidato original 6 series × 3 h.</x:v>
      </x:c>
      <x:c r="E17" s="32" t="str">
        <x:v>B-009 obtuvo p95 2997.01 ms, p99 3284.83 ms, max 3600.32 ms y 0 overruns. La diferencia de ~3 ms respecto de 3 s no es experimentalmente significativa. CPU del proceso ≈1 core activo; loader/merge &lt;10/1 ms p95; integridad y memoria limpias.</x:v>
      </x:c>
      <x:c r="F17" s="32" t="str">
        <x:v>B-004; B-009 804265bb-f165-4deb-96ef-e062d0ee8117; A23 R3.4D repeated execution/stress handoff</x:v>
      </x:c>
      <x:c r="G17" s="32" t="str">
        <x:v>El siguiente test mantiene atribución causal y busca cruzar la frontera con ~3.24 M valores históricos, evitando un salto 6× que simultáneamente duplicaría ancho y triplicaría profundidad.</x:v>
      </x:c>
      <x:c r="H17" s="32" t="str">
        <x:v>Accepted</x:v>
      </x:c>
      <x:c r="I17" s="32" t="str">
        <x:v>Ejecutar B-010 con 1000 alarmas, 3 historical series/alarm, 180 min, 10 s step y 36 partitions/view. Si p95≥5 s o aparecen overruns, crear regresión B-010-R1 a 120 min.</x:v>
      </x:c>
    </x:row>
    <x:row r="18">
      <x:c r="A18" s="32" t="str">
        <x:v>DEC-R35-014</x:v>
      </x:c>
      <x:c r="B18" s="32" t="n">
        <x:v>46259.79849537037</x:v>
      </x:c>
      <x:c r="C18" s="32" t="str">
        <x:v>R3.5B Data &amp; Partition Pressure</x:v>
      </x:c>
      <x:c r="D18" s="32" t="str">
        <x:v>Cerrar B-010 como PASS/GREEN. No regresar a 120 min porque no se cruzó la frontera de 5 s. Ejecutar un último probe de ancho histórico manteniendo 180 min y aumentando 3→6 series/alarm. Usar B-011 como sustitución adaptativa del punto original de source-adapter isolation.</x:v>
      </x:c>
      <x:c r="E18" s="32" t="str">
        <x:v>B-010 produjo p95 3796.33 ms, p99 3999.59 ms, max 4465.37 ms, 0 overruns e integridad limpia con 3.24 M valores históricos. Frente a B-009, 3× más valores sólo incrementaron p95 ~26.7%. Memoria estabilizada, start-to-start estable, loader/merge marginales.</x:v>
      </x:c>
      <x:c r="F18" s="32" t="str">
        <x:v>B-009; B-010 013ab1e8-bc67-48af-92c2-44098a440a66; adaptive stress discovery policy</x:v>
      </x:c>
      <x:c r="G18" s="32" t="str">
        <x:v>El cambio B-010→B-011 modifica una sola dimensión: ancho histórico. 6 series × 180 min × 10 s = ~6.48 M valores. Esto maximiza información sin mezclar profundidad, particionado, lifecycle ni management.</x:v>
      </x:c>
      <x:c r="H18" s="32" t="str">
        <x:v>Accepted</x:v>
      </x:c>
      <x:c r="I18" s="32" t="str">
        <x:v>Ejecutar B-011 con 1000 alarmas, 6 historical series/alarm, 180 min, 10 s step y 36 partitions/view. Si p95≥5 s o aparecen overruns, regresar a 4 series/alarm. Si p95&lt;5 s e integridad sigue limpia, cerrar R3.5B y avanzar a R3.5C.</x:v>
      </x:c>
    </x:row>
    <x:row r="19">
      <x:c r="A19" s="32" t="str">
        <x:v>DEC-R35-015</x:v>
      </x:c>
      <x:c r="B19" s="32" t="n">
        <x:v>46259.8090625</x:v>
      </x:c>
      <x:c r="C19" s="32" t="str">
        <x:v>R3.5B Data &amp; Partition Pressure</x:v>
      </x:c>
      <x:c r="D19" s="32" t="str">
        <x:v>Cerrar B-011 como PASS-WITH-FINDINGS/GREEN y activar la regresión acordada por el único overrun. No declarar aún una frontera sostenida porque p50/p95/p99 permanecieron prácticamente planos al duplicar ancho.</x:v>
      </x:c>
      <x:c r="E19" s="32" t="str">
        <x:v>B-011: p95 3814.49 ms, p99 4033.21 ms, max 5636.62 ms, 1 overrun/121, integridad limpia. B-010→B-011 duplicó valores 3.24M→6.48M, pero p95 sólo aumentó 0.48%. El evento ocurrió en iteration 72 y desplazó la siguiente cadencia a 5638.20 ms; después el scheduler se recuperó.</x:v>
      </x:c>
      <x:c r="F19" s="32" t="str">
        <x:v>B-010; B-011 46865e37-d816-4710-8215-9c567a0edd2e; adaptive stress discovery policy</x:v>
      </x:c>
      <x:c r="G19" s="32" t="str">
        <x:v>La regla acordada exige regresar ante cualquier overrun. Usar 4 series mantiene profundidad, particionado y semántica constantes y reduce sólo ancho. Dado que el tail no fue acompañado por degradación central, una corrida limpia a 4 no probará por sí sola que la frontera esté entre 4 y 6; será necesaria reproducción a 6.</x:v>
      </x:c>
      <x:c r="H19" s="32" t="str">
        <x:v>Accepted</x:v>
      </x:c>
      <x:c r="I19" s="32" t="str">
        <x:v>Ejecutar B-011-R1 con 1000 alarmas, 4 historical series/alarm, 180 min, 10 s step y 36 partitions/view. Si hay p95≥5 s u overruns, investigar frontera ≤4. Si queda limpio, repetir 6 series antes de probar 5.</x:v>
      </x:c>
    </x:row>
    <x:row r="20">
      <x:c r="A20" s="32" t="str">
        <x:v>DEC-R35-016</x:v>
      </x:c>
      <x:c r="B20" s="32" t="n">
        <x:v>46259.82061342592</x:v>
      </x:c>
      <x:c r="C20" s="32" t="str">
        <x:v>R3.5B Data &amp; Partition Pressure</x:v>
      </x:c>
      <x:c r="D20" s="32" t="str">
        <x:v>Cerrar B-011-R1 como PASS/GREEN. La regresión a 4 series no reproduce overruns, por lo que no existe evidencia de una frontera ≤4 series. Repetir exactamente B-011 con 6 series antes de probar 5 o cerrar R3.5B.</x:v>
      </x:c>
      <x:c r="E20" s="32" t="str">
        <x:v>B-011-R1 produjo p95 3467.22 ms, p99 4269.63 ms, max 4921.44 ms y 0 overruns con 4.32 M valores históricos. La cadencia start-to-start permaneció estable entre 5000.54 y 5001.95 ms; integridad, memoria y durabilidad quedaron limpias.</x:v>
      </x:c>
      <x:c r="F20" s="32" t="str">
        <x:v>B-011; B-011-R1 ff67b804-d996-487a-93c7-766070fee7ec; DEC-R35-015</x:v>
      </x:c>
      <x:c r="G20" s="32" t="str">
        <x:v>Una corrida limpia a 4 series descarta una frontera reproducible en ese nivel, pero no prueba que 6 series sea inestable. Dado que B-011 tuvo sólo un outlier y p95 casi plano, la prueba técnicamente defendible es reproducir exactamente 6 series.</x:v>
      </x:c>
      <x:c r="H20" s="32" t="str">
        <x:v>Accepted</x:v>
      </x:c>
      <x:c r="I20" s="32" t="str">
        <x:v>Ejecutar B-011-R2 con 1000 alarmas, 6 historical series/alarm, 180 min, 10 s step y 36 partitions/view. Si reaparece cualquier overrun o p95≥5 s, probar 5 series. Si queda limpio, adjudicar el overrun original como no reproducido y cerrar R3.5B.</x:v>
      </x:c>
    </x:row>
    <x:row r="21">
      <x:c r="A21" s="32" t="str">
        <x:v>DEC-R35-017</x:v>
      </x:c>
      <x:c r="B21" s="32" t="n">
        <x:v>46259.83627314815</x:v>
      </x:c>
      <x:c r="C21" s="32" t="str">
        <x:v>R3.5B Data &amp; Partition Pressure</x:v>
      </x:c>
      <x:c r="D21" s="32" t="str">
        <x:v>Cerrar R3.5B como caracterización completada. B-011-R2 reproduce exactamente el stress de 6 series sin overrun, por lo que el evento aislado de B-011 queda adjudicado como no reproducido. No ejecutar 5 series ni más data-only stress; avanzar a R3.5C Functional Pressure.</x:v>
      </x:c>
      <x:c r="E21" s="32" t="str">
        <x:v>B-011-R2 obtuvo p95 4139.16 ms, p99 4865.38 ms, max 4969.75 ms y 0 overruns con 6.48 M valores. La cadencia start-to-start permaneció estable y la integridad fue limpia. B-011-R1 a 4 series también fue limpio. El tail de 6 series es estrecho, pero no existe una frontera reproducible que justifique más búsqueda unidimensional.</x:v>
      </x:c>
      <x:c r="F21" s="32" t="str">
        <x:v>B-011 46865e37-d816-4710-8215-9c567a0edd2e; B-011-R1 ff67b804-d996-487a-93c7-766070fee7ec; B-011-R2 d0375b0c-7cd0-4082-8b7e-aef300c8c392</x:v>
      </x:c>
      <x:c r="G21" s="32" t="str">
        <x:v>La campaña adaptativa ya caracterizó alarm count, source width, partition count/layout, heterogeneity, historical depth y historical width. Continuar aumentando datos tendría menor valor informativo que introducir lifecycle churn, writes, assignments, journey y evidence.</x:v>
      </x:c>
      <x:c r="H21" s="32" t="str">
        <x:v>Accepted</x:v>
      </x:c>
      <x:c r="I21" s="32" t="str">
        <x:v>Preparar el incremento de harness para C-001 Mixed lifecycle balanced / operational churn 10%. No ejecutar C-001 con el harness actual porque no expone un contrato de churn.</x:v>
      </x:c>
    </x:row>
    <x:row r="22">
      <x:c r="A22" s="32" t="str">
        <x:v>DEC-R35-018</x:v>
      </x:c>
      <x:c r="B22" s="32" t="n">
        <x:v>46259.86944444444</x:v>
      </x:c>
      <x:c r="C22" s="32" t="str">
        <x:v>R3.5C Functional Pressure</x:v>
      </x:c>
      <x:c r="D22" s="32" t="str">
        <x:v>Liberar C-001 con un contrato mínimo de churn funcional: 1000 alarmas C3, 100 priority_groups de 10 alarmas, 50/50 ACTIVE-INACTIVE y 10% de transiciones determinísticas por refresh. No mezclar ERROR, structural reset ni crash/recovery en C-001.</x:v>
      </x:c>
      <x:c r="E22" s="32" t="str">
        <x:v>El harness ahora materializa estado por alarma según generation, preserva grupos independientes y adjudica EngineCommit durables. Distingue lifecycle commits de evidence periódica contractual. Validación local adaptada: 216 tests pass; smoke real 100 alarms/10 groups PASS con counters exactos.</x:v>
      </x:c>
      <x:c r="F22" s="32" t="str">
        <x:v>R3.5B closure DEC-R35-017; Alarm Core lifecycle semantics; C-001 harness patch 0.1.0</x:v>
      </x:c>
      <x:c r="G22" s="32" t="str">
        <x:v>Mantiene atribución causal: C-001 mide sólo ACTIVE↔INACTIVE normal. ERROR/TechnicalHold queda para C-002/C-003; structural reset y crash windows quedan en R3.5E.</x:v>
      </x:c>
      <x:c r="H22" s="32" t="str">
        <x:v>Accepted</x:v>
      </x:c>
      <x:c r="I22" s="32" t="str">
        <x:v>Aplicar patch C-001 0.1.0, ejecutar gate autoritativo Python 3.14.2 + UV y luego ejecutar C-001 durante 600 s con 1000 alarmas, 36 partitions balanced, priority_group_size=10, operational_churn_percent=10 e initial_active_percent=50.</x:v>
      </x:c>
    </x:row>
    <x:row r="23">
      <x:c r="A23" s="32" t="str">
        <x:v>DEC-R35-019</x:v>
      </x:c>
      <x:c r="B23" s="32" t="n">
        <x:v>46259.88398148148</x:v>
      </x:c>
      <x:c r="C23" s="32" t="str">
        <x:v>R3.5C Functional Pressure</x:v>
      </x:c>
      <x:c r="D23" s="32" t="str">
        <x:v>Cerrar C-001 como PASS/GREEN. El churn normal 10% queda funcionalmente validado y con amplio margen. No ejecutar todavía 25%/50% de toggle normal; cambiar la siguiente dimensión a ERROR/TechnicalHold para aumentar costo semántico e información por corrida.</x:v>
      </x:c>
      <x:c r="E23" s="32" t="str">
        <x:v>C-001: 6000 transiciones, 700/700 lifecycle commits, 0 duplicados, counters exactos, snapshot 500/500, p95 1237.59 ms, max 1597.72 ms y 0 overruns. WAL independiente y snapshots confirman el resultado. El costo adicional de las generaciones con churn sigue muy lejos de 5 s.</x:v>
      </x:c>
      <x:c r="F23" s="32" t="str">
        <x:v>C-001 950633d5-157a-4d94-9b5b-a1cf48c4914b; DEC-R35-018</x:v>
      </x:c>
      <x:c r="G23" s="32" t="str">
        <x:v>ERROR transitorio ejercita TechnicalHold STARTED/CLEARED y continuidad de occurrence, una ruta semántica más rica que simplemente incrementar la tasa de ACTIVE↔INACTIVE. Mantener C-002 separado de expiry, structural reset y crash/recovery preserva atribución.</x:v>
      </x:c>
      <x:c r="H23" s="32" t="str">
        <x:v>Accepted</x:v>
      </x:c>
      <x:c r="I23" s="32" t="str">
        <x:v>Debatir/confirmar diseño C-002: bootstrap 100% ACTIVE; 1000 alarmas/100 grupos; cada generación modifica 10 grupos completos. Generaciones impares ACTIVE→ERROR y pares ERROR→ACTIVE; hold ~10 s &lt; 300 s; no occurrence/episode closure. Tras consenso, implementar sólo ese harness increment.</x:v>
      </x:c>
    </x:row>
    <x:row r="24">
      <x:c r="A24" s="32" t="str">
        <x:v>DEC-R35-020</x:v>
      </x:c>
      <x:c r="B24" s="32" t="n">
        <x:v>46259.9</x:v>
      </x:c>
      <x:c r="C24" s="32" t="str">
        <x:v>R3.5C Functional Pressure</x:v>
      </x:c>
      <x:c r="D24" s="32" t="str">
        <x:v>Liberar C-002 Technical Hold Recovery Churn con una sola nueva dimensión semántica: ACTIVE→ERROR→ACTIVE transitorio. No incorporar expiry, alarmas que nacen en ERROR, structural reset ni crash/recovery en este incremento.</x:v>
      </x:c>
      <x:c r="E24" s="32" t="str">
        <x:v>El harness agrega technical_hold_churn_percent mutuamente exclusivo con operational_churn_percent. El evaluator usa AlarmStatus.ERROR explícito con EvaluationError sintético. El gate cuenta STARTED/RECOVERED/EXPIRED desde Journey durable, exige cero cierres de Occurrence/Episode, cero expiraciones, assignment changes sólo de bootstrap y occurrence_id estable. Validación local adaptada: 24/24 tests del harness y 219/219 tests de alarms-runtime.</x:v>
      </x:c>
      <x:c r="F24" s="32" t="str">
        <x:v>C-001 950633d5-157a-4d94-9b5b-a1cf48c4914b; DEC-R35-019; C-002 harness patch 0.1.0</x:v>
      </x:c>
      <x:c r="G24" s="32" t="str">
        <x:v>Una cohorte completa permanece sólo una generación (~10 s) en ERROR y se recupera en la siguiente. Esto ejerce TechnicalHold real sin acercarse al grace contractual de 300 s y mantiene atribución causal.</x:v>
      </x:c>
      <x:c r="H24" s="32" t="str">
        <x:v>Accepted</x:v>
      </x:c>
      <x:c r="I24" s="32" t="str">
        <x:v>Aplicar el patch C-002 0.1.0; ejecutar gate autoritativo Python 3.14.2 + UV; luego ejecutar C-002 600 s, 1000 alarmas, 100 grupos×10, 36 partitions balanced, technical_hold_churn_percent=10, initial_active_percent=100. C-003/expiry se decide sólo después del resultado.</x:v>
      </x:c>
    </x:row>
    <x:row r="25">
      <x:c r="A25" s="32" t="str">
        <x:v>DEC-R35-021</x:v>
      </x:c>
      <x:c r="B25" s="32" t="n">
        <x:v>46259.909583333334</x:v>
      </x:c>
      <x:c r="C25" s="32" t="str">
        <x:v>R3.5C Functional Pressure</x:v>
      </x:c>
      <x:c r="D25" s="32" t="str">
        <x:v>Cerrar C-002 como PASS/GREEN. No escalar el porcentaje de ERROR transitorio. Cambiar la siguiente dimensión a TechnicalHold expiry + reappearance manteniendo el grace productivo real de 300 s.</x:v>
      </x:c>
      <x:c r="E25" s="32" t="str">
        <x:v>C-002 produjo 6000 transiciones, 3000 STARTED + 3000 RECOVERED exactos, 0 EXPIRED, 0 cierres de Occurrence/Episode, 0 identity mismatches, 700/700 lifecycle commits, p95 1170.53 ms y 0 overruns. WAL y snapshots independientes confirman el resultado.</x:v>
      </x:c>
      <x:c r="F25" s="32" t="str">
        <x:v>C-002 23009c7e-3c7f-4c41-a045-cbfa1a648318; DEC-R35-020</x:v>
      </x:c>
      <x:c r="G25" s="32" t="str">
        <x:v>Expiry/reappearance ejerce una rama semántica distinta: finaliza la continuidad por technical_uncertainty y obliga a crear nueva identidad durable al recuperar. Tiene mayor valor informativo que repetir ERROR corto con 25%/50% de población.</x:v>
      </x:c>
      <x:c r="H25" s="32" t="str">
        <x:v>Accepted</x:v>
      </x:c>
      <x:c r="I25" s="32" t="str">
        <x:v>Debatir/confirmar C-003: 10 cohortes de 100 alarmas entran ERROR cada 30 s, permanecen ~320 s, deben expirar después de 300 s y recuperarse entre t≈320 y 590 s. Tras consenso, implementar únicamente expiry/reappearance; structural reset/crash permanecen R3.5E.</x:v>
      </x:c>
    </x:row>
    <x:row r="26">
      <x:c r="A26" s="32" t="str">
        <x:v>DEC-R35-022</x:v>
      </x:c>
      <x:c r="B26" s="32" t="n">
        <x:v>46259.93263888889</x:v>
      </x:c>
      <x:c r="C26" s="32" t="str">
        <x:v>R3.5C Functional Pressure</x:v>
      </x:c>
      <x:c r="D26" s="32" t="str">
        <x:v>Liberar C-003 Technical Hold Expiry &amp; Reappearance manteniendo el grace productivo real de 300 s. El harness controla únicamente el calendario ERROR→expiry→ACTIVE y no modifica la semántica del Core.</x:v>
      </x:c>
      <x:c r="E26" s="32" t="str">
        <x:v>C-003 agrega un modo funcional exclusivo: 10% de alarmas por cohorte, stagger 30 s, ERROR duration 320 s, bootstrap 100% ACTIVE. El gate espera TechnicalHold EXPIRED durable, cierres exactos por technical_hold_expired/technical_uncertainty y nuevas Occurrence identities al reaparecer. Validación local adaptada: 27/27 harness tests y 222/222 alarms-runtime tests; smoke time-warp real produjo 10 expiries, 10 occurrence closes, 1 episode close y 10 nuevas occurrences.</x:v>
      </x:c>
      <x:c r="F26" s="32" t="str">
        <x:v>C-002 23009c7e-3c7f-4c41-a045-cbfa1a648318; DEC-R35-021; C-003 harness patch 0.1.0</x:v>
      </x:c>
      <x:c r="G26" s="32" t="str">
        <x:v>El calendario usa generaciones de 10 s: cohortes empiezan en 1,4,...,28; expiry ocurre 30 generaciones después del STARTED y recovery de datos 32 generaciones después. Esto conserva dos generaciones completas entre expiry y reappearance para demostrar que la continuidad anterior realmente terminó.</x:v>
      </x:c>
      <x:c r="H26" s="32" t="str">
        <x:v>Accepted</x:v>
      </x:c>
      <x:c r="I26" s="32" t="str">
        <x:v>Aplicar patch C-003 0.1.0; ejecutar gate autoritativo Python 3.14.2 + UV; luego ejecutar C-003 600 s, 1000 alarmas, 100 grupos×10, 36 partitions balanced, technical_hold_expiry_percent=10, stagger=30 s, error_duration=320 s, initial_active_percent=100.</x:v>
      </x:c>
    </x:row>
    <x:row r="27">
      <x:c r="A27" s="32" t="str">
        <x:v>DEC-R35-023</x:v>
      </x:c>
      <x:c r="B27" s="32" t="n">
        <x:v>46259.940405092595</x:v>
      </x:c>
      <x:c r="C27" s="32" t="str">
        <x:v>R3.5C Functional Pressure</x:v>
      </x:c>
      <x:c r="D27" s="32" t="str">
        <x:v>Cerrar C-003 como PASS/GREEN. La ruta TechnicalHold expiry + reappearance queda validada con el grace real de 300 s. No escalar más TechnicalHold. Usar C-004 para cerrar el caso sin continuidad previa: alarma que nace en ERROR y recién crea su primera Occurrence/Episode al pasar a ACTIVE.</x:v>
      </x:c>
      <x:c r="E27" s="32" t="str">
        <x:v>C-003 produjo 1000 STARTED + 1000 EXPIRED exactos, 0 RECOVERED, cierres con razones correctas, 1000 nuevas Occurrences sin identity reuse, 400/400 lifecycle commits, snapshot final 1000/1000, p95 1162.84 ms y 0 overruns. WAL y snapshots independientes confirman el resultado.</x:v>
      </x:c>
      <x:c r="F27" s="32" t="str">
        <x:v>C-003 9db89add-7ec1-4a7c-b21d-995145c3d0c4; DEC-R35-022</x:v>
      </x:c>
      <x:c r="G27" s="32" t="str">
        <x:v>C-001/C-002/C-003 ya cubren continuidad normal, ERROR transitorio y ERROR expirado con continuidad previa. El borde restante de ERROR es el estado inicial sin Occurrence. Es de alto valor de correctness y bajo costo, por lo que conviene cerrarlo antes de cambiar a routing/criticality C1/C2.</x:v>
      </x:c>
      <x:c r="H27" s="32" t="str">
        <x:v>Accepted</x:v>
      </x:c>
      <x:c r="I27" s="32" t="str">
        <x:v>Debatir/confirmar C-004: bootstrap 1000 alarmas en ERROR sin hot-state; mantener al menos dos generaciones; activar 100 alarmas (10 grupos) cada 20 s hasta 100% ACTIVE. Tras consenso, implementar sólo initial-ERROR/first-activation; luego pasar a C1/C2 pressure.</x:v>
      </x:c>
    </x:row>
    <x:row r="28">
      <x:c r="A28" s="32" t="str">
        <x:v>DEC-R35-024</x:v>
      </x:c>
      <x:c r="B28" s="32" t="n">
        <x:v>46259.95138888889</x:v>
      </x:c>
      <x:c r="C28" s="32" t="str">
        <x:v>R3.5C Functional Pressure</x:v>
      </x:c>
      <x:c r="D28" s="32" t="str">
        <x:v>Liberar C-004 Initial ERROR Bootstrap &amp; First Activation como último borde de ERROR sin continuidad previa. Mantener ERROR inicial durante 20 s y activar cohortes de 10% cada 20 s. No incorporar C1/C2, structural reset ni crash/recovery en este incremento.</x:v>
      </x:c>
      <x:c r="E28" s="32" t="str">
        <x:v>El harness agrega un modo funcional exclusivo que usa ERROR explícito antes de cualquier Occurrence. El gate verifica cero lifecycle commits antes de la primera activación, cero TechnicalHold durante todo el run, y exactamente una primera Occurrence/Assignment por alarma al activarse. Validación local adaptada: 31/31 harness tests y 226/226 alarms-runtime tests. Smoke real: generaciones 0 y 1 = 0 WAL/0 snapshots; primera cohorte en generación 2 = 10 Occurrences + 1 Episode + 10 Assignments; 0 TechnicalHold.</x:v>
      </x:c>
      <x:c r="F28" s="32" t="str">
        <x:v>C-003 9db89add-7ec1-4a7c-b21d-995145c3d0c4; DEC-R35-023; C-004 harness patch 0.1.0</x:v>
      </x:c>
      <x:c r="G28" s="32" t="str">
        <x:v>Este escenario completa la matriz de ERROR de R3.5C: sin continuidad previa, con continuidad recuperada antes del grace y con continuidad expirada. Después de C-004, el valor informativo mayor estará en routing/assignment C1/C2, no en más volumen C3/TechnicalHold.</x:v>
      </x:c>
      <x:c r="H28" s="32" t="str">
        <x:v>Accepted</x:v>
      </x:c>
      <x:c r="I28" s="32" t="str">
        <x:v>Aplicar patch C-004 0.1.0; ejecutar gate autoritativo Python 3.14.2 + UV; luego ejecutar C-004 600 s, 1000 alarmas, 100 grupos×10, 36 partitions balanced, initial_error_activation_percent=10, initial_error_hold_seconds=20, activation_stagger=20 s, initial_active_percent=0.</x:v>
      </x:c>
    </x:row>
    <x:row r="29">
      <x:c r="A29" s="32" t="str">
        <x:v>DEC-R35-025</x:v>
      </x:c>
      <x:c r="B29" s="32" t="n">
        <x:v>46259.961875</x:v>
      </x:c>
      <x:c r="C29" s="32" t="str">
        <x:v>R3.5C Functional Pressure</x:v>
      </x:c>
      <x:c r="D29" s="32" t="str">
        <x:v>Cerrar la semántica funcional de C-004 como PASS, pero adjudicar la corrida completa como PASS-WITH-FINDINGS / ACCEPTABLE-REVIEW por un hotspot de performance dependiente de la composición ERROR-sin-continuidad + ACTIVE. No avanzar todavía a Docker resource-envelope ni a C1/C2.</x:v>
      </x:c>
      <x:c r="E29" s="32" t="str">
        <x:v>C-004 tiene integridad exacta, pero p95 6.63 s y 18 overruns. La latencia sube desde ~0.9 s con 0 ACTIVE hasta ~7.1 s alrededor de 500 ACTIVE/500 ERROR, y vuelve a ~1.0 s con 1000 ACTIVE. El mismo patrón aparece en iteraciones sin writes; loader/merge son ~10/0.43 ms.</x:v>
      </x:c>
      <x:c r="F29" s="32" t="str">
        <x:v>C-004 f86db606-7094-4da9-b488-8fd58d9dac80; DEC-R35-024</x:v>
      </x:c>
      <x:c r="G29" s="32" t="str">
        <x:v>La campaña adaptativa exige reproducir y aislar cualquier rodilla antes de cambiar de dimensión. Una mezcla fija 50/50 elimina stagger y commits de activación, permitiendo decidir si el costo es intrínseco a la composición estable o consecuencia del proceso de adopción/crecimiento.</x:v>
      </x:c>
      <x:c r="H29" s="32" t="str">
        <x:v>Accepted</x:v>
      </x:c>
      <x:c r="I29" s="32" t="str">
        <x:v>Diseñar C-004-R1 como 1000 alarmas: 500 ACTIVE con continuidad y 500 ERROR sin continuidad desde bootstrap, 100 grupos ×10, Latest Narrow, 36 balanced, 5 min, sin transiciones posteriores. Requiere incremento focal del harness; no aproximar con el CLI C-004 actual.</x:v>
      </x:c>
    </x:row>
    <x:row r="30">
      <x:c r="A30" s="32" t="str">
        <x:v>DEC-R35-026</x:v>
      </x:c>
      <x:c r="B30" s="32" t="n">
        <x:v>46259.98541666667</x:v>
      </x:c>
      <x:c r="C30" s="32" t="str">
        <x:v>R3.5C Functional Pressure</x:v>
      </x:c>
      <x:c r="D30" s="32" t="str">
        <x:v>Liberar C-004-R1 como reproducción fija del hotspot de C-004: 500 ACTIVE con continuidad y 500 ERROR sin continuidad durante 300 s, sin stagger ni transiciones posteriores.</x:v>
      </x:c>
      <x:c r="E30" s="32" t="str">
        <x:v>El nuevo modo fixed_initial_error_percent materializa grupos completos en una composición inmutable. R1 espera sólo 50 commits lifecycle de bootstrap, 500 Occurrences, 50 Episodes, 500 assignments, 0 TechnicalHold y snapshot final 500. Validación local adaptada: 34/34 harness y 229/229 alarms-runtime. Smoke real 100 alarmas confirmó 50 ACTIVE / 50 ERROR neutral, 5 commits bootstrap y 0 transiciones.</x:v>
      </x:c>
      <x:c r="F30" s="32" t="str">
        <x:v>C-004 f86db606-7094-4da9-b488-8fd58d9dac80; F-C004-002; DEC-R35-025; C-004-R1 harness patch 0.1.0</x:v>
      </x:c>
      <x:c r="G30" s="32" t="str">
        <x:v>La composición 50/50 reproduce exactamente el punto de máxima latencia observado en C-004, pero elimina crecimiento, bursts de activación y cambios de estado. Si el p95 permanece ~6–8 s, el hotspot es intrínseco a la composición estable; si vuelve ~1 s, se reabre la hipótesis de interferencia del host o costo temporal de adopción.</x:v>
      </x:c>
      <x:c r="H30" s="32" t="str">
        <x:v>Accepted</x:v>
      </x:c>
      <x:c r="I30" s="32" t="str">
        <x:v>Aplicar patch C-004-R1 0.1.0; ejecutar gate Python 3.14.2 + UV; luego correr 300 s con 1000 alarmas, 100 grupos×10, Latest Narrow, 36 balanced, fixed_initial_error_percent=50, initial_active_percent=50. No pasar todavía a Docker 1.5 CPU / 3 GB hasta adjudicar R1.</x:v>
      </x:c>
    </x:row>
    <x:row r="31">
      <x:c r="A31" s="32" t="str">
        <x:v>DEC-R35-027</x:v>
      </x:c>
      <x:c r="B31" s="32" t="n">
        <x:v>46259.99119212963</x:v>
      </x:c>
      <x:c r="C31" s="32" t="str">
        <x:v>R3.5C Functional Pressure</x:v>
      </x:c>
      <x:c r="D31" s="32" t="str">
        <x:v>Adjudicar C-004-R1 como PASS-WITH-FINDINGS / ACCEPTABLE-REVIEW y considerar reproducido el hotspot 50/50. Descartar como explicación principal la escritura/WAL y la interferencia temporal del host. No pasar aún a Docker sizing; aislar primero el lookup de historia durable.</x:v>
      </x:c>
      <x:c r="E31" s="32" t="str">
        <x:v>R1 mantuvo 500 ACTIVE + 500 ERROR sin cambios durante 300 s. Bootstrap=1.25 s; los siguientes 46 ciclos sin commits fueron 6.33–6.90 s, steady p50/p95=6.43/6.57 s; 46/47 overruns. WAL sólo contiene 50 commits bootstrap (1.015 MB), RSS queda 132.70→132.72 MB y CPU≈100% de un core.</x:v>
      </x:c>
      <x:c r="F31" s="32" t="str">
        <x:v>C-004-R1 fdc14ae0-9854-41c3-9ab8-a0b05ad3915c; F-C004-002; F-C004R1-002; DEC-R35-026</x:v>
      </x:c>
      <x:c r="G31" s="32" t="str">
        <x:v>El código ofrece una explicación concreta: cada grupo sin snapshot verifica historia durable recorriendo read_durable_records(); al coexistir A grupos con historia y E grupos sin snapshot, el costo potencial se repite aproximadamente A×E. La forma medida de C-004 tiene r≈0.9974 contra ese término.</x:v>
      </x:c>
      <x:c r="H31" s="32" t="str">
        <x:v>Accepted</x:v>
      </x:c>
      <x:c r="I31" s="32" t="str">
        <x:v>Debatir/confirmar C-004-R2: instrumentar call count/time de _has_durable_group_history/read_durable_records en el mismo 50/50 y comparar con un POC que construya una única vez por ciclo el conjunto de priority_groups con historia durable. No cambiar producto ni comenzar Docker 1.5 CPU / 3 GB hasta cerrar causalidad.</x:v>
      </x:c>
    </x:row>
    <x:row r="32">
      <x:c r="A32" s="32" t="str">
        <x:v>DEC-R35-028</x:v>
      </x:c>
      <x:c r="B32" s="32" t="n">
        <x:v>46260.805555555555</x:v>
      </x:c>
      <x:c r="C32" s="32" t="str">
        <x:v>R3.5C Functional Pressure</x:v>
      </x:c>
      <x:c r="D32" s="32" t="str">
        <x:v>Liberar C-004-R2 como confirmación end-to-end del candidato de causa raíz. Mantener intacto el producto: el índice durable por ciclo existe sólo dentro del performance harness.</x:v>
      </x:c>
      <x:c r="E32" s="32" t="str">
        <x:v>POC aislado sobre el volumen autoritativo R1: baseline promedio ≈6394.5 ms por 50 lookups vs indexed ≈127.3 ms, ~50× de reducción; scans 150→3 y entries procesadas 7500→150 en tres ciclos. El resultado de pertenencia durable fue idéntico. Harness 37/37 y alarms-runtime 232/232 en validación local adaptada.</x:v>
      </x:c>
      <x:c r="F32" s="32" t="str">
        <x:v>C-004-R1 fdc14ae0-9854-41c3-9ab8-a0b05ad3915c; F-C004R1-002; F-C004R2-001; DEC-R35-027</x:v>
      </x:c>
      <x:c r="G32" s="32" t="str">
        <x:v>El POC se invalida en cada iteración y vuelve a leer el journal una vez por ciclo, por lo que no elimina la validación periódica de corrupción. Sólo evita releer el mismo journal decenas de veces dentro del mismo ciclo.</x:v>
      </x:c>
      <x:c r="H32" s="32" t="str">
        <x:v>Accepted</x:v>
      </x:c>
      <x:c r="I32" s="32" t="str">
        <x:v>Aplicar patch C-004-R2 0.1.0; gate Python 3.14.2 + UV; ejecutar 180 s con 1000 alarmas, fixed_initial_error_percent=50, initial_active_percent=50 y durable_history_lookup_mode=indexed. Adjudicar métricas de lookup + p95 antes de acordar cualquier cambio productivo.</x:v>
      </x:c>
    </x:row>
    <x:row r="33">
      <x:c r="A33" s="32" t="str">
        <x:v>DEC-R35-029</x:v>
      </x:c>
      <x:c r="B33" s="32" t="n">
        <x:v>46260.810752314814</x:v>
      </x:c>
      <x:c r="C33" s="32" t="str">
        <x:v>R3.5C Functional Pressure</x:v>
      </x:c>
      <x:c r="D33" s="32" t="str">
        <x:v>Cerrar C-004-R2 como PASS/GREEN y cerrar la causalidad del hotspot: la degradación era producida por releer el journal durable completo para cada grupo sin snapshot. Preparar diseño del fix productivo, sin aplicarlo todavía.</x:v>
      </x:c>
      <x:c r="E33" s="32" t="str">
        <x:v>R2 mantuvo exactamente 500 ACTIVE + 500 ERROR neutral y los mismos 50 commits bootstrap de R1, pero p95 cayó 6569.58→992.88 ms (~6.62×) y overruns 46/47→0/37. 1900 lookups se resolvieron con sólo 36 scans del journal / 1800 entries; 36 index builds costaron 0.322 ms.</x:v>
      </x:c>
      <x:c r="F33" s="32" t="str">
        <x:v>C-004-R2 5669a356-5857-440d-941e-17cc8f6f5251; F-C004R1-002; F-C004R2-001; F-C004R2-002; DEC-R35-028</x:v>
      </x:c>
      <x:c r="G33" s="32" t="str">
        <x:v>La solución validada no requiere relajar integridad ni cache global: basta una vista de pertenencia durable limitada al ciclo de ejecución, reconstruida desde el journal para ese ciclo y compartida por los load_group(). Debe preservarse la detección de missing snapshot + durable history como corrupción.</x:v>
      </x:c>
      <x:c r="H33" s="32" t="str">
        <x:v>Accepted</x:v>
      </x:c>
      <x:c r="I33" s="32" t="str">
        <x:v>Revisar y acordar C-004-R3 product fix: introducir durable-history membership cycle-scoped en la composición Runtime, agregar tests de corrupción/empty journal/múltiples grupos, espejo comentado y repetir 50/50 sin durable_history_lookup_mode del harness. Después retomar R3.5C y luego Docker 1.5 CPU / 3 GB.</x:v>
      </x:c>
    </x:row>
    <x:row r="34">
      <x:c r="A34" s="32" t="str">
        <x:v>DEC-R35-030</x:v>
      </x:c>
      <x:c r="B34" s="32" t="n">
        <x:v>46260.82777777778</x:v>
      </x:c>
      <x:c r="C34" s="32" t="str">
        <x:v>R3.5C Functional Pressure</x:v>
      </x:c>
      <x:c r="D34" s="32" t="str">
        <x:v>Liberar ada-alarms-runtime-process 0.14.2 y C-004-R3 para regresión productiva del fix durable-history. El cambio usa hidratación batch por ciclo y no introduce cache global/persistente.</x:v>
      </x:c>
      <x:c r="E34" s="32" t="str">
        <x:v>R2 demostró causalidad con p95 6.57→0.99 s. El producto 0.14.2 implementa el mismo principio de forma explícita: snapshots primero; si existen faltantes, un solo scan durable para construir membership del lote. Gate local adaptado 238/238; batch sobre WAL real de R1 159–226 ms.</x:v>
      </x:c>
      <x:c r="F34" s="32" t="str">
        <x:v>C-004-R2 5669a356-5857-440d-941e-17cc8f6f5251; DEC-R35-029; product patch 0.14.2</x:v>
      </x:c>
      <x:c r="G34" s="32" t="str">
        <x:v>Batch explícito evita estado oculto y mantiene compatibilidad semántica de load_group(). La regla missing snapshot + durable history = corruption permanece intacta. No se escanea el WAL cuando todos los snapshots están presentes.</x:v>
      </x:c>
      <x:c r="H34" s="32" t="str">
        <x:v>Accepted</x:v>
      </x:c>
      <x:c r="I34" s="32" t="str">
        <x:v>Aplicar patch 0.14.2; ejecutar Ruff/format/pytest/build con Python 3.14.2 + UV; correr C-004-R3 300 s con fixed_initial_error_percent=50 e initial_active_percent=50, sin --durable-history-lookup-mode indexed. Si queda GREEN con integridad exacta, cerrar el finding y retomar R3.5C antes del resource envelope Docker.</x:v>
      </x:c>
    </x:row>
    <x:row r="35">
      <x:c r="A35" s="32" t="str">
        <x:v>DEC-R35-031</x:v>
      </x:c>
      <x:c r="B35" s="32" t="n">
        <x:v>46260.85099537037</x:v>
      </x:c>
      <x:c r="C35" s="32" t="str">
        <x:v>R3.5C Functional Pressure</x:v>
      </x:c>
      <x:c r="D35" s="32" t="str">
        <x:v>Cerrar C-004-R3 como PASS/GREEN y aceptar ada-alarms-runtime-process 0.14.2 como corrección validada del repeated durable-history lookup. Abandonar los antiguos incrementos genéricos de churn C3 y cambiar la siguiente dimensión a routing/assignment C1.</x:v>
      </x:c>
      <x:c r="E35" s="32" t="str">
        <x:v>R3 product path, harness baseline: p95=987.97 ms, 0 overruns, exact 500 ACTIVE/500 neutral. 100 durable records = 50 lifecycle bootstrap + 50 evidence-only at 5 min; durable==materialized; errors/warnings/resource-pressure=0. All WAL records identify runtime 0.14.2.</x:v>
      </x:c>
      <x:c r="F35" s="32" t="str">
        <x:v>C-004-R3 aaa915fa-41f3-4bac-8778-35c764634764; DEC-R35-030; F-C004R3-002</x:v>
      </x:c>
      <x:c r="G35" s="32" t="str">
        <x:v>La regresión productiva recupera el mismo rango de R2 sin soporte especial del harness, por lo que la causa y el fix quedan cerrados. C-001 ya cubrió churn C3 de 10%; aumentar a 25/50/100% aporta menos información que ejercer las semánticas C1/C2 aún no caracterizadas.</x:v>
      </x:c>
      <x:c r="H35" s="32" t="str">
        <x:v>Accepted</x:v>
      </x:c>
      <x:c r="I35" s="32" t="str">
        <x:v>Debatir C-005: C1 immediate routing fan-out con 1000 ACTIVE, 100 grupos×10, origin + 3 destinos inmediatos (4 assignments/alarm), 36 balanced, 5 min. Implementar sólo tras acuerdo; luego C2 delayed routing.</x:v>
      </x:c>
    </x:row>
    <x:row r="36">
      <x:c r="A36" s="32" t="str">
        <x:v>DEC-R35-032</x:v>
      </x:c>
      <x:c r="B36" s="32" t="n">
        <x:v>46260.86597222222</x:v>
      </x:c>
      <x:c r="C36" s="32" t="str">
        <x:v>R3.5C Functional Pressure</x:v>
      </x:c>
      <x:c r="D36" s="32" t="str">
        <x:v>Liberar C-005 como primera caracterización de routing C1: 1000 alarmas ACTIVE, 100 grupos×10, origin + 3 destinos inmediatos por alarma. No combinar routing con churn ni alterar producto.</x:v>
      </x:c>
      <x:c r="E36" s="32" t="str">
        <x:v>El harness construye PlannedAlarm C1 reales con RoutingDestination sin delay y amplía el gate para exigir 4000 ASSIGNED, cero cambios delayed/removal y 4000 assignments materializados con cero pending. Validación local adaptada: 42/42 harness y 242/242 alarms-runtime; smoke 100 alarmas confirmó 400 assignments exactos.</x:v>
      </x:c>
      <x:c r="F36" s="32" t="str">
        <x:v>C-004-R3 aaa915fa-41f3-4bac-8778-35c764634764; DEC-R35-031; C-005 harness patch 0.1.0</x:v>
      </x:c>
      <x:c r="G36" s="32" t="str">
        <x:v>C-001 ya cubrió churn C3 y C-002..C-004 cerraron la matriz ERROR. C1 aporta una dimensión semántica nueva: fan-out inmediato de routing y mayor volumen de AssignmentChange dentro del mismo commit de lifecycle.</x:v>
      </x:c>
      <x:c r="H36" s="32" t="str">
        <x:v>Accepted</x:v>
      </x:c>
      <x:c r="I36" s="32" t="str">
        <x:v>Aplicar patch C-005 0.1.0; ejecutar gate Python 3.14.2 + UV; correr 300 s con c1_routing_destination_count=3, initial_active_percent=100, 1000 alarmas, grupos×10 y 36 partitions balanced. Si queda GREEN con integridad exacta, diseñar C2 delayed routing.</x:v>
      </x:c>
    </x:row>
    <x:row r="37">
      <x:c r="A37" s="32" t="str">
        <x:v>DEC-R35-033</x:v>
      </x:c>
      <x:c r="B37" s="32" t="n">
        <x:v>46260.87045138889</x:v>
      </x:c>
      <x:c r="C37" s="32" t="str">
        <x:v>R3.5C Functional Pressure</x:v>
      </x:c>
      <x:c r="D37" s="32" t="str">
        <x:v>Cerrar C-005 como PASS/GREEN. El fan-out C1 origin + 3 destinos inmediatos queda validado sin pending ni degradación del ciclo estable. Siguiente dimensión: C2 delayed routing.</x:v>
      </x:c>
      <x:c r="E37" s="32" t="str">
        <x:v>C-005 produjo 4000/4000 ASSIGNED, 0 SCHEDULED/RESCHEDULED/REMOVED, snapshot 4000 assignments/0 pending, p95=978.11 ms y 0 overruns. WAL=4.995 MB; peak RSS=144.15 MB; journal aligned; errors/warnings=0.</x:v>
      </x:c>
      <x:c r="F37" s="32" t="str">
        <x:v>C-005 c3547859-d2f4-4280-8359-e9913eb80e75; DEC-R35-032</x:v>
      </x:c>
      <x:c r="G37" s="32" t="str">
        <x:v>Aumentar destinos C1 sólo escala un comportamiento ya validado. C2 agrega estado pending, deadlines absolutos y commits posteriores al bootstrap, por lo que entrega más información sobre routing real.</x:v>
      </x:c>
      <x:c r="H37" s="32" t="str">
        <x:v>Accepted</x:v>
      </x:c>
      <x:c r="I37" s="32" t="str">
        <x:v>Debatir/confirmar C-006: C2 con origin inmediato + tres destinos retrasados 60/120/180 s. Esperar 3000 SCHEDULED en bootstrap y tres olas de 1000 ASSIGNED, con final 4000 assigned/0 pending. No incluir reschedule/removal hasta cerrar esta progresión temporal base.</x:v>
      </x:c>
    </x:row>
    <x:row r="38">
      <x:c r="A38" s="32" t="str">
        <x:v>DEC-R35-034</x:v>
      </x:c>
      <x:c r="B38" s="32" t="n">
        <x:v>46260.93402777778</x:v>
      </x:c>
      <x:c r="C38" s="32" t="str">
        <x:v>R3.5C Functional Pressure</x:v>
      </x:c>
      <x:c r="D38" s="32" t="str">
        <x:v>Liberar C-006 como progresión C2 temporal base: origin inmediato y tres destinos delayed a 60/120/180 s. Mantener señal/configuración congeladas y no introducir reschedule/removal todavía.</x:v>
      </x:c>
      <x:c r="E38" s="32" t="str">
        <x:v>El harness construye PlannedAlarm C2 reales y valida no sólo 4000 ASSIGNED + 3000 SCHEDULED finales/acumulados, sino también offsets due_at y fotografías materializadas por ola: pending 3000→2000→1000→0. Validación local adaptada: 46/46 harness, 246/246 runtime y espejo token-equivalente.</x:v>
      </x:c>
      <x:c r="F38" s="32" t="str">
        <x:v>C-005 c3547859-d2f4-4280-8359-e9913eb80e75; DEC-R35-033; C-006 harness patch 0.1.0</x:v>
      </x:c>
      <x:c r="G38" s="32" t="str">
        <x:v>C1 quedó holgadamente GREEN; C2 agrega el contrato temporal pendiente sin mezclar cambios de configuración. Los delays se alinean con data_refresh=10 s para evitar múltiples lifecycle commits del mismo grupo dentro de una sola generación de campaña.</x:v>
      </x:c>
      <x:c r="H38" s="32" t="str">
        <x:v>Accepted</x:v>
      </x:c>
      <x:c r="I38" s="32" t="str">
        <x:v>Aplicar patch C-006 0.1.0; gate Python 3.14.2 + UV; ejecutar 300 s con --c2-routing-delay-seconds 60,120,180, 1000 ACTIVE, grupos×10 y 36 balanced. Si queda GREEN e intermedios exactos, diseñar C2 configuration-change / RESCHEDULED.</x:v>
      </x:c>
    </x:row>
    <x:row r="39">
      <x:c r="A39" s="32" t="str">
        <x:v>DEC-R35-035</x:v>
      </x:c>
      <x:c r="B39" s="32" t="n">
        <x:v>46260.94861111111</x:v>
      </x:c>
      <x:c r="C39" s="32" t="str">
        <x:v>R3.5C Functional Pressure</x:v>
      </x:c>
      <x:c r="D39" s="32" t="str">
        <x:v>Cerrar C-006 como PASS/GREEN. C2 SCHEDULED→ASSIGNED queda validado con deadlines +60/+120/+180 s, pending snapshots intermedios exactos y cero overruns. Avanzar a RESCHEDULED respetando el freeze de configuración.</x:v>
      </x:c>
      <x:c r="E39" s="32" t="str">
        <x:v>C-006: lifecycle=400/400, ASSIGNED=4000, SCHEDULED=3000, RESCHEDULED/REMOVED=0; waves 1000/3000→2000/2000→3000/1000→4000/0; p95=1.950 s, 0 overruns; WAL=9.145 MB; peak RSS=145.77 MB; durable==materialized.</x:v>
      </x:c>
      <x:c r="F39" s="32" t="str">
        <x:v>C-006 bccad405-b4a3-4d37-aced-d232a39dec33; DEC-R35-034</x:v>
      </x:c>
      <x:c r="G39" s="32" t="str">
        <x:v>El runtime usa configuración congelada durante la ejecución/ventana, por lo que una prueba correcta de RESCHEDULED debe cruzar una frontera de adopción de configuración con estado durable preservado. Cambiar delays dentro del mismo run probaría un comportamiento que el contrato operativo no promete.</x:v>
      </x:c>
      <x:c r="H39" s="32" t="str">
        <x:v>Accepted</x:v>
      </x:c>
      <x:c r="I39" s="32" t="str">
        <x:v>Diseñar C-007 en dos fases sobre el mismo volumen: PERF-AC-1 crea 3000 pending a +60/+120/+180 y se detiene antes de +60; PERF-AC-2 se adopta en una nueva ejecución con los mismos destinos a +90/+150/+210. Esperar 3000 RESCHEDULED, Occurrence IDs intactos y posterior 4000 assigned/0 pending. Mantener REMOVED=0.</x:v>
      </x:c>
    </x:row>
    <x:row r="40">
      <x:c r="A40" s="32" t="str">
        <x:v>DEC-R35-036</x:v>
      </x:c>
      <x:c r="B40" s="32" t="n">
        <x:v>46260.98333333333</x:v>
      </x:c>
      <x:c r="C40" s="32" t="str">
        <x:v>R3.5C Functional Pressure</x:v>
      </x:c>
      <x:c r="D40" s="32" t="str">
        <x:v>Liberar C-007 como prueba bifásica de C2 RESCHEDULED cruzando una frontera real de configuración. El harness debe orquestar ambas ejecuciones sobre el mismo volumen durable y no mutar configuración mid-run.</x:v>
      </x:c>
      <x:c r="E40" s="32" t="str">
        <x:v>Phase A publica PERF-AC-1 con +60/+120/+180 y termina a 30 s con 3000 pending. Phase B publica PERF-AC-2 con los mismos destinos a +90/+150/+210, registra la revisión cacheada AC-1 y deja que la adopción productiva emita 3000 RESCHEDULED. Gate local adaptado: 50/50 harness y 250/250 Runtime. Smoke directo de adopción confirmó COMPATIBLE, RESCHEDULED exactos, identidad preservada y pending reprogramado.</x:v>
      </x:c>
      <x:c r="F40" s="32" t="str">
        <x:v>C-006 bccad405-b4a3-4d37-aced-d232a39dec33; DEC-R35-035; C-007 harness patch 0.1.0</x:v>
      </x:c>
      <x:c r="G40" s="32" t="str">
        <x:v>La arquitectura respeta el freeze de configuración: AC-1 y AC-2 nunca coexisten como mutación dentro de una misma ejecución. El estado durable, las Occurrences y los destinos sí se preservan entre fases, por lo que RESCHEDULED mide reconciliación real de pending state y no una simulación del harness.</x:v>
      </x:c>
      <x:c r="H40" s="32" t="str">
        <x:v>Accepted</x:v>
      </x:c>
      <x:c r="I40" s="32" t="str">
        <x:v>Aplicar patch C-007 0.1.0; gate Python 3.14.2 + UV; ejecutar un único comando 270 s con initial delays 60,120,180, revised delays 90,150,210 y Phase A=30 s. Esperar 3000 RESCHEDULED, 100 reschedule commits, occurrence_identity_mismatches=0, revision transition OK y final 4000 assigned/0 pending. Si queda GREEN, diseñar C2 REMOVED en una prueba separada.</x:v>
      </x:c>
    </x:row>
    <x:row r="41">
      <x:c r="A41" s="32" t="str">
        <x:v>DEC-R35-037</x:v>
      </x:c>
      <x:c r="B41" s="32" t="n">
        <x:v>46260.992430555554</x:v>
      </x:c>
      <x:c r="C41" s="32" t="str">
        <x:v>R3.5C Functional Pressure</x:v>
      </x:c>
      <x:c r="D41" s="32" t="str">
        <x:v>Cerrar C-007 como PASS/GREEN. C2 RESCHEDULED queda validado en una frontera real de configuración con identidad de Occurrence preservada. Avanzar a REMOVED como semántica separada.</x:v>
      </x:c>
      <x:c r="E41" s="32" t="str">
        <x:v>C-007: lifecycle=500/500; ASSIGNED=4000; SCHEDULED=3000; RESCHEDULED=3000; REMOVED=0; 100 reschedule commits; revision_transition_ok=true; occurrence mismatches=0; final 4000 assigned/0 pending; p95=1.924 s, 0 overruns; WAL=10.663 MB; peak RSS=150.37 MB; durable==materialized.</x:v>
      </x:c>
      <x:c r="F41" s="32" t="str">
        <x:v>C-007 phase A fcb116ba-6438-46a9-8ba6-a1bfdd11e1ac; phase B 52e52d15-ab29-4d02-ae0b-db8ef8b4346b; DEC-R35-036</x:v>
      </x:c>
      <x:c r="G41" s="32" t="str">
        <x:v>La prueba confirma que el freeze intra-ventana y la reconciliación inter-ventana componen correctamente. Para REMOVED conviene adoptar la nueva revisión después del primer deadline: así una sola prueba cubre eliminación de Tool ya assigned y de Tools todavía pending.</x:v>
      </x:c>
      <x:c r="H41" s="32" t="str">
        <x:v>Accepted</x:v>
      </x:c>
      <x:c r="I41" s="32" t="str">
        <x:v>Debatir/confirmar C-008: Phase A 90 s con +60/+120/+180; Phase B misma identidad C2 pero destinations=(). Esperar 3000 REMOVED en 100 commits, divididos 1000 reached + 2000 pending; origin permanece assigned, occurrence IDs intactos, RESCHEDULED=0, final 1000 assigned/0 pending.</x:v>
      </x:c>
    </x:row>
    <x:row r="42">
      <x:c r="A42" s="32" t="str">
        <x:v>DEC-R35-038</x:v>
      </x:c>
      <x:c r="B42" s="32" t="n">
        <x:v>46261.01111111111</x:v>
      </x:c>
      <x:c r="C42" s="32" t="str">
        <x:v>R3.5C Functional Pressure</x:v>
      </x:c>
      <x:c r="D42" s="32" t="str">
        <x:v>Liberar C-008 como prueba bifásica de C2 REMOVED. Phase A debe cruzar sólo el primer deadline; Phase B adopta una revisión compatible sin RoutingDestination y reutiliza el mismo estado durable.</x:v>
      </x:c>
      <x:c r="E42" s="32" t="str">
        <x:v>El harness exige 3000 REMOVED exactos: 1000 desde route-01 ya assigned y 2000 desde route-02/03 pending. Final: sólo 1000 origin assignments, 0 pending; RESCHEDULED=0; identity mismatches=0. Validación local adaptada: 54/54 harness, 254/254 Runtime, compile y mirrors verdes.</x:v>
      </x:c>
      <x:c r="F42" s="32" t="str">
        <x:v>C-007 52e52d15-ab29-4d02-ae0b-db8ef8b4346b; DEC-R35-037; C-008 harness patch 0.1.0</x:v>
      </x:c>
      <x:c r="G42" s="32" t="str">
        <x:v>Usar Phase A=90 s permite cubrir en una sola adopción las dos ramas de routing removal ya definidas por Core: Tool alcanzado y Tool pending. Se conserva Criticality.C2 y origin Tool, por lo que la adopción es COMPATIBLE y no debe cerrar ni recrear la Occurrence.</x:v>
      </x:c>
      <x:c r="H42" s="32" t="str">
        <x:v>Accepted</x:v>
      </x:c>
      <x:c r="I42" s="32" t="str">
        <x:v>Aplicar patch C-008 0.1.0; gate Python 3.14.2 + UV; ejecutar un único comando 210 s con delays 60,120,180 y Phase A=90 s. Esperar lifecycle=300, ASSIGNED=2000, SCHEDULED=3000, REMOVED=3000, removal commits=100, removed reached/pending=1000/2000, revision transition OK, occurrence mismatches=0 y final 1000 assigned/0 pending.</x:v>
      </x:c>
    </x:row>
    <x:row r="43">
      <x:c r="A43" s="32" t="str">
        <x:v>DEC-R35-039</x:v>
      </x:c>
      <x:c r="B43" s="32" t="n">
        <x:v>46261.02116898148</x:v>
      </x:c>
      <x:c r="C43" s="32" t="str">
        <x:v>R3.5C Functional Pressure</x:v>
      </x:c>
      <x:c r="D43" s="32" t="str">
        <x:v>Cerrar C-008 como PASS/GREEN y declarar R3.5C cerrado 11/11. La semántica routing C1/C2 queda caracterizada y funcionalmente exacta; avanzar a R3.5D Management/Decisions.</x:v>
      </x:c>
      <x:c r="E43" s="32" t="str">
        <x:v>C-008: lifecycle=300/300; ASSIGNED=2000; SCHEDULED=3000; REMOVED=3000; RESCHEDULED=0; removed reached/pending=1000/2000; occurrence mismatches=0; final 1000 origin assignments/0 pending; p95=1.603 s, 0 overruns; durable==materialized at 7,696,200 bytes. R3.5C completed=11/11 and open findings=0.</x:v>
      </x:c>
      <x:c r="F43" s="32" t="str">
        <x:v>C-008 phase A 267e39e5-f708-447f-b68d-79a50bf34c1f; phase B d54b12b9-0300-48c4-a869-7c8402b7beba; DEC-R35-038</x:v>
      </x:c>
      <x:c r="G43" s="32" t="str">
        <x:v>Más presión C2 estable tendría bajo rendimiento informativo: immediate/scheduled/reschedule/remove ya están cubiertos con deadlines, revisión compatible e identidad durable. El siguiente riesgo independiente es el control-plane durable de ManagementAction y DeactivationDecision.</x:v>
      </x:c>
      <x:c r="H43" s="32" t="str">
        <x:v>Accepted</x:v>
      </x:c>
      <x:c r="I43" s="32" t="str">
        <x:v>Diseñar D-001 como una única ManagementAction EFFECTIVE sobre una Occurrence estable, pasando por AlarmDurableInputConsumer y verificando InputReceipt durable antes del cursor. Sin deactivation_intent, cascadas ni reappearance dentro del run. Implementar sólo tras acuerdo.</x:v>
      </x:c>
    </x:row>
    <x:row r="44">
      <x:c r="A44" s="32" t="str">
        <x:v>DEC-R35-040</x:v>
      </x:c>
      <x:c r="B44" s="32" t="n">
        <x:v>46261.05</x:v>
      </x:c>
      <x:c r="C44" s="32" t="str">
        <x:v>R3.5D Management / Decisions</x:v>
      </x:c>
      <x:c r="D44" s="32" t="str">
        <x:v>Liberar D-001 como baseline de una única ManagementAction EFFECTIVE pasando por AlarmDurableInputConsumer. La prueba debe medir input visible→receipt durable y verificar receipt antes de cursor, sin deactivation ni reappearance.</x:v>
      </x:c>
      <x:c r="E44" s="32" t="str">
        <x:v>El harness expone una sola acción a +30 s, resuelve occurrence_id desde snapshot durable y deja que el consumer/product ejecute el ciclo. Instrumentación previa al cursor comprueba el receipt ya indexado durable. Gate local adaptado: 58/58 harness, 258/258 Runtime; smoke real confirmó 1 EFFECTIVE receipt + 1 STARTED effect y cursor 256.</x:v>
      </x:c>
      <x:c r="F44" s="32" t="str">
        <x:v>DEC-R35-039; D-001 harness patch 0.1.0; smoke D-001-SMOKE</x:v>
      </x:c>
      <x:c r="G44" s="32" t="str">
        <x:v>D-001 debe aislar el contrato durable de control-plane antes de aumentar frecuencia. No usa Service Bus ni red porque eso mezclaría transporte con semántica del Runtime; esos límites pueden caracterizarse en una campaña de integración.</x:v>
      </x:c>
      <x:c r="H44" s="32" t="str">
        <x:v>Accepted</x:v>
      </x:c>
      <x:c r="I44" s="32" t="str">
        <x:v>Aplicar patch D-001 0.1.0; gate Python 3.14.2 + UV; ejecutar 120 s con 1000 ACTIVE, groups×10, 36 balanced y --management-action-at-seconds 30. Esperar 101 durable records, exactly one EFFECTIVE receipt/effect STARTED, cursor=256, pending=0, no deactivation, identity exact. Si queda GREEN, avanzar a D-002 management continuous 1/s.</x:v>
      </x:c>
    </x:row>
    <x:row r="45">
      <x:c r="A45" s="32" t="str">
        <x:v>DEC-R35-041</x:v>
      </x:c>
      <x:c r="B45" s="32" t="n">
        <x:v>46261.06543981482</x:v>
      </x:c>
      <x:c r="C45" s="32" t="str">
        <x:v>R3.5D Management / Decisions</x:v>
      </x:c>
      <x:c r="D45" s="32" t="str">
        <x:v>Cerrar D-001 como PASS/GREEN. El contrato MANAGEMENT/EFFECTIVE → ManagementEffect STARTED → durable InputReceipt → cursor queda validado para un input individual; avanzar a carga sostenida 1/s.</x:v>
      </x:c>
      <x:c r="E45" s="32" t="str">
        <x:v>D-001: input→receipt=997.95 ms; receipt/effect=1/1; management commits=1; cursor=256; pending=0; receipt-before-cursor=true; occurrence mismatch=0; p95 iteration=1.007 s; 0 overruns; 101 durable records / 2,037,716 bytes; durable==materialized.</x:v>
      </x:c>
      <x:c r="F45" s="32" t="str">
        <x:v>D-001 3204ca5b-1be9-4968-b9c0-c0b2fb6ede3e; DEC-R35-040</x:v>
      </x:c>
      <x:c r="G45" s="32" t="str">
        <x:v>Para D-002, repetir acciones sobre una misma alarma cambiaría la semántica hacia ADDITIONAL. Usar targets únicos preserva EFFECTIVE y convierte la prueba en una caracterización pura de throughput/latencia. Rotar por grupos evita que el batch de 5 s quede concentrado en un solo priority group.</x:v>
      </x:c>
      <x:c r="H45" s="32" t="str">
        <x:v>Accepted</x:v>
      </x:c>
      <x:c r="I45" s="32" t="str">
        <x:v>Debatir/confirmar D-002: 600 s, 540 ManagementAction a 1/s desde +30 hasta +569 s, targets únicos rotando los 100 priority groups, no deactivation_intent, reappearance +1h. Esperar 540 EFFECTIVE receipts/effects, 0 lost/duplicates, pending final=0 y medir p50/p95/p99/max input→receipt más batch size/cursor/WAL. Implementar sólo tras acuerdo.</x:v>
      </x:c>
    </x:row>
    <x:row r="46">
      <x:c r="A46" s="32" t="str">
        <x:v>DEC-R35-042</x:v>
      </x:c>
      <x:c r="B46" s="32" t="n">
        <x:v>46261.080555555556</x:v>
      </x:c>
      <x:c r="C46" s="32" t="str">
        <x:v>R3.5D Management / Decisions</x:v>
      </x:c>
      <x:c r="D46" s="32" t="str">
        <x:v>Liberar D-002 como carga sostenida de ManagementAction a 1/s durante 540 s útiles. Mantener todas las acciones EFFECTIVE mediante targets únicos y distribuirlas entre priority groups.</x:v>
      </x:c>
      <x:c r="E46" s="32" t="str">
        <x:v>El harness generaliza D-001 con count+interval sin tocar producto. Source IDs PERF-M-000001..000540, targets group-major round-robin y consumer instrumentado confirma cada receipt antes del cursor. Gate local adaptado: 62/62 harness, 262/262 Runtime. Smoke real 10 acciones: batches 1/5/4, 10 receipts/effects exactos, 0 loss/duplicates, cursor/pending exactos.</x:v>
      </x:c>
      <x:c r="F46" s="32" t="str">
        <x:v>D-001 3204ca5b-1be9-4968-b9c0-c0b2fb6ede3e; DEC-R35-041; D-002 harness patch 0.1.0</x:v>
      </x:c>
      <x:c r="G46" s="32" t="str">
        <x:v>Con cadence=5 s, 1 input/s naturalmente produce batches cercanos a cinco. Eso es parte del workload y no debe forzarse a consumo 1:1. Rotar grupos evita hot-spot artificial y usar alarmas únicas evita cambiar a outcome ADDITIONAL.</x:v>
      </x:c>
      <x:c r="H46" s="32" t="str">
        <x:v>Accepted</x:v>
      </x:c>
      <x:c r="I46" s="32" t="str">
        <x:v>Aplicar patch D-002 0.1.0; gate Python 3.14.2 + UV; ejecutar 600 s con 540 actions desde +30 s, interval=1 s, 1000 ACTIVE, groups×10 y 36 balanced. Esperar 540 EFFECTIVE receipts + 540 STARTED effects, lost/duplicates=0, pending final=0, receipt-before-cursor checked=540 y medir p50/p95/p99/max input→receipt, batch sizes, cursor y WAL. Si queda GREEN/íntegro, avanzar a D-003 Management burst 50.</x:v>
      </x:c>
    </x:row>
    <x:row r="47">
      <x:c r="A47" s="32" t="str">
        <x:v>DEC-R35-043</x:v>
      </x:c>
      <x:c r="B47" s="32" t="n">
        <x:v>46261.09722222222</x:v>
      </x:c>
      <x:c r="C47" s="32" t="str">
        <x:v>R3.5D / Generic Job Runtime</x:v>
      </x:c>
      <x:c r="D47" s="32" t="str">
        <x:v>No adjudicar D-002 como FAIL funcional ni repetir/acortar el test. Bloquear R3.5D hasta corregir en la base genérica la auto-contención heartbeat ↔ fenced_mutation observada en atlanticus-job-runtime 0.7.0.</x:v>
      </x:c>
      <x:c r="E47" s="32" t="str">
        <x:v>Management llegó completo: 540 EFFECTIVE receipts/effects, cursor 138240, pending 0. El fallo ocurre durante evidencia +600 s: WAL durable completo para 100 grupos, 76 materializados y 24 pendientes. Fail-closed preservado. POC independiente confirma LeaseRenewalError con owner/generation intactos y lease no expirado.</x:v>
      </x:c>
      <x:c r="F47" s="32" t="str">
        <x:v>D-002 b318a6a4-d160-4b05-a5eb-300d7110040c; F-D002-001; atlanticus-job-runtime 0.7.0</x:v>
      </x:c>
      <x:c r="G47" s="32" t="str">
        <x:v>El heartbeat actual convierte un timeout de adquisición del mismo PhysicalAuthorityFence en failure terminal inmediato. Eso confunde contención interna transitoria con pérdida de autoridad. El fix debe ser genérico y no debe aumentar timeouts del harness ni relajar fencing de consumidores.</x:v>
      </x:c>
      <x:c r="H47" s="32" t="str">
        <x:v>Accepted</x:v>
      </x:c>
      <x:c r="I47" s="32" t="str">
        <x:v>Diseñar R20C.3.2 con un retry seguro de renewal bajo fence contention: no extender lease sin fence; mantener new mutations fenced; declarar pérdida sólo si no puede reconfirmarse autoridad antes de expiración/authority deadline o si ownership/generation cambian. Tests mínimos: long self-fence, repeated short self-fences/starvation, takeover continúa fail-closed, authority deadline, y recovery D-002-like 24 applied/76 skipped. Después gate runtime, consumidores afectados y rerun D-002 limpio.</x:v>
      </x:c>
    </x:row>
    <x:row r="48">
      <x:c r="A48" s="32" t="str">
        <x:v>DEC-R35-044</x:v>
      </x:c>
      <x:c r="B48" s="32" t="n">
        <x:v>46261.115277777775</x:v>
      </x:c>
      <x:c r="C48" s="32" t="str">
        <x:v>R20C.3.2 / Generic Job Runtime</x:v>
      </x:c>
      <x:c r="D48" s="32" t="str">
        <x:v>Liberar candidato atlanticus-job-runtime 0.7.1 para corregir false LeaseRenewalError por starvation del heartbeat frente a PhysicalAuthorityFence ocupado transitoriamente por mutaciones legítimas del mismo owner.</x:v>
      </x:c>
      <x:c r="E48" s="32" t="str">
        <x:v>El heartbeat conserva la última expires_at confirmada bajo fence y, ante fence ocupado, usa try_acquire + retry hasta esa frontera segura. Nunca renueva sin fence ni revive una lease expirada. Al adquirir fence revalida owner/generation/expiry antes de escribir. stop_renewal interrumpe la espera. Public renew(), assert_current() y fenced_mutation() conservan su contrato síncrono histórico. Local adapted gate: 142/142 runtime tests, compile PASS, commented mirror token-equivalent. POC exacta sobre copia del D-002 fallido: recovery 24 applied + 76 skipped, 0 discarded tail y heads alineados.</x:v>
      </x:c>
      <x:c r="F48" s="32" t="str">
        <x:v>F-D002-001; D-002 b318a6a4-d160-4b05-a5eb-300d7110040c; atlanticus-r20c3.2-job-runtime-lease-heartbeat-fence-starvation-fix-0.7.1.zip</x:v>
      </x:c>
      <x:c r="G48" s="32" t="str">
        <x:v>La corrección está en la base genérica porque el defecto es de coordinación de autoridad y puede afectar cualquier consumidor con múltiples fenced mutations. Se coordinan 16 consumers a ==0.7.1. Locks deben regenerarse con UV; no se aceptan lockfiles editados manualmente. F-D002-001 permanece abierto hasta certificación autoritativa y rerun.</x:v>
      </x:c>
      <x:c r="H48" s="32" t="str">
        <x:v>Accepted</x:v>
      </x:c>
      <x:c r="I48" s="32" t="str">
        <x:v>Aplicar patch R20C.3.2. Regenerar backend/uv.lock y los 16 uv.lock consumidores con Python 3.14.2 + UV. Gate runtime: Ruff/format, 142 tests, import/version 0.7.1 y wheel. Ejecutar regresiones focales de lease authority. Validar recovery sobre copia del D-002: 24 applied/76 skipped y heads aligned. Después limpiar D-002 y rerun 600 s; sólo entonces cerrar F-D002-001 y adjudicar D-002.</x:v>
      </x:c>
    </x:row>
    <x:row r="49">
      <x:c r="A49" s="32" t="str">
        <x:v>DEC-R35-045</x:v>
      </x:c>
      <x:c r="B49" s="32" t="n">
        <x:v>46261.15277777778</x:v>
      </x:c>
      <x:c r="C49" s="32" t="str">
        <x:v>R20C.3.2 / Generic Job Runtime</x:v>
      </x:c>
      <x:c r="D49" s="32" t="str">
        <x:v>Cerrar técnicamente R20C.3.2 con atlanticus-job-runtime 0.7.1. La coordinación heartbeat↔PhysicalAuthorityFence ya distingue contención transitoria de pérdida real de autoridad sin relajar fencing ni revival de leases expiradas.</x:v>
      </x:c>
      <x:c r="E49" s="32" t="str">
        <x:v>Authoritative host evidence: backend runtime gate 142/142 PASS, import 0.7.1 PASS, wheel atlanticus_job_runtime-0.7.1-py3-none-any.whl built, focal lease/lifecycle authority 21/21 PASS. backend lock + 16 consumer locks/pins migrated from 0.7.0 to 0.7.1 with UV and no stale pins. Exact preserved D-002 recovery POC PASS: 24 applied + 76 skipped, discarded_tail_bytes=0, final materialized==durable at 5,994,817. alarms-runtime regression 262/262 PASS after updating its project-contract expectation to Runtime 0.7.1.</x:v>
      </x:c>
      <x:c r="F49" s="32" t="str">
        <x:v>DEC-R35-044; F-D002-001; R20C.3.2 Runtime 0.7.1; D-002 failed run b318a6a4-d160-4b05-a5eb-300d7110040c</x:v>
      </x:c>
      <x:c r="G49" s="32" t="str">
        <x:v>El fix queda cerrado a nivel de contrato/gate/recovery. F-D002-001 no se cierra todavía porque la campaña exige confirmación end-to-end en el mismo workload que expuso la carrera. El siguiente paso correcto es repetir D-002 desde volumen limpio, sin acortar duración ni mover el evidence tick.</x:v>
      </x:c>
      <x:c r="H49" s="32" t="str">
        <x:v>Accepted</x:v>
      </x:c>
      <x:c r="I49" s="32" t="str">
        <x:v>Rerun D-002 limpio con 1000 alarms, 600 s, cadence 5 s, refresh 10 s, 540 ManagementAction @1/s desde +30 s y Runtime 0.7.1. Cierre esperado: run success, 0 LeaseRenewalError, 540 EFFECTIVE receipts/effects, lost=0, duplicates=0, pending=0, receipt-before-cursor=540, durable==materialized. Si queda íntegro, cerrar F-D002-001 y adjudicar D-002; luego avanzar a D-003 burst 50.</x:v>
      </x:c>
    </x:row>
    <x:row r="50">
      <x:c r="A50" s="32" t="str">
        <x:v>DEC-R35-046</x:v>
      </x:c>
      <x:c r="B50" s="32" t="n">
        <x:v>46261.163518518515</x:v>
      </x:c>
      <x:c r="C50" s="32" t="str">
        <x:v>R20C.3.2 / R3.5D</x:v>
      </x:c>
      <x:c r="D50" s="32" t="str">
        <x:v>Cerrar F-D002-001 y confirmar R20C.3.2 end-to-end: el clean rerun de D-002 con Runtime 0.7.1 completa el mismo +600 s evidence wave que disparó la carrera anterior, sin LeaseRenewalError.</x:v>
      </x:c>
      <x:c r="E50" s="32" t="str">
        <x:v>Run 5e7bd0dc-d6b9-4556-a3bd-8b81a3eb3478: execution status=success, 121 iterations, 835 commits, 0 errors/warnings/resource pressure, journal durable==materialized at 8,025,617 bytes. Management remains exact 540 EFFECTIVE / 540 STARTED, pending=0, receipt-before-cursor=540/540.</x:v>
      </x:c>
      <x:c r="F50" s="32" t="str">
        <x:v>DEC-R35-045; F-D002-001; atlanticus-job-runtime 0.7.1</x:v>
      </x:c>
      <x:c r="G50" s="32" t="str">
        <x:v>La certificación previa de gate/recovery ya demostraba el contrato; este rerun prueba que el fix también resuelve la carrera bajo el workload real que la descubrió. No queda blocker abierto de lease para R3.5D.</x:v>
      </x:c>
      <x:c r="H50" s="32" t="str">
        <x:v>Accepted</x:v>
      </x:c>
      <x:c r="I50" s="32" t="str">
        <x:v>Continuar con adjudicación D-002 y diseño de D-003 Management burst 50.</x:v>
      </x:c>
    </x:row>
    <x:row r="51">
      <x:c r="A51" s="32" t="str">
        <x:v>DEC-R35-047</x:v>
      </x:c>
      <x:c r="B51" s="32" t="n">
        <x:v>46261.16388888889</x:v>
      </x:c>
      <x:c r="C51" s="32" t="str">
        <x:v>R3.5D Management / Decisions</x:v>
      </x:c>
      <x:c r="D51" s="32" t="str">
        <x:v>Cerrar D-002 como PASS/GREEN. El sustained workload 1/s queda caracterizado sin backlog; la siguiente dimensión es un burst simultáneo de 50 ManagementAction.</x:v>
      </x:c>
      <x:c r="E51" s="32" t="str">
        <x:v>D-002: 540/540 EFFECTIVE receipts/effects, lost=0, duplicates=0, cursor=138240, pending/high-water=0/0, batches 1×1 + 107×5 + 1×4, input→receipt p95=5.212 s, iteration p95=1.058 s, 0 overruns, 835 durable records / 8,025,617 bytes, durable==materialized.</x:v>
      </x:c>
      <x:c r="F51" s="32" t="str">
        <x:v>D-002 5e7bd0dc-d6b9-4556-a3bd-8b81a3eb3478; DEC-R35-046</x:v>
      </x:c>
      <x:c r="G51" s="32" t="str">
        <x:v>Para D-003 conviene mantener las mismas acciones independientes y cambiar sólo la forma de llegada. 50 targets únicos en 50 priority groups preservan EFFECTIVE y eliminan un hot-spot artificial. Un run de 120 s aísla el burst y evita el tick de evidencia de +300 s.</x:v>
      </x:c>
      <x:c r="H51" s="32" t="str">
        <x:v>Accepted</x:v>
      </x:c>
      <x:c r="I51" s="32" t="str">
        <x:v>Debatir/confirmar D-003: burst único de 50 acciones simultáneas a +30 s, alarms slot-1 de groups 001..050, no deactivation_intent, reappearance +1h, duración recomendada 120 s. Medir absorción en primera iteración, input→receipt p50/p95/p99/max, batch size, commits, cursor/pending y WAL. Implementar sólo tras acuerdo.</x:v>
      </x:c>
    </x:row>
    <x:row r="52">
      <x:c r="A52" s="32" t="str">
        <x:v>DEC-R35-048</x:v>
      </x:c>
      <x:c r="B52" s="32" t="n">
        <x:v>46261.18402777778</x:v>
      </x:c>
      <x:c r="C52" s="32" t="str">
        <x:v>R3.5D Management / Decisions</x:v>
      </x:c>
      <x:c r="D52" s="32" t="str">
        <x:v>Liberar D-003 como burst único de 50 ManagementAction simultáneas a +30 s, usando 50 targets únicos en priority groups 001..050 y duración 120 s.</x:v>
      </x:c>
      <x:c r="E52" s="32" t="str">
        <x:v>El harness reutiliza el source multi-management: interval=0 representa burst y hace visibles las 50 acciones en la misma frontera temporal. Se agrega gate explícito de absorción en la primera iteración elegible, contado por nuevos receipts durables confirmados antes del avance de cursor. Local adapted gate: 65/65 harness, 265/265 alarms-runtime, compile/mirror PASS. Smoke real reducido: 10/10 acciones absorbidas en un único primer batch, 10 EFFECTIVE/STARTED, cursor=2560, pending=0, receipt-before-cursor=10/10 y durable==materialized.</x:v>
      </x:c>
      <x:c r="F52" s="32" t="str">
        <x:v>D-002 5e7bd0dc-d6b9-4556-a3bd-8b81a3eb3478; DEC-R35-047; D-003 harness patch 0.1.0</x:v>
      </x:c>
      <x:c r="G52" s="32" t="str">
        <x:v>D-003 cambia sólo la forma de llegada respecto de D-002. Los 50 grupos distintos evitan un hotspot artificial y los targets únicos evitan outcome ADDITIONAL. La duración de 120 s evita contaminar la medición con la ola periódica de evidencia de +300 s.</x:v>
      </x:c>
      <x:c r="H52" s="32" t="str">
        <x:v>Accepted</x:v>
      </x:c>
      <x:c r="I52" s="32" t="str">
        <x:v>Aplicar patch D-003 0.1.0; gate Python 3.14.2 + UV; ejecutar 120 s con 1000 ACTIVE, 50 actions simultáneas a +30 s, count=50, interval=0, groups×10 y 36 balanced. Esperar first batch=50, one non-empty management batch, 50 EFFECTIVE receipts/effects, lost/duplicates=0, pending final=0, cursor=12800, receipt-before-cursor=50, durable==materialized y performance class según p95 global.</x:v>
      </x:c>
    </x:row>
    <x:row r="53">
      <x:c r="A53" s="32" t="str">
        <x:v>DEC-R35-049</x:v>
      </x:c>
      <x:c r="B53" s="32" t="n">
        <x:v>46261.58613425926</x:v>
      </x:c>
      <x:c r="C53" s="32" t="str">
        <x:v>R3.5D Management / Decisions</x:v>
      </x:c>
      <x:c r="D53" s="32" t="str">
        <x:v>Cerrar D-003 como PASS/GREEN: el burst simultáneo de 50 acciones fue absorbido completamente en la primera iteración elegible, sin backlog ni pérdida/duplicación.</x:v>
      </x:c>
      <x:c r="E53" s="32" t="str">
        <x:v>Run 8f918b47-edd2-46e7-bc0b-de8a4206183a: first batch=50/50, nonempty batches=1, 50 EFFECTIVE/STARTED, cursor=12800, pending=0, receipt-before-cursor=50/50, p95 iteration=1.295 s, burst iteration=1.379 s, 0 overruns, 150 durable records / 2,376,600 bytes, durable==materialized.</x:v>
      </x:c>
      <x:c r="F53" s="32" t="str">
        <x:v>D-003 8f918b47-edd2-46e7-bc0b-de8a4206183a; DEC-R35-048</x:v>
      </x:c>
      <x:c r="G53" s="32" t="str">
        <x:v>El resultado demuestra que no existe un límite efectivo inferior a 50 en este workload y que repartir un target por grupo elimina concentración artificial.</x:v>
      </x:c>
      <x:c r="H53" s="32" t="str">
        <x:v>Accepted</x:v>
      </x:c>
      <x:c r="I53" s="32" t="str">
        <x:v>Avanzar a D-004 Management burst 100 manteniendo 120 s y el mismo gate de primera iteración.</x:v>
      </x:c>
    </x:row>
    <x:row r="54">
      <x:c r="A54" s="32" t="str">
        <x:v>DEC-R35-050</x:v>
      </x:c>
      <x:c r="B54" s="32" t="n">
        <x:v>46261.586805555555</x:v>
      </x:c>
      <x:c r="C54" s="32" t="str">
        <x:v>R3.5D Management / Decisions</x:v>
      </x:c>
      <x:c r="D54" s="32" t="str">
        <x:v>Liberar D-004 como burst único de 100 ManagementAction simultáneas a +30 s usando slot-1 de los 100 priority groups.</x:v>
      </x:c>
      <x:c r="E54" s="32" t="str">
        <x:v>El harness D-003 ya soporta bursts genéricos mediante interval=0; no requiere cambios de código. Con count=100 la rotación targetea naturalmente perf-group-001..100, preservando targets únicos y outcomes EFFECTIVE.</x:v>
      </x:c>
      <x:c r="F54" s="32" t="str">
        <x:v>D-003 8f918b47-edd2-46e7-bc0b-de8a4206183a; DEC-R35-049</x:v>
      </x:c>
      <x:c r="G54" s="32" t="str">
        <x:v>Mantener 120 s evita mezclar la ola +300 s. El gate duro de burst exige first_nonempty_batch_size=100, aunque eventual 100/100 receipts por múltiples ciclos no sería suficiente para PASS de D-004.</x:v>
      </x:c>
      <x:c r="H54" s="32" t="str">
        <x:v>Accepted</x:v>
      </x:c>
      <x:c r="I54" s="32" t="str">
        <x:v>Ejecutar D-004 con 1000 ACTIVE, duration=120 s, cadence=5 s, refresh=10 s, count=100, interval=0, action_at=30 s. Esperar 100 EFFECTIVE/STARTED, first batch=100/100, one nonempty batch, cursor=25600, pending=0, receipt-before-cursor=100/100, lost/duplicates=0 y WAL=200 records con durable==materialized.</x:v>
      </x:c>
    </x:row>
    <x:row r="55">
      <x:c r="A55" s="32" t="str">
        <x:v>DEC-R35-051</x:v>
      </x:c>
      <x:c r="B55" s="32" t="n">
        <x:v>46261.59961805555</x:v>
      </x:c>
      <x:c r="C55" s="32" t="str">
        <x:v>R3.5D Management / Decisions</x:v>
      </x:c>
      <x:c r="D55" s="32" t="str">
        <x:v>Cerrar D-004 como PASS/GREEN: 100 ManagementAction simultáneas fueron absorbidas en la primera iteración elegible, una por cada priority group, sin backlog.</x:v>
      </x:c>
      <x:c r="E55" s="32" t="str">
        <x:v>Run 248c19b9-3f16-471c-b1cf-0d730744b47a: first batch=100/100, nonempty batches=1, 100 EFFECTIVE/STARTED, cursor=25600, pending=0, receipt-before-cursor=100/100, burst iteration=1.717 s, global p95=1.564 s, 0 overruns, 200 durable records / 2,722,400 bytes, durable==materialized.</x:v>
      </x:c>
      <x:c r="F55" s="32" t="str">
        <x:v>D-004 248c19b9-3f16-471c-b1cf-0d730744b47a; DEC-R35-050</x:v>
      </x:c>
      <x:c r="G55" s="32" t="str">
        <x:v>El burst ya cubre los 100 priority groups sin revelar cap/backlog. Seguir aumentando Management en esta etapa aportaría menos información que cambiar a la siguiente dimensión control-plane prevista: DeactivationDecision.</x:v>
      </x:c>
      <x:c r="H55" s="32" t="str">
        <x:v>Accepted</x:v>
      </x:c>
      <x:c r="I55" s="32" t="str">
        <x:v>Abrir diseño D-005 Single DeactivationDecision.</x:v>
      </x:c>
    </x:row>
    <x:row r="56">
      <x:c r="A56" s="32" t="str">
        <x:v>DEC-R35-052</x:v>
      </x:c>
      <x:c r="B56" s="32" t="n">
        <x:v>46261.600694444445</x:v>
      </x:c>
      <x:c r="C56" s="32" t="str">
        <x:v>R3.5D Management / Decisions</x:v>
      </x:c>
      <x:c r="D56" s="32" t="str">
        <x:v>Proponer D-005 como baseline de una DeactivationDecision APPROVED contra un DeactivationRequest real y durable creado previamente por una ManagementAction con deactivation_intent y approval_required=true.</x:v>
      </x:c>
      <x:c r="E56" s="32" t="str">
        <x:v>A03.5 fija que el request deriva internamente de ManagementAction y que decision ingress tiene identidad/cursor independientes; A18 fija que approval_required=true mantiene la alarma visible mientras espera, que el request debe ser durable y que aprobar sólo activa el tiempo restante hasta effective_until original.</x:v>
      </x:c>
      <x:c r="F56" s="32" t="str">
        <x:v>A03.5 Durable Handoffs; A18 R3.3B.0; D-004 248c19b9-3f16-471c-b1cf-0d730744b47a</x:v>
      </x:c>
      <x:c r="G56" s="32" t="str">
        <x:v>Para medir decisión sin mezclar expiry, usar setup request a +30 s y decision APPROVED a +60 s dentro de un run de 120 s, con ventana de desactivación candidata de 300 s desde requested_at. No hardcodear enums/result counts hasta inspeccionar código/tests vigentes del consumer y Core.</x:v>
      </x:c>
      <x:c r="H56" s="32" t="str">
        <x:v>Accepted</x:v>
      </x:c>
      <x:c r="I56" s="32" t="str">
        <x:v>Antes de implementar: inspeccionar Runtime/Core tests actuales para contract fields/outcomes; luego generalizar harness con synthetic canonical decision source e instrumentación decision visible→receipt, request-before-decision, receipt-before-decision-cursor, pending/cursor y DeactivationEffect. Implementar sólo tras acuerdo.</x:v>
      </x:c>
    </x:row>
    <x:row r="57">
      <x:c r="A57" s="32" t="str">
        <x:v>DEC-R35-053</x:v>
      </x:c>
      <x:c r="B57" s="32" t="n">
        <x:v>46261.63333333333</x:v>
      </x:c>
      <x:c r="C57" s="32" t="str">
        <x:v>R3.5D Management / Decisions</x:v>
      </x:c>
      <x:c r="D57" s="32" t="str">
        <x:v>Liberar D-005 como baseline de una única DeactivationDecision APPROVED contra un DeactivationRequest real y durable generado por ManagementAction, con request +30 s, decision +60 s y ventana original de 300 s.</x:v>
      </x:c>
      <x:c r="E57" s="32" t="str">
        <x:v>El contrato vigente fue inspeccionado antes de implementar. Setup: DEACTIVATION_REQUEST/PENDING_APPROVAL y request durable PERF-DR-PERF-M-000001. Decision: DEACTIVATION_DECISION/APPLIED. El efecto aprobado comienza en decided_at pero conserva request.effective_until, por lo que quedan 270 s. Harness valida además target visible mientras pending, cursors independientes 256/256, receipts antes de cada cursor, pending-request high-water=1/final=0, exact occurrence identity y WAL esperado 102 records. Local adapted gate: 69/69 harness + 269/269 alarms-runtime, compile/mirror PASS.</x:v>
      </x:c>
      <x:c r="F57" s="32" t="str">
        <x:v>D-004 248c19b9-3f16-471c-b1cf-0d730744b47a; A03.5 Durable Handoffs; A18 R3.3B.0; D-005 harness patch 0.1.0</x:v>
      </x:c>
      <x:c r="G57" s="32" t="str">
        <x:v>No se crea un feed artificial de DeactivationRequest porque no existe en el contrato de producción. La decisión sólo se expone cuando el request exacto ya aparece en WAL durable. El smoke local reducido confirmó PENDING_APPROVAL→APPLIED y preservación de effective_until, pero no se usa para performance por SIGTERM externo.</x:v>
      </x:c>
      <x:c r="H57" s="32" t="str">
        <x:v>Accepted</x:v>
      </x:c>
      <x:c r="I57" s="32" t="str">
        <x:v>Aplicar patch D-005 0.1.0; gate Python 3.14.2 + UV; ejecutar 120 s con 1000 ACTIVE, request setup +30 s, decision APPROVED +60 s, deactivation window 300 s. Esperar request/decision receipts exactos, remaining window=270 s, cursors 256/256, pending final=0, target visible while pending=true, decision input→receipt &gt;=0, total WAL=102, durable==materialized y performance class según p95 global.</x:v>
      </x:c>
    </x:row>
    <x:row r="58">
      <x:c r="A58" s="32" t="str">
        <x:v>DEC-R35-054</x:v>
      </x:c>
      <x:c r="B58" s="32" t="n">
        <x:v>46261.63972222222</x:v>
      </x:c>
      <x:c r="C58" s="32" t="str">
        <x:v>R3.5D Management / Decisions</x:v>
      </x:c>
      <x:c r="D58" s="32" t="str">
        <x:v>Cerrar D-005 como PASS/GREEN: la DeactivationDecision APPROVED individual conserva causalidad, occurrence, receipt-before-cursor y la ventana original del DeactivationRequest.</x:v>
      </x:c>
      <x:c r="E58" s="32" t="str">
        <x:v>Run fa708376-dcb7-4fa4-b8af-ec09ea6bb5b5: 1 PENDING_APPROVAL + 1 APPLIED, cursors 256/256, pending final=0/0/0, target visible while pending=true, remaining=270/270 s, decision latency=981.46 ms, p95 iteration=1169.96 ms, 0 overruns, 102 records / 2,045,701 bytes, durable==materialized. Auditoría directa del WAL confirma exactamente 100 bootstrap + request commit + decision commit y snapshots finales alineados.</x:v>
      </x:c>
      <x:c r="F58" s="32" t="str">
        <x:v>D-005 fa708376-dcb7-4fa4-b8af-ec09ea6bb5b5; DEC-R35-053</x:v>
      </x:c>
      <x:c r="G58" s="32" t="str">
        <x:v>El baseline demuestra la semántica individual sin deuda ni extensión accidental del efecto. No hay finding de producto abierto.</x:v>
      </x:c>
      <x:c r="H58" s="32" t="str">
        <x:v>Accepted</x:v>
      </x:c>
      <x:c r="I58" s="32" t="str">
        <x:v>Avanzar al debate de diseño D-006 Decision continuous 1/s.</x:v>
      </x:c>
    </x:row>
    <x:row r="59">
      <x:c r="A59" s="32" t="str">
        <x:v>DEC-R35-055</x:v>
      </x:c>
      <x:c r="B59" s="32" t="n">
        <x:v>46261.64166666667</x:v>
      </x:c>
      <x:c r="C59" s="32" t="str">
        <x:v>R3.5D Management / Decisions</x:v>
      </x:c>
      <x:c r="D59" s="32" t="str">
        <x:v>Proponer D-006 como workload sostenido de 540 DeactivationDecision APPROVED a 1/s medido en una fase separada de la creación de sus 540 DeactivationRequest prerequisitos.</x:v>
      </x:c>
      <x:c r="E59" s="32" t="str">
        <x:v>Diseño recomendado: un único escenario harness ejecuta dos fases secuenciales sobre el mismo volumen. Phase A usa el camino canónico ManagementAction→DeactivationRequest a 1/s para 540 targets únicos (approval_required=true, ventana original 1800 s) y debe terminar con 540 requests pendientes durables. Phase B, sin recrear/bootstrappear el estado, expone las 540 decisions APPROVED a 1/s. Gate de integridad: 540 APPLIED + 540 DeactivationEffect STARTED, 0 lost/duplicates/wrong occurrence, pending final=0, pending requests final=0, cursors 138240/138240 y durable==materialized; cada effect conserva su request.effective_until.</x:v>
      </x:c>
      <x:c r="F59" s="32" t="str">
        <x:v>D-005 fa708376-dcb7-4fa4-b8af-ec09ea6bb5b5; D-002 5e7bd0dc-d6b9-4556-a3bd-8b81a3eb3478; DEC-R35-054</x:v>
      </x:c>
      <x:c r="G59" s="32" t="str">
        <x:v>La alternativa de emitir request y decision concurrentemente con offset fijo es más corta, pero mezcla throughput de management/request con throughput de decisions y hace menos defendible cualquier atribución de costo. La estrategia two-phase reutiliza un patrón ya aceptado en la campaña: fases consecutivas sobre estado durable compartido.</x:v>
      </x:c>
      <x:c r="H59" s="32" t="str">
        <x:v>Accepted</x:v>
      </x:c>
      <x:c r="I59" s="32" t="str">
        <x:v>Confirmar diseño antes de implementar. Si se acepta, el siguiente incremento debe ser exclusivamente harness; no tocar Core, Persistence ni Runtime salvo que la inspección previa demuestre una carencia real del contrato.</x:v>
      </x:c>
    </x:row>
    <x:row r="60">
      <x:c r="A60" s="32" t="str">
        <x:v>DEC-R35-056</x:v>
      </x:c>
      <x:c r="B60" s="32" t="n">
        <x:v>46261.6666666667</x:v>
      </x:c>
      <x:c r="C60" s="32" t="str">
        <x:v>R3.5D Management / Decisions</x:v>
      </x:c>
      <x:c r="D60" s="32" t="str">
        <x:v>Liberar D-006 como harness two-phase de 540 DeactivationRequest canónicos @1/s seguidos por 540 DeactivationDecision APPROVED @1/s sobre el mismo volumen durable, sin modificar código productivo.</x:v>
      </x:c>
      <x:c r="E60" s="32" t="str">
        <x:v>La implementación queda limitada a baseline/metrics/run, sus tres espejos comentados y tests. Phase A usa ManagementAction+deactivation_intent sobre 540 targets únicos approval_required=true. Phase B no se construye si falta cualquiera de los 540 request_ids, si alguno no es approval_required o si el set exacto no sigue pendiente en consumer state. La medición de Phase B expone sólo el stream de decisions. El gate cruza receipts, requests, effects, occurrence identity, correlación decision→request, cursores 138240/138240, pending, snapshots y preservación individual de request.effective_until; remaining-window se caracteriza min/max sin exigir 1200 s exactos.</x:v>
      </x:c>
      <x:c r="F60" s="32" t="str">
        <x:v>DEC-R35-055; D-005 fa708376-dcb7-4fa4-b8af-ec09ea6bb5b5; D-002 5e7bd0dc-d6b9-4556-a3bd-8b81a3eb3478; D-006 harness patch 0.1.0</x:v>
      </x:c>
      <x:c r="G60" s="32" t="str">
        <x:v>El aislamiento two-phase permite atribuir la presión medida al decision consumer y aborta antes de Phase B si la preparación durable es incompleta. La validación local disponible confirma equivalencia semántica del espejo y sintaxis; el gate autoritativo Python 3.14.2 + UV debe ejecutarse en el entorno objetivo porque este contenedor no dispone de Python 3.14.2/ruff/pyarrow offline.</x:v>
      </x:c>
      <x:c r="H60" s="32" t="str">
        <x:v>Accepted</x:v>
      </x:c>
      <x:c r="I60" s="32"/>
    </x:row>
    <x:row r="61">
      <x:c r="A61" s="32" t="str">
        <x:v>DEC-R35-057</x:v>
      </x:c>
      <x:c r="B61" s="32" t="n">
        <x:v>46261.6770833333</x:v>
      </x:c>
      <x:c r="C61" s="32" t="str">
        <x:v>R3.5D Management / Decisions</x:v>
      </x:c>
      <x:c r="D61" s="32" t="str">
        <x:v>Corregir D-006 harness 0.1.0 a 0.1.1 reemplazando la referencia inexistente `_percentile` por el helper local existente `_percentile_values` en run.py y su espejo comentado.</x:v>
      </x:c>
      <x:c r="E61" s="32" t="str">
        <x:v>El primer gate autoritativo detectó F821 en tres métricas decision input→receipt y el suite terminó 272 passed / 1 failed por el mismo NameError. `_percentile_values` ya existe en run.py y es el helper usado por las métricas sostenidas de Management, por lo que reutilizarlo mantiene la misma interpolación y evita introducir imports o helpers duplicados. El diff funcional son seis sustituciones de nombre, tres en producción y tres en el espejo.</x:v>
      </x:c>
      <x:c r="F61" s="32" t="str">
        <x:v>D-006 harness 0.1.0; DEC-R35-056; authoritative gate attempt GLONBW11 2026-08-27</x:v>
      </x:c>
      <x:c r="G61" s="32" t="str">
        <x:v>Fix exclusivamente de harness. Tests no se modifican: el test existente que falló actúa como regresión del defecto. Semantic commented mirror verificado equivalente. El gate 3.14.2 + UV debe repetirse completo antes de ejecutar los 20 minutos de D-006.</x:v>
      </x:c>
      <x:c r="H61" s="32" t="str">
        <x:v>Accepted</x:v>
      </x:c>
      <x:c r="I61" s="32"/>
    </x:row>
    <x:row r="62">
      <x:c r="A62" s="32" t="str">
        <x:v>DEC-R35-058</x:v>
      </x:c>
      <x:c r="B62" s="32" t="n">
        <x:v>46261.6902777778</x:v>
      </x:c>
      <x:c r="C62" s="32" t="str">
        <x:v>R3.5D Management / Decisions</x:v>
      </x:c>
      <x:c r="D62" s="32" t="str">
        <x:v>Corregir D-006 harness 0.1.1 a 0.1.2 alineando la visibilidad de DeactivationDecision sostenidas con el iteration.as_of congelado, sin relajar el contrato temporal de Core.</x:v>
      </x:c>
      <x:c r="E62" s="32" t="str">
        <x:v>La primera corrida real two-phase completó Phase A en 602.908 s (run d4b79894) y Phase B falló al iniciar decisions (run e8aabcb1) con AlarmContractError: decided_at must not be after cycle_at. El source calculaba fresh visibility con perf_counter() en el instante de lectura, mientras cycle_at/as_of había sido capturado antes. Al cruzar un segundo durante preparación, podía incluir una decisión futura para ese ciclo. 0.1.2 entrega iteration.as_of al source y limita fresh records por arrival monotonic y por decided_at &lt;= as_of.</x:v>
      </x:c>
      <x:c r="F62" s="32" t="str">
        <x:v>D-006 run attempt phase A d4b79894; phase B e8aabcb1; DEC-R35-057; D-006 harness patch 0.1.2</x:v>
      </x:c>
      <x:c r="G62" s="32" t="str">
        <x:v>El error confirma que Core protege correctamente la causalidad temporal. No se modifica Core, Persistence, Runtime, versiones ni dependencias. No se resta un margen artificial al decided_at: una decisión que llega después del snapshot temporal del ciclo espera a la siguiente iteración. Se agrega una regresión focal que reproduce elapsed visibility por delante del logical as_of.</x:v>
      </x:c>
      <x:c r="H62" s="32" t="str">
        <x:v>Accepted</x:v>
      </x:c>
      <x:c r="I62" s="32"/>
    </x:row>
    <x:row r="63">
      <x:c r="A63" s="32" t="str">
        <x:v>DEC-R35-059</x:v>
      </x:c>
      <x:c r="B63" s="32" t="n">
        <x:v>46261.71229166667</x:v>
      </x:c>
      <x:c r="C63" s="32" t="str">
        <x:v>R3.5D Management / Decisions</x:v>
      </x:c>
      <x:c r="D63" s="32" t="str">
        <x:v>Cerrar D-006 como PASS/GREEN: 540 DeactivationDecision APPROVED a 1/s se sostienen en Phase B después de 540 requests canónicos preparados en Phase A, sin backlog, pérdida, duplicación ni ruptura temporal.</x:v>
      </x:c>
      <x:c r="E63" s="32" t="str">
        <x:v>Ambas ejecuciones terminaron success. Los 540 pares reconstruidos desde WAL conservan request→decision→effect, alarm_key, occurrence y effective_until. Cursors=138240/138240; pending final=0/0/0; receipt-before-cursor=540/540; window mismatches=0. Global p95 iteration=1.060 s con 0 overruns. Decision input→receipt p95=6.107 s se adjudica como latencia cadence-dominated, no como fallo.</x:v>
      </x:c>
      <x:c r="F63" s="32" t="str">
        <x:v>D-006 phase A f586e4a0-d802-40de-ba6f-90abe8950208; phase B 4a45dc70-1f12-47dc-8687-79f59a94b3db; F-D006-001; harness 0.1.2</x:v>
      </x:c>
      <x:c r="G63" s="32" t="str">
        <x:v>D-006 cierra la dimensión sostenida de Decisions. No hay finding de producto abierto. Core conserva intacta su validación decided_at &lt;= cycle_at.</x:v>
      </x:c>
      <x:c r="H63" s="32" t="str">
        <x:v>Accepted</x:v>
      </x:c>
      <x:c r="I63" s="32" t="str">
        <x:v>Diseñar D-007 como burst simultáneo de 50 decisions sobre requests pre-provisionados.</x:v>
      </x:c>
    </x:row>
    <x:row r="64">
      <x:c r="A64" s="32" t="str">
        <x:v>DEC-R35-060</x:v>
      </x:c>
      <x:c r="B64" s="32" t="n">
        <x:v>46261.71319444445</x:v>
      </x:c>
      <x:c r="C64" s="32" t="str">
        <x:v>R3.5D Management / Decisions</x:v>
      </x:c>
      <x:c r="D64" s="32" t="str">
        <x:v>Proponer D-007 como Decision burst 50 two-phase: provisionar 50 DeactivationRequest canónicos en Phase A y exponer 50 APPROVED decisions simultáneas en Phase B sobre el mismo volumen.</x:v>
      </x:c>
      <x:c r="E64" s="32" t="str">
        <x:v>El patrón replica el aislamiento causal validado en D-006 y permite comparar directamente con D-003 Management burst 50. Una acción por perf-group-001..050 evita concentrar targets en pocos grupos. Phase B debe absorber 50/50 en la primera iteración elegible.</x:v>
      </x:c>
      <x:c r="F64" s="32" t="str">
        <x:v>D-006 PASS/GREEN; D-003 8f918b47-edd2-46e7-bc0b-de8a4206183a; DEC-R35-059</x:v>
      </x:c>
      <x:c r="G64" s="32" t="str">
        <x:v>La fase de setup no forma parte de la medición de burst. Mantener 1000 ACTIVE, C3, cadence 5 s, refresh 10 s y ventana original 600 s; validar effective_until por request.</x:v>
      </x:c>
      <x:c r="H64" s="32" t="str">
        <x:v>Accepted</x:v>
      </x:c>
      <x:c r="I64" s="32" t="str">
        <x:v>Implementar D-007 como harness-only two-phase burst y ejecutar gate Python 3.14.2 + UV.</x:v>
      </x:c>
    </x:row>
    <x:row r="65">
      <x:c r="A65" s="32" t="str">
        <x:v>DEC-R35-061</x:v>
      </x:c>
      <x:c r="B65" s="32" t="n">
        <x:v>46261.75</x:v>
      </x:c>
      <x:c r="C65" s="32" t="str">
        <x:v>R3.5D Management / Decisions</x:v>
      </x:c>
      <x:c r="D65" s="32" t="str">
        <x:v>Liberar D-007 harness 0.1.0 para Decision burst 50 two-phase, reutilizando la frontera multi-decision de D-006 y agregando burst interval=0 sin crear un pipeline alternativo.</x:v>
      </x:c>
      <x:c r="E65" s="32" t="str">
        <x:v>La implementación admite interval=0 en los sources two-phase, conserva targeting una alarma por perf-group-001..050 y agrega arrival_mode burst. El gate de burst se apoya en receipts confirmados por el consumer: el primer batch no vacío debe contener las 50 decisions. Además, Phase A adopta el mismo límite iteration.as_of que Phase B para impedir ManagementAction source_created_at futuro respecto de cycle_at.</x:v>
      </x:c>
      <x:c r="F65" s="32" t="str">
        <x:v>D-006 PASS/GREEN; D-003 8f918b47-edd2-46e7-bc0b-de8a4206183a; DEC-R35-060; D-007 harness patch 0.1.0</x:v>
      </x:c>
      <x:c r="G65" s="32" t="str">
        <x:v>Cambio exclusivamente de harness. Core mantiene intactas sus validaciones temporales; no se introducen delays artificiales ni se cambia la cadencia. El patch contiene exactamente 7 archivos y cuatro regresiones nuevas.</x:v>
      </x:c>
      <x:c r="H65" s="32" t="str">
        <x:v>Accepted</x:v>
      </x:c>
      <x:c r="I65" s="32" t="str">
        <x:v>Ejecutar gate Python 3.14.2 + UV. Si queda verde, correr D-007 desde volumen limpio con dos fases de 120 s.</x:v>
      </x:c>
    </x:row>
    <x:row r="66">
      <x:c r="A66" s="32" t="str">
        <x:v>DEC-R35-062</x:v>
      </x:c>
      <x:c r="B66" s="32" t="n">
        <x:v>46261.76210648148</x:v>
      </x:c>
      <x:c r="C66" s="32" t="str">
        <x:v>R3.5D Management / Decisions</x:v>
      </x:c>
      <x:c r="D66" s="32" t="str">
        <x:v>Cerrar D-007 como PASS/GREEN: el burst de 50 DeactivationDecision APPROVED se absorbe 50/50 en la primera iteración elegible, con causalidad y materialización exactas.</x:v>
      </x:c>
      <x:c r="E66" s="32" t="str">
        <x:v>Phase A y Phase B terminaron success. WAL independiente confirma 100 bootstrap + 50 request + 50 decision records, sin commit duplicates ni chain mismatches. Las 50 parejas conservan alarm_key, occurrence y effective_until; remaining=479 s uniforme. Decision input→receipt=1851.26 ms, global p95 iteration=1.248 s, 0 overruns. No existe backlog final ni finding de producto.</x:v>
      </x:c>
      <x:c r="F66" s="32" t="str">
        <x:v>D-007 phase A 2acf1950-9045-4781-bab2-16b328882371; phase B b4acb562-5468-4276-b109-220c246065b2; F-D007-001; harness 0.1.0</x:v>
      </x:c>
      <x:c r="G66" s="32" t="str">
        <x:v>D-007 cierra la dimensión burst 50 de Decisions. El gate fuerte fue receipt batch 50/50, no sólo el conteo final APPLIED. Core/Persistence/Runtime permanecen sin cambios.</x:v>
      </x:c>
      <x:c r="H66" s="32" t="str">
        <x:v>Accepted</x:v>
      </x:c>
      <x:c r="I66" s="32" t="str">
        <x:v>Diseñar D-008 para pending correlation con orden de entrega invertido entre decision y request.</x:v>
      </x:c>
    </x:row>
    <x:row r="67">
      <x:c r="A67" s="32" t="str">
        <x:v>DEC-R35-063</x:v>
      </x:c>
      <x:c r="B67" s="32" t="n">
        <x:v>46261.76319444445</x:v>
      </x:c>
      <x:c r="C67" s="32" t="str">
        <x:v>R3.5D Management / Decisions</x:v>
      </x:c>
      <x:c r="D67" s="32" t="str">
        <x:v>Proponer D-008 como prueba de inverted delivery: 50 decisions llegan al consumer antes de que sus 50 requests sean durables, pero los timestamps de dominio conservan request.requested_at &lt;= decision.decided_at.</x:v>
      </x:c>
      <x:c r="E67" s="32" t="str">
        <x:v>El consumer actualmente puede avanzar el cursor de decisions y retener locators no procesados en state.decisions.pending. La prueba útil es demostrar que ese mecanismo evita pérdida cuando el prerequisito llega por otro stream más tarde. Usar request logical time +30 s, decision logical/visible +45 s y delivery tardío del ManagementAction a +60 s; la decisión debe quedar pending hasta el ciclo posterior al commit del request.</x:v>
      </x:c>
      <x:c r="F67" s="32" t="str">
        <x:v>D-007 PASS/GREEN; consumer pending contract; Core deactivation temporal contract; DEC-R35-062</x:v>
      </x:c>
      <x:c r="G67" s="32" t="str">
        <x:v>No se debe modelar decided_at &lt; requested_at ni relajar Core. Tampoco debe exigirse receipt-before-decision-cursor: en D-008 el cursor avanza deliberadamente antes del receipt y la seguridad depende de la persistencia exacta del pending locator.</x:v>
      </x:c>
      <x:c r="H67" s="32" t="str">
        <x:v>Accepted</x:v>
      </x:c>
      <x:c r="I67" s="32" t="str">
        <x:v>Implementar D-008 como harness-only single-execution inverted delivery y ejecutar gate Python 3.14.2 + UV.</x:v>
      </x:c>
    </x:row>
    <x:row r="68">
      <x:c r="A68" s="32" t="str">
        <x:v>DEC-R35-064</x:v>
      </x:c>
      <x:c r="B68" s="32" t="n">
        <x:v>46261.79</x:v>
      </x:c>
      <x:c r="C68" s="32" t="str">
        <x:v>R3.5D Management / Decisions</x:v>
      </x:c>
      <x:c r="D68" s="32" t="str">
        <x:v>Liberar D-008 harness 0.1.0 para inverted delivery/pending correlation: 50 decisions se entregan antes que sus requests durables, manteniendo requested_at anterior a decided_at.</x:v>
      </x:c>
      <x:c r="E68" s="32" t="str">
        <x:v>El harness usa un único source para ambos streams. A +45 s expone una sola vez los 50 records de Decision; el consumer debe avanzar cursor y persistir 50 locators pending. A +60 s expone 50 ManagementAction con source_created_at lógico +30 s; esos requests se vuelven durables, pero las decisions siguen pending ese ciclo porque el durable index fue capturado antes del commit. Un ciclo posterior debe resolverlas desde read_at sin fresh redelivery. Se instrumentan los tres estados durables y se exige WAL exacto 100+50+50.</x:v>
      </x:c>
      <x:c r="F68" s="32" t="str">
        <x:v>D-007 PASS/GREEN; DEC-R35-063; D-008 harness patch 0.1.0</x:v>
      </x:c>
      <x:c r="G68" s="32" t="str">
        <x:v>Cambio exclusivamente de harness. No se modifica la semántica de cursor/pending del consumer ni las validaciones de Core. En este escenario receipt-before-decision-cursor no es gate: cursor-first es la condición bajo prueba y la seguridad depende del locator pending durable.</x:v>
      </x:c>
      <x:c r="H68" s="32" t="str">
        <x:v>Accepted</x:v>
      </x:c>
      <x:c r="I68" s="32" t="str">
        <x:v>Ejecutar Ruff/format y suite completa Python 3.14.2 + UV. Si queda 282/282, correr D-008 desde volumen limpio.</x:v>
      </x:c>
    </x:row>
    <x:row r="69">
      <x:c r="A69" s="32" t="str">
        <x:v>DEC-R35-065</x:v>
      </x:c>
      <x:c r="B69" s="32" t="n">
        <x:v>46261.781343</x:v>
      </x:c>
      <x:c r="C69" s="32" t="str">
        <x:v>R3.5D Management / Decisions</x:v>
      </x:c>
      <x:c r="D69" s="32" t="str">
        <x:v>Cerrar D-008 como PASS/GREEN: cursor-first + pending durable conserva y reprocesa exactamente 50 Decisions entregadas antes de sus requests, sin relajar causalidad temporal.</x:v>
      </x:c>
      <x:c r="E69" s="32" t="str">
        <x:v>El run autoritativo y el WAL independiente coinciden. No hay commit de Decisions a +45/+50/+55; a +60 se persisten exactamente 50 requests y a +65 aparecen exactamente 50 APPLIED/effects. El harness observó el set exacto de 50 locators pending antes y después del request commit, fresh Decision count=50 y read_at=200. Final cursors=12800/12800, pending=0/0/0, remaining=585 s, WAL=200 / 2,775,850 bytes y durable==materialized.</x:v>
      </x:c>
      <x:c r="F69" s="32" t="str">
        <x:v>D-008 7b0edb58-fa4f-4fca-9c11-cfda59d5c5c2; F-D008-001; harness 0.1.0</x:v>
      </x:c>
      <x:c r="G69" s="32" t="str">
        <x:v>D-008 valida el contrato de pending correlation end-to-end. Receipt-before-decision-cursor no aplica a este caso: el cursor avanza primero de forma intencional y la seguridad está en el locator pending durable. No hay finding de producto abierto.</x:v>
      </x:c>
      <x:c r="H69" s="32" t="str">
        <x:v>Accepted</x:v>
      </x:c>
      <x:c r="I69" s="32" t="str">
        <x:v>Diseñar D-009 como pipeline concurrente sostenido Management + Decisions.</x:v>
      </x:c>
    </x:row>
    <x:row r="70">
      <x:c r="A70" s="32" t="str">
        <x:v>DEC-R35-066</x:v>
      </x:c>
      <x:c r="B70" s="32" t="n">
        <x:v>46261.7822</x:v>
      </x:c>
      <x:c r="C70" s="32" t="str">
        <x:v>R3.5D Management / Decisions</x:v>
      </x:c>
      <x:c r="D70" s="32" t="str">
        <x:v>Proponer D-009 como mixed continuous pipeline en una sola ejecución: 480 request-producing ManagementAction @1/s desde +30 s y 480 matching APPROVED Decisions @1/s desde +60 s.</x:v>
      </x:c>
      <x:c r="E70" s="32" t="str">
        <x:v>Ahora sí es correcto mezclar ambos streams: D-002/D-006 aislaron throughput individual, D-008 validó pending correlation y D-009 busca explícitamente interferencia concurrente. Un lag de 30 s conserva requested_at &lt; decided_at y normalmente permite request durable antes de cada Decision, mientras mantiene ~450 s de overlap. 480 inputs dejan ~60 s de tail dentro de un run de 600 s.</x:v>
      </x:c>
      <x:c r="F70" s="32" t="str">
        <x:v>D-002 PASS/GREEN; D-006 PASS/GREEN; D-008 PASS/GREEN; DEC-R35-065</x:v>
      </x:c>
      <x:c r="G70" s="32" t="str">
        <x:v>Hard gates: 480 PENDING_APPROVAL + 480 APPLIED, effects exactos, cursors=122880/122880, final pending=0, no loss/duplicates/wrong correlation/window mismatch y durable==materialized. Pending high-water y read_at amplification son caracterización, no FAIL automático si convergen correctamente.</x:v>
      </x:c>
      <x:c r="H70" s="32" t="str">
        <x:v>Accepted</x:v>
      </x:c>
      <x:c r="I70" s="32" t="str">
        <x:v>Implementar D-009 como harness-only mixed single-execution y ejecutar gate Python 3.14.2 + UV.</x:v>
      </x:c>
    </x:row>
    <x:row r="71">
      <x:c r="A71" s="32" t="str">
        <x:v>DEC-R35-067</x:v>
      </x:c>
      <x:c r="B71" s="32" t="n">
        <x:v>46261.8</x:v>
      </x:c>
      <x:c r="C71" s="32" t="str">
        <x:v>R3.5D Management / Decisions</x:v>
      </x:c>
      <x:c r="D71" s="32" t="str">
        <x:v>Liberar D-009 harness 0.1.0 para mixed Management + Decisions continuous en una sola ejecución, sin reutilizar el runner two-phase de D-006/D-007.</x:v>
      </x:c>
      <x:c r="E71" s="32" t="str">
        <x:v>El escenario mixed se identifica por multi-input sostenido con Decision start posterior al Management start. Un único source coordina ambos streams, mantiene un request/decision pair por índice con lag fijo y limita fresh visibility por reloj monotónico + iteration.as_of. El consumer de performance registra receipts nuevos de ambos streams en cada replace_state para medir ciclos realmente mixtos, latencias separadas, batch distributions y pending amplification sin convertir pending transitorio en FAIL.</x:v>
      </x:c>
      <x:c r="F71" s="32" t="str">
        <x:v>D-008 PASS/GREEN; D-006/D-007 baselines; DEC-R35-066; D-009 harness patch 0.1.0</x:v>
      </x:c>
      <x:c r="G71" s="32" t="str">
        <x:v>Cambio exclusivamente de harness. Hard FAIL queda reservado para pérdida, duplicación, correlación/identidad/ventana incorrecta, cursores finales inexactos, pending final no resuelto o divergencia durable/materialized. Pending high-water y read_at son métricas de caracterización mientras converjan.</x:v>
      </x:c>
      <x:c r="H71" s="32" t="str">
        <x:v>Accepted</x:v>
      </x:c>
      <x:c r="I71" s="32" t="str">
        <x:v>Ejecutar Ruff/format y suite completa Python 3.14.2 + UV. Si queda 286/286, correr D-009 limpio por 600 s.</x:v>
      </x:c>
    </x:row>
    <x:row r="72">
      <x:c r="A72" s="32" t="str">
        <x:v>DEC-R35-068</x:v>
      </x:c>
      <x:c r="B72" s="32" t="n">
        <x:v>46261.80470561192</x:v>
      </x:c>
      <x:c r="C72" s="32" t="str">
        <x:v>R3.5D Management / Decisions</x:v>
      </x:c>
      <x:c r="D72" s="32" t="str">
        <x:v>Cerrar D-009 como PASS/GREEN: Management request ingress y matching Decisions sostienen overlap continuo sin pending de stream, pérdida, duplicación ni divergencia durable.</x:v>
      </x:c>
      <x:c r="E72" s="32" t="str">
        <x:v>Run 1cfa0555-b0c9-4674-b249-9dbde1f1d141: 480/480 PENDING_APPROVAL/APPLIED, effects exactos, 91 mixed receipt cycles, cursors=122880/122880, final pending=0/0/0. Request/Decision p95=5190.44/5195.30 ms; pending stream high-water=0/0, pending request high-water=30; mixed cycle p95≈1101.77 ms. WAL independiente: 1250 records / 11,894,761 bytes, 0 duplicate commits/chains/snapshot mismatches and durable==materialized.</x:v>
      </x:c>
      <x:c r="F72" s="32" t="str">
        <x:v>D-009 1cfa0555-b0c9-4674-b249-9dbde1f1d141; F-D009-001; harness 0.1.0</x:v>
      </x:c>
      <x:c r="G72" s="32" t="str">
        <x:v>D-009 demuestra que el mixed ingress no introduce un cuello nuevo respecto de los baselines aislados. Pending/read_at permanecen cero con 30 s de lag. No hay finding de producto abierto.</x:v>
      </x:c>
      <x:c r="H72" s="32" t="str">
        <x:v>Accepted</x:v>
      </x:c>
      <x:c r="I72" s="32" t="str">
        <x:v>Diseñar D-010 como late Decision burst después de remover las alarmas objetivo mediante configuración.</x:v>
      </x:c>
    </x:row>
    <x:row r="73">
      <x:c r="A73" s="32" t="str">
        <x:v>DEC-R35-069</x:v>
      </x:c>
      <x:c r="B73" s="32" t="n">
        <x:v>46261.8055</x:v>
      </x:c>
      <x:c r="C73" s="32" t="str">
        <x:v>R3.5D Management / Decisions</x:v>
      </x:c>
      <x:c r="D73" s="32" t="str">
        <x:v>Proponer D-010 como burst de 100 late APPROVED Decisions contra requests válidos cuyos targets fueron REMOVED por una revisión de configuración entre request y decision.</x:v>
      </x:c>
      <x:c r="E73" s="32" t="str">
        <x:v>Una acción por los 100 priority groups crea 100 PENDING_APPROVAL a +30 s. Una revisión target a +60 s elimina exactamente esas 100 identidades mediante el adoption planner/executor real, cerrando sus occurrences con CONFIGURATION_REMOVED. A +90 s las Decisions originales deben responder STALE_TARGET porque el request sigue apuntando al occurrence anterior, no porque esté expirado. 100 targets cubren todos los grupos sin repetir throughput sostenido ya cerrado.</x:v>
      </x:c>
      <x:c r="F73" s="32" t="str">
        <x:v>D-009 PASS/GREEN; existing Core STALE_TARGET contract; existing runtime consumer stale-target test</x:v>
      </x:c>
      <x:c r="G73" s="32" t="str">
        <x:v>No modificar snapshots directamente ni recrear targets. Hard gate propuesto: 100 STALE_TARGET, 0 APPLIED, 0 DeactivationEffect, pending final=0, exact original request correlation, final target revision con 900 alarmas. Los conteos secundarios de adoption se fijarán después de leer/implementar el contrato actual.</x:v>
      </x:c>
      <x:c r="H73" s="32" t="str">
        <x:v>Accepted</x:v>
      </x:c>
      <x:c r="I73" s="32" t="str">
        <x:v>Implementar D-010 con adoption real, gate STALE_TARGET y ejecutar Python 3.14.2 + UV.</x:v>
      </x:c>
    </x:row>
    <x:row r="74">
      <x:c r="A74" s="32" t="str">
        <x:v>DEC-R35-070</x:v>
      </x:c>
      <x:c r="B74" s="32" t="n">
        <x:v>46261.82</x:v>
      </x:c>
      <x:c r="C74" s="32" t="str">
        <x:v>R3.5D Management / Decisions</x:v>
      </x:c>
      <x:c r="D74" s="32" t="str">
        <x:v>Liberar D-010 harness 0.1.0 para late Decision after configuration removal, usando el resolver y Configuration Adoption executor reales.</x:v>
      </x:c>
      <x:c r="E74" s="32" t="str">
        <x:v>El harness añade un source de inputs stale-target y un source de revisión programada. PERF-AC-2 se construye con 900 alarmas removiendo exactamente el primer slot de perf-group-001..100, sin compactar índices de parámetros. A +60 el resolver adopta esa revisión por el flujo productivo. El gate secundario se fijó desde el contrato real: 100 occurrence CLOSED/CONFIGURATION_REMOVED y 100 ManagementEffect CLEARED. A +90 cada Decision original debe producir exactamente STALE_TARGET; se exige un journey stale por decision y se prohíbe cualquier DeactivationEffect.</x:v>
      </x:c>
      <x:c r="F74" s="32" t="str">
        <x:v>D-009 PASS/GREEN; DEC-R35-069; Core STALE_TARGET contract; configuration adoption executor; D-010 harness patch 0.1.0</x:v>
      </x:c>
      <x:c r="G74" s="32" t="str">
        <x:v>Cambio exclusivamente de harness. No se hardcodean assignment changes porque removal quita el target antes de routing y ese conteo no forma parte del contrato primario. El WAL sí tiene forma exacta para este run corto: 400 commits esperados. Core, Persistence y Runtime no se modifican.</x:v>
      </x:c>
      <x:c r="H74" s="32" t="str">
        <x:v>Accepted</x:v>
      </x:c>
      <x:c r="I74" s="32" t="str">
        <x:v>Ejecutar Ruff/format y suite completa Python 3.14.2 + UV. Si queda 290/290, correr D-010 limpio por 180 s.</x:v>
      </x:c>
    </x:row>
    <x:row r="75">
      <x:c r="A75" s="32" t="str">
        <x:v>DEC-R35-071</x:v>
      </x:c>
      <x:c r="B75" s="32" t="n">
        <x:v>46261.84</x:v>
      </x:c>
      <x:c r="C75" s="32" t="str">
        <x:v>R3.5D Management / Decisions</x:v>
      </x:c>
      <x:c r="D75" s="32" t="str">
        <x:v>Corregir exclusivamente el empaquetado de D-010 de 0.1.0 a 0.1.1: restaurar el prefijo stage-relative `scopes/ada/processes/alarms-runtime/` en los 7 archivos del patch.</x:v>
      </x:c>
      <x:c r="E75" s="32" t="str">
        <x:v>El gate 0.1.0 mostró Ruff/format verdes pero sólo 286 tests, exactamente el suite D-009. Auditoría del ZIP confirmó que las 4 pruebas D-010 sí estaban presentes, pero bajo `tests/...` en la raíz del archivo; al aplicar desde `atlanticus-stage` no modificaron el paquete real. D-009 0.1.0 sí tenía el prefijo correcto. El patch 0.1.1 conserva byte-a-byte los 7 payloads y cambia únicamente sus rutas dentro del ZIP.</x:v>
      </x:c>
      <x:c r="F75" s="32" t="str">
        <x:v>D-010 gate attempt 286 passed in 11.41 s; archive inspection 0.1.0 vs D-009; patch 0.1.1</x:v>
      </x:c>
      <x:c r="G75" s="32" t="str">
        <x:v>No se abre finding de producto ni se cambia el harness. Deben eliminarse los directorios raíz `performance/` y `tests/` creados accidentalmente por 0.1.0 antes de aplicar 0.1.1.</x:v>
      </x:c>
      <x:c r="H75" s="32" t="str">
        <x:v>Accepted</x:v>
      </x:c>
      <x:c r="I75" s="32" t="str">
        <x:v>Aplicar 0.1.1 desde atlanticus-stage y repetir el mismo gate; resultado esperado 290/290.</x:v>
      </x:c>
    </x:row>
    <x:row r="76">
      <x:c r="A76" s="32" t="str">
        <x:v>DEC-R35-072</x:v>
      </x:c>
      <x:c r="B76" s="32" t="n">
        <x:v>46261.845</x:v>
      </x:c>
      <x:c r="C76" s="32" t="str">
        <x:v>R3.5D Management / Decisions</x:v>
      </x:c>
      <x:c r="D76" s="32" t="str">
        <x:v>Corregir D-010 harness de 0.1.1 a 0.1.2 para preparar iteration.as_of también en StaleTargetDeactivationInputSource antes del primer read_after de bootstrap.</x:v>
      </x:c>
      <x:c r="E76" s="32" t="str">
        <x:v>El run 93dc873a-4511-4bcd-9f8c-3e7e0ee932db falló en la primera iteración antes de producir trabajo. PerformanceAlarmDurableInputConsumer.execute ya invocaba prepare_iteration para Sustained request/decision, Inverted y Mixed, pero omitía StaleTarget. La clase StaleTarget ya implementaba correctamente prepare_iteration y exigía ese valor en read_after. El fix agrega la clase al mismo dispatch y una regresión que verifica el orden prepare_iteration → AlarmDurableInputConsumer.execute durante bootstrap.</x:v>
      </x:c>
      <x:c r="F76" s="32" t="str">
        <x:v>D-010 failed workload attempt 93dc873a-4511-4bcd-9f8c-3e7e0ee932db; baseline.py line 3343/2607; patch 0.1.2</x:v>
      </x:c>
      <x:c r="G76" s="32" t="str">
        <x:v>Harness-only. No Core, Persistence, Runtime, revision resolver ni adoption executor se modifica. El intento fallido no constituye resultado funcional D-010 porque terminó con iterations=0/work=0. Expected full suite after one new regression: 291.</x:v>
      </x:c>
      <x:c r="H76" s="32" t="str">
        <x:v>Accepted</x:v>
      </x:c>
      <x:c r="I76" s="32" t="str">
        <x:v>Aplicar 0.1.2 sobre 0.1.1, repetir Ruff/format/pytest y sólo con 291/291 relanzar D-010 desde volumen limpio.</x:v>
      </x:c>
    </x:row>
    <x:row r="77">
      <x:c r="A77" s="32" t="str">
        <x:v>DEC-R35-073</x:v>
      </x:c>
      <x:c r="B77" s="32" t="n">
        <x:v>46261.855</x:v>
      </x:c>
      <x:c r="C77" s="32" t="str">
        <x:v>R3.5D Management / Decisions</x:v>
      </x:c>
      <x:c r="D77" s="32" t="str">
        <x:v>Corregir D-010 harness de 0.1.2 a 0.1.3 para excluir stale-target del runner multi-decision two-phase y mantener D-010 en la ejecución single-run prevista.</x:v>
      </x:c>
      <x:c r="E77" s="32" t="str">
        <x:v>El segundo intento D-010 avanzó correctamente por bootstrap, request burst y adoption real, pero `main()` evaluó sólo multi-decision + not inverted + not mixed y por eso eligió `_run_sustained_deactivation_decisions`. D-010 tiene count=100 y stale-target=true, por lo que esa selección era incorrecta. 0.1.3 encapsula el contrato de routing y exige además `not has_stale_target_deactivation_pressure`. La regresión verifica D-010=false y D-007=true para el runner two-phase.</x:v>
      </x:c>
      <x:c r="F77" s="32" t="str">
        <x:v>D-010 attempts 6b806d0b... / 12f1d6f4...; run.py main routing condition; patch 0.1.3</x:v>
      </x:c>
      <x:c r="G77" s="32" t="str">
        <x:v>Harness-only. No Core, Persistence, Runtime, input source, metrics ni adoption se modifica. El intento no se adjudica porque terminó en el builder de métricas incorrecto después de ejecutar dos runs.</x:v>
      </x:c>
      <x:c r="H77" s="32" t="str">
        <x:v>Accepted</x:v>
      </x:c>
      <x:c r="I77" s="32" t="str">
        <x:v>Aplicar 0.1.3 sobre 0.1.2, repetir Ruff/format/pytest y sólo con 292/292 relanzar D-010 desde volumen limpio.</x:v>
      </x:c>
    </x:row>
    <x:row r="78">
      <x:c r="A78" s="32" t="str">
        <x:v>DEC-R35-074</x:v>
      </x:c>
      <x:c r="B78" s="32" t="n">
        <x:v>46261.86</x:v>
      </x:c>
      <x:c r="C78" s="32" t="str">
        <x:v>R3.5D Management / Decisions</x:v>
      </x:c>
      <x:c r="D78" s="32" t="str">
        <x:v>Corregir exclusivamente el fixture de la regresión de routing D-010/D-007 en harness 0.1.4; mantener sin cambios la implementación de routing 0.1.3.</x:v>
      </x:c>
      <x:c r="E78" s="32" t="str">
        <x:v>El gate 0.1.3 llegó a 290 PASS y 1 FAIL. El FAIL ocurrió antes del assertion: ambos BaselineScenario de la regresión omitían `data_profile=latest-narrow` a pesar de habilitar Management pressure. Se agregan a ambos fixtures los parámetros canónicos data_refresh=10, latest-narrow, physical_partition_count=36 y balanced layout. El test count no cambia.</x:v>
      </x:c>
      <x:c r="F78" s="32" t="str">
        <x:v>D-010 0.1.3 gate: 1 failed / 290 passed; traceback BaselineScenario.__post_init__; patch 0.1.4</x:v>
      </x:c>
      <x:c r="G78" s="32" t="str">
        <x:v>Test-only. No production code, Core, Persistence, Runtime, source, metrics, resolver ni adoption cambian. El routing fix 0.1.3 sigue siendo el código bajo validación.</x:v>
      </x:c>
      <x:c r="H78" s="32" t="str">
        <x:v>Accepted</x:v>
      </x:c>
      <x:c r="I78" s="32" t="str">
        <x:v>Aplicar 0.1.4 sobre 0.1.3 y repetir Ruff/format/pytest; esperado 292/292 antes de relanzar D-010.</x:v>
      </x:c>
    </x:row>
    <x:row r="79">
      <x:c r="A79" s="32" t="str">
        <x:v>DEC-R35-075</x:v>
      </x:c>
      <x:c r="B79" s="32" t="n">
        <x:v>46261.865</x:v>
      </x:c>
      <x:c r="C79" s="32" t="str">
        <x:v>R3.5D Management / Decisions</x:v>
      </x:c>
      <x:c r="D79" s="32" t="str">
        <x:v>Restaurar en D-010 harness 0.1.5 la regresión bootstrap de 0.1.2 que se perdió al construir el test payload 0.1.3, manteniendo simultáneamente la regresión de routing corregida por 0.1.4.</x:v>
      </x:c>
      <x:c r="E79" s="32" t="str">
        <x:v>Comparación directa de los ZIP: 0.1.2 tenía 91 funciones test e incluía `test_stale_target_consumer_prepares_iteration_as_of_before_bootstrap_read`; 0.1.3 también tenía 91 porque agregó `test_stale_target_scenario_routes_to_single_execution_not_two_phase` pero eliminó accidentalmente la regresión bootstrap. 0.1.4 corrigió el fixture de routing y sus 291 tests pasaron, validando ese routing. 0.1.5 restaura exactamente la prueba bootstrap, elevando el archivo a 92 funciones test.</x:v>
      </x:c>
      <x:c r="F79" s="32" t="str">
        <x:v>D-010 0.1.4 gate: 291 passed in 3.52 s; direct ZIP diff 0.1.2→0.1.3→0.1.4; patch 0.1.5</x:v>
      </x:c>
      <x:c r="G79" s="32" t="str">
        <x:v>Test-only. No production code cambia. Clock fix 0.1.2 y routing fix 0.1.3 permanecen intactos. Este incremento corrige cobertura acumulativa, no comportamiento.</x:v>
      </x:c>
      <x:c r="H79" s="32" t="str">
        <x:v>Accepted</x:v>
      </x:c>
      <x:c r="I79" s="32" t="str">
        <x:v>Aplicar 0.1.5 sobre 0.1.4 y repetir gate; esperado verdadero 292/292 antes de relanzar D-010.</x:v>
      </x:c>
    </x:row>
    <x:row r="80">
      <x:c r="A80" s="32" t="str">
        <x:v>DEC-R35-076</x:v>
      </x:c>
      <x:c r="B80" s="32" t="n">
        <x:v>46261.8568</x:v>
      </x:c>
      <x:c r="C80" s="32" t="str">
        <x:v>R3.5D Management / Decisions</x:v>
      </x:c>
      <x:c r="D80" s="32" t="str">
        <x:v>Clasificar el FAIL del run D-010 550948d8... como falso negativo del harness y liberar 0.1.6 para alinear la adjudicación con la serialización durable real.</x:v>
      </x:c>
      <x:c r="E80" s="32" t="str">
        <x:v>Auditoría independiente reconstruyó 100/100 request→configuration removal→STALE_TARGET chains sin errores. OccurrenceChange persiste `closure_reason=configuration_removed`, no uppercase. El stale journey no serializa `discriminator`; cada commit decision contiene exactamente un DEACTIVATION_DECISION receipt y un `deactivation_decision_stale_target` journey del mismo alarm/occurrence/priority group. 0.1.6 usa esas dos propiedades reales para contar closures y correlacionar.</x:v>
      </x:c>
      <x:c r="F80" s="32" t="str">
        <x:v>Run 550948d8-3846-4cce-9f7b-29ed40bef027; independent WAL/snapshot audit; F-D010-001; patch 0.1.6</x:v>
      </x:c>
      <x:c r="G80" s="32" t="str">
        <x:v>Harness-only adjudication fix. No Core, Persistence, Runtime, source, revision resolver ni adoption executor cambia. Este run es evidencia de producto GREEN, pero D-010 permanece abierto hasta un rerun PASS del harness.</x:v>
      </x:c>
      <x:c r="H80" s="32" t="str">
        <x:v>Accepted</x:v>
      </x:c>
      <x:c r="I80" s="32" t="str">
        <x:v>Aplicar 0.1.6, repetir suite 292/292 y ejecutar una confirmación D-010 limpia de 180 s.</x:v>
      </x:c>
    </x:row>
    <x:row r="81">
      <x:c r="A81" s="32" t="str">
        <x:v>DEC-R35-077</x:v>
      </x:c>
      <x:c r="B81" s="32" t="n">
        <x:v>46261.8751</x:v>
      </x:c>
      <x:c r="C81" s="32" t="str">
        <x:v>R3.5D Management / Decisions</x:v>
      </x:c>
      <x:c r="D81" s="32" t="str">
        <x:v>Cerrar D-010 como PASS/GREEN y cerrar R3.5D 10/10 tras gate 0.1.6 292/292, run autoritativo PASS y auditoría durable independiente convergente.</x:v>
      </x:c>
      <x:c r="E81" s="32" t="str">
        <x:v>Run 24b97fa3-80b4-4f25-bab1-ca074d05590c: 100 PENDING_APPROVAL, 100 configuration_removed closures, 100 ManagementEffect STARTED/CLEARED, 100 STALE_TARGET, 0 APPLIED/DeactivationEffect, exact cursors 25600/25600 y pending=0/0/0. WAL=400 / 4,037,700 B with 100 groups × 4 records, 0 duplicate commits, 0 chain/snapshot mismatches, final 900 alarms and durable==materialized. One 5499.03 ms adoption overrun is accepted as Info characterization because correctness is exact and performance class remains GREEN.</x:v>
      </x:c>
      <x:c r="F81" s="32" t="str">
        <x:v>D-010 run 24b97fa3-80b4-4f25-bab1-ca074d05590c; harness 0.1.6 gate 292/292; F-D010-001; F-D010-002; results ZIP sha256 8cb8733c...; work ZIP sha256 43ff5feac...</x:v>
      </x:c>
      <x:c r="G81" s="32" t="str">
        <x:v>No open product finding remains in R3.5D. The adoption overrun becomes a reference point for R3.5E rather than a blocker. R3.5D Management/Decisions is complete 10/10.</x:v>
      </x:c>
      <x:c r="H81" s="32" t="str">
        <x:v>Accepted</x:v>
      </x:c>
      <x:c r="I81" s="32" t="str">
        <x:v>Begin R3.5E with E-001 Parameter-only adoption design; explicitly observe adoption duration against D-010.</x:v>
      </x:c>
    </x:row>
    <x:row r="82">
      <x:c r="A82" s="32" t="str">
        <x:v>DEC-R35-078</x:v>
      </x:c>
      <x:c r="B82" s="32" t="n">
        <x:v>46261.89</x:v>
      </x:c>
      <x:c r="C82" s="32" t="str">
        <x:v>R3.5E Configuration / Failure</x:v>
      </x:c>
      <x:c r="D82" s="32" t="str">
        <x:v>Definir E-001 como adopción parameter-only COMPATIBLE de PERF-AC-1 threshold 0.50 a PERF-AC-2 threshold 0.75 sobre 1000 alarmas ACTIVE, con ejecución única de 180 s y gate durable de cero commits artificiales.</x:v>
      </x:c>
      <x:c r="E82" s="32" t="str">
        <x:v>El contrato real clasifica cambios sólo de parameters como COMPATIBLE. AlarmConfigurationAdoptionExecutor devuelve commit_result=None si no existen materializations; JobComposition promueve entonces PERF-AC-2 y ejecuta el ciclo operacional normal en la misma iteración. Como signal=1.00 permanece ACTIVE para ambos thresholds y Evidence sampling es 300 s, una ejecución de 180 s no debe generar commits posteriores al bootstrap. Se exige cache efectivo PERF-AC-2 con snapshots state_basis PERF-AC-1 y WAL exacto=100.</x:v>
      </x:c>
      <x:c r="F82" s="32" t="str">
        <x:v>Contract inspection: plan_configuration_adoption, AlarmConfigurationAdoptionExecutor, AlarmRuntimeJobComposition._adopt_candidate, materialize_evidence/materialize_group_commit; E-001 harness 0.1.0 SHA-256 6c121a973538562e6e9bee0d6e046107cacb7a588109576d4166aedd60d14d85</x:v>
      </x:c>
      <x:c r="G82" s="32" t="str">
        <x:v>Harness-only: 7 files baseline/metrics/run + commented mirrors + tests. No product source, versions, dependencies or locks. D-010 5499.03 ms adoption duration is retained only as characterization reference.</x:v>
      </x:c>
      <x:c r="H82" s="32" t="str">
        <x:v>Accepted</x:v>
      </x:c>
      <x:c r="I82" s="32" t="str">
        <x:v>Apply harness on GLONBW11 and require Ruff/format green + 296/296 before running E-001 workload.</x:v>
      </x:c>
    </x:row>
    <x:row r="83">
      <x:c r="A83" s="32" t="str">
        <x:v>DEC-R35-079</x:v>
      </x:c>
      <x:c r="B83" s="32" t="n">
        <x:v>46261.902</x:v>
      </x:c>
      <x:c r="C83" s="32" t="str">
        <x:v>R3.5E Configuration / Failure</x:v>
      </x:c>
      <x:c r="D83" s="32" t="str">
        <x:v>Corregir exclusivamente el fixture RuntimeManifest de la regresión E-001 en harness 0.1.1, cambiando schema_version de int 1 a string '1'.</x:v>
      </x:c>
      <x:c r="E83" s="32" t="str">
        <x:v>El gate 0.1.0 quedó Ruff/format verde y pytest 295 PASS / 1 FAIL. El FAIL ocurrió antes del assertion de E-001 porque RuntimeManifest.__post_init__ valida schema_version con `_required_text()`. El fixture sintético usó un tipo inválido; el contrato productivo exige string no vacío. No se modifica ni relaja la validación productiva.</x:v>
      </x:c>
      <x:c r="F83" s="32" t="str">
        <x:v>E-001 gate 0.1.0: 1 failed / 295 passed; revision_resolution.py RuntimeManifest contract; patch 0.1.1</x:v>
      </x:c>
      <x:c r="G83" s="32" t="str">
        <x:v>Test-only. No baseline/metrics/run, Core, Runtime, resolver, adoption, versions, dependencies o locks cambian. El suite esperado permanece en 296.</x:v>
      </x:c>
      <x:c r="H83" s="32" t="str">
        <x:v>Accepted</x:v>
      </x:c>
      <x:c r="I83" s="32" t="str">
        <x:v>Aplicar 0.1.1 sobre 0.1.0 y repetir Ruff/format/pytest; sólo con 296/296 ejecutar workload E-001.</x:v>
      </x:c>
    </x:row>
    <x:row r="84">
      <x:c r="A84" s="32" t="str">
        <x:v>DEC-R35-080</x:v>
      </x:c>
      <x:c r="B84" s="32" t="n">
        <x:v>46261.91</x:v>
      </x:c>
      <x:c r="C84" s="32" t="str">
        <x:v>R3.5E Configuration / Failure</x:v>
      </x:c>
      <x:c r="D84" s="32" t="str">
        <x:v>Corregir el fixture RuntimeManifest E-001 para consumir directamente `RUNTIME_MANIFEST_SCHEMA_VERSION` en vez de hardcodear `'1'`.</x:v>
      </x:c>
      <x:c r="E84" s="32" t="str">
        <x:v>El gate 0.1.1 confirmó que schema_version no sólo debe ser string: debe coincidir exactamente con el schema soportado por RuntimeManifest. El contrato público exporta `RUNTIME_MANIFEST_SCHEMA_VERSION` y su valor actual es `alarm-runtime-manifest.v1`; otros tests productivos ya usan esta constante. Usarla en E-001 evita duplicar un literal contractual y mantiene la regresión alineada a futuras revisiones.</x:v>
      </x:c>
      <x:c r="F84" s="32" t="str">
        <x:v>E-001 gate 0.1.1: 1 failed / 295 passed; revision_resolution.py constant and existing resolver/composition tests; patch 0.1.2 SHA-256 81ec7daa725fbec330f3639515552a6ce3326af661be782da0b6e25c34441c09</x:v>
      </x:c>
      <x:c r="G84" s="32" t="str">
        <x:v>Test-only. No baseline/metrics/run, Core, Runtime, resolver, adoption, versions, dependencies o locks cambian. Suite esperado permanece 296.</x:v>
      </x:c>
      <x:c r="H84" s="32" t="str">
        <x:v>Accepted</x:v>
      </x:c>
      <x:c r="I84" s="32" t="str">
        <x:v>Aplicar 0.1.2 sobre 0.1.1 y repetir Ruff/format/pytest; sólo con 296/296 ejecutar workload E-001.</x:v>
      </x:c>
    </x:row>
    <x:row r="85">
      <x:c r="A85" s="32" t="str">
        <x:v>DEC-R35-081</x:v>
      </x:c>
      <x:c r="B85" s="32" t="n">
        <x:v>46261.918</x:v>
      </x:c>
      <x:c r="C85" s="32" t="str">
        <x:v>R3.5E Configuration / Failure</x:v>
      </x:c>
      <x:c r="D85" s="32" t="str">
        <x:v>Cerrar E-001 Parameter-only adoption como PASS/GREEN y aceptar como evidencia que una adopción 1000×COMPATIBLE promueve PERF-AC-2 sin fabricar commits durables ni reescribir snapshots.</x:v>
      </x:c>
      <x:c r="E85" s="32" t="str">
        <x:v>Run 29fdaf99-f789-4401-8866-a1cd9cff2bac: plan 1000 COMPATIBLE y cero otras dispositions; adoption iteration #13=1346.11 ms, cycle_executed=true; 24 iteraciones posteriores CACHE_CURRENT; cache final PERF-AC-2. WAL exacto 100 records / 2,030,800 B, todos PERF-AC-1 bootstrap y 0 PERF-AC-2; 100 snapshots siguen state_basis PERF-AC-1; 1000 occurrences abiertas; 0 duplicate commits/chains/materialized mismatches; 0 overruns. La adoption compatible fue ~75.5% más corta que la remoción D-010.</x:v>
      </x:c>
      <x:c r="F85" s="32" t="str">
        <x:v>E-001 run 29fdaf99-f789-4401-8866-a1cd9cff2bac; harness 0.1.2 gate 296/296; results ZIP sha256 c2c41ddac04b26114158899ad53c862ce853c08ff13537bb6e02fdb7cf81cd18; work ZIP sha256 96b1fbb88a15c170e530398aed0aa4fc65772e7aa3b8c8af582adf5d2fefb773</x:v>
      </x:c>
      <x:c r="G85" s="32" t="str">
        <x:v>No product finding. Confirms explicit separation between effective runtime configuration and durable state_basis when a compatible parameter adoption causes no operational state mutation.</x:v>
      </x:c>
      <x:c r="H85" s="32" t="str">
        <x:v>Accepted</x:v>
      </x:c>
      <x:c r="I85" s="32" t="str">
        <x:v>Proceed to E-002 C2 routing adoption design.</x:v>
      </x:c>
    </x:row>
    <x:row r="86">
      <x:c r="A86" s="32" t="str">
        <x:v>DEC-R35-082</x:v>
      </x:c>
      <x:c r="B86" s="32" t="n">
        <x:v>46261.93</x:v>
      </x:c>
      <x:c r="C86" s="32" t="str">
        <x:v>R3.5E Configuration / Failure</x:v>
      </x:c>
      <x:c r="D86" s="32" t="str">
        <x:v>Definir E-002 como adopción C2 single-run de PERF-AC-1 delays (60,120,180) a PERF-AC-2 (60,90,150) en +90 s, preservando tres destinos e identidad de occurrence.</x:v>
      </x:c>
      <x:c r="E86" s="32" t="str">
        <x:v>El contrato real permite mutar routing C2 como COMPATIBLE. El punto +90 crea una reconciliación mixta y determinista: route-01 ya está ASSIGNED y se retiene; route-02 estaba pending y target due90 ya venció, por lo que se materializa ASSIGNED; route-03 sigue futuro pero cambia due180→150 y se materializa RESCHEDULED. AlarmConfigurationAdoptionExecutor debe escribir 100 group commits, promover PERF-AC-2 y omitir el ciclo operacional de esa iteración (`cycle_executed=false`). A +150 el pending restante se asigna por flujo normal.</x:v>
      </x:c>
      <x:c r="F86" s="32" t="str">
        <x:v>Contract inspection: C2 routing reconciliation, plan_configuration_adoption, AlarmConfigurationAdoptionExecutor, JobComposition._adopt_candidate; E-002 harness 0.1.0 SHA-256 0e4b544b206a7a9134f8b24d241adef56ed3b09d41c5b9d51a99bad380c9b94c</x:v>
      </x:c>
      <x:c r="G86" s="32" t="str">
        <x:v>Harness-only. Distinct from C-007 two-phase reschedule. No Core, Runtime, resolver, adoption implementation, versions, dependencies or locks change. D-010 5499.03 ms remains characterization reference only, not hard fail.</x:v>
      </x:c>
      <x:c r="H86" s="32" t="str">
        <x:v>Accepted</x:v>
      </x:c>
      <x:c r="I86" s="32" t="str">
        <x:v>Apply E-002 harness 0.1.0 on GLONBW11; require Ruff/format green and 300/300 before workload.</x:v>
      </x:c>
    </x:row>
    <x:row r="87">
      <x:c r="A87" s="32" t="str">
        <x:v>DEC-R35-083</x:v>
      </x:c>
      <x:c r="B87" s="32" t="n">
        <x:v>46262.85100266656</x:v>
      </x:c>
      <x:c r="C87" s="32" t="str">
        <x:v>R3.5E Configuration / Failure</x:v>
      </x:c>
      <x:c r="D87" s="32" t="str">
        <x:v>Cerrar E-002 C2 routing adoption como PASS/GREEN tras gate 300/300, run autoritativo PASS y auditoría durable independiente que confirma reconciliación exacta dentro de una sola ejecución.</x:v>
      </x:c>
      <x:c r="E87" s="32" t="str">
        <x:v>Run b474c653-ee7b-4750-b90e-e5182ec82756: 1000 COMPATIBLE y cero otras dispositions. Bootstrap AC-1 crea origin + tres pending; +60 route-01 se asigna; +90 PERF-AC-2 adoption retiene route-01, asigna route-02 1000 veces y RESCHEDULED route-03 1000 veces a due +150, escribiendo exactamente 100 commits y cycle_executed=false; +150 route-03 se asigna. WAL=400 / 8,646,400 B con AC-1/AC-2=200/200; final assignments=4000, pending=0, 1000 occurrences originales abiertas, snapshots/cache PERF-AC-2; 0 duplicate commits, chain errors, occurrence mismatches o materialized mismatches. Adoption=1381.63 ms, p95=1837.70 ms, max=2272.82 ms, 0 overruns.</x:v>
      </x:c>
      <x:c r="F87" s="32" t="str">
        <x:v>E-002 run b474c653-ee7b-4750-b90e-e5182ec82756; harness 0.1.0 gate 300/300; results ZIP sha256 2576b56cbd9a3234b25ec2c23a95513f43cc3e65ac6967ef75ae9696df388a19; work ZIP sha256 f4396ea00ee81721e77112664dd0c663ae3cb81f32c85e5cb43f308a157d2c95</x:v>
      </x:c>
      <x:c r="G87" s="32" t="str">
        <x:v>No product/performance finding. Confirms that C2 routing reconciliation through real adoption preserves already assigned destinations, materializes due pending destinations and reschedules future pending destinations without identity corruption or duplicate assignment.</x:v>
      </x:c>
      <x:c r="H87" s="32" t="str">
        <x:v>Accepted</x:v>
      </x:c>
      <x:c r="I87" s="32" t="str">
        <x:v>Proceed to E-003 Disabled 10% configuration adoption design.</x:v>
      </x:c>
    </x:row>
    <x:row r="88">
      <x:c r="A88" s="32" t="str">
        <x:v>DEC-R35-084</x:v>
      </x:c>
      <x:c r="B88" s="32" t="n">
        <x:v>46262.88</x:v>
      </x:c>
      <x:c r="C88" s="32" t="str">
        <x:v>R3.5E Configuration / Failure</x:v>
      </x:c>
      <x:c r="D88" s="32" t="str">
        <x:v>Definir E-003 como adoption DISABLED 10% single-run: PERF-AC-2 conserva las 1000 identidades definidas pero excluye exactamente 100 de ejecución, una por cada priority group.</x:v>
      </x:c>
      <x:c r="E88" s="32" t="str">
        <x:v>La distinción DISABLED vs REMOVED depende del contrato de definición: una identidad con target plan=None pero todavía presente en defined_alarm_identities se clasifica DISABLED. Se selecciona el primer slot de cada uno de los 100 grupos para obtener 100 cierres configuration_disabled sin vaciar ningún grupo. Cada episode debe seguir abierto con 9 occurrences, y la adoption debe materializar exactamente 100 group commits. Duración 180 s para aislar bootstrap + adoption antes del sampling durable periódico de +300 s.</x:v>
      </x:c>
      <x:c r="F88" s="32" t="str">
        <x:v>Contract inspection: plan_configuration_adoption, AlarmConfigurationAdoptionExecutor and lifecycle reconcile_group_configuration; E-003 harness 0.1.0 SHA-256 4d87502e628e2c57f7d0db6397acb64a876d84f4bdb347e4dc6dd8c0548178c6</x:v>
      </x:c>
      <x:c r="G88" s="32" t="str">
        <x:v>Harness-only. No Core, Runtime, resolver/adoption implementation, versions, dependencies or locks change. Expected suite increases from 300 to 304.</x:v>
      </x:c>
      <x:c r="H88" s="32" t="str">
        <x:v>Accepted</x:v>
      </x:c>
      <x:c r="I88" s="32" t="str">
        <x:v>Apply E-003 harness 0.1.0 on GLONBW11; require Ruff/format green and 304/304 before workload.</x:v>
      </x:c>
    </x:row>
    <x:row r="89">
      <x:c r="A89" s="32" t="str">
        <x:v>DEC-R35-085</x:v>
      </x:c>
      <x:c r="B89" s="32" t="n">
        <x:v>46262.94284953304</x:v>
      </x:c>
      <x:c r="C89" s="32" t="str">
        <x:v>R3.5E Configuration / Failure</x:v>
      </x:c>
      <x:c r="D89" s="32" t="str">
        <x:v>Cerrar E-003 Disabled 10% como PASS/GREEN tras gate 304/304, run autoritativo PASS y auditoría durable independiente que confirma semántica DISABLED sin confundirla con REMOVED.</x:v>
      </x:c>
      <x:c r="E89" s="32" t="str">
        <x:v>Run 50b15483-d99c-40d2-93c6-79c1c1e369a6: adoption plan 900 UNCHANGED + 100 DISABLED y cero otras dispositions. A +60 s se materializan 100 group commits y cycle_executed=false; exactamente las alarmas alarm_00001, 00011, ..., 00991 cierran sus occurrences originales con configuration_disabled. 0 configuration_removed y 0 occurrence identity mismatches. WAL=200 / 2,658,600 B con AC-1/AC-2=100/100, 2 records por grupo, 0 duplicate commits/chains. Estado final: 100 snapshots state_basis PERF-AC-2, 9 alarms/grupo, 900 alarms/assignments/open occurrences, pending=0 y 100 episodes abiertos. Adoption=1093.36 ms, p95=968.33 ms, max=1699.95 ms, 0 overruns.</x:v>
      </x:c>
      <x:c r="F89" s="32" t="str">
        <x:v>E-003 run 50b15483-d99c-40d2-93c6-79c1c1e369a6; harness 0.1.0 gate 304/304; results ZIP sha256 cae770b2412e416efa90fba8c2cf534e8e409607e6ecafd12b06c3ac3c6ef119; work ZIP sha256 92343aa989a5e76723dfe399d3ee155bc628325deded62169b9bda6a1301189c</x:v>
      </x:c>
      <x:c r="G89" s="32" t="str">
        <x:v>No product/performance finding. Confirms that keeping an alarm identity defined while excluding it from the target execution session yields DISABLED, closes the original occurrence with configuration_disabled, preserves the remaining group episode and does not create removal semantics.</x:v>
      </x:c>
      <x:c r="H89" s="32" t="str">
        <x:v>Accepted</x:v>
      </x:c>
      <x:c r="I89" s="32" t="str">
        <x:v>Proceed to E-004 Removed 10% configuration adoption design.</x:v>
      </x:c>
    </x:row>
    <x:row r="90">
      <x:c r="A90" s="32" t="str">
        <x:v>DEC-R35-086</x:v>
      </x:c>
      <x:c r="B90" s="32" t="n">
        <x:v>46262.96</x:v>
      </x:c>
      <x:c r="C90" s="32" t="str">
        <x:v>R3.5E Configuration / Failure</x:v>
      </x:c>
      <x:c r="D90" s="32" t="str">
        <x:v>Definir E-004 como removal 10% con DeactivationEffect activo previo: 100 requests a +20 s, 100 approvals a +30 s y eliminación completa de esas 100 identidades en PERF-AC-2 a +60 s.</x:v>
      </x:c>
      <x:c r="E90" s="32" t="str">
        <x:v>El objetivo original incluye orphan deactivation handling. Core confirma que una closure CONFIGURATION_REMOVED termina el occurrence y limpia ManagementEffect, pero retiene un DeactivationEffect activo. Por eso E-004 no debe ser sólo E-003 cambiando closure_reason. Se remueve una alarma por cada grupo después de haber creado 100 effects aprobados. El estado final debe contener 900 alarmas operativas y 100 estados huérfanos con únicamente DeactivationEffect activo.</x:v>
      </x:c>
      <x:c r="F90" s="32" t="str">
        <x:v>Contract inspection: plan_configuration_adoption REMOVED semantics, AlarmConfigurationAdoptionExecutor, Core reconcile_group_configuration/_management_only_state and deactivation preservation tests; E-004 harness 0.1.0 SHA-256 3ee729e98026fa74f9a81e6c8509a391bca19093c0c25efccdaa4a53948b15a2</x:v>
      </x:c>
      <x:c r="G90" s="32" t="str">
        <x:v>Harness-only. No Core, Runtime, resolver/adoption implementation, versions, dependencies or locks change. Expected suite increases from 304 to 308.</x:v>
      </x:c>
      <x:c r="H90" s="32" t="str">
        <x:v>Accepted</x:v>
      </x:c>
      <x:c r="I90" s="32" t="str">
        <x:v>Apply E-004 harness 0.1.0 on GLONBW11; require Ruff/format green and 308/308 before workload.</x:v>
      </x:c>
    </x:row>
    <x:row r="91">
      <x:c r="A91" s="32" t="str">
        <x:v>DEC-R35-087</x:v>
      </x:c>
      <x:c r="B91" s="32" t="n">
        <x:v>46262.965</x:v>
      </x:c>
      <x:c r="C91" s="32" t="str">
        <x:v>R3.5E Configuration / Failure</x:v>
      </x:c>
      <x:c r="D91" s="32" t="str">
        <x:v>Corregir E-004 harness 0.1.1 para que el contrato REMOVED valide el porcentaje antes de correlacionar counts y permita fixtures reducidos con un único target removido.</x:v>
      </x:c>
      <x:c r="E91" s="32" t="str">
        <x:v>El gate 0.1.0 dejó Ruff/format verde y 306/308 tests. Los dos FAIL ocurren antes de cualquier workload/product path: un orden de validación devuelve un error secundario cuando removed_alarm_percent=0, y el fixture reducido de 10 alarmas produce legítimamente un solo target pero hereda una restricción `multi` propia de otros escenarios. La semántica E-004 requiere exactamente un management request y una decision por target removido, no que exista más de un target. StaleTargetDeactivationInputSource puede operar con input_count=1; D-010 mantiene su requisito multi en su propio contrato BaselineScenario.</x:v>
      </x:c>
      <x:c r="F91" s="32" t="str">
        <x:v>E-004 gate 0.1.0: 2 failed / 306 passed; patch 0.1.1 SHA-256 fdc3d34ae4fab2a1675d7cf5f537fd705d2a258589211cd70602040703881374</x:v>
      </x:c>
      <x:c r="G91" s="32" t="str">
        <x:v>Harness-only: baseline.py + commented mirror + tests. No metrics.py, run.py, Core, Runtime, versions, dependencies or locks. Test count stays 308.</x:v>
      </x:c>
      <x:c r="H91" s="32" t="str">
        <x:v>Accepted</x:v>
      </x:c>
      <x:c r="I91" s="32" t="str">
        <x:v>Apply 0.1.1 over 0.1.0 and rerun Ruff/format/pytest; execute E-004 workload only after 308/308.</x:v>
      </x:c>
    </x:row>
    <x:row r="92">
      <x:c r="A92" s="32" t="str">
        <x:v>DEC-R35-088</x:v>
      </x:c>
      <x:c r="B92" s="32" t="n">
        <x:v>46262.97</x:v>
      </x:c>
      <x:c r="C92" s="32" t="str">
        <x:v>R3.5E Configuration / Failure</x:v>
      </x:c>
      <x:c r="D92" s="32" t="str">
        <x:v>Adelantar en E-004 harness 0.1.2 la dependencia `removed_alarm_percent` → `removed_adoption_at_seconds &gt; 0` para que se valide antes de la clasificación genérica de deactivation pressure.</x:v>
      </x:c>
      <x:c r="E92" s="32" t="str">
        <x:v>El gate 0.1.1 quedó 307/308. El único FAIL mantiene removed_alarm_percent=10 pero apaga removed_adoption_at_seconds. El contrato específico ya existe más abajo en BaselineScenario, pero no es alcanzable porque los 100 request/decision hacen que el escenario sea clasificado primero como mixed deactivation pressure. Adelantar exactamente el mismo guard al bloque básico de validación corrige precedencia sin modificar ninguna semántica válida ni el workload real.</x:v>
      </x:c>
      <x:c r="F92" s="32" t="str">
        <x:v>E-004 gate 0.1.1: 1 failed / 307 passed; patch 0.1.2 SHA-256 a4b02f1da3753fb2c15f2aa214074c6f4f5728b9dc496d38cad56a6bb1ec7691</x:v>
      </x:c>
      <x:c r="G92" s="32" t="str">
        <x:v>Harness-only: baseline.py + commented mirror. No tests, metrics.py, run.py, Core, Runtime, versions, dependencies or locks. Suite expected remains 308.</x:v>
      </x:c>
      <x:c r="H92" s="32" t="str">
        <x:v>Accepted</x:v>
      </x:c>
      <x:c r="I92" s="32" t="str">
        <x:v>Apply 0.1.2 over 0.1.1 and rerun Ruff/format/pytest; execute workload only after 308/308.</x:v>
      </x:c>
    </x:row>
    <x:row r="93">
      <x:c r="A93" s="32" t="str">
        <x:v>DEC-R35-089</x:v>
      </x:c>
      <x:c r="B93" s="32" t="n">
        <x:v>46262.972951316224</x:v>
      </x:c>
      <x:c r="C93" s="32" t="str">
        <x:v>R3.5E Configuration / Failure</x:v>
      </x:c>
      <x:c r="D93" s="32" t="str">
        <x:v>Cerrar E-004 Removed 10% + orphan deactivation como PASS/GREEN tras gate 308/308, run autoritativo PASS y auditoría durable independiente de removal/control-plane/orphan state.</x:v>
      </x:c>
      <x:c r="E93" s="32" t="str">
        <x:v>Run 8ab0d2a9-b933-46df-bc4a-e84456299877: 900 UNCHANGED + 100 REMOVED. +20 s: 100 PENDING_APPROVAL + 100 ManagementEffect STARTED; +30 s: 100 APPLIED + 100 DeactivationEffect STARTED; +60 s: 100 removal commits, 100 configuration_removed closures, 100 ManagementEffect CLEARED, 0 DeactivationEffect CLEARED. Las 100 identidades first-slot se correlacionan exactamente desde request hasta orphan final y preservan occurrence_id en closure. Final: 900 operational occurrences/assignments, 100 open episodes y 100 deactivation-only orphan states; orphan occurrence/management=0. WAL=400 / 4,177,400 B, AC1/AC2=300/100, 4 records/group, 0 duplicate commits/chains/materialized mismatches; cursors=25600/25600, pending=0/0/0. Adoption=1102.53 ms, p95=1721.00 ms, max=1781.93 ms, 0 overruns.</x:v>
      </x:c>
      <x:c r="F93" s="32" t="str">
        <x:v>E-004 run 8ab0d2a9-b933-46df-bc4a-e84456299877; harness 0.1.2 gate 308/308; results ZIP sha256 91359707615159e9c75cca77af9622d9bba1f0a7321bbe847c5b1c07c2e1a486; work ZIP sha256 815409dadbda14e4257aeebaf79eccf524bc12fba3f33191db2de2f7478dfcff</x:v>
      </x:c>
      <x:c r="G93" s="32" t="str">
        <x:v>No product/performance finding. Confirms configuration removal closes and detaches operational identity while an active DeactivationEffect remains durable as deactivation-only control-plane state until its own lifecycle expires.</x:v>
      </x:c>
      <x:c r="H93" s="32" t="str">
        <x:v>Accepted</x:v>
      </x:c>
      <x:c r="I93" s="32" t="str">
        <x:v>Proceed to E-005 Structural reset 5% configuration adoption design.</x:v>
      </x:c>
    </x:row>
    <x:row r="94">
      <x:c r="A94" s="32" t="str">
        <x:v>DEC-R35-090</x:v>
      </x:c>
      <x:c r="B94" s="32" t="n">
        <x:v>46262.985</x:v>
      </x:c>
      <x:c r="C94" s="32" t="str">
        <x:v>R3.5E Configuration / Failure</x:v>
      </x:c>
      <x:c r="D94" s="32" t="str">
        <x:v>Definir E-005 como structural reset 5% sobre cinco priority groups completos: 50 alarms C3→C2 en PERF-AC-2 a +60 s, seguidas por reinicio obligatorio del epoch en la iteración inmediata siguiente.</x:v>
      </x:c>
      <x:c r="E94" s="32" t="str">
        <x:v>El planner clasifica criticality change como STRUCTURAL_RESET, pero el executor aplica structural_reset a nivel de priority group si cualquier change del grupo lo requiere. Distribuir 50 alarmas una por grupo resetearía 50% de los grupos y cerraría 500 occurrences. Para mantener el significado real de 5%, se cambian las 10 alarmas completas de los grupos 001..005. Adoption debe cerrar 50 occurrences + 5 episodes y escribir 5 commits; como commit_result existe, esa iteración no ejecuta cycle. La siguiente iteración debe ejecutar PERF-AC-2 y reiniciar exactamente esas 50 occurrences + 5 episodes con 5 commits adicionales.</x:v>
      </x:c>
      <x:c r="F94" s="32" t="str">
        <x:v>Contract inspection: plan_configuration_adoption criticality semantics, AlarmConfigurationAdoptionExecutor grouped changes, Core reset_group_for_reconfiguration and structural-reset execution test; E-005 harness 0.1.0 SHA-256 e4f262767505d2790e4d63205453ad1349d1a7a445c48ce3d71fd3781bd4024d</x:v>
      </x:c>
      <x:c r="G94" s="32" t="str">
        <x:v>Harness-only. No Core, Runtime, resolver/adoption implementation, versions, dependencies or locks change. Expected suite increases from 308 to 312.</x:v>
      </x:c>
      <x:c r="H94" s="32" t="str">
        <x:v>Accepted</x:v>
      </x:c>
      <x:c r="I94" s="32" t="str">
        <x:v>Apply E-005 harness 0.1.0 on GLONBW11; require Ruff/format green and 312/312 before workload.</x:v>
      </x:c>
    </x:row>
    <x:row r="95">
      <x:c r="A95" s="32" t="str">
        <x:v>DEC-R35-091</x:v>
      </x:c>
      <x:c r="B95" s="32" t="n">
        <x:v>46263.00818431062</x:v>
      </x:c>
      <x:c r="C95" s="32" t="str">
        <x:v>R3.5E Configuration / Failure</x:v>
      </x:c>
      <x:c r="D95" s="32" t="str">
        <x:v>Cerrar E-005 Structural reset 5% como PASS/GREEN tras gate 312/312 y auditoría independiente del reset group-scoped y del reinicio en la iteración inmediata siguiente.</x:v>
      </x:c>
      <x:c r="E95" s="32" t="str">
        <x:v>Run 501e21ca-8230-4335-9267-4ff98f711a76: 950 UNCHANGED + 50 STRUCTURAL_RESET exactamente en grupos 001..005. Adoption #13=394.88 ms, 5 commits, cycle_executed=false; cierra 50 occurrences configuration_reconfigured y 5 episodes configuration_terminated. Iteration #14 arranca ~396.11 ms después, CACHE_CURRENT/not_required y cycle_executed=true; escribe 5 commits, inicia 50 occurrences +5 episodes frescos y no reutiliza IDs. WAL=110 / 2,167,095 B: 100 bootstrap AC1 +5 reset AC2 +5 restart AC2; AC1/AC2=100/10; 95 groups×1 record +5 groups×3; 0 duplicate commits/chains. Final: 1000 alarms/assignments/open occurrences, 100 episodes, snapshot basis=95 AC1 +5 AC2; 100/100 snapshots deep-equal latest WAL; durable==materialized. p95=970.68 ms, max=1687.02 ms, 0 overruns.</x:v>
      </x:c>
      <x:c r="F95" s="32" t="str">
        <x:v>E-005 run 501e21ca-8230-4335-9267-4ff98f711a76; harness 0.1.0 gate 312/312; results ZIP sha256 640f95b9855d175e63157101476f64755d230dbb7b83906fd69d97b8dc01f386; work ZIP sha256 d87ecae6789006067a5ea4b05b706f2756e2656d526d575e1819fbdd02e99f7b</x:v>
      </x:c>
      <x:c r="G95" s="32" t="str">
        <x:v>No product/performance finding. Confirms structural reset is group-scoped and that a committing adoption bypasses the normal wait so the immediate following operational cycle can restart the affected epochs under the target revision.</x:v>
      </x:c>
      <x:c r="H95" s="32" t="str">
        <x:v>Accepted</x:v>
      </x:c>
      <x:c r="I95" s="32" t="str">
        <x:v>Proceed to E-006 Large mixed revision design.</x:v>
      </x:c>
    </x:row>
    <x:row r="96">
      <x:c r="A96" s="32" t="str">
        <x:v>DEC-R35-092</x:v>
      </x:c>
      <x:c r="B96" s="32" t="n">
        <x:v>46263.02</x:v>
      </x:c>
      <x:c r="C96" s="32" t="str">
        <x:v>R3.5E Configuration / Failure</x:v>
      </x:c>
      <x:c r="D96" s="32" t="str">
        <x:v>Definir E-006 como una única revisión mixta a +60 s con 850 COMPATIBLE, 50 DISABLED, 50 REMOVED y 50 STRUCTURAL_RESET, distribuidos para que los 100 priority groups materialicen adoption.</x:v>
      </x:c>
      <x:c r="E96" s="32" t="str">
        <x:v>La distribución maximiza presión durable sin introducir control-plane externo: grupos 001..005 completos hacen STRUCTURAL_RESET; grupos 006..055 deshabilitan su primer slot; grupos 051..100 remueven su segundo slot; el resto cambia sólo threshold 0.50→0.75. El overlap 051..055 contiene un disabled y un removed por grupo, pero conserva 8 alarmas ejecutables. La unión de disposiciones materializantes cubre exactamente los 100 grupos, por lo que adoption debe escribir 100 commits; sólo los cinco reset groups deben escribir otros cinco en la iteración +1.</x:v>
      </x:c>
      <x:c r="F96" s="32" t="str">
        <x:v>Contract composition from validated E-001/E-003/E-004/E-005 semantics; E-006 harness 0.1.0 SHA-256 fff42f9ac11dbcc90a95246c11514356d9cc224896b839629f2470ebcf905427</x:v>
      </x:c>
      <x:c r="G96" s="32" t="str">
        <x:v>Harness-only. No Core, Runtime, resolver/adoption implementation, versions, dependencies or locks change. Expected suite increases from 312 to 316.</x:v>
      </x:c>
      <x:c r="H96" s="32" t="str">
        <x:v>Accepted</x:v>
      </x:c>
      <x:c r="I96" s="32" t="str">
        <x:v>Apply E-006 harness 0.1.0 on GLONBW11; require Ruff/format green and 316/316 before workload.</x:v>
      </x:c>
    </x:row>
    <x:row r="97">
      <x:c r="A97" s="32" t="str">
        <x:v>DEC-R35-093</x:v>
      </x:c>
      <x:c r="B97" s="32" t="n">
        <x:v>46263.033634245105</x:v>
      </x:c>
      <x:c r="C97" s="32" t="str">
        <x:v>R3.5E Configuration / Failure</x:v>
      </x:c>
      <x:c r="D97" s="32" t="str">
        <x:v>Cerrar E-006 Large mixed revision como PASS/GREEN tras gate 316/316 y auditoría durable independiente de las cuatro dispositions simultáneas y del peak de 100 commits.</x:v>
      </x:c>
      <x:c r="E97" s="32" t="str">
        <x:v>Run 165f1396-21fe-4770-ac0a-6b7093a917f1: 850 COMPATIBLE +50 DISABLED +50 REMOVED +50 STRUCTURAL_RESET. Adoption #13=1098.43 ms y materializa los 100 priority groups con 100 commits; cierra 50 reconfigured, 50 disabled, 50 removed y 5 episodes terminated. Iteration #14 arranca ~1099.63 ms después, ejecuta cache-current y reinicia sólo los cinco reset groups con 5 commits, 50 fresh occurrences +5 episodes sin ID reuse. WAL=205 / 2,750,435 B: 100 AC1 +105 AC2; 95 groups×2 +5 groups×3; 0 duplicate commits/chains. Final=900 alarms/assignments/open occurrences, 100 episodes, all 100 snapshots PERF-AC-2 y durable==materialized. Adoption peak (~1.10 s) se mantiene prácticamente alineado con E-003/E-004 y muy por debajo de D-010 5.499 s.</x:v>
      </x:c>
      <x:c r="F97" s="32" t="str">
        <x:v>E-006 run 165f1396-21fe-4770-ac0a-6b7093a917f1; harness 0.1.0 gate 316/316; results ZIP sha256 b3831cf97cf9a7da295fc54afc32a4703e844c2e86e2d47f70b0e65d0bc5c2bd; work ZIP sha256 7c7f33937401ccafa53eb746d167f4c0e5f4c84f52dd0bbaaff2e2b420f5d492</x:v>
      </x:c>
      <x:c r="G97" s="32" t="str">
        <x:v>No product/performance finding. Confirms that a large mixed revision can combine compatible/disabled/removed/reset semantics across all groups without integrity or durability loss; 100-commit adoption remains ~1.1 s on GLONBW11.</x:v>
      </x:c>
      <x:c r="H97" s="32" t="str">
        <x:v>Accepted</x:v>
      </x:c>
      <x:c r="I97" s="32" t="str">
        <x:v>Proceed to E-007 Rejected target / last-known-good design.</x:v>
      </x:c>
    </x:row>
    <x:row r="98">
      <x:c r="A98" s="32" t="str">
        <x:v>DEC-R35-094</x:v>
      </x:c>
      <x:c r="B98" s="32" t="n">
        <x:v>46263.055</x:v>
      </x:c>
      <x:c r="C98" s="32" t="str">
        <x:v>R3.5E Configuration / Failure</x:v>
      </x:c>
      <x:c r="D98" s="32" t="str">
        <x:v>Definir E-007 como un candidato PERF-AC-2 no adoptable a +60 s, cambiando sólo el priority_group de alarm_00001 para obtener 1 REJECTED(priority_group_changed) + 999 UNCHANGED y validar last-known-good.</x:v>
      </x:c>
      <x:c r="E98" s="32" t="str">
        <x:v>El contrato de job composition es fail-closed: si plan_configuration_adoption no es adoptable, no ejecuta AlarmConfigurationAdoptionExecutor ni promueve cache; ejecuta el operational cycle con la session efectiva previa y devuelve adoption_outcome=REJECTED/degraded=true. Como el source continúa publicando PERF-AC-2 y el cache queda PERF-AC-1, el candidato debe volver a aparecer como SOURCE_CANDIDATE y rechazarse en cada iteración posterior. Cambiar una sola prioridad de grupo a un group nuevo produce una causa de rechazo explícita sin mezclar routing, criticality, disable/remove ni closures.</x:v>
      </x:c>
      <x:c r="F98" s="32" t="str">
        <x:v>Product contract inspection: adoption.py rejection reasons + job_composition test `test_rejected_candidate_keeps_effective_cache_and_runs_old_session`; E-007 harness 0.1.0 SHA-256 bb80c9fd588c04edaab395e8dbca7f10059125f0eb686ad414abd1255b544046</x:v>
      </x:c>
      <x:c r="G98" s="32" t="str">
        <x:v>Harness-only. No Core, Runtime, resolver/adoption product implementation, versions, dependencies or locks change. IterationSample adds degraded boolean for direct E-007 evidence. Expected suite increases from 316 to 320.</x:v>
      </x:c>
      <x:c r="H98" s="32" t="str">
        <x:v>Accepted</x:v>
      </x:c>
      <x:c r="I98" s="32" t="str">
        <x:v>Apply E-007 harness 0.1.0 on GLONBW11; require Ruff/format green and 320/320 before workload.</x:v>
      </x:c>
    </x:row>
    <x:row r="99">
      <x:c r="A99" s="32" t="str">
        <x:v>DEC-R35-095</x:v>
      </x:c>
      <x:c r="B99" s="32" t="n">
        <x:v>46263.920324074075</x:v>
      </x:c>
      <x:c r="C99" s="32" t="str">
        <x:v>R3.5E Configuration / Failure</x:v>
      </x:c>
      <x:c r="D99" s="32" t="str">
        <x:v>Cerrar E-007 Rejected target / last-known-good como PASS/GREEN tras gate 320/320 y auditoría independiente de continuidad degradada, cache efectivo y estado durable.</x:v>
      </x:c>
      <x:c r="E99" s="32" t="str">
        <x:v>Run 53342c61-aef8-4302-95f6-ada0c72719d3: 999 UNCHANGED +1 REJECTED(priority_group_changed). First rejection iteration=13; iterations 13..37 are 25/25 SOURCE_CANDIDATE/REJECTED/cycle_executed/degraded, with 0 post-candidate non-rejected iterations. Effective cache=PERF-AC-1. WAL=100 / 2,030,800 B, all AC1; target AC2 WAL=0; snapshot basis AC1/AC2=100/0; perf-rejected-group materialized=0. Final=1000 alarms/assignments/open occurrences, 100 episodes, 0 closures/resets/restarts. p95=1222.58 ms, max=1635.06 ms, 0 overruns.</x:v>
      </x:c>
      <x:c r="F99" s="32" t="str">
        <x:v>E-007 run 53342c61-aef8-4302-95f6-ada0c72719d3; harness 0.1.0 gate 320/320; results ZIP sha256 c82c9b6c5325250354b522f676da46df25aa94c1706807e25c722d9bdec80504; work ZIP sha256 1577ee6f7c33606f2f1f2799d299f232e7ea5c7fc5d7d778d1d571424598ef34; stage commit 489b7424f5051f7a276dafe8d5f318ccf1368d87.</x:v>
      </x:c>
      <x:c r="G99" s="32" t="str">
        <x:v>No product/performance finding. Confirms fail-closed LKG continuity while a rejected candidate remains visible. Repeated rejection adds ~29.5% to the steady median iteration versus the pre-candidate segment (~911.70→~1180.62 ms), but remains well inside the 5 s period and produces no overrun.</x:v>
      </x:c>
      <x:c r="H99" s="32" t="str">
        <x:v>Accepted</x:v>
      </x:c>
      <x:c r="I99" s="32" t="str">
        <x:v>Proceed to E-008 Source unavailable / CACHE_FALLBACK design.</x:v>
      </x:c>
    </x:row>
    <x:row r="100">
      <x:c r="A100" s="32" t="str">
        <x:v>DEC-R35-096</x:v>
      </x:c>
      <x:c r="B100" s="32" t="n">
        <x:v>46263.958333333336</x:v>
      </x:c>
      <x:c r="C100" s="32" t="str">
        <x:v>R3.5E Configuration / Failure</x:v>
      </x:c>
      <x:c r="D100" s="32" t="str">
        <x:v>Definir E-008 como indisponibilidad persistente del runtime manifest desde +60 s, sin publicar candidato alternativo, reutilizando el operational churn canónico y exigiendo CACHE_FALLBACK continuo sobre el LKG.</x:v>
      </x:c>
      <x:c r="E100" s="32" t="str">
        <x:v>Separar source unavailable de invalid candidate evita invadir E-009. La falla se inyecta en la frontera RuntimeRevisionSource.read_manifest, no mediante corrupción/borrado físico de archivos. El operational churn ya validado exige initial_active_percent=50; mantener esa geometría evita relajar contratos existentes y prueba que el runtime sigue evaluando, cambiando lifecycle y escribiendo WAL mientras Source permanece caído.</x:v>
      </x:c>
      <x:c r="F100" s="32" t="str">
        <x:v>Product contract inspection: RuntimeRevisionResolver fallback on RuntimeRevisionSourceError + AlarmRuntimeJobComposition CACHE_FALLBACK behavior; E-008 harness 0.1.0 SHA-256 ceac94317727cee9c1c32dc7ac1f0c30e81be45261f07d911aca11dfcf0c4762</x:v>
      </x:c>
      <x:c r="G100" s="32" t="str">
        <x:v>Harness-only. No Core, Runtime resolver/job implementation, versions, dependencies or locks change. Expected suite increases from 320 to 324.</x:v>
      </x:c>
      <x:c r="H100" s="32" t="str">
        <x:v>Accepted</x:v>
      </x:c>
      <x:c r="I100" s="32" t="str">
        <x:v>Apply E-008 harness 0.1.0 on GLONBW11; require Ruff/format green and 324/324 before running the 600 s workload.</x:v>
      </x:c>
    </x:row>
    <x:row r="101">
      <x:c r="A101" s="32" t="str">
        <x:v>DEC-R35-097</x:v>
      </x:c>
      <x:c r="B101" s="32" t="n">
        <x:v>46263.756944444445</x:v>
      </x:c>
      <x:c r="C101" s="32" t="str">
        <x:v>R3.5E Configuration / Failure</x:v>
      </x:c>
      <x:c r="D101" s="32" t="str">
        <x:v>Corregir E-008 harness gate 0.1.0 como defecto exclusivo de regresión: respetar la precedencia del contrato compartido operational_churn en tres casos negativos.</x:v>
      </x:c>
      <x:c r="E101" s="32" t="str">
        <x:v>El gate autoritativo fue Ruff/format verde y 323/324. Los casos data_profile, physical_partition_layout y priority_group_size violan primero operational_churn; por diseño BaselineScenario debe emitir esas guardas antes de llegar a las validaciones específicas de source unavailable. Reordenar o duplicar validaciones para satisfacer el texto del test alteraría innecesariamente el comportamiento del harness.</x:v>
      </x:c>
      <x:c r="F101" s="32" t="str">
        <x:v>GLONBW11 gate E-008 harness 0.1.0: 1 failed / 323 passed. Corrective harness 0.1.1 SHA-256 07ed814474afc853eaeefc02b7c69d99bd3be2011a8f74aa4e7360bbaa0c9c0d.</x:v>
      </x:c>
      <x:c r="G101" s="32" t="str">
        <x:v>Test-only corrective: tests/test_performance_harness.py. No baseline.py, metrics.py, run.py, commented mirror, product code, versions, dependencies or locks change. Expected suite remains 324.</x:v>
      </x:c>
      <x:c r="H101" s="32" t="str">
        <x:v>Accepted</x:v>
      </x:c>
      <x:c r="I101" s="32" t="str">
        <x:v>Apply E-008 harness corrective 0.1.1 over 0.1.0 and rerun Ruff/format/pytest. Execute the 600 s workload only after 324/324.</x:v>
      </x:c>
    </x:row>
    <x:row r="102">
      <x:c r="A102" s="32" t="str">
        <x:v>DEC-R35-098</x:v>
      </x:c>
      <x:c r="B102" s="32" t="n">
        <x:v>46263.79236111111</x:v>
      </x:c>
      <x:c r="C102" s="32" t="str">
        <x:v>R3.5E Configuration / Failure</x:v>
      </x:c>
      <x:c r="D102" s="32" t="str">
        <x:v>Cerrar el gate corrective E-008 harness 0.1.1 como GREEN y habilitar el workload autoritativo de 600 s.</x:v>
      </x:c>
      <x:c r="E102" s="32" t="str">
        <x:v>GLONBW11 ejecutó Ruff/format sin cambios relevantes y el suite completo quedó 324/324. El único defecto del gate 0.1.0 era la expectativa de texto en una regresión negativa; 0.1.1 preservó el orden de validación y no modificó semántica ni producto.</x:v>
      </x:c>
      <x:c r="F102" s="32" t="str">
        <x:v>GLONBW11 gate E-008 harness 0.1.1: 324 passed in 7.21 s; Python 3.14.2; Ruff check/format green.</x:v>
      </x:c>
      <x:c r="G102" s="32" t="str">
        <x:v>Harness gate only. No runtime product, Core, Persistence, versions, dependencies or locks change.</x:v>
      </x:c>
      <x:c r="H102" s="32" t="str">
        <x:v>Accepted</x:v>
      </x:c>
      <x:c r="I102" s="32" t="str">
        <x:v>Run E-008 authoritative 600 s workload with operational churn 10%, initial_active_percent=50 and source_unavailable_at_seconds=60; audit evidence before closure.</x:v>
      </x:c>
    </x:row>
    <x:row r="103">
      <x:c r="A103" s="32" t="str">
        <x:v>DEC-R35-099</x:v>
      </x:c>
      <x:c r="B103" s="32" t="n">
        <x:v>46263.967569444445</x:v>
      </x:c>
      <x:c r="C103" s="32" t="str">
        <x:v>R3.5E Configuration / Failure</x:v>
      </x:c>
      <x:c r="D103" s="32" t="str">
        <x:v>Cerrar E-008 Source unavailable / CACHE_FALLBACK como PASS/GREEN tras gate 324/324 y auditoría independiente de continuidad degradada, LKG y durabilidad.</x:v>
      </x:c>
      <x:c r="E103" s="32" t="str">
        <x:v>Run 5a696b96-41f5-4cbe-8d27-9ed2e66874f1: el manifest queda indisponible desde +60 s y #13..#121 son 109/109 CACHE_FALLBACK/NOT_REQUIRED/cycle_executed/degraded, sin una sola iteración post-failure fuera de fallback. El cache se reemplaza sólo en bootstrap (1 total, 0 después de la falla) y permanece PERF-AC-1/PERF-TR-1. El operational churn continúa completo durante ~9 minutos de indisponibilidad.</x:v>
      </x:c>
      <x:c r="F103" s="32" t="str">
        <x:v>Harness 0.1.1 gate 324/324 in 7.21 s; E-008 results ZIP sha256 9e146f8c750fec2764fe2af08e30c23ffc3e0607bd279135cb1a9597c95805a6; work ZIP sha256 8219d75916706ec8304de7d53b4897a5848fb7af6b6f415345a51dd8eb120df2; stage commit 489b7424f5051f7a276dafe8d5f318ccf1368d87.</x:v>
      </x:c>
      <x:c r="G103" s="32" t="str">
        <x:v>No product/performance finding. Independent WAL audit: 700 unique commits, 100 groups × 7, all PERF-AC-1/PERF-TR-1, 0 chain errors, 0 final snapshot mismatches, durable/materialized same byte offset 10,253,900. Exact functional output and WAL bytes match C-001; no evidence that sustained CACHE_FALLBACK adds operational cost material under this workload.</x:v>
      </x:c>
      <x:c r="H103" s="32" t="str">
        <x:v>Accepted</x:v>
      </x:c>
      <x:c r="I103" s="32" t="str">
        <x:v>Proceed to E-009 Invalid source candidate design. Keep invalid candidate distinct from source unavailable and do not change product before the contract is frozen.</x:v>
      </x:c>
    </x:row>
    <x:row r="104">
      <x:c r="A104" s="32" t="str">
        <x:v>DEC-R35-100</x:v>
      </x:c>
      <x:c r="B104" s="32" t="n">
        <x:v>46263.990277777775</x:v>
      </x:c>
      <x:c r="C104" s="32" t="str">
        <x:v>R3.5E Configuration / Failure</x:v>
      </x:c>
      <x:c r="D104" s="32" t="str">
        <x:v>Definir E-009 como candidate accesible pero contractualmente inválido: a +60 s el manifest válido apunta a PERF-AC-2/PERF-TR-1 mientras alarm-configuration/PERF-AC-2.json es legible pero declara revision=PERF-AC-CORRUPT.</x:v>
      </x:c>
      <x:c r="E104" s="32" t="str">
        <x:v>La variante separa causalmente E-009 de E-008 y E-007. Source continúa disponible y las lecturas de manifest/config/tool deben tener éxito; el fallo ocurre en StaticRevisionDecoder por alarm configuration revision mismatch, antes de plan_configuration_adoption. El runtime debe resolver CACHE_FALLBACK sobre PERF-AC-1/PERF-TR-1 y continuar operational churn.</x:v>
      </x:c>
      <x:c r="F104" s="32" t="str">
        <x:v>Product contract: RuntimeRevisionResolver catches RuntimeRevisionContractError/ValueError during bundle decode and falls back when an effective cache exists. E-009 harness 0.1.0 SHA-256 e9a7655696e011ad5f5b2aeb2427a7bbef32aeee338958e4061d513a91fc7b20.</x:v>
      </x:c>
      <x:c r="G104" s="32" t="str">
        <x:v>Harness-only: 7 performance/test files. Adds physical invalid candidate document in synthetic Local FS plus source/decoder/cache instrumentation. No product implementation, versions, dependencies or locks change. Expected suite increases 324→328.</x:v>
      </x:c>
      <x:c r="H104" s="32" t="str">
        <x:v>Accepted</x:v>
      </x:c>
      <x:c r="I104" s="32" t="str">
        <x:v>Apply E-009 harness 0.1.0 on GLONBW11; require Ruff/format green and 328/328 before the single 600 s workload.</x:v>
      </x:c>
    </x:row>
    <x:row r="105">
      <x:c r="A105" s="32" t="str">
        <x:v>DEC-R35-101</x:v>
      </x:c>
      <x:c r="B105" s="32" t="n">
        <x:v>46263.805555555555</x:v>
      </x:c>
      <x:c r="C105" s="32" t="str">
        <x:v>R3.5E Configuration / Failure</x:v>
      </x:c>
      <x:c r="D105" s="32" t="str">
        <x:v>Cerrar el gate E-009 harness 0.1.0 como GREEN y habilitar el workload autoritativo de 600 s.</x:v>
      </x:c>
      <x:c r="E105" s="32" t="str">
        <x:v>GLONBW11 ejecutó Ruff/format y el suite completo quedó 328/328. Las cuatro regresiones E-009 conviven con todos los contratos previos del alarms-runtime; no se requirió corrective ni cambio de producto.</x:v>
      </x:c>
      <x:c r="F105" s="32" t="str">
        <x:v>GLONBW11 gate E-009 harness 0.1.0: 328 passed in 14.63 s; Python 3.14.2; Ruff check/format green.</x:v>
      </x:c>
      <x:c r="G105" s="32" t="str">
        <x:v>Harness gate only. No runtime product, Core, Persistence, versions, dependencies or locks change.</x:v>
      </x:c>
      <x:c r="H105" s="32" t="str">
        <x:v>Accepted</x:v>
      </x:c>
      <x:c r="I105" s="32" t="str">
        <x:v>Run E-009 authoritative 600 s workload with operational churn 10%, initial_active_percent=50 and invalid_candidate_at_seconds=60; audit evidence before closure.</x:v>
      </x:c>
    </x:row>
    <x:row r="106">
      <x:c r="A106" s="32" t="str">
        <x:v>DEC-R35-102</x:v>
      </x:c>
      <x:c r="B106" s="32" t="n">
        <x:v>46264.00287037037</x:v>
      </x:c>
      <x:c r="C106" s="32" t="str">
        <x:v>R3.5E Configuration / Failure</x:v>
      </x:c>
      <x:c r="D106" s="32" t="str">
        <x:v>Cerrar E-009 Invalid source candidate como PASS/GREEN tras gate 328/328 y auditoría independiente de causalidad del fallback, LKG y durabilidad.</x:v>
      </x:c>
      <x:c r="E106" s="32" t="str">
        <x:v>Run a89f6c7b-5d96-47c8-b191-3d66763ad020: Source permanece accesible y el manifest se resuelve 121/121 veces. Desde +60 s, 109 candidate manifests provocan 109 lecturas del alarm document, 109 lecturas del tool document y 109 contract failures; las iteraciones #13..#121 son 109/109 CACHE_FALLBACK/NOT_REQUIRED/cycle_executed/degraded, sin SOURCE_CANDIDATE ni REJECTED. El archivo físico PERF-AC-2.json declara PERF-AC-CORRUPT, confirmando la causa contractual.</x:v>
      </x:c>
      <x:c r="F106" s="32" t="str">
        <x:v>Harness 0.1.0 gate 328/328 in 14.63 s; E-009 results ZIP sha256 3c354bcd2b29a0984ee1e2ac0d608acb7dc2c785ac8196909b22f640e7cfb16e; work ZIP sha256 1dd06922092f10034cbfc53c952625209faa17987c99169fa7c97bd995551155; stage commit 489b7424f5051f7a276dafe8d5f318ccf1368d87.</x:v>
      </x:c>
      <x:c r="G106" s="32" t="str">
        <x:v>No product/performance finding. Independent audit: 700 unique WAL commits / 10,253,900 B, 100 groups × 7, all PERF-AC-1/PERF-TR-1; 0 duplicate commit IDs, 0 chain errors, 0 materialized snapshot mismatches; journal-head durable==materialized. Lifecycle and WAL bytes match C-001/E-008 exactly. E-009 p95=1030.23 ms versus E-008 1025.78 ms (+0.43%), without overrun.</x:v>
      </x:c>
      <x:c r="H106" s="32" t="str">
        <x:v>Accepted</x:v>
      </x:c>
      <x:c r="I106" s="32" t="str">
        <x:v>Proceed to E-010 Lease lost after WAL before cache design. Keep it conditional on an SMB-capable environment and freeze the crash window/replay contract before any harness implementation.</x:v>
      </x:c>
    </x:row>
    <x:row r="107">
      <x:c r="A107" s="32" t="str">
        <x:v>DEC-R35-103</x:v>
      </x:c>
      <x:c r="B107" s="32" t="n">
        <x:v>46264.381944444445</x:v>
      </x:c>
      <x:c r="C107" s="32" t="str">
        <x:v>R3.5E Configuration / Failure</x:v>
      </x:c>
      <x:c r="D107" s="32" t="str">
        <x:v>Definir E-010 como two-owner real sobre SMB: Owner A pierde generation 1 después de completar adoption durable/materialized y justo antes de la promoción física de cache; Owner B toma generation 2 y reejecuta la adopción idempotentemente.</x:v>
      </x:c>
      <x:c r="E107" s="32" t="str">
        <x:v>La frontera correcta no interrumpe un commit a mitad de WAL: AlarmConfigurationAdoptionExecutor retorna sólo después de durable+materialized. E-010 debe probar el hueco entre ese retorno y _promote_cache(). El takeover real sobre SMB y el fence físico permiten demostrar que el owner obsoleto no escribe cache, mientras Owner B encuentra persistence alineada, obtiene 0 materializaciones nuevas en replay, promueve PERF-AC-2 y continúa el ciclo.</x:v>
      </x:c>
      <x:c r="F107" s="32" t="str">
        <x:v>Product contract inspection: existing lease-loss-before-cache-promotion and durable-adoption-replay unit tests + SMB post-durable fencing probe. Harness 0.1.0 SHA-256 9d3191ccb890e48cf5986e90cdf07b19dc897e550eafb7deedc63e3467afcc8d; contract v1.0.0 SHA-256 d5f843664648c58e5c08c079c43bd303cca17158cd7db98196edc2722cf1a6ab.</x:v>
      </x:c>
      <x:c r="G107" s="32" t="str">
        <x:v>Harness-only: exactly 7 performance/test files. No Core, Persistence, runtime product, versions, dependencies or locks change. Workload remains Conditional until a real mounted SMB path passes the post-durable fencing preflight. Expected full suite 332.</x:v>
      </x:c>
      <x:c r="H107" s="32" t="str">
        <x:v>Accepted</x:v>
      </x:c>
      <x:c r="I107" s="32" t="str">
        <x:v>Apply E-010 harness 0.1.0 on GLONBW11 and require Ruff/format green + 332/332. Do not run the 600 s workload until SMB post-durable preflight passes.</x:v>
      </x:c>
    </x:row>
    <x:row r="108">
      <x:c r="A108" s="32" t="str">
        <x:v>DEC-R35-104</x:v>
      </x:c>
      <x:c r="B108" s="32" t="n">
        <x:v>46264.40972222222</x:v>
      </x:c>
      <x:c r="C108" s="32" t="str">
        <x:v>R3.5E Configuration / Failure</x:v>
      </x:c>
      <x:c r="D108" s="32" t="str">
        <x:v>Corregir el único FAIL del gate E-010 0.1.0 como defecto exclusivo de evidencia sintética: usar alarm identities canónicas `perf/alarm_*` en `_e010_synthetic_evidence()`.</x:v>
      </x:c>
      <x:c r="E108" s="32" t="str">
        <x:v>El adjudicador E-010 compara closures/restarts contra `ConfigurationAdoptionPlan.identity.canonical_key`, cuyo formato real es `perf/alarm_00001`. La evidencia sintética usaba `alarm_00001`; por eso `configuration_reconfigured_occurrence_count` y `restarted_occurrence_count` quedaban 0/10, aunque generations 1→2, replay commits=0, WAL 710, AC1/AC2=150/560 y group geometry 95×7+5×9 ya eran correctos. Cambiar el adjudicador para aceptar aliases debilitaría el contrato; la corrección correcta es hacer que el fixture represente el WAL real.</x:v>
      </x:c>
      <x:c r="F108" s="32" t="str">
        <x:v>GLONBW11 gate harness 0.1.0: Ruff 3 fixed; 5 files reformatted; 1 failed / 331 passed in 8.21 s. Corrective 0.1.1 SHA-256 8184d0983b0d87ccd495f7738b2e63ae92fe3c4fd538b2f1c18d642b31c953a1.</x:v>
      </x:c>
      <x:c r="G108" s="32" t="str">
        <x:v>Test-only: tests/test_performance_harness.py, cuatro reemplazos de `alarm_` por `perf/alarm_` dentro de `_e010_synthetic_evidence()`. No baseline.py, metrics.py, run.py, commented mirrors, Core, Persistence, runtime product, versions, dependencies or locks change. Expected suite remains 332.</x:v>
      </x:c>
      <x:c r="H108" s="32" t="str">
        <x:v>Accepted</x:v>
      </x:c>
      <x:c r="I108" s="32" t="str">
        <x:v>Apply corrective 0.1.1 over the current 0.1.0 working tree and rerun Ruff/format/pytest. Do not execute SMB preflight or workload until 332/332.</x:v>
      </x:c>
    </x:row>
    <x:row r="109">
      <x:c r="A109" s="32"/>
      <x:c r="B109" s="32"/>
      <x:c r="C109" s="32"/>
      <x:c r="D109" s="32"/>
      <x:c r="E109" s="32"/>
      <x:c r="F109" s="32"/>
      <x:c r="G109" s="32"/>
      <x:c r="H109" s="32"/>
      <x:c r="I109" s="32"/>
    </x:row>
    <x:row r="110">
      <x:c r="A110" s="32"/>
      <x:c r="B110" s="32"/>
      <x:c r="C110" s="32"/>
      <x:c r="D110" s="32"/>
      <x:c r="E110" s="32"/>
      <x:c r="F110" s="32"/>
      <x:c r="G110" s="32"/>
      <x:c r="H110" s="32"/>
      <x:c r="I110" s="32"/>
    </x:row>
    <x:row r="111">
      <x:c r="A111" s="32"/>
      <x:c r="B111" s="32"/>
      <x:c r="C111" s="32"/>
      <x:c r="D111" s="32"/>
      <x:c r="E111" s="32"/>
      <x:c r="F111" s="32"/>
      <x:c r="G111" s="32"/>
      <x:c r="H111" s="32"/>
      <x:c r="I111" s="32"/>
    </x:row>
    <x:row r="112">
      <x:c r="A112" s="32"/>
      <x:c r="B112" s="32"/>
      <x:c r="C112" s="32"/>
      <x:c r="D112" s="32"/>
      <x:c r="E112" s="32"/>
      <x:c r="F112" s="32"/>
      <x:c r="G112" s="32"/>
      <x:c r="H112" s="32"/>
      <x:c r="I112" s="32"/>
    </x:row>
    <x:row r="113">
      <x:c r="A113" s="32"/>
      <x:c r="B113" s="32"/>
      <x:c r="C113" s="32"/>
      <x:c r="D113" s="32"/>
      <x:c r="E113" s="32"/>
      <x:c r="F113" s="32"/>
      <x:c r="G113" s="32"/>
      <x:c r="H113" s="32"/>
      <x:c r="I113" s="32"/>
    </x:row>
    <x:row r="114">
      <x:c r="A114" s="32"/>
      <x:c r="B114" s="32"/>
      <x:c r="C114" s="32"/>
      <x:c r="D114" s="32"/>
      <x:c r="E114" s="32"/>
      <x:c r="F114" s="32"/>
      <x:c r="G114" s="32"/>
      <x:c r="H114" s="32"/>
      <x:c r="I114" s="32"/>
    </x:row>
    <x:row r="115">
      <x:c r="A115" s="32"/>
      <x:c r="B115" s="32"/>
      <x:c r="C115" s="32"/>
      <x:c r="D115" s="32"/>
      <x:c r="E115" s="32"/>
      <x:c r="F115" s="32"/>
      <x:c r="G115" s="32"/>
      <x:c r="H115" s="32"/>
      <x:c r="I115" s="32"/>
    </x:row>
    <x:row r="116">
      <x:c r="A116" s="32"/>
      <x:c r="B116" s="32"/>
      <x:c r="C116" s="32"/>
      <x:c r="D116" s="32"/>
      <x:c r="E116" s="32"/>
      <x:c r="F116" s="32"/>
      <x:c r="G116" s="32"/>
      <x:c r="H116" s="32"/>
      <x:c r="I116" s="32"/>
    </x:row>
    <x:row r="117">
      <x:c r="A117" s="32"/>
      <x:c r="B117" s="32"/>
      <x:c r="C117" s="32"/>
      <x:c r="D117" s="32"/>
      <x:c r="E117" s="32"/>
      <x:c r="F117" s="32"/>
      <x:c r="G117" s="32"/>
      <x:c r="H117" s="32"/>
      <x:c r="I117" s="32"/>
    </x:row>
    <x:row r="118">
      <x:c r="A118" s="32"/>
      <x:c r="B118" s="32"/>
      <x:c r="C118" s="32"/>
      <x:c r="D118" s="32"/>
      <x:c r="E118" s="32"/>
      <x:c r="F118" s="32"/>
      <x:c r="G118" s="32"/>
      <x:c r="H118" s="32"/>
      <x:c r="I118" s="32"/>
    </x:row>
    <x:row r="119">
      <x:c r="A119" s="32"/>
      <x:c r="B119" s="32"/>
      <x:c r="C119" s="32"/>
      <x:c r="D119" s="32"/>
      <x:c r="E119" s="32"/>
      <x:c r="F119" s="32"/>
      <x:c r="G119" s="32"/>
      <x:c r="H119" s="32"/>
      <x:c r="I119" s="32"/>
    </x:row>
    <x:row r="120">
      <x:c r="A120" s="32"/>
      <x:c r="B120" s="32"/>
      <x:c r="C120" s="32"/>
      <x:c r="D120" s="32"/>
      <x:c r="E120" s="32"/>
      <x:c r="F120" s="32"/>
      <x:c r="G120" s="32"/>
      <x:c r="H120" s="32"/>
      <x:c r="I120" s="32"/>
    </x:row>
    <x:row r="121">
      <x:c r="A121" s="32"/>
      <x:c r="B121" s="32"/>
      <x:c r="C121" s="32"/>
      <x:c r="D121" s="32"/>
      <x:c r="E121" s="32"/>
      <x:c r="F121" s="32"/>
      <x:c r="G121" s="32"/>
      <x:c r="H121" s="32"/>
      <x:c r="I121" s="32"/>
    </x:row>
    <x:row r="122">
      <x:c r="A122" s="32"/>
      <x:c r="B122" s="32"/>
      <x:c r="C122" s="32"/>
      <x:c r="D122" s="32"/>
      <x:c r="E122" s="32"/>
      <x:c r="F122" s="32"/>
      <x:c r="G122" s="32"/>
      <x:c r="H122" s="32"/>
      <x:c r="I122" s="32"/>
    </x:row>
    <x:row r="123">
      <x:c r="A123" s="32"/>
      <x:c r="B123" s="32"/>
      <x:c r="C123" s="32"/>
      <x:c r="D123" s="32"/>
      <x:c r="E123" s="32"/>
      <x:c r="F123" s="32"/>
      <x:c r="G123" s="32"/>
      <x:c r="H123" s="32"/>
      <x:c r="I123" s="32"/>
    </x:row>
    <x:row r="124">
      <x:c r="A124" s="32"/>
      <x:c r="B124" s="32"/>
      <x:c r="C124" s="32"/>
      <x:c r="D124" s="32"/>
      <x:c r="E124" s="32"/>
      <x:c r="F124" s="32"/>
      <x:c r="G124" s="32"/>
      <x:c r="H124" s="32"/>
      <x:c r="I124" s="32"/>
    </x:row>
    <x:row r="125">
      <x:c r="A125" s="32"/>
      <x:c r="B125" s="32"/>
      <x:c r="C125" s="32"/>
      <x:c r="D125" s="32"/>
      <x:c r="E125" s="32"/>
      <x:c r="F125" s="32"/>
      <x:c r="G125" s="32"/>
      <x:c r="H125" s="32"/>
      <x:c r="I125" s="32"/>
    </x:row>
    <x:row r="126">
      <x:c r="A126" s="32"/>
      <x:c r="B126" s="32"/>
      <x:c r="C126" s="32"/>
      <x:c r="D126" s="32"/>
      <x:c r="E126" s="32"/>
      <x:c r="F126" s="32"/>
      <x:c r="G126" s="32"/>
      <x:c r="H126" s="32"/>
      <x:c r="I126" s="32"/>
    </x:row>
    <x:row r="127">
      <x:c r="A127" s="32"/>
      <x:c r="B127" s="32"/>
      <x:c r="C127" s="32"/>
      <x:c r="D127" s="32"/>
      <x:c r="E127" s="32"/>
      <x:c r="F127" s="32"/>
      <x:c r="G127" s="32"/>
      <x:c r="H127" s="32"/>
      <x:c r="I127" s="32"/>
    </x:row>
    <x:row r="128">
      <x:c r="A128" s="32"/>
      <x:c r="B128" s="32"/>
      <x:c r="C128" s="32"/>
      <x:c r="D128" s="32"/>
      <x:c r="E128" s="32"/>
      <x:c r="F128" s="32"/>
      <x:c r="G128" s="32"/>
      <x:c r="H128" s="32"/>
      <x:c r="I128" s="32"/>
    </x:row>
    <x:row r="129">
      <x:c r="A129" s="32"/>
      <x:c r="B129" s="32"/>
      <x:c r="C129" s="32"/>
      <x:c r="D129" s="32"/>
      <x:c r="E129" s="32"/>
      <x:c r="F129" s="32"/>
      <x:c r="G129" s="32"/>
      <x:c r="H129" s="32"/>
      <x:c r="I129" s="32"/>
    </x:row>
    <x:row r="130">
      <x:c r="A130" s="32"/>
      <x:c r="B130" s="32"/>
      <x:c r="C130" s="32"/>
      <x:c r="D130" s="32"/>
      <x:c r="E130" s="32"/>
      <x:c r="F130" s="32"/>
      <x:c r="G130" s="32"/>
      <x:c r="H130" s="32"/>
      <x:c r="I130" s="32"/>
    </x:row>
    <x:row r="131">
      <x:c r="A131" s="32"/>
      <x:c r="B131" s="32"/>
      <x:c r="C131" s="32"/>
      <x:c r="D131" s="32"/>
      <x:c r="E131" s="32"/>
      <x:c r="F131" s="32"/>
      <x:c r="G131" s="32"/>
      <x:c r="H131" s="32"/>
      <x:c r="I131" s="32"/>
    </x:row>
    <x:row r="132">
      <x:c r="A132" s="32"/>
      <x:c r="B132" s="32"/>
      <x:c r="C132" s="32"/>
      <x:c r="D132" s="32"/>
      <x:c r="E132" s="32"/>
      <x:c r="F132" s="32"/>
      <x:c r="G132" s="32"/>
      <x:c r="H132" s="32"/>
      <x:c r="I132" s="32"/>
    </x:row>
    <x:row r="133">
      <x:c r="A133" s="32"/>
      <x:c r="B133" s="32"/>
      <x:c r="C133" s="32"/>
      <x:c r="D133" s="32"/>
      <x:c r="E133" s="32"/>
      <x:c r="F133" s="32"/>
      <x:c r="G133" s="32"/>
      <x:c r="H133" s="32"/>
      <x:c r="I133" s="32"/>
    </x:row>
    <x:row r="134">
      <x:c r="A134" s="32"/>
      <x:c r="B134" s="32"/>
      <x:c r="C134" s="32"/>
      <x:c r="D134" s="32"/>
      <x:c r="E134" s="32"/>
      <x:c r="F134" s="32"/>
      <x:c r="G134" s="32"/>
      <x:c r="H134" s="32"/>
      <x:c r="I134" s="32"/>
    </x:row>
    <x:row r="135">
      <x:c r="A135" s="32"/>
      <x:c r="B135" s="32"/>
      <x:c r="C135" s="32"/>
      <x:c r="D135" s="32"/>
      <x:c r="E135" s="32"/>
      <x:c r="F135" s="32"/>
      <x:c r="G135" s="32"/>
      <x:c r="H135" s="32"/>
      <x:c r="I135" s="32"/>
    </x:row>
    <x:row r="136">
      <x:c r="A136" s="32"/>
      <x:c r="B136" s="32"/>
      <x:c r="C136" s="32"/>
      <x:c r="D136" s="32"/>
      <x:c r="E136" s="32"/>
      <x:c r="F136" s="32"/>
      <x:c r="G136" s="32"/>
      <x:c r="H136" s="32"/>
      <x:c r="I136" s="32"/>
    </x:row>
    <x:row r="137">
      <x:c r="A137" s="32"/>
      <x:c r="B137" s="32"/>
      <x:c r="C137" s="32"/>
      <x:c r="D137" s="32"/>
      <x:c r="E137" s="32"/>
      <x:c r="F137" s="32"/>
      <x:c r="G137" s="32"/>
      <x:c r="H137" s="32"/>
      <x:c r="I137" s="32"/>
    </x:row>
    <x:row r="138">
      <x:c r="A138" s="32"/>
      <x:c r="B138" s="32"/>
      <x:c r="C138" s="32"/>
      <x:c r="D138" s="32"/>
      <x:c r="E138" s="32"/>
      <x:c r="F138" s="32"/>
      <x:c r="G138" s="32"/>
      <x:c r="H138" s="32"/>
      <x:c r="I138" s="32"/>
    </x:row>
    <x:row r="139">
      <x:c r="A139" s="32"/>
      <x:c r="B139" s="32"/>
      <x:c r="C139" s="32"/>
      <x:c r="D139" s="32"/>
      <x:c r="E139" s="32"/>
      <x:c r="F139" s="32"/>
      <x:c r="G139" s="32"/>
      <x:c r="H139" s="32"/>
      <x:c r="I139" s="32"/>
    </x:row>
    <x:row r="140">
      <x:c r="A140" s="32"/>
      <x:c r="B140" s="32"/>
      <x:c r="C140" s="32"/>
      <x:c r="D140" s="32"/>
      <x:c r="E140" s="32"/>
      <x:c r="F140" s="32"/>
      <x:c r="G140" s="32"/>
      <x:c r="H140" s="32"/>
      <x:c r="I140" s="32"/>
    </x:row>
    <x:row r="141">
      <x:c r="A141" s="32"/>
      <x:c r="B141" s="32"/>
      <x:c r="C141" s="32"/>
      <x:c r="D141" s="32"/>
      <x:c r="E141" s="32"/>
      <x:c r="F141" s="32"/>
      <x:c r="G141" s="32"/>
      <x:c r="H141" s="32"/>
      <x:c r="I141" s="32"/>
    </x:row>
    <x:row r="142">
      <x:c r="A142" s="32"/>
      <x:c r="B142" s="32"/>
      <x:c r="C142" s="32"/>
      <x:c r="D142" s="32"/>
      <x:c r="E142" s="32"/>
      <x:c r="F142" s="32"/>
      <x:c r="G142" s="32"/>
      <x:c r="H142" s="32"/>
      <x:c r="I142" s="32"/>
    </x:row>
    <x:row r="143">
      <x:c r="A143" s="32"/>
      <x:c r="B143" s="32"/>
      <x:c r="C143" s="32"/>
      <x:c r="D143" s="32"/>
      <x:c r="E143" s="32"/>
      <x:c r="F143" s="32"/>
      <x:c r="G143" s="32"/>
      <x:c r="H143" s="32"/>
      <x:c r="I143" s="32"/>
    </x:row>
    <x:row r="144">
      <x:c r="A144" s="32"/>
      <x:c r="B144" s="32"/>
      <x:c r="C144" s="32"/>
      <x:c r="D144" s="32"/>
      <x:c r="E144" s="32"/>
      <x:c r="F144" s="32"/>
      <x:c r="G144" s="32"/>
      <x:c r="H144" s="32"/>
      <x:c r="I144" s="32"/>
    </x:row>
    <x:row r="145">
      <x:c r="A145" s="32"/>
      <x:c r="B145" s="32"/>
      <x:c r="C145" s="32"/>
      <x:c r="D145" s="32"/>
      <x:c r="E145" s="32"/>
      <x:c r="F145" s="32"/>
      <x:c r="G145" s="32"/>
      <x:c r="H145" s="32"/>
      <x:c r="I145" s="32"/>
    </x:row>
    <x:row r="146">
      <x:c r="A146" s="32"/>
      <x:c r="B146" s="32"/>
      <x:c r="C146" s="32"/>
      <x:c r="D146" s="32"/>
      <x:c r="E146" s="32"/>
      <x:c r="F146" s="32"/>
      <x:c r="G146" s="32"/>
      <x:c r="H146" s="32"/>
      <x:c r="I146" s="32"/>
    </x:row>
    <x:row r="147">
      <x:c r="A147" s="32"/>
      <x:c r="B147" s="32"/>
      <x:c r="C147" s="32"/>
      <x:c r="D147" s="32"/>
      <x:c r="E147" s="32"/>
      <x:c r="F147" s="32"/>
      <x:c r="G147" s="32"/>
      <x:c r="H147" s="32"/>
      <x:c r="I147" s="32"/>
    </x:row>
    <x:row r="148">
      <x:c r="A148" s="32"/>
      <x:c r="B148" s="32"/>
      <x:c r="C148" s="32"/>
      <x:c r="D148" s="32"/>
      <x:c r="E148" s="32"/>
      <x:c r="F148" s="32"/>
      <x:c r="G148" s="32"/>
      <x:c r="H148" s="32"/>
      <x:c r="I148" s="32"/>
    </x:row>
    <x:row r="149">
      <x:c r="A149" s="32"/>
      <x:c r="B149" s="32"/>
      <x:c r="C149" s="32"/>
      <x:c r="D149" s="32"/>
      <x:c r="E149" s="32"/>
      <x:c r="F149" s="32"/>
      <x:c r="G149" s="32"/>
      <x:c r="H149" s="32"/>
      <x:c r="I149" s="32"/>
    </x:row>
    <x:row r="150">
      <x:c r="A150" s="32"/>
      <x:c r="B150" s="32"/>
      <x:c r="C150" s="32"/>
      <x:c r="D150" s="32"/>
      <x:c r="E150" s="32"/>
      <x:c r="F150" s="32"/>
      <x:c r="G150" s="32"/>
      <x:c r="H150" s="32"/>
      <x:c r="I150" s="32"/>
    </x:row>
    <x:row r="151">
      <x:c r="A151" s="32"/>
      <x:c r="B151" s="32"/>
      <x:c r="C151" s="32"/>
      <x:c r="D151" s="32"/>
      <x:c r="E151" s="32"/>
      <x:c r="F151" s="32"/>
      <x:c r="G151" s="32"/>
      <x:c r="H151" s="32"/>
      <x:c r="I151" s="32"/>
    </x:row>
    <x:row r="152">
      <x:c r="A152" s="32"/>
      <x:c r="B152" s="32"/>
      <x:c r="C152" s="32"/>
      <x:c r="D152" s="32"/>
      <x:c r="E152" s="32"/>
      <x:c r="F152" s="32"/>
      <x:c r="G152" s="32"/>
      <x:c r="H152" s="32"/>
      <x:c r="I152" s="32"/>
    </x:row>
    <x:row r="153">
      <x:c r="A153" s="32"/>
      <x:c r="B153" s="32"/>
      <x:c r="C153" s="32"/>
      <x:c r="D153" s="32"/>
      <x:c r="E153" s="32"/>
      <x:c r="F153" s="32"/>
      <x:c r="G153" s="32"/>
      <x:c r="H153" s="32"/>
      <x:c r="I153" s="32"/>
    </x:row>
    <x:row r="154">
      <x:c r="A154" s="32"/>
      <x:c r="B154" s="32"/>
      <x:c r="C154" s="32"/>
      <x:c r="D154" s="32"/>
      <x:c r="E154" s="32"/>
      <x:c r="F154" s="32"/>
      <x:c r="G154" s="32"/>
      <x:c r="H154" s="32"/>
      <x:c r="I154" s="32"/>
    </x:row>
    <x:row r="155">
      <x:c r="A155" s="32"/>
      <x:c r="B155" s="32"/>
      <x:c r="C155" s="32"/>
      <x:c r="D155" s="32"/>
      <x:c r="E155" s="32"/>
      <x:c r="F155" s="32"/>
      <x:c r="G155" s="32"/>
      <x:c r="H155" s="32"/>
      <x:c r="I155" s="32"/>
    </x:row>
    <x:row r="156">
      <x:c r="A156" s="32"/>
      <x:c r="B156" s="32"/>
      <x:c r="C156" s="32"/>
      <x:c r="D156" s="32"/>
      <x:c r="E156" s="32"/>
      <x:c r="F156" s="32"/>
      <x:c r="G156" s="32"/>
      <x:c r="H156" s="32"/>
      <x:c r="I156" s="32"/>
    </x:row>
    <x:row r="157">
      <x:c r="A157" s="32"/>
      <x:c r="B157" s="32"/>
      <x:c r="C157" s="32"/>
      <x:c r="D157" s="32"/>
      <x:c r="E157" s="32"/>
      <x:c r="F157" s="32"/>
      <x:c r="G157" s="32"/>
      <x:c r="H157" s="32"/>
      <x:c r="I157" s="32"/>
    </x:row>
    <x:row r="158">
      <x:c r="A158" s="32"/>
      <x:c r="B158" s="32"/>
      <x:c r="C158" s="32"/>
      <x:c r="D158" s="32"/>
      <x:c r="E158" s="32"/>
      <x:c r="F158" s="32"/>
      <x:c r="G158" s="32"/>
      <x:c r="H158" s="32"/>
      <x:c r="I158" s="32"/>
    </x:row>
    <x:row r="159">
      <x:c r="A159" s="32"/>
      <x:c r="B159" s="32"/>
      <x:c r="C159" s="32"/>
      <x:c r="D159" s="32"/>
      <x:c r="E159" s="32"/>
      <x:c r="F159" s="32"/>
      <x:c r="G159" s="32"/>
      <x:c r="H159" s="32"/>
      <x:c r="I159" s="32"/>
    </x:row>
    <x:row r="160">
      <x:c r="A160" s="32"/>
      <x:c r="B160" s="32"/>
      <x:c r="C160" s="32"/>
      <x:c r="D160" s="32"/>
      <x:c r="E160" s="32"/>
      <x:c r="F160" s="32"/>
      <x:c r="G160" s="32"/>
      <x:c r="H160" s="32"/>
      <x:c r="I160" s="32"/>
    </x:row>
    <x:row r="161">
      <x:c r="A161" s="32"/>
      <x:c r="B161" s="32"/>
      <x:c r="C161" s="32"/>
      <x:c r="D161" s="32"/>
      <x:c r="E161" s="32"/>
      <x:c r="F161" s="32"/>
      <x:c r="G161" s="32"/>
      <x:c r="H161" s="32"/>
      <x:c r="I161" s="32"/>
    </x:row>
    <x:row r="162">
      <x:c r="A162" s="32"/>
      <x:c r="B162" s="32"/>
      <x:c r="C162" s="32"/>
      <x:c r="D162" s="32"/>
      <x:c r="E162" s="32"/>
      <x:c r="F162" s="32"/>
      <x:c r="G162" s="32"/>
      <x:c r="H162" s="32"/>
      <x:c r="I162" s="32"/>
    </x:row>
    <x:row r="163">
      <x:c r="A163" s="32"/>
      <x:c r="B163" s="32"/>
      <x:c r="C163" s="32"/>
      <x:c r="D163" s="32"/>
      <x:c r="E163" s="32"/>
      <x:c r="F163" s="32"/>
      <x:c r="G163" s="32"/>
      <x:c r="H163" s="32"/>
      <x:c r="I163" s="32"/>
    </x:row>
    <x:row r="164">
      <x:c r="A164" s="32"/>
      <x:c r="B164" s="32"/>
      <x:c r="C164" s="32"/>
      <x:c r="D164" s="32"/>
      <x:c r="E164" s="32"/>
      <x:c r="F164" s="32"/>
      <x:c r="G164" s="32"/>
      <x:c r="H164" s="32"/>
      <x:c r="I164" s="32"/>
    </x:row>
    <x:row r="165">
      <x:c r="A165" s="32"/>
      <x:c r="B165" s="32"/>
      <x:c r="C165" s="32"/>
      <x:c r="D165" s="32"/>
      <x:c r="E165" s="32"/>
      <x:c r="F165" s="32"/>
      <x:c r="G165" s="32"/>
      <x:c r="H165" s="32"/>
      <x:c r="I165" s="32"/>
    </x:row>
    <x:row r="166">
      <x:c r="A166" s="32"/>
      <x:c r="B166" s="32"/>
      <x:c r="C166" s="32"/>
      <x:c r="D166" s="32"/>
      <x:c r="E166" s="32"/>
      <x:c r="F166" s="32"/>
      <x:c r="G166" s="32"/>
      <x:c r="H166" s="32"/>
      <x:c r="I166" s="32"/>
    </x:row>
    <x:row r="167">
      <x:c r="A167" s="32"/>
      <x:c r="B167" s="32"/>
      <x:c r="C167" s="32"/>
      <x:c r="D167" s="32"/>
      <x:c r="E167" s="32"/>
      <x:c r="F167" s="32"/>
      <x:c r="G167" s="32"/>
      <x:c r="H167" s="32"/>
      <x:c r="I167" s="32"/>
    </x:row>
    <x:row r="168">
      <x:c r="A168" s="32"/>
      <x:c r="B168" s="32"/>
      <x:c r="C168" s="32"/>
      <x:c r="D168" s="32"/>
      <x:c r="E168" s="32"/>
      <x:c r="F168" s="32"/>
      <x:c r="G168" s="32"/>
      <x:c r="H168" s="32"/>
      <x:c r="I168" s="32"/>
    </x:row>
    <x:row r="169">
      <x:c r="A169" s="32"/>
      <x:c r="B169" s="32"/>
      <x:c r="C169" s="32"/>
      <x:c r="D169" s="32"/>
      <x:c r="E169" s="32"/>
      <x:c r="F169" s="32"/>
      <x:c r="G169" s="32"/>
      <x:c r="H169" s="32"/>
      <x:c r="I169" s="32"/>
    </x:row>
    <x:row r="170">
      <x:c r="A170" s="32"/>
      <x:c r="B170" s="32"/>
      <x:c r="C170" s="32"/>
      <x:c r="D170" s="32"/>
      <x:c r="E170" s="32"/>
      <x:c r="F170" s="32"/>
      <x:c r="G170" s="32"/>
      <x:c r="H170" s="32"/>
      <x:c r="I170" s="32"/>
    </x:row>
    <x:row r="171">
      <x:c r="A171" s="32"/>
      <x:c r="B171" s="32"/>
      <x:c r="C171" s="32"/>
      <x:c r="D171" s="32"/>
      <x:c r="E171" s="32"/>
      <x:c r="F171" s="32"/>
      <x:c r="G171" s="32"/>
      <x:c r="H171" s="32"/>
      <x:c r="I171" s="32"/>
    </x:row>
    <x:row r="172">
      <x:c r="A172" s="32"/>
      <x:c r="B172" s="32"/>
      <x:c r="C172" s="32"/>
      <x:c r="D172" s="32"/>
      <x:c r="E172" s="32"/>
      <x:c r="F172" s="32"/>
      <x:c r="G172" s="32"/>
      <x:c r="H172" s="32"/>
      <x:c r="I172" s="32"/>
    </x:row>
    <x:row r="173">
      <x:c r="A173" s="32"/>
      <x:c r="B173" s="32"/>
      <x:c r="C173" s="32"/>
      <x:c r="D173" s="32"/>
      <x:c r="E173" s="32"/>
      <x:c r="F173" s="32"/>
      <x:c r="G173" s="32"/>
      <x:c r="H173" s="32"/>
      <x:c r="I173" s="32"/>
    </x:row>
    <x:row r="174">
      <x:c r="A174" s="32"/>
      <x:c r="B174" s="32"/>
      <x:c r="C174" s="32"/>
      <x:c r="D174" s="32"/>
      <x:c r="E174" s="32"/>
      <x:c r="F174" s="32"/>
      <x:c r="G174" s="32"/>
      <x:c r="H174" s="32"/>
      <x:c r="I174" s="32"/>
    </x:row>
    <x:row r="175">
      <x:c r="A175" s="32"/>
      <x:c r="B175" s="32"/>
      <x:c r="C175" s="32"/>
      <x:c r="D175" s="32"/>
      <x:c r="E175" s="32"/>
      <x:c r="F175" s="32"/>
      <x:c r="G175" s="32"/>
      <x:c r="H175" s="32"/>
      <x:c r="I175" s="32"/>
    </x:row>
    <x:row r="176">
      <x:c r="A176" s="32"/>
      <x:c r="B176" s="32"/>
      <x:c r="C176" s="32"/>
      <x:c r="D176" s="32"/>
      <x:c r="E176" s="32"/>
      <x:c r="F176" s="32"/>
      <x:c r="G176" s="32"/>
      <x:c r="H176" s="32"/>
      <x:c r="I176" s="32"/>
    </x:row>
    <x:row r="177">
      <x:c r="A177" s="32"/>
      <x:c r="B177" s="32"/>
      <x:c r="C177" s="32"/>
      <x:c r="D177" s="32"/>
      <x:c r="E177" s="32"/>
      <x:c r="F177" s="32"/>
      <x:c r="G177" s="32"/>
      <x:c r="H177" s="32"/>
      <x:c r="I177" s="32"/>
    </x:row>
    <x:row r="178">
      <x:c r="A178" s="32"/>
      <x:c r="B178" s="32"/>
      <x:c r="C178" s="32"/>
      <x:c r="D178" s="32"/>
      <x:c r="E178" s="32"/>
      <x:c r="F178" s="32"/>
      <x:c r="G178" s="32"/>
      <x:c r="H178" s="32"/>
      <x:c r="I178" s="32"/>
    </x:row>
    <x:row r="179">
      <x:c r="A179" s="32"/>
      <x:c r="B179" s="32"/>
      <x:c r="C179" s="32"/>
      <x:c r="D179" s="32"/>
      <x:c r="E179" s="32"/>
      <x:c r="F179" s="32"/>
      <x:c r="G179" s="32"/>
      <x:c r="H179" s="32"/>
      <x:c r="I179" s="32"/>
    </x:row>
    <x:row r="180">
      <x:c r="A180" s="32"/>
      <x:c r="B180" s="32"/>
      <x:c r="C180" s="32"/>
      <x:c r="D180" s="32"/>
      <x:c r="E180" s="32"/>
      <x:c r="F180" s="32"/>
      <x:c r="G180" s="32"/>
      <x:c r="H180" s="32"/>
      <x:c r="I180" s="32"/>
    </x:row>
    <x:row r="181">
      <x:c r="A181" s="32"/>
      <x:c r="B181" s="32"/>
      <x:c r="C181" s="32"/>
      <x:c r="D181" s="32"/>
      <x:c r="E181" s="32"/>
      <x:c r="F181" s="32"/>
      <x:c r="G181" s="32"/>
      <x:c r="H181" s="32"/>
      <x:c r="I181" s="32"/>
    </x:row>
    <x:row r="182">
      <x:c r="A182" s="32"/>
      <x:c r="B182" s="32"/>
      <x:c r="C182" s="32"/>
      <x:c r="D182" s="32"/>
      <x:c r="E182" s="32"/>
      <x:c r="F182" s="32"/>
      <x:c r="G182" s="32"/>
      <x:c r="H182" s="32"/>
      <x:c r="I182" s="32"/>
    </x:row>
    <x:row r="183">
      <x:c r="A183" s="32"/>
      <x:c r="B183" s="32"/>
      <x:c r="C183" s="32"/>
      <x:c r="D183" s="32"/>
      <x:c r="E183" s="32"/>
      <x:c r="F183" s="32"/>
      <x:c r="G183" s="32"/>
      <x:c r="H183" s="32"/>
      <x:c r="I183" s="32"/>
    </x:row>
    <x:row r="184">
      <x:c r="A184" s="32"/>
      <x:c r="B184" s="32"/>
      <x:c r="C184" s="32"/>
      <x:c r="D184" s="32"/>
      <x:c r="E184" s="32"/>
      <x:c r="F184" s="32"/>
      <x:c r="G184" s="32"/>
      <x:c r="H184" s="32"/>
      <x:c r="I184" s="32"/>
    </x:row>
    <x:row r="185">
      <x:c r="A185" s="32"/>
      <x:c r="B185" s="32"/>
      <x:c r="C185" s="32"/>
      <x:c r="D185" s="32"/>
      <x:c r="E185" s="32"/>
      <x:c r="F185" s="32"/>
      <x:c r="G185" s="32"/>
      <x:c r="H185" s="32"/>
      <x:c r="I185" s="32"/>
    </x:row>
    <x:row r="186">
      <x:c r="A186" s="32"/>
      <x:c r="B186" s="32"/>
      <x:c r="C186" s="32"/>
      <x:c r="D186" s="32"/>
      <x:c r="E186" s="32"/>
      <x:c r="F186" s="32"/>
      <x:c r="G186" s="32"/>
      <x:c r="H186" s="32"/>
      <x:c r="I186" s="32"/>
    </x:row>
    <x:row r="187">
      <x:c r="A187" s="32"/>
      <x:c r="B187" s="32"/>
      <x:c r="C187" s="32"/>
      <x:c r="D187" s="32"/>
      <x:c r="E187" s="32"/>
      <x:c r="F187" s="32"/>
      <x:c r="G187" s="32"/>
      <x:c r="H187" s="32"/>
      <x:c r="I187" s="32"/>
    </x:row>
    <x:row r="188">
      <x:c r="A188" s="32"/>
      <x:c r="B188" s="32"/>
      <x:c r="C188" s="32"/>
      <x:c r="D188" s="32"/>
      <x:c r="E188" s="32"/>
      <x:c r="F188" s="32"/>
      <x:c r="G188" s="32"/>
      <x:c r="H188" s="32"/>
      <x:c r="I188" s="32"/>
    </x:row>
    <x:row r="189">
      <x:c r="A189" s="32"/>
      <x:c r="B189" s="32"/>
      <x:c r="C189" s="32"/>
      <x:c r="D189" s="32"/>
      <x:c r="E189" s="32"/>
      <x:c r="F189" s="32"/>
      <x:c r="G189" s="32"/>
      <x:c r="H189" s="32"/>
      <x:c r="I189" s="32"/>
    </x:row>
    <x:row r="190">
      <x:c r="A190" s="32"/>
      <x:c r="B190" s="32"/>
      <x:c r="C190" s="32"/>
      <x:c r="D190" s="32"/>
      <x:c r="E190" s="32"/>
      <x:c r="F190" s="32"/>
      <x:c r="G190" s="32"/>
      <x:c r="H190" s="32"/>
      <x:c r="I190" s="32"/>
    </x:row>
    <x:row r="191">
      <x:c r="A191" s="32"/>
      <x:c r="B191" s="32"/>
      <x:c r="C191" s="32"/>
      <x:c r="D191" s="32"/>
      <x:c r="E191" s="32"/>
      <x:c r="F191" s="32"/>
      <x:c r="G191" s="32"/>
      <x:c r="H191" s="32"/>
      <x:c r="I191" s="32"/>
    </x:row>
    <x:row r="192">
      <x:c r="A192" s="32"/>
      <x:c r="B192" s="32"/>
      <x:c r="C192" s="32"/>
      <x:c r="D192" s="32"/>
      <x:c r="E192" s="32"/>
      <x:c r="F192" s="32"/>
      <x:c r="G192" s="32"/>
      <x:c r="H192" s="32"/>
      <x:c r="I192" s="32"/>
    </x:row>
    <x:row r="193">
      <x:c r="A193" s="32"/>
      <x:c r="B193" s="32"/>
      <x:c r="C193" s="32"/>
      <x:c r="D193" s="32"/>
      <x:c r="E193" s="32"/>
      <x:c r="F193" s="32"/>
      <x:c r="G193" s="32"/>
      <x:c r="H193" s="32"/>
      <x:c r="I193" s="32"/>
    </x:row>
    <x:row r="194">
      <x:c r="A194" s="32"/>
      <x:c r="B194" s="32"/>
      <x:c r="C194" s="32"/>
      <x:c r="D194" s="32"/>
      <x:c r="E194" s="32"/>
      <x:c r="F194" s="32"/>
      <x:c r="G194" s="32"/>
      <x:c r="H194" s="32"/>
      <x:c r="I194" s="32"/>
    </x:row>
    <x:row r="195">
      <x:c r="A195" s="32"/>
      <x:c r="B195" s="32"/>
      <x:c r="C195" s="32"/>
      <x:c r="D195" s="32"/>
      <x:c r="E195" s="32"/>
      <x:c r="F195" s="32"/>
      <x:c r="G195" s="32"/>
      <x:c r="H195" s="32"/>
      <x:c r="I195" s="32"/>
    </x:row>
    <x:row r="196">
      <x:c r="A196" s="32"/>
      <x:c r="B196" s="32"/>
      <x:c r="C196" s="32"/>
      <x:c r="D196" s="32"/>
      <x:c r="E196" s="32"/>
      <x:c r="F196" s="32"/>
      <x:c r="G196" s="32"/>
      <x:c r="H196" s="32"/>
      <x:c r="I196" s="32"/>
    </x:row>
    <x:row r="197">
      <x:c r="A197" s="32"/>
      <x:c r="B197" s="32"/>
      <x:c r="C197" s="32"/>
      <x:c r="D197" s="32"/>
      <x:c r="E197" s="32"/>
      <x:c r="F197" s="32"/>
      <x:c r="G197" s="32"/>
      <x:c r="H197" s="32"/>
      <x:c r="I197" s="32"/>
    </x:row>
    <x:row r="198">
      <x:c r="A198" s="32"/>
      <x:c r="B198" s="32"/>
      <x:c r="C198" s="32"/>
      <x:c r="D198" s="32"/>
      <x:c r="E198" s="32"/>
      <x:c r="F198" s="32"/>
      <x:c r="G198" s="32"/>
      <x:c r="H198" s="32"/>
      <x:c r="I198" s="32"/>
    </x:row>
    <x:row r="199">
      <x:c r="A199" s="32"/>
      <x:c r="B199" s="32"/>
      <x:c r="C199" s="32"/>
      <x:c r="D199" s="32"/>
      <x:c r="E199" s="32"/>
      <x:c r="F199" s="32"/>
      <x:c r="G199" s="32"/>
      <x:c r="H199" s="32"/>
      <x:c r="I199" s="32"/>
    </x:row>
    <x:row r="200">
      <x:c r="A200" s="32"/>
      <x:c r="B200" s="32"/>
      <x:c r="C200" s="32"/>
      <x:c r="D200" s="32"/>
      <x:c r="E200" s="32"/>
      <x:c r="F200" s="32"/>
      <x:c r="G200" s="32"/>
      <x:c r="H200" s="32"/>
      <x:c r="I200" s="32"/>
    </x:row>
    <x:row r="201">
      <x:c r="A201" s="32"/>
      <x:c r="B201" s="32"/>
      <x:c r="C201" s="32"/>
      <x:c r="D201" s="32"/>
      <x:c r="E201" s="32"/>
      <x:c r="F201" s="32"/>
      <x:c r="G201" s="32"/>
      <x:c r="H201" s="32"/>
      <x:c r="I201" s="32"/>
    </x:row>
    <x:row r="202">
      <x:c r="A202" s="32"/>
      <x:c r="B202" s="32"/>
      <x:c r="C202" s="32"/>
      <x:c r="D202" s="32"/>
      <x:c r="E202" s="32"/>
      <x:c r="F202" s="32"/>
      <x:c r="G202" s="32"/>
      <x:c r="H202" s="32"/>
      <x:c r="I202" s="32"/>
    </x:row>
    <x:row r="203">
      <x:c r="A203" s="32"/>
      <x:c r="B203" s="32"/>
      <x:c r="C203" s="32"/>
      <x:c r="D203" s="32"/>
      <x:c r="E203" s="32"/>
      <x:c r="F203" s="32"/>
      <x:c r="G203" s="32"/>
      <x:c r="H203" s="32"/>
      <x:c r="I203" s="32"/>
    </x:row>
    <x:row r="204">
      <x:c r="A204" s="32"/>
      <x:c r="B204" s="32"/>
      <x:c r="C204" s="32"/>
      <x:c r="D204" s="32"/>
      <x:c r="E204" s="32"/>
      <x:c r="F204" s="32"/>
      <x:c r="G204" s="32"/>
      <x:c r="H204" s="32"/>
      <x:c r="I204" s="32"/>
    </x:row>
    <x:row r="205">
      <x:c r="A205" s="32"/>
      <x:c r="B205" s="32"/>
      <x:c r="C205" s="32"/>
      <x:c r="D205" s="32"/>
      <x:c r="E205" s="32"/>
      <x:c r="F205" s="32"/>
      <x:c r="G205" s="32"/>
      <x:c r="H205" s="32"/>
      <x:c r="I205" s="32"/>
    </x:row>
    <x:row r="206">
      <x:c r="A206" s="32"/>
      <x:c r="B206" s="32"/>
      <x:c r="C206" s="32"/>
      <x:c r="D206" s="32"/>
      <x:c r="E206" s="32"/>
      <x:c r="F206" s="32"/>
      <x:c r="G206" s="32"/>
      <x:c r="H206" s="32"/>
      <x:c r="I206" s="32"/>
    </x:row>
    <x:row r="207">
      <x:c r="A207" s="32"/>
      <x:c r="B207" s="32"/>
      <x:c r="C207" s="32"/>
      <x:c r="D207" s="32"/>
      <x:c r="E207" s="32"/>
      <x:c r="F207" s="32"/>
      <x:c r="G207" s="32"/>
      <x:c r="H207" s="32"/>
      <x:c r="I207" s="32"/>
    </x:row>
    <x:row r="208">
      <x:c r="A208" s="32"/>
      <x:c r="B208" s="32"/>
      <x:c r="C208" s="32"/>
      <x:c r="D208" s="32"/>
      <x:c r="E208" s="32"/>
      <x:c r="F208" s="32"/>
      <x:c r="G208" s="32"/>
      <x:c r="H208" s="32"/>
      <x:c r="I208" s="32"/>
    </x:row>
    <x:row r="209">
      <x:c r="A209" s="32"/>
      <x:c r="B209" s="32"/>
      <x:c r="C209" s="32"/>
      <x:c r="D209" s="32"/>
      <x:c r="E209" s="32"/>
      <x:c r="F209" s="32"/>
      <x:c r="G209" s="32"/>
      <x:c r="H209" s="32"/>
      <x:c r="I209" s="32"/>
    </x:row>
    <x:row r="210">
      <x:c r="A210" s="32"/>
      <x:c r="B210" s="32"/>
      <x:c r="C210" s="32"/>
      <x:c r="D210" s="32"/>
      <x:c r="E210" s="32"/>
      <x:c r="F210" s="32"/>
      <x:c r="G210" s="32"/>
      <x:c r="H210" s="32"/>
      <x:c r="I210" s="32"/>
    </x:row>
    <x:row r="211">
      <x:c r="A211" s="32"/>
      <x:c r="B211" s="32"/>
      <x:c r="C211" s="32"/>
      <x:c r="D211" s="32"/>
      <x:c r="E211" s="32"/>
      <x:c r="F211" s="32"/>
      <x:c r="G211" s="32"/>
      <x:c r="H211" s="32"/>
      <x:c r="I211" s="32"/>
    </x:row>
    <x:row r="212">
      <x:c r="A212" s="32"/>
      <x:c r="B212" s="32"/>
      <x:c r="C212" s="32"/>
      <x:c r="D212" s="32"/>
      <x:c r="E212" s="32"/>
      <x:c r="F212" s="32"/>
      <x:c r="G212" s="32"/>
      <x:c r="H212" s="32"/>
      <x:c r="I212" s="32"/>
    </x:row>
    <x:row r="213">
      <x:c r="A213" s="32"/>
      <x:c r="B213" s="32"/>
      <x:c r="C213" s="32"/>
      <x:c r="D213" s="32"/>
      <x:c r="E213" s="32"/>
      <x:c r="F213" s="32"/>
      <x:c r="G213" s="32"/>
      <x:c r="H213" s="32"/>
      <x:c r="I213" s="32"/>
    </x:row>
    <x:row r="214">
      <x:c r="A214" s="32"/>
      <x:c r="B214" s="32"/>
      <x:c r="C214" s="32"/>
      <x:c r="D214" s="32"/>
      <x:c r="E214" s="32"/>
      <x:c r="F214" s="32"/>
      <x:c r="G214" s="32"/>
      <x:c r="H214" s="32"/>
      <x:c r="I214" s="32"/>
    </x:row>
    <x:row r="215">
      <x:c r="A215" s="32"/>
      <x:c r="B215" s="32"/>
      <x:c r="C215" s="32"/>
      <x:c r="D215" s="32"/>
      <x:c r="E215" s="32"/>
      <x:c r="F215" s="32"/>
      <x:c r="G215" s="32"/>
      <x:c r="H215" s="32"/>
      <x:c r="I215" s="32"/>
    </x:row>
    <x:row r="216">
      <x:c r="A216" s="32"/>
      <x:c r="B216" s="32"/>
      <x:c r="C216" s="32"/>
      <x:c r="D216" s="32"/>
      <x:c r="E216" s="32"/>
      <x:c r="F216" s="32"/>
      <x:c r="G216" s="32"/>
      <x:c r="H216" s="32"/>
      <x:c r="I216" s="32"/>
    </x:row>
    <x:row r="217">
      <x:c r="A217" s="32"/>
      <x:c r="B217" s="32"/>
      <x:c r="C217" s="32"/>
      <x:c r="D217" s="32"/>
      <x:c r="E217" s="32"/>
      <x:c r="F217" s="32"/>
      <x:c r="G217" s="32"/>
      <x:c r="H217" s="32"/>
      <x:c r="I217" s="32"/>
    </x:row>
    <x:row r="218">
      <x:c r="A218" s="32"/>
      <x:c r="B218" s="32"/>
      <x:c r="C218" s="32"/>
      <x:c r="D218" s="32"/>
      <x:c r="E218" s="32"/>
      <x:c r="F218" s="32"/>
      <x:c r="G218" s="32"/>
      <x:c r="H218" s="32"/>
      <x:c r="I218" s="32"/>
    </x:row>
    <x:row r="219">
      <x:c r="A219" s="32"/>
      <x:c r="B219" s="32"/>
      <x:c r="C219" s="32"/>
      <x:c r="D219" s="32"/>
      <x:c r="E219" s="32"/>
      <x:c r="F219" s="32"/>
      <x:c r="G219" s="32"/>
      <x:c r="H219" s="32"/>
      <x:c r="I219" s="32"/>
    </x:row>
    <x:row r="220">
      <x:c r="A220" s="32"/>
      <x:c r="B220" s="32"/>
      <x:c r="C220" s="32"/>
      <x:c r="D220" s="32"/>
      <x:c r="E220" s="32"/>
      <x:c r="F220" s="32"/>
      <x:c r="G220" s="32"/>
      <x:c r="H220" s="32"/>
      <x:c r="I220" s="32"/>
    </x:row>
    <x:row r="221">
      <x:c r="A221" s="32"/>
      <x:c r="B221" s="32"/>
      <x:c r="C221" s="32"/>
      <x:c r="D221" s="32"/>
      <x:c r="E221" s="32"/>
      <x:c r="F221" s="32"/>
      <x:c r="G221" s="32"/>
      <x:c r="H221" s="32"/>
      <x:c r="I221" s="32"/>
    </x:row>
    <x:row r="222">
      <x:c r="A222" s="32"/>
      <x:c r="B222" s="32"/>
      <x:c r="C222" s="32"/>
      <x:c r="D222" s="32"/>
      <x:c r="E222" s="32"/>
      <x:c r="F222" s="32"/>
      <x:c r="G222" s="32"/>
      <x:c r="H222" s="32"/>
      <x:c r="I222" s="32"/>
    </x:row>
    <x:row r="223">
      <x:c r="A223" s="32"/>
      <x:c r="B223" s="32"/>
      <x:c r="C223" s="32"/>
      <x:c r="D223" s="32"/>
      <x:c r="E223" s="32"/>
      <x:c r="F223" s="32"/>
      <x:c r="G223" s="32"/>
      <x:c r="H223" s="32"/>
      <x:c r="I223" s="32"/>
    </x:row>
    <x:row r="224">
      <x:c r="A224" s="32"/>
      <x:c r="B224" s="32"/>
      <x:c r="C224" s="32"/>
      <x:c r="D224" s="32"/>
      <x:c r="E224" s="32"/>
      <x:c r="F224" s="32"/>
      <x:c r="G224" s="32"/>
      <x:c r="H224" s="32"/>
      <x:c r="I224" s="32"/>
    </x:row>
    <x:row r="225">
      <x:c r="A225" s="32"/>
      <x:c r="B225" s="32"/>
      <x:c r="C225" s="32"/>
      <x:c r="D225" s="32"/>
      <x:c r="E225" s="32"/>
      <x:c r="F225" s="32"/>
      <x:c r="G225" s="32"/>
      <x:c r="H225" s="32"/>
      <x:c r="I225" s="32"/>
    </x:row>
    <x:row r="226">
      <x:c r="A226" s="32"/>
      <x:c r="B226" s="32"/>
      <x:c r="C226" s="32"/>
      <x:c r="D226" s="32"/>
      <x:c r="E226" s="32"/>
      <x:c r="F226" s="32"/>
      <x:c r="G226" s="32"/>
      <x:c r="H226" s="32"/>
      <x:c r="I226" s="32"/>
    </x:row>
    <x:row r="227">
      <x:c r="A227" s="32"/>
      <x:c r="B227" s="32"/>
      <x:c r="C227" s="32"/>
      <x:c r="D227" s="32"/>
      <x:c r="E227" s="32"/>
      <x:c r="F227" s="32"/>
      <x:c r="G227" s="32"/>
      <x:c r="H227" s="32"/>
      <x:c r="I227" s="32"/>
    </x:row>
    <x:row r="228">
      <x:c r="A228" s="32"/>
      <x:c r="B228" s="32"/>
      <x:c r="C228" s="32"/>
      <x:c r="D228" s="32"/>
      <x:c r="E228" s="32"/>
      <x:c r="F228" s="32"/>
      <x:c r="G228" s="32"/>
      <x:c r="H228" s="32"/>
      <x:c r="I228" s="32"/>
    </x:row>
    <x:row r="229">
      <x:c r="A229" s="32"/>
      <x:c r="B229" s="32"/>
      <x:c r="C229" s="32"/>
      <x:c r="D229" s="32"/>
      <x:c r="E229" s="32"/>
      <x:c r="F229" s="32"/>
      <x:c r="G229" s="32"/>
      <x:c r="H229" s="32"/>
      <x:c r="I229" s="32"/>
    </x:row>
    <x:row r="230">
      <x:c r="A230" s="32"/>
      <x:c r="B230" s="32"/>
      <x:c r="C230" s="32"/>
      <x:c r="D230" s="32"/>
      <x:c r="E230" s="32"/>
      <x:c r="F230" s="32"/>
      <x:c r="G230" s="32"/>
      <x:c r="H230" s="32"/>
      <x:c r="I230" s="32"/>
    </x:row>
    <x:row r="231">
      <x:c r="A231" s="32"/>
      <x:c r="B231" s="32"/>
      <x:c r="C231" s="32"/>
      <x:c r="D231" s="32"/>
      <x:c r="E231" s="32"/>
      <x:c r="F231" s="32"/>
      <x:c r="G231" s="32"/>
      <x:c r="H231" s="32"/>
      <x:c r="I231" s="32"/>
    </x:row>
    <x:row r="232">
      <x:c r="A232" s="32"/>
      <x:c r="B232" s="32"/>
      <x:c r="C232" s="32"/>
      <x:c r="D232" s="32"/>
      <x:c r="E232" s="32"/>
      <x:c r="F232" s="32"/>
      <x:c r="G232" s="32"/>
      <x:c r="H232" s="32"/>
      <x:c r="I232" s="32"/>
    </x:row>
    <x:row r="233">
      <x:c r="A233" s="32"/>
      <x:c r="B233" s="32"/>
      <x:c r="C233" s="32"/>
      <x:c r="D233" s="32"/>
      <x:c r="E233" s="32"/>
      <x:c r="F233" s="32"/>
      <x:c r="G233" s="32"/>
      <x:c r="H233" s="32"/>
      <x:c r="I233" s="32"/>
    </x:row>
    <x:row r="234">
      <x:c r="A234" s="32"/>
      <x:c r="B234" s="32"/>
      <x:c r="C234" s="32"/>
      <x:c r="D234" s="32"/>
      <x:c r="E234" s="32"/>
      <x:c r="F234" s="32"/>
      <x:c r="G234" s="32"/>
      <x:c r="H234" s="32"/>
      <x:c r="I234" s="32"/>
    </x:row>
    <x:row r="235">
      <x:c r="A235" s="32"/>
      <x:c r="B235" s="32"/>
      <x:c r="C235" s="32"/>
      <x:c r="D235" s="32"/>
      <x:c r="E235" s="32"/>
      <x:c r="F235" s="32"/>
      <x:c r="G235" s="32"/>
      <x:c r="H235" s="32"/>
      <x:c r="I235" s="32"/>
    </x:row>
    <x:row r="236">
      <x:c r="A236" s="32"/>
      <x:c r="B236" s="32"/>
      <x:c r="C236" s="32"/>
      <x:c r="D236" s="32"/>
      <x:c r="E236" s="32"/>
      <x:c r="F236" s="32"/>
      <x:c r="G236" s="32"/>
      <x:c r="H236" s="32"/>
      <x:c r="I236" s="32"/>
    </x:row>
    <x:row r="237">
      <x:c r="A237" s="32"/>
      <x:c r="B237" s="32"/>
      <x:c r="C237" s="32"/>
      <x:c r="D237" s="32"/>
      <x:c r="E237" s="32"/>
      <x:c r="F237" s="32"/>
      <x:c r="G237" s="32"/>
      <x:c r="H237" s="32"/>
      <x:c r="I237" s="32"/>
    </x:row>
    <x:row r="238">
      <x:c r="A238" s="32"/>
      <x:c r="B238" s="32"/>
      <x:c r="C238" s="32"/>
      <x:c r="D238" s="32"/>
      <x:c r="E238" s="32"/>
      <x:c r="F238" s="32"/>
      <x:c r="G238" s="32"/>
      <x:c r="H238" s="32"/>
      <x:c r="I238" s="32"/>
    </x:row>
    <x:row r="239">
      <x:c r="A239" s="32"/>
      <x:c r="B239" s="32"/>
      <x:c r="C239" s="32"/>
      <x:c r="D239" s="32"/>
      <x:c r="E239" s="32"/>
      <x:c r="F239" s="32"/>
      <x:c r="G239" s="32"/>
      <x:c r="H239" s="32"/>
      <x:c r="I239" s="32"/>
    </x:row>
    <x:row r="240">
      <x:c r="A240" s="32"/>
      <x:c r="B240" s="32"/>
      <x:c r="C240" s="32"/>
      <x:c r="D240" s="32"/>
      <x:c r="E240" s="32"/>
      <x:c r="F240" s="32"/>
      <x:c r="G240" s="32"/>
      <x:c r="H240" s="32"/>
      <x:c r="I240" s="32"/>
    </x:row>
    <x:row r="241">
      <x:c r="A241" s="32"/>
      <x:c r="B241" s="32"/>
      <x:c r="C241" s="32"/>
      <x:c r="D241" s="32"/>
      <x:c r="E241" s="32"/>
      <x:c r="F241" s="32"/>
      <x:c r="G241" s="32"/>
      <x:c r="H241" s="32"/>
      <x:c r="I241" s="32"/>
    </x:row>
    <x:row r="242">
      <x:c r="A242" s="32"/>
      <x:c r="B242" s="32"/>
      <x:c r="C242" s="32"/>
      <x:c r="D242" s="32"/>
      <x:c r="E242" s="32"/>
      <x:c r="F242" s="32"/>
      <x:c r="G242" s="32"/>
      <x:c r="H242" s="32"/>
      <x:c r="I242" s="32"/>
    </x:row>
    <x:row r="243">
      <x:c r="A243" s="32"/>
      <x:c r="B243" s="32"/>
      <x:c r="C243" s="32"/>
      <x:c r="D243" s="32"/>
      <x:c r="E243" s="32"/>
      <x:c r="F243" s="32"/>
      <x:c r="G243" s="32"/>
      <x:c r="H243" s="32"/>
      <x:c r="I243" s="32"/>
    </x:row>
    <x:row r="244">
      <x:c r="A244" s="32"/>
      <x:c r="B244" s="32"/>
      <x:c r="C244" s="32"/>
      <x:c r="D244" s="32"/>
      <x:c r="E244" s="32"/>
      <x:c r="F244" s="32"/>
      <x:c r="G244" s="32"/>
      <x:c r="H244" s="32"/>
      <x:c r="I244" s="32"/>
    </x:row>
    <x:row r="245">
      <x:c r="A245" s="32"/>
      <x:c r="B245" s="32"/>
      <x:c r="C245" s="32"/>
      <x:c r="D245" s="32"/>
      <x:c r="E245" s="32"/>
      <x:c r="F245" s="32"/>
      <x:c r="G245" s="32"/>
      <x:c r="H245" s="32"/>
      <x:c r="I245" s="32"/>
    </x:row>
    <x:row r="246">
      <x:c r="A246" s="32"/>
      <x:c r="B246" s="32"/>
      <x:c r="C246" s="32"/>
      <x:c r="D246" s="32"/>
      <x:c r="E246" s="32"/>
      <x:c r="F246" s="32"/>
      <x:c r="G246" s="32"/>
      <x:c r="H246" s="32"/>
      <x:c r="I246" s="32"/>
    </x:row>
    <x:row r="247">
      <x:c r="A247" s="32"/>
      <x:c r="B247" s="32"/>
      <x:c r="C247" s="32"/>
      <x:c r="D247" s="32"/>
      <x:c r="E247" s="32"/>
      <x:c r="F247" s="32"/>
      <x:c r="G247" s="32"/>
      <x:c r="H247" s="32"/>
      <x:c r="I247" s="32"/>
    </x:row>
    <x:row r="248">
      <x:c r="A248" s="32"/>
      <x:c r="B248" s="32"/>
      <x:c r="C248" s="32"/>
      <x:c r="D248" s="32"/>
      <x:c r="E248" s="32"/>
      <x:c r="F248" s="32"/>
      <x:c r="G248" s="32"/>
      <x:c r="H248" s="32"/>
      <x:c r="I248" s="32"/>
    </x:row>
    <x:row r="249">
      <x:c r="A249" s="32"/>
      <x:c r="B249" s="32"/>
      <x:c r="C249" s="32"/>
      <x:c r="D249" s="32"/>
      <x:c r="E249" s="32"/>
      <x:c r="F249" s="32"/>
      <x:c r="G249" s="32"/>
      <x:c r="H249" s="32"/>
      <x:c r="I249" s="32"/>
    </x:row>
    <x:row r="250">
      <x:c r="A250" s="32"/>
      <x:c r="B250" s="32"/>
      <x:c r="C250" s="32"/>
      <x:c r="D250" s="32"/>
      <x:c r="E250" s="32"/>
      <x:c r="F250" s="32"/>
      <x:c r="G250" s="32"/>
      <x:c r="H250" s="32"/>
      <x:c r="I250" s="32"/>
    </x:row>
    <x:row r="251">
      <x:c r="A251" s="32"/>
      <x:c r="B251" s="32"/>
      <x:c r="C251" s="32"/>
      <x:c r="D251" s="32"/>
      <x:c r="E251" s="32"/>
      <x:c r="F251" s="32"/>
      <x:c r="G251" s="32"/>
      <x:c r="H251" s="32"/>
      <x:c r="I251" s="32"/>
    </x:row>
    <x:row r="252">
      <x:c r="A252" s="32"/>
      <x:c r="B252" s="32"/>
      <x:c r="C252" s="32"/>
      <x:c r="D252" s="32"/>
      <x:c r="E252" s="32"/>
      <x:c r="F252" s="32"/>
      <x:c r="G252" s="32"/>
      <x:c r="H252" s="32"/>
      <x:c r="I252" s="32"/>
    </x:row>
    <x:row r="253">
      <x:c r="A253" s="32"/>
      <x:c r="B253" s="32"/>
      <x:c r="C253" s="32"/>
      <x:c r="D253" s="32"/>
      <x:c r="E253" s="32"/>
      <x:c r="F253" s="32"/>
      <x:c r="G253" s="32"/>
      <x:c r="H253" s="32"/>
      <x:c r="I253" s="32"/>
    </x:row>
    <x:row r="254">
      <x:c r="A254" s="32"/>
      <x:c r="B254" s="32"/>
      <x:c r="C254" s="32"/>
      <x:c r="D254" s="32"/>
      <x:c r="E254" s="32"/>
      <x:c r="F254" s="32"/>
      <x:c r="G254" s="32"/>
      <x:c r="H254" s="32"/>
      <x:c r="I254" s="32"/>
    </x:row>
    <x:row r="255">
      <x:c r="A255" s="32"/>
      <x:c r="B255" s="32"/>
      <x:c r="C255" s="32"/>
      <x:c r="D255" s="32"/>
      <x:c r="E255" s="32"/>
      <x:c r="F255" s="32"/>
      <x:c r="G255" s="32"/>
      <x:c r="H255" s="32"/>
      <x:c r="I255" s="32"/>
    </x:row>
    <x:row r="256">
      <x:c r="A256" s="32"/>
      <x:c r="B256" s="32"/>
      <x:c r="C256" s="32"/>
      <x:c r="D256" s="32"/>
      <x:c r="E256" s="32"/>
      <x:c r="F256" s="32"/>
      <x:c r="G256" s="32"/>
      <x:c r="H256" s="32"/>
      <x:c r="I256" s="32"/>
    </x:row>
    <x:row r="257">
      <x:c r="A257" s="32"/>
      <x:c r="B257" s="32"/>
      <x:c r="C257" s="32"/>
      <x:c r="D257" s="32"/>
      <x:c r="E257" s="32"/>
      <x:c r="F257" s="32"/>
      <x:c r="G257" s="32"/>
      <x:c r="H257" s="32"/>
      <x:c r="I257" s="32"/>
    </x:row>
    <x:row r="258">
      <x:c r="A258" s="32"/>
      <x:c r="B258" s="32"/>
      <x:c r="C258" s="32"/>
      <x:c r="D258" s="32"/>
      <x:c r="E258" s="32"/>
      <x:c r="F258" s="32"/>
      <x:c r="G258" s="32"/>
      <x:c r="H258" s="32"/>
      <x:c r="I258" s="32"/>
    </x:row>
    <x:row r="259">
      <x:c r="A259" s="32"/>
      <x:c r="B259" s="32"/>
      <x:c r="C259" s="32"/>
      <x:c r="D259" s="32"/>
      <x:c r="E259" s="32"/>
      <x:c r="F259" s="32"/>
      <x:c r="G259" s="32"/>
      <x:c r="H259" s="32"/>
      <x:c r="I259" s="32"/>
    </x:row>
    <x:row r="260">
      <x:c r="A260" s="32"/>
      <x:c r="B260" s="32"/>
      <x:c r="C260" s="32"/>
      <x:c r="D260" s="32"/>
      <x:c r="E260" s="32"/>
      <x:c r="F260" s="32"/>
      <x:c r="G260" s="32"/>
      <x:c r="H260" s="32"/>
      <x:c r="I260" s="32"/>
    </x:row>
    <x:row r="261">
      <x:c r="A261" s="32"/>
      <x:c r="B261" s="32"/>
      <x:c r="C261" s="32"/>
      <x:c r="D261" s="32"/>
      <x:c r="E261" s="32"/>
      <x:c r="F261" s="32"/>
      <x:c r="G261" s="32"/>
      <x:c r="H261" s="32"/>
      <x:c r="I261" s="32"/>
    </x:row>
    <x:row r="262">
      <x:c r="A262" s="32"/>
      <x:c r="B262" s="32"/>
      <x:c r="C262" s="32"/>
      <x:c r="D262" s="32"/>
      <x:c r="E262" s="32"/>
      <x:c r="F262" s="32"/>
      <x:c r="G262" s="32"/>
      <x:c r="H262" s="32"/>
      <x:c r="I262" s="32"/>
    </x:row>
    <x:row r="263">
      <x:c r="A263" s="32"/>
      <x:c r="B263" s="32"/>
      <x:c r="C263" s="32"/>
      <x:c r="D263" s="32"/>
      <x:c r="E263" s="32"/>
      <x:c r="F263" s="32"/>
      <x:c r="G263" s="32"/>
      <x:c r="H263" s="32"/>
      <x:c r="I263" s="32"/>
    </x:row>
    <x:row r="264">
      <x:c r="A264" s="32"/>
      <x:c r="B264" s="32"/>
      <x:c r="C264" s="32"/>
      <x:c r="D264" s="32"/>
      <x:c r="E264" s="32"/>
      <x:c r="F264" s="32"/>
      <x:c r="G264" s="32"/>
      <x:c r="H264" s="32"/>
      <x:c r="I264" s="32"/>
    </x:row>
    <x:row r="265">
      <x:c r="A265" s="32"/>
      <x:c r="B265" s="32"/>
      <x:c r="C265" s="32"/>
      <x:c r="D265" s="32"/>
      <x:c r="E265" s="32"/>
      <x:c r="F265" s="32"/>
      <x:c r="G265" s="32"/>
      <x:c r="H265" s="32"/>
      <x:c r="I265" s="32"/>
    </x:row>
    <x:row r="266">
      <x:c r="A266" s="32"/>
      <x:c r="B266" s="32"/>
      <x:c r="C266" s="32"/>
      <x:c r="D266" s="32"/>
      <x:c r="E266" s="32"/>
      <x:c r="F266" s="32"/>
      <x:c r="G266" s="32"/>
      <x:c r="H266" s="32"/>
      <x:c r="I266" s="32"/>
    </x:row>
    <x:row r="267">
      <x:c r="A267" s="32"/>
      <x:c r="B267" s="32"/>
      <x:c r="C267" s="32"/>
      <x:c r="D267" s="32"/>
      <x:c r="E267" s="32"/>
      <x:c r="F267" s="32"/>
      <x:c r="G267" s="32"/>
      <x:c r="H267" s="32"/>
      <x:c r="I267" s="32"/>
    </x:row>
    <x:row r="268">
      <x:c r="A268" s="32"/>
      <x:c r="B268" s="32"/>
      <x:c r="C268" s="32"/>
      <x:c r="D268" s="32"/>
      <x:c r="E268" s="32"/>
      <x:c r="F268" s="32"/>
      <x:c r="G268" s="32"/>
      <x:c r="H268" s="32"/>
      <x:c r="I268" s="32"/>
    </x:row>
    <x:row r="269">
      <x:c r="A269" s="32"/>
      <x:c r="B269" s="32"/>
      <x:c r="C269" s="32"/>
      <x:c r="D269" s="32"/>
      <x:c r="E269" s="32"/>
      <x:c r="F269" s="32"/>
      <x:c r="G269" s="32"/>
      <x:c r="H269" s="32"/>
      <x:c r="I269" s="32"/>
    </x:row>
    <x:row r="270">
      <x:c r="A270" s="32"/>
      <x:c r="B270" s="32"/>
      <x:c r="C270" s="32"/>
      <x:c r="D270" s="32"/>
      <x:c r="E270" s="32"/>
      <x:c r="F270" s="32"/>
      <x:c r="G270" s="32"/>
      <x:c r="H270" s="32"/>
      <x:c r="I270" s="32"/>
    </x:row>
    <x:row r="271">
      <x:c r="A271" s="32"/>
      <x:c r="B271" s="32"/>
      <x:c r="C271" s="32"/>
      <x:c r="D271" s="32"/>
      <x:c r="E271" s="32"/>
      <x:c r="F271" s="32"/>
      <x:c r="G271" s="32"/>
      <x:c r="H271" s="32"/>
      <x:c r="I271" s="32"/>
    </x:row>
    <x:row r="272">
      <x:c r="A272" s="32"/>
      <x:c r="B272" s="32"/>
      <x:c r="C272" s="32"/>
      <x:c r="D272" s="32"/>
      <x:c r="E272" s="32"/>
      <x:c r="F272" s="32"/>
      <x:c r="G272" s="32"/>
      <x:c r="H272" s="32"/>
      <x:c r="I272" s="32"/>
    </x:row>
    <x:row r="273">
      <x:c r="A273" s="32"/>
      <x:c r="B273" s="32"/>
      <x:c r="C273" s="32"/>
      <x:c r="D273" s="32"/>
      <x:c r="E273" s="32"/>
      <x:c r="F273" s="32"/>
      <x:c r="G273" s="32"/>
      <x:c r="H273" s="32"/>
      <x:c r="I273" s="32"/>
    </x:row>
    <x:row r="274">
      <x:c r="A274" s="32"/>
      <x:c r="B274" s="32"/>
      <x:c r="C274" s="32"/>
      <x:c r="D274" s="32"/>
      <x:c r="E274" s="32"/>
      <x:c r="F274" s="32"/>
      <x:c r="G274" s="32"/>
      <x:c r="H274" s="32"/>
      <x:c r="I274" s="32"/>
    </x:row>
    <x:row r="275">
      <x:c r="A275" s="32"/>
      <x:c r="B275" s="32"/>
      <x:c r="C275" s="32"/>
      <x:c r="D275" s="32"/>
      <x:c r="E275" s="32"/>
      <x:c r="F275" s="32"/>
      <x:c r="G275" s="32"/>
      <x:c r="H275" s="32"/>
      <x:c r="I275" s="32"/>
    </x:row>
    <x:row r="276">
      <x:c r="A276" s="32"/>
      <x:c r="B276" s="32"/>
      <x:c r="C276" s="32"/>
      <x:c r="D276" s="32"/>
      <x:c r="E276" s="32"/>
      <x:c r="F276" s="32"/>
      <x:c r="G276" s="32"/>
      <x:c r="H276" s="32"/>
      <x:c r="I276" s="32"/>
    </x:row>
    <x:row r="277">
      <x:c r="A277" s="32"/>
      <x:c r="B277" s="32"/>
      <x:c r="C277" s="32"/>
      <x:c r="D277" s="32"/>
      <x:c r="E277" s="32"/>
      <x:c r="F277" s="32"/>
      <x:c r="G277" s="32"/>
      <x:c r="H277" s="32"/>
      <x:c r="I277" s="32"/>
    </x:row>
    <x:row r="278">
      <x:c r="A278" s="32"/>
      <x:c r="B278" s="32"/>
      <x:c r="C278" s="32"/>
      <x:c r="D278" s="32"/>
      <x:c r="E278" s="32"/>
      <x:c r="F278" s="32"/>
      <x:c r="G278" s="32"/>
      <x:c r="H278" s="32"/>
      <x:c r="I278" s="32"/>
    </x:row>
    <x:row r="279">
      <x:c r="A279" s="32"/>
      <x:c r="B279" s="32"/>
      <x:c r="C279" s="32"/>
      <x:c r="D279" s="32"/>
      <x:c r="E279" s="32"/>
      <x:c r="F279" s="32"/>
      <x:c r="G279" s="32"/>
      <x:c r="H279" s="32"/>
      <x:c r="I279" s="32"/>
    </x:row>
    <x:row r="280">
      <x:c r="A280" s="32"/>
      <x:c r="B280" s="32"/>
      <x:c r="C280" s="32"/>
      <x:c r="D280" s="32"/>
      <x:c r="E280" s="32"/>
      <x:c r="F280" s="32"/>
      <x:c r="G280" s="32"/>
      <x:c r="H280" s="32"/>
      <x:c r="I280" s="32"/>
    </x:row>
    <x:row r="281">
      <x:c r="A281" s="32"/>
      <x:c r="B281" s="32"/>
      <x:c r="C281" s="32"/>
      <x:c r="D281" s="32"/>
      <x:c r="E281" s="32"/>
      <x:c r="F281" s="32"/>
      <x:c r="G281" s="32"/>
      <x:c r="H281" s="32"/>
      <x:c r="I281" s="32"/>
    </x:row>
    <x:row r="282">
      <x:c r="A282" s="32"/>
      <x:c r="B282" s="32"/>
      <x:c r="C282" s="32"/>
      <x:c r="D282" s="32"/>
      <x:c r="E282" s="32"/>
      <x:c r="F282" s="32"/>
      <x:c r="G282" s="32"/>
      <x:c r="H282" s="32"/>
      <x:c r="I282" s="32"/>
    </x:row>
    <x:row r="283">
      <x:c r="A283" s="32"/>
      <x:c r="B283" s="32"/>
      <x:c r="C283" s="32"/>
      <x:c r="D283" s="32"/>
      <x:c r="E283" s="32"/>
      <x:c r="F283" s="32"/>
      <x:c r="G283" s="32"/>
      <x:c r="H283" s="32"/>
      <x:c r="I283" s="32"/>
    </x:row>
    <x:row r="284">
      <x:c r="A284" s="32"/>
      <x:c r="B284" s="32"/>
      <x:c r="C284" s="32"/>
      <x:c r="D284" s="32"/>
      <x:c r="E284" s="32"/>
      <x:c r="F284" s="32"/>
      <x:c r="G284" s="32"/>
      <x:c r="H284" s="32"/>
      <x:c r="I284" s="32"/>
    </x:row>
    <x:row r="285">
      <x:c r="A285" s="32"/>
      <x:c r="B285" s="32"/>
      <x:c r="C285" s="32"/>
      <x:c r="D285" s="32"/>
      <x:c r="E285" s="32"/>
      <x:c r="F285" s="32"/>
      <x:c r="G285" s="32"/>
      <x:c r="H285" s="32"/>
      <x:c r="I285" s="32"/>
    </x:row>
    <x:row r="286">
      <x:c r="A286" s="32"/>
      <x:c r="B286" s="32"/>
      <x:c r="C286" s="32"/>
      <x:c r="D286" s="32"/>
      <x:c r="E286" s="32"/>
      <x:c r="F286" s="32"/>
      <x:c r="G286" s="32"/>
      <x:c r="H286" s="32"/>
      <x:c r="I286" s="32"/>
    </x:row>
    <x:row r="287">
      <x:c r="A287" s="32"/>
      <x:c r="B287" s="32"/>
      <x:c r="C287" s="32"/>
      <x:c r="D287" s="32"/>
      <x:c r="E287" s="32"/>
      <x:c r="F287" s="32"/>
      <x:c r="G287" s="32"/>
      <x:c r="H287" s="32"/>
      <x:c r="I287" s="32"/>
    </x:row>
    <x:row r="288">
      <x:c r="A288" s="32"/>
      <x:c r="B288" s="32"/>
      <x:c r="C288" s="32"/>
      <x:c r="D288" s="32"/>
      <x:c r="E288" s="32"/>
      <x:c r="F288" s="32"/>
      <x:c r="G288" s="32"/>
      <x:c r="H288" s="32"/>
      <x:c r="I288" s="32"/>
    </x:row>
    <x:row r="289">
      <x:c r="A289" s="32"/>
      <x:c r="B289" s="32"/>
      <x:c r="C289" s="32"/>
      <x:c r="D289" s="32"/>
      <x:c r="E289" s="32"/>
      <x:c r="F289" s="32"/>
      <x:c r="G289" s="32"/>
      <x:c r="H289" s="32"/>
      <x:c r="I289" s="32"/>
    </x:row>
    <x:row r="290">
      <x:c r="A290" s="32"/>
      <x:c r="B290" s="32"/>
      <x:c r="C290" s="32"/>
      <x:c r="D290" s="32"/>
      <x:c r="E290" s="32"/>
      <x:c r="F290" s="32"/>
      <x:c r="G290" s="32"/>
      <x:c r="H290" s="32"/>
      <x:c r="I290" s="32"/>
    </x:row>
    <x:row r="291">
      <x:c r="A291" s="32"/>
      <x:c r="B291" s="32"/>
      <x:c r="C291" s="32"/>
      <x:c r="D291" s="32"/>
      <x:c r="E291" s="32"/>
      <x:c r="F291" s="32"/>
      <x:c r="G291" s="32"/>
      <x:c r="H291" s="32"/>
      <x:c r="I291" s="32"/>
    </x:row>
    <x:row r="292">
      <x:c r="A292" s="32"/>
      <x:c r="B292" s="32"/>
      <x:c r="C292" s="32"/>
      <x:c r="D292" s="32"/>
      <x:c r="E292" s="32"/>
      <x:c r="F292" s="32"/>
      <x:c r="G292" s="32"/>
      <x:c r="H292" s="32"/>
      <x:c r="I292" s="32"/>
    </x:row>
    <x:row r="293">
      <x:c r="A293" s="32"/>
      <x:c r="B293" s="32"/>
      <x:c r="C293" s="32"/>
      <x:c r="D293" s="32"/>
      <x:c r="E293" s="32"/>
      <x:c r="F293" s="32"/>
      <x:c r="G293" s="32"/>
      <x:c r="H293" s="32"/>
      <x:c r="I293" s="32"/>
    </x:row>
    <x:row r="294">
      <x:c r="A294" s="32"/>
      <x:c r="B294" s="32"/>
      <x:c r="C294" s="32"/>
      <x:c r="D294" s="32"/>
      <x:c r="E294" s="32"/>
      <x:c r="F294" s="32"/>
      <x:c r="G294" s="32"/>
      <x:c r="H294" s="32"/>
      <x:c r="I294" s="32"/>
    </x:row>
    <x:row r="295">
      <x:c r="A295" s="32"/>
      <x:c r="B295" s="32"/>
      <x:c r="C295" s="32"/>
      <x:c r="D295" s="32"/>
      <x:c r="E295" s="32"/>
      <x:c r="F295" s="32"/>
      <x:c r="G295" s="32"/>
      <x:c r="H295" s="32"/>
      <x:c r="I295" s="32"/>
    </x:row>
    <x:row r="296">
      <x:c r="A296" s="32"/>
      <x:c r="B296" s="32"/>
      <x:c r="C296" s="32"/>
      <x:c r="D296" s="32"/>
      <x:c r="E296" s="32"/>
      <x:c r="F296" s="32"/>
      <x:c r="G296" s="32"/>
      <x:c r="H296" s="32"/>
      <x:c r="I296" s="32"/>
    </x:row>
    <x:row r="297">
      <x:c r="A297" s="32"/>
      <x:c r="B297" s="32"/>
      <x:c r="C297" s="32"/>
      <x:c r="D297" s="32"/>
      <x:c r="E297" s="32"/>
      <x:c r="F297" s="32"/>
      <x:c r="G297" s="32"/>
      <x:c r="H297" s="32"/>
      <x:c r="I297" s="32"/>
    </x:row>
    <x:row r="298">
      <x:c r="A298" s="32"/>
      <x:c r="B298" s="32"/>
      <x:c r="C298" s="32"/>
      <x:c r="D298" s="32"/>
      <x:c r="E298" s="32"/>
      <x:c r="F298" s="32"/>
      <x:c r="G298" s="32"/>
      <x:c r="H298" s="32"/>
      <x:c r="I298" s="32"/>
    </x:row>
    <x:row r="299">
      <x:c r="A299" s="32"/>
      <x:c r="B299" s="32"/>
      <x:c r="C299" s="32"/>
      <x:c r="D299" s="32"/>
      <x:c r="E299" s="32"/>
      <x:c r="F299" s="32"/>
      <x:c r="G299" s="32"/>
      <x:c r="H299" s="32"/>
      <x:c r="I299" s="32"/>
    </x:row>
    <x:row r="300">
      <x:c r="A300" s="32"/>
      <x:c r="B300" s="32"/>
      <x:c r="C300" s="32"/>
      <x:c r="D300" s="32"/>
      <x:c r="E300" s="32"/>
      <x:c r="F300" s="32"/>
      <x:c r="G300" s="32"/>
      <x:c r="H300" s="32"/>
      <x:c r="I300" s="32"/>
    </x:row>
  </x:sheetData>
  <x:mergeCells>
    <x:mergeCell ref="A1:I2"/>
  </x:mergeCells>
  <x:conditionalFormatting sqref="H5:H300">
    <x:cfRule type="expression" dxfId="13" priority="1">
      <x:formula>H5="Accepted"</x:formula>
    </x:cfRule>
    <x:cfRule type="expression" dxfId="14" priority="2">
      <x:formula>H5="Implemented"</x:formula>
    </x:cfRule>
    <x:cfRule type="expression" dxfId="15" priority="3">
      <x:formula>H5="Deferred"</x:formula>
    </x:cfRule>
  </x:conditionalFormatting>
  <x:dataValidations count="1">
    <x:dataValidation type="list" sqref="H5:H300">
      <x:formula1>"Proposed,Accepted,Implemented,Deferred,Rejected"</x:formula1>
    </x:dataValidation>
  </x:dataValidations>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16" hidden="0" customWidth="1"/>
    <x:col min="3" max="3" width="34" hidden="0" customWidth="1"/>
    <x:col min="4" max="4" width="14" hidden="0" customWidth="1"/>
    <x:col min="5" max="5" width="12" hidden="0" customWidth="1"/>
    <x:col min="6" max="6" width="12" hidden="0" customWidth="1"/>
    <x:col min="7" max="7" width="4" hidden="0" customWidth="1"/>
    <x:col min="8" max="8" width="22" hidden="0" customWidth="1"/>
    <x:col min="9" max="9" width="12" hidden="0" customWidth="1"/>
    <x:col min="10" max="10" width="22" hidden="0" customWidth="1"/>
  </x:cols>
  <x:sheetData>
    <x:row r="1">
      <x:c r="A1" s="4" t="str">
        <x:v>R3.5 — Campaign Dashboard</x:v>
      </x:c>
      <x:c r="B1" s="4"/>
      <x:c r="C1" s="4"/>
      <x:c r="D1" s="4"/>
      <x:c r="E1" s="4"/>
      <x:c r="F1" s="4"/>
      <x:c r="G1" s="4"/>
      <x:c r="H1" s="4"/>
      <x:c r="I1" s="4"/>
      <x:c r="J1" s="4"/>
    </x:row>
    <x:row r="2">
      <x:c r="A2" s="4"/>
      <x:c r="B2" s="4"/>
      <x:c r="C2" s="4"/>
      <x:c r="D2" s="4"/>
      <x:c r="E2" s="4"/>
      <x:c r="F2" s="4"/>
      <x:c r="G2" s="4"/>
      <x:c r="H2" s="4"/>
      <x:c r="I2" s="4"/>
      <x:c r="J2" s="4"/>
    </x:row>
    <x:row r="4">
      <x:c r="A4" s="12" t="str">
        <x:v>KPI</x:v>
      </x:c>
      <x:c r="B4" s="12" t="str">
        <x:v>Value</x:v>
      </x:c>
      <x:c r="D4" s="12" t="str">
        <x:v>Phase</x:v>
      </x:c>
      <x:c r="E4" s="12" t="str">
        <x:v>Planned</x:v>
      </x:c>
      <x:c r="F4" s="12" t="str">
        <x:v>Completed</x:v>
      </x:c>
      <x:c r="H4" s="12" t="str">
        <x:v>Run result</x:v>
      </x:c>
      <x:c r="I4" s="12" t="str">
        <x:v>Count</x:v>
      </x:c>
      <x:c r="J4" s="12" t="str">
        <x:v>Performance</x:v>
      </x:c>
    </x:row>
    <x:row r="5">
      <x:c r="A5" s="21" t="str">
        <x:v>Total tests</x:v>
      </x:c>
      <x:c r="B5" t="n">
        <x:f>COUNTA('01_Test_Plan'!A5:A200)</x:f>
        <x:v>62</x:v>
      </x:c>
      <x:c r="D5" s="21" t="str">
        <x:v>R3.5A</x:v>
      </x:c>
      <x:c r="E5" t="n">
        <x:f>COUNTIF('01_Test_Plan'!B5:B200,D5)</x:f>
        <x:v>5</x:v>
      </x:c>
      <x:c r="F5" t="n">
        <x:f>COUNTIFS('01_Test_Plan'!B5:B200,D5,'01_Test_Plan'!R5:R200,"Completed")</x:f>
        <x:v>5</x:v>
      </x:c>
      <x:c r="H5" s="21" t="str">
        <x:v>PASS</x:v>
      </x:c>
      <x:c r="I5" t="n">
        <x:v>40</x:v>
      </x:c>
      <x:c r="J5" t="str">
        <x:v>GREEN</x:v>
      </x:c>
    </x:row>
    <x:row r="6">
      <x:c r="A6" s="21" t="str">
        <x:v>Completed</x:v>
      </x:c>
      <x:c r="B6" t="n">
        <x:v>43</x:v>
      </x:c>
      <x:c r="D6" s="21" t="str">
        <x:v>R3.5B</x:v>
      </x:c>
      <x:c r="E6" t="n">
        <x:f>COUNTIF('01_Test_Plan'!B5:B200,D6)</x:f>
        <x:v>13</x:v>
      </x:c>
      <x:c r="F6" t="n">
        <x:f>COUNTIFS('01_Test_Plan'!B5:B200,D6,'01_Test_Plan'!R5:R200,"Completed")</x:f>
        <x:v>11</x:v>
      </x:c>
      <x:c r="H6" s="21" t="str">
        <x:v>PASS-WITH-FINDINGS</x:v>
      </x:c>
      <x:c r="I6" t="n">
        <x:v>4</x:v>
      </x:c>
      <x:c r="J6" t="str">
        <x:v>ACCEPTABLE/REVIEW</x:v>
      </x:c>
    </x:row>
    <x:row r="7">
      <x:c r="A7" s="21" t="str">
        <x:v>Ready / Running</x:v>
      </x:c>
      <x:c r="B7" t="n">
        <x:v>1</x:v>
      </x:c>
      <x:c r="D7" s="21" t="str">
        <x:v>R3.5C</x:v>
      </x:c>
      <x:c r="E7" t="n">
        <x:f>COUNTIF('01_Test_Plan'!B5:B200,D7)</x:f>
        <x:v>11</x:v>
      </x:c>
      <x:c r="F7" t="n">
        <x:v>11</x:v>
      </x:c>
      <x:c r="H7" s="21" t="str">
        <x:v>FAIL</x:v>
      </x:c>
      <x:c r="I7" t="n">
        <x:f>COUNTIF('02_Run_Results'!AI5:AI500,"FAIL")</x:f>
        <x:v>0</x:v>
      </x:c>
      <x:c r="J7" t="str">
        <x:v>INVESTIGATE</x:v>
      </x:c>
    </x:row>
    <x:row r="8">
      <x:c r="A8" s="21" t="str">
        <x:v>Blocked</x:v>
      </x:c>
      <x:c r="B8" t="n">
        <x:v>0</x:v>
      </x:c>
      <x:c r="D8" s="21" t="str">
        <x:v>R3.5D</x:v>
      </x:c>
      <x:c r="E8" t="n">
        <x:f>COUNTIF('01_Test_Plan'!B5:B200,D8)</x:f>
        <x:v>10</x:v>
      </x:c>
      <x:c r="F8" t="n">
        <x:v>10</x:v>
      </x:c>
      <x:c r="H8" s="21" t="str">
        <x:v>OBSERVED</x:v>
      </x:c>
      <x:c r="I8" t="n">
        <x:v>1</x:v>
      </x:c>
      <x:c r="J8" t="str">
        <x:v>N/A</x:v>
      </x:c>
    </x:row>
    <x:row r="9">
      <x:c r="A9" s="21" t="str">
        <x:v>Completion %</x:v>
      </x:c>
      <x:c r="B9" s="38" t="n">
        <x:f>B6/B5</x:f>
        <x:v>0.6935483870967742</x:v>
      </x:c>
      <x:c r="D9" s="21" t="str">
        <x:v>R3.5E</x:v>
      </x:c>
      <x:c r="E9" t="n">
        <x:f>COUNTIF('01_Test_Plan'!B5:B200,D9)</x:f>
        <x:v>12</x:v>
      </x:c>
      <x:c r="F9" t="n">
        <x:v>6</x:v>
      </x:c>
    </x:row>
    <x:row r="10">
      <x:c r="A10" s="21" t="str">
        <x:v>Open findings</x:v>
      </x:c>
      <x:c r="B10" t="n">
        <x:v>0</x:v>
      </x:c>
      <x:c r="D10" s="21" t="str">
        <x:v>R3.5F</x:v>
      </x:c>
      <x:c r="E10" t="n">
        <x:f>COUNTIF('01_Test_Plan'!B5:B200,D10)</x:f>
        <x:v>11</x:v>
      </x:c>
      <x:c r="F10" t="n">
        <x:f>COUNTIFS('01_Test_Plan'!B5:B200,D10,'01_Test_Plan'!R5:R200,"Completed")</x:f>
        <x:v>0</x:v>
      </x:c>
    </x:row>
    <x:row r="11">
      <x:c r="A11" s="21" t="str">
        <x:v>High/Critical findings</x:v>
      </x:c>
      <x:c r="B11" t="n">
        <x:v>0</x:v>
      </x:c>
    </x:row>
    <x:row r="14">
      <x:c r="A14" s="28" t="str">
        <x:v>Interpretación de performance (caracterización, no certificación)</x:v>
      </x:c>
      <x:c r="B14" s="28"/>
      <x:c r="C14" s="28"/>
      <x:c r="D14" s="28"/>
      <x:c r="E14" s="28"/>
      <x:c r="F14" s="28"/>
      <x:c r="G14" s="28"/>
      <x:c r="H14" s="28"/>
      <x:c r="I14" s="28"/>
      <x:c r="J14" s="28"/>
    </x:row>
    <x:row r="15">
      <x:c r="A15" s="21" t="str">
        <x:v>GREEN</x:v>
      </x:c>
      <x:c r="B15" s="32" t="str">
        <x:v>p95 ≤ 5 s</x:v>
      </x:c>
      <x:c r="C15" s="32" t="str">
        <x:v>El periodo candidato de 5 s parece sostenible.</x:v>
      </x:c>
    </x:row>
    <x:row r="16">
      <x:c r="A16" s="21" t="str">
        <x:v>ACCEPTABLE / REVIEW</x:v>
      </x:c>
      <x:c r="B16" s="32" t="str">
        <x:v>5 s &lt; p95 ≤ 10 s</x:v>
      </x:c>
      <x:c r="C16" s="32" t="str">
        <x:v>Operacionalmente usable; habrá overruns y conviene analizar tendencia.</x:v>
      </x:c>
    </x:row>
    <x:row r="17">
      <x:c r="A17" s="21" t="str">
        <x:v>INVESTIGATE</x:v>
      </x:c>
      <x:c r="B17" s="32" t="str">
        <x:v>p95 &gt; 10 s</x:v>
      </x:c>
      <x:c r="C17" s="32" t="str">
        <x:v>Buscar cuello de botella antes de cerrar timings productivos.</x:v>
      </x:c>
    </x:row>
    <x:row r="18">
      <x:c r="A18" s="21" t="str">
        <x:v>Integrity FAIL</x:v>
      </x:c>
      <x:c r="B18" s="32" t="str">
        <x:v>Independiente de performance</x:v>
      </x:c>
      <x:c r="C18" s="32" t="str">
        <x:v>Corrupción, duplicados, pérdida durable, stale writer, OOM real o crecimiento no acotado.</x:v>
      </x:c>
    </x:row>
    <x:row r="21">
      <x:c r="A21" s="53" t="str">
        <x:v>Baseline comparison</x:v>
      </x:c>
      <x:c r="B21" s="53" t="str">
        <x:v>Alarms</x:v>
      </x:c>
      <x:c r="C21" s="53" t="str">
        <x:v>p50 ms</x:v>
      </x:c>
      <x:c r="D21" s="53" t="str">
        <x:v>p95 ms</x:v>
      </x:c>
      <x:c r="E21" s="53" t="str">
        <x:v>p99 ms</x:v>
      </x:c>
      <x:c r="F21" s="53" t="str">
        <x:v>Peak RSS MB</x:v>
      </x:c>
      <x:c r="H21" s="59" t="str">
        <x:v>Scaling view</x:v>
      </x:c>
      <x:c r="I21" s="59" t="str">
        <x:v>A-004→A-005</x:v>
      </x:c>
      <x:c r="J21" s="59" t="str">
        <x:v>Interpretation</x:v>
      </x:c>
    </x:row>
    <x:row r="22">
      <x:c r="A22" t="str">
        <x:v>A-001</x:v>
      </x:c>
      <x:c r="B22" t="n">
        <x:v>100</x:v>
      </x:c>
      <x:c r="C22" s="54" t="n">
        <x:v>99.05531300046277</x:v>
      </x:c>
      <x:c r="D22" s="54" t="n">
        <x:v>141.46000239998102</x:v>
      </x:c>
      <x:c r="E22" s="54" t="n">
        <x:v>150.42760952004758</x:v>
      </x:c>
      <x:c r="F22" s="54" t="n">
        <x:v>125.984375</x:v>
      </x:c>
      <x:c r="H22" s="63" t="str">
        <x:v>Alarm count</x:v>
      </x:c>
      <x:c r="I22" t="str">
        <x:v>1.33×</x:v>
      </x:c>
      <x:c r="J22" t="str">
        <x:v>750 → 1000</x:v>
      </x:c>
    </x:row>
    <x:row r="23">
      <x:c r="A23" t="str">
        <x:v>A-002</x:v>
      </x:c>
      <x:c r="B23" t="n">
        <x:v>250</x:v>
      </x:c>
      <x:c r="C23" s="54" t="n">
        <x:v>205.6304830002773</x:v>
      </x:c>
      <x:c r="D23" s="54" t="n">
        <x:v>307.31912499959435</x:v>
      </x:c>
      <x:c r="E23" s="54" t="n">
        <x:v>444.96683280012763</x:v>
      </x:c>
      <x:c r="F23" s="54" t="n">
        <x:v>129.65234375</x:v>
      </x:c>
      <x:c r="H23" s="63" t="str">
        <x:v>p95</x:v>
      </x:c>
      <x:c r="I23" t="str">
        <x:v>1.41×</x:v>
      </x:c>
      <x:c r="J23" t="str">
        <x:v>645.03 → 907.38 ms</x:v>
      </x:c>
    </x:row>
    <x:row r="24">
      <x:c r="A24" t="str">
        <x:v>A-003</x:v>
      </x:c>
      <x:c r="B24" t="n">
        <x:v>500</x:v>
      </x:c>
      <x:c r="C24" s="54" t="n">
        <x:v>387.4734989994977</x:v>
      </x:c>
      <x:c r="D24" s="54" t="n">
        <x:v>437.5932749999265</x:v>
      </x:c>
      <x:c r="E24" s="54" t="n">
        <x:v>618.8205041999024</x:v>
      </x:c>
      <x:c r="F24" s="54" t="n">
        <x:v>131.265625</x:v>
      </x:c>
      <x:c r="H24" s="63" t="str">
        <x:v>p99</x:v>
      </x:c>
      <x:c r="I24" t="str">
        <x:v>1.39×</x:v>
      </x:c>
      <x:c r="J24" t="str">
        <x:v>888.15 → 1230.24 ms</x:v>
      </x:c>
    </x:row>
    <x:row r="25">
      <x:c r="A25" t="str">
        <x:v>A-004</x:v>
      </x:c>
      <x:c r="B25" t="n">
        <x:v>750</x:v>
      </x:c>
      <x:c r="C25" s="54" t="n">
        <x:v>585.9871780003232</x:v>
      </x:c>
      <x:c r="D25" s="54" t="n">
        <x:v>645.0332279991926</x:v>
      </x:c>
      <x:c r="E25" s="54" t="n">
        <x:v>888.147127799857</x:v>
      </x:c>
      <x:c r="F25" s="54" t="n">
        <x:v>135.6328125</x:v>
      </x:c>
    </x:row>
    <x:row r="26">
      <x:c r="A26" t="str">
        <x:v>A-005</x:v>
      </x:c>
      <x:c r="B26" t="n">
        <x:v>1000</x:v>
      </x:c>
      <x:c r="C26" s="54" t="n">
        <x:v>806.6423309992388</x:v>
      </x:c>
      <x:c r="D26" s="54" t="n">
        <x:v>907.3825960003887</x:v>
      </x:c>
      <x:c r="E26" s="54" t="n">
        <x:v>1230.2396648003196</x:v>
      </x:c>
      <x:c r="F26" s="54" t="n">
        <x:v>139.6171875</x:v>
      </x:c>
      <x:c r="H26" s="68" t="str">
        <x:v>R3.5A closure</x:v>
      </x:c>
      <x:c r="I26" s="68" t="str">
        <x:v>Value</x:v>
      </x:c>
      <x:c r="J26" s="68" t="str">
        <x:v>Interpretation</x:v>
      </x:c>
    </x:row>
    <x:row r="27">
      <x:c r="H27" s="72" t="str">
        <x:v>100→1000 p95</x:v>
      </x:c>
      <x:c r="I27" t="str">
        <x:v>6.41×</x:v>
      </x:c>
      <x:c r="J27" t="str">
        <x:v>Alarm count increased 10×</x:v>
      </x:c>
    </x:row>
    <x:row r="28">
      <x:c r="H28" s="72" t="str">
        <x:v>A-005 p95 budget</x:v>
      </x:c>
      <x:c r="I28" t="str">
        <x:v>18.15%</x:v>
      </x:c>
      <x:c r="J28" t="str">
        <x:v>907.38 ms of 5000 ms</x:v>
      </x:c>
    </x:row>
    <x:row r="30">
      <x:c r="A30" s="87" t="str">
        <x:v>Data pressure comparison</x:v>
      </x:c>
      <x:c r="B30" s="87" t="str">
        <x:v>Alarms</x:v>
      </x:c>
      <x:c r="C30" s="87" t="str">
        <x:v>Profile</x:v>
      </x:c>
      <x:c r="D30" s="87" t="str">
        <x:v>Source Columns</x:v>
      </x:c>
      <x:c r="E30" s="87" t="str">
        <x:v>p95 ms</x:v>
      </x:c>
      <x:c r="F30" s="87" t="str">
        <x:v>p99 ms</x:v>
      </x:c>
      <x:c r="G30" s="87" t="str">
        <x:v>Peak RSS MB</x:v>
      </x:c>
      <x:c r="I30" s="88" t="str">
        <x:v>B-002 finding</x:v>
      </x:c>
      <x:c r="J30" s="88" t="str">
        <x:v>Value</x:v>
      </x:c>
    </x:row>
    <x:row r="31">
      <x:c r="A31" t="str">
        <x:v>A-005</x:v>
      </x:c>
      <x:c r="B31" t="n">
        <x:v>1000</x:v>
      </x:c>
      <x:c r="C31" t="str">
        <x:v>shared-latest</x:v>
      </x:c>
      <x:c r="D31" t="n">
        <x:v>1</x:v>
      </x:c>
      <x:c r="E31" s="54" t="n">
        <x:v>907.3825960003887</x:v>
      </x:c>
      <x:c r="F31" s="54" t="n">
        <x:v>1230.2396648003196</x:v>
      </x:c>
      <x:c r="G31" s="54" t="n">
        <x:v>139.6171875</x:v>
      </x:c>
      <x:c r="I31" t="str">
        <x:v>Columns vs B-001</x:v>
      </x:c>
      <x:c r="J31" t="str">
        <x:v>3.00×</x:v>
      </x:c>
    </x:row>
    <x:row r="32">
      <x:c r="A32" t="str">
        <x:v>B-001</x:v>
      </x:c>
      <x:c r="B32" t="n">
        <x:v>1000</x:v>
      </x:c>
      <x:c r="C32" t="str">
        <x:v>latest-narrow</x:v>
      </x:c>
      <x:c r="D32" t="n">
        <x:v>1000</x:v>
      </x:c>
      <x:c r="E32" s="54" t="n">
        <x:v>1285.5415329995594</x:v>
      </x:c>
      <x:c r="F32" s="54" t="n">
        <x:v>1587.6863376004615</x:v>
      </x:c>
      <x:c r="G32" s="54" t="n">
        <x:v>142.03125</x:v>
      </x:c>
      <x:c r="I32" t="str">
        <x:v>Source-load p95</x:v>
      </x:c>
      <x:c r="J32" t="str">
        <x:v>17.45 ms</x:v>
      </x:c>
    </x:row>
    <x:row r="33">
      <x:c r="A33" t="str">
        <x:v>B-002</x:v>
      </x:c>
      <x:c r="B33" t="n">
        <x:v>1000</x:v>
      </x:c>
      <x:c r="C33" t="str">
        <x:v>latest-wide</x:v>
      </x:c>
      <x:c r="D33" t="n">
        <x:v>3000</x:v>
      </x:c>
      <x:c r="E33" s="54" t="n">
        <x:v>1084.9532180000097</x:v>
      </x:c>
      <x:c r="F33" s="54" t="n">
        <x:v>1423.1032609997783</x:v>
      </x:c>
      <x:c r="G33" s="54" t="n">
        <x:v>144.91015625</x:v>
      </x:c>
      <x:c r="I33" t="str">
        <x:v>Source-load p95 delta</x:v>
      </x:c>
      <x:c r="J33" t="str">
        <x:v>2.27×</x:v>
      </x:c>
    </x:row>
    <x:row r="34">
      <x:c r="I34" t="str">
        <x:v>Cycle p95 delta</x:v>
      </x:c>
      <x:c r="J34" t="str">
        <x:v>-15.6%</x:v>
      </x:c>
    </x:row>
    <x:row r="35">
      <x:c r="I35" t="str">
        <x:v>Source load / cycle p95</x:v>
      </x:c>
      <x:c r="J35" t="str">
        <x:v>~1.61%</x:v>
      </x:c>
    </x:row>
    <x:row r="37">
      <x:c r="A37" s="98" t="str">
        <x:v>Partition pressure comparison</x:v>
      </x:c>
      <x:c r="B37" s="98" t="str">
        <x:v>Alarms</x:v>
      </x:c>
      <x:c r="C37" s="98" t="str">
        <x:v>Source Columns</x:v>
      </x:c>
      <x:c r="D37" s="98" t="str">
        <x:v>Physical Partitions</x:v>
      </x:c>
      <x:c r="E37" s="98" t="str">
        <x:v>Source Load p95 ms</x:v>
      </x:c>
      <x:c r="F37" s="98" t="str">
        <x:v>Merge p95 ms</x:v>
      </x:c>
      <x:c r="G37" s="98" t="str">
        <x:v>Cycle p95 ms</x:v>
      </x:c>
      <x:c r="H37" s="98" t="str">
        <x:v>Peak RSS MB</x:v>
      </x:c>
      <x:c r="J37" s="109" t="str">
        <x:v>B-007 skew finding</x:v>
      </x:c>
      <x:c r="K37" s="109" t="str">
        <x:v>Value</x:v>
      </x:c>
    </x:row>
    <x:row r="38">
      <x:c r="A38" t="str">
        <x:v>B-001</x:v>
      </x:c>
      <x:c r="B38" t="n">
        <x:v>1000</x:v>
      </x:c>
      <x:c r="C38" t="n">
        <x:v>1000</x:v>
      </x:c>
      <x:c r="D38" t="n">
        <x:v>1</x:v>
      </x:c>
      <x:c r="E38" s="54" t="n">
        <x:v>7.693696999922395</x:v>
      </x:c>
      <x:c r="F38" s="54"/>
      <x:c r="G38" s="54" t="n">
        <x:v>1285.5415329995594</x:v>
      </x:c>
      <x:c r="H38" s="54" t="n">
        <x:v>142.03125</x:v>
      </x:c>
      <x:c r="J38" t="str">
        <x:v>Layout</x:v>
      </x:c>
      <x:c r="K38" t="str">
        <x:v>≈80/20</x:v>
      </x:c>
    </x:row>
    <x:row r="39">
      <x:c r="A39" t="str">
        <x:v>B-003</x:v>
      </x:c>
      <x:c r="B39" t="n">
        <x:v>1000</x:v>
      </x:c>
      <x:c r="C39" t="n">
        <x:v>1000</x:v>
      </x:c>
      <x:c r="D39" t="n">
        <x:v>4</x:v>
      </x:c>
      <x:c r="E39" s="54" t="n">
        <x:v>8.08684000003268</x:v>
      </x:c>
      <x:c r="F39" s="54" t="n">
        <x:v>0.1754949989845045</x:v>
      </x:c>
      <x:c r="G39" s="54" t="n">
        <x:v>992.8304490003939</x:v>
      </x:c>
      <x:c r="H39" s="54" t="n">
        <x:v>142.14453125</x:v>
      </x:c>
      <x:c r="J39" t="str">
        <x:v>p95 vs balanced</x:v>
      </x:c>
      <x:c r="K39" t="str">
        <x:v>+5.3%</x:v>
      </x:c>
    </x:row>
    <x:row r="40">
      <x:c r="A40" t="str">
        <x:v>B-004</x:v>
      </x:c>
      <x:c r="B40" t="n">
        <x:v>1000</x:v>
      </x:c>
      <x:c r="C40" t="n">
        <x:v>1000</x:v>
      </x:c>
      <x:c r="D40" t="n">
        <x:v>36</x:v>
      </x:c>
      <x:c r="E40" s="54" t="n">
        <x:v>25.373956999828806</x:v>
      </x:c>
      <x:c r="F40" s="54" t="n">
        <x:v>1.012687000184087</x:v>
      </x:c>
      <x:c r="G40" s="54" t="n">
        <x:v>1805.0333699993644</x:v>
      </x:c>
      <x:c r="H40" s="54" t="n">
        <x:v>141.50390625</x:v>
      </x:c>
      <x:c r="J40" t="str">
        <x:v>p99 vs balanced</x:v>
      </x:c>
      <x:c r="K40" t="str">
        <x:v>+3.2%</x:v>
      </x:c>
    </x:row>
    <x:row r="41">
      <x:c r="A41" t="str">
        <x:v>B-007</x:v>
      </x:c>
      <x:c r="B41" t="n">
        <x:v>1000</x:v>
      </x:c>
      <x:c r="C41" t="n">
        <x:v>1000</x:v>
      </x:c>
      <x:c r="D41" t="n">
        <x:v>36</x:v>
      </x:c>
      <x:c r="E41" s="54" t="n">
        <x:v>26.14674100004777</x:v>
      </x:c>
      <x:c r="F41" s="54" t="n">
        <x:v>1.103362999856472</x:v>
      </x:c>
      <x:c r="G41" s="54" t="n">
        <x:v>1899.9880939991272</x:v>
      </x:c>
      <x:c r="H41" s="54" t="n">
        <x:v>141.70703125</x:v>
      </x:c>
      <x:c r="J41" t="str">
        <x:v>Source-load p95</x:v>
      </x:c>
      <x:c r="K41" t="str">
        <x:v>26.15 ms</x:v>
      </x:c>
    </x:row>
    <x:row r="42">
      <x:c r="A42" t="str">
        <x:v>B-008</x:v>
      </x:c>
      <x:c r="B42" t="n">
        <x:v>1000</x:v>
      </x:c>
      <x:c r="C42" t="n">
        <x:v>1000</x:v>
      </x:c>
      <x:c r="D42" t="n">
        <x:v>36</x:v>
      </x:c>
      <x:c r="E42" s="54" t="n">
        <x:v>10.821471998497145</x:v>
      </x:c>
      <x:c r="F42" s="54" t="n">
        <x:v>1.0019420005846769</x:v>
      </x:c>
      <x:c r="G42" s="54" t="n">
        <x:v>1003.201858002285</x:v>
      </x:c>
      <x:c r="H42" s="54" t="n">
        <x:v>140.8671875</x:v>
      </x:c>
      <x:c r="J42" t="str">
        <x:v>Merge p95</x:v>
      </x:c>
      <x:c r="K42" t="str">
        <x:v>1.103 ms</x:v>
      </x:c>
    </x:row>
    <x:row r="43" ht="39.599998474121094" hidden="0" customHeight="1">
      <x:c r="A43" s="108" t="str">
        <x:v>Adaptive campaign policy</x:v>
      </x:c>
      <x:c r="B43" s="108" t="str">
        <x:v>Action</x:v>
      </x:c>
      <x:c r="C43" s="108" t="str">
        <x:v>Reason</x:v>
      </x:c>
      <x:c r="D43" s="108"/>
      <x:c r="E43" s="108"/>
      <x:c r="F43" s="108"/>
      <x:c r="G43" s="108"/>
      <x:c r="H43" s="108"/>
      <x:c r="J43" t="str">
        <x:v>D-005</x:v>
      </x:c>
      <x:c r="K43" s="32" t="str">
        <x:v>CLOSED — PASS/GREEN</x:v>
      </x:c>
    </x:row>
    <x:row r="44" ht="66" hidden="0" customHeight="1">
      <x:c r="A44" s="32" t="str">
        <x:v>Large margin / low information</x:v>
      </x:c>
      <x:c r="B44" s="32" t="str">
        <x:v>Skip intermediate points</x:v>
      </x:c>
      <x:c r="C44" s="32" t="str">
        <x:v>Increase information per run</x:v>
      </x:c>
      <x:c r="D44"/>
      <x:c r="E44"/>
      <x:c r="F44"/>
      <x:c r="G44"/>
      <x:c r="H44"/>
      <x:c r="J44" t="str">
        <x:v>Authoritative run</x:v>
      </x:c>
      <x:c r="K44" s="32" t="str">
        <x:v>fa708376-dcb7-4fa4-b8af-ec09ea6bb5b5</x:v>
      </x:c>
    </x:row>
    <x:row r="45" ht="15" hidden="0" customHeight="1">
      <x:c r="A45" s="32" t="str">
        <x:v>Material degradation, still GREEN</x:v>
      </x:c>
      <x:c r="B45" s="32" t="str">
        <x:v>Change dimension</x:v>
      </x:c>
      <x:c r="C45" s="32" t="str">
        <x:v>Test skew / heterogeneity before profiling</x:v>
      </x:c>
      <x:c r="D45"/>
      <x:c r="E45"/>
      <x:c r="F45"/>
      <x:c r="G45"/>
      <x:c r="H45"/>
      <x:c r="J45" t="str">
        <x:v>Decision latency</x:v>
      </x:c>
      <x:c r="K45" s="32" t="str">
        <x:v>981.46 ms</x:v>
      </x:c>
    </x:row>
    <x:row r="46" ht="15" hidden="0" customHeight="1">
      <x:c r="A46" s="32" t="str">
        <x:v>Knee / integrity failure</x:v>
      </x:c>
      <x:c r="B46" s="32" t="str">
        <x:v>Narrow search or stop</x:v>
      </x:c>
      <x:c r="C46" s="32" t="str">
        <x:v>Localize boundary before continuing</x:v>
      </x:c>
      <x:c r="D46"/>
      <x:c r="E46"/>
      <x:c r="F46"/>
      <x:c r="G46"/>
      <x:c r="H46"/>
      <x:c r="J46" s="116" t="str">
        <x:v>B-008 gate closure</x:v>
      </x:c>
      <x:c r="K46" s="76" t="str">
        <x:v>Value</x:v>
      </x:c>
    </x:row>
    <x:row r="47" ht="26.399999618530273" hidden="0" customHeight="1">
      <x:c r="J47" t="str">
        <x:v>Raw B-008 result</x:v>
      </x:c>
      <x:c r="K47" s="32" t="str">
        <x:v>FAIL (audited)</x:v>
      </x:c>
    </x:row>
    <x:row r="48" ht="39.599998474121094" hidden="0" customHeight="1">
      <x:c r="J48" t="str">
        <x:v>Campaign adjudication</x:v>
      </x:c>
      <x:c r="K48" s="32" t="str">
        <x:v>PASS-WITH-FINDINGS</x:v>
      </x:c>
    </x:row>
    <x:row r="49" ht="15" hidden="0" customHeight="1">
      <x:c r="J49" t="str">
        <x:v>Gate smoke result</x:v>
      </x:c>
      <x:c r="K49" s="32" t="str">
        <x:v>PASS</x:v>
      </x:c>
    </x:row>
    <x:row r="50" ht="15" hidden="0" customHeight="1">
      <x:c r="J50" t="str">
        <x:v>Snapshot observed / expected</x:v>
      </x:c>
      <x:c r="K50" s="32" t="str">
        <x:v>880 / 880</x:v>
      </x:c>
    </x:row>
    <x:row r="51" ht="15" hidden="0" customHeight="1">
      <x:c r="J51" t="str">
        <x:v>Neutral INACTIVE alarms</x:v>
      </x:c>
      <x:c r="K51" s="32" t="str">
        <x:v>120</x:v>
      </x:c>
    </x:row>
    <x:row r="52" ht="52.79999923706055" hidden="0" customHeight="1">
      <x:c r="J52" t="str">
        <x:v>Window preserved</x:v>
      </x:c>
      <x:c r="K52" s="32" t="str">
        <x:v>300 s original / 270 s remaining</x:v>
      </x:c>
    </x:row>
    <x:row r="53" ht="39.599998474121094" hidden="0" customHeight="1">
      <x:c r="J53" t="str">
        <x:v>WAL / cursors</x:v>
      </x:c>
      <x:c r="K53" s="32" t="str">
        <x:v>102 records / 256 + 256</x:v>
      </x:c>
    </x:row>
    <x:row r="54" ht="66" hidden="0" customHeight="1">
      <x:c r="A54" s="126" t="str">
        <x:v>Adaptive stress discovery</x:v>
      </x:c>
      <x:c r="B54" s="126" t="str">
        <x:v>Trigger</x:v>
      </x:c>
      <x:c r="C54" s="126" t="str">
        <x:v>Next action</x:v>
      </x:c>
      <x:c r="D54" s="126"/>
      <x:c r="E54" s="126"/>
      <x:c r="F54" s="126"/>
      <x:c r="G54" s="126"/>
      <x:c r="H54" s="126"/>
      <x:c r="J54" t="str">
        <x:v>D-006</x:v>
      </x:c>
      <x:c r="K54" s="32" t="str">
        <x:v>DESIGN PROPOSED — two-phase 1/s</x:v>
      </x:c>
    </x:row>
    <x:row r="55">
      <x:c r="A55" s="32" t="str">
        <x:v>Clear large margin</x:v>
      </x:c>
      <x:c r="B55" s="32" t="str">
        <x:v>p95 materially &lt; 3 s</x:v>
      </x:c>
      <x:c r="C55" s="32" t="str">
        <x:v>Use another large jump</x:v>
      </x:c>
      <x:c r="D55"/>
      <x:c r="E55"/>
      <x:c r="F55"/>
      <x:c r="G55"/>
      <x:c r="H55"/>
    </x:row>
    <x:row r="56">
      <x:c r="A56" s="32" t="str">
        <x:v>Boundary band</x:v>
      </x:c>
      <x:c r="B56" s="32" t="str">
        <x:v>p95 ≈ 3–5 s</x:v>
      </x:c>
      <x:c r="C56" s="32" t="str">
        <x:v>Escalate one dimension only</x:v>
      </x:c>
      <x:c r="D56"/>
      <x:c r="E56"/>
      <x:c r="F56"/>
      <x:c r="G56"/>
      <x:c r="H56"/>
    </x:row>
    <x:row r="57">
      <x:c r="A57" s="32" t="str">
        <x:v>Operational boundary</x:v>
      </x:c>
      <x:c r="B57" s="32" t="str">
        <x:v>p95 ≥ 5 s or overruns</x:v>
      </x:c>
      <x:c r="C57" s="32" t="str">
        <x:v>Regress to intermediate point and isolate</x:v>
      </x:c>
      <x:c r="D57"/>
      <x:c r="E57"/>
      <x:c r="F57"/>
      <x:c r="G57"/>
      <x:c r="H57"/>
    </x:row>
    <x:row r="58">
      <x:c r="A58" s="32" t="str">
        <x:v>Integrity / OOM / unbounded memory</x:v>
      </x:c>
      <x:c r="B58" s="32" t="str">
        <x:v>Any</x:v>
      </x:c>
      <x:c r="C58" s="32" t="str">
        <x:v>Stop escalation; reproduce and diagnose</x:v>
      </x:c>
      <x:c r="D58"/>
      <x:c r="E58"/>
      <x:c r="F58"/>
      <x:c r="G58"/>
      <x:c r="H58"/>
    </x:row>
  </x:sheetData>
  <x:mergeCells>
    <x:mergeCell ref="A1:J2"/>
    <x:mergeCell ref="A14:J14"/>
  </x:mergeCells>
  <x:pageMargins left="0.7" right="0.7" top="0.75" bottom="0.75" header="0.3" footer="0.3"/>
  <x:drawing xmlns:r="http://schemas.openxmlformats.org/officeDocument/2006/relationships" r:id="R66d981be8fcd4145"/>
</x:worksheet>
</file>

<file path=xl/worksheets/sheet7.xml><?xml version="1.0" encoding="utf-8"?>
<x:worksheet xmlns:x="http://schemas.openxmlformats.org/spreadsheetml/2006/main">
  <x:sheetFormatPr defaultRowHeight="15"/>
  <x:cols>
    <x:col min="1" max="1" width="24" hidden="0" customWidth="1"/>
    <x:col min="2" max="2" width="36" hidden="0" customWidth="1"/>
    <x:col min="3" max="3" width="34" hidden="0" customWidth="1"/>
    <x:col min="4" max="4" width="26" hidden="0" customWidth="1"/>
    <x:col min="5" max="5" width="24" hidden="0" customWidth="1"/>
    <x:col min="6" max="6" width="34" hidden="0" customWidth="1"/>
  </x:cols>
  <x:sheetData>
    <x:row r="1">
      <x:c r="A1" s="4" t="str">
        <x:v>Definiciones y criterios de interpretación</x:v>
      </x:c>
      <x:c r="B1" s="4"/>
      <x:c r="C1" s="4"/>
      <x:c r="D1" s="4"/>
      <x:c r="E1" s="4"/>
      <x:c r="F1" s="4"/>
    </x:row>
    <x:row r="2">
      <x:c r="A2" s="4"/>
      <x:c r="B2" s="4"/>
      <x:c r="C2" s="4"/>
      <x:c r="D2" s="4"/>
      <x:c r="E2" s="4"/>
      <x:c r="F2" s="4"/>
    </x:row>
    <x:row r="4">
      <x:c r="A4" s="12" t="str">
        <x:v>Term</x:v>
      </x:c>
      <x:c r="B4" s="12" t="str">
        <x:v>Definition</x:v>
      </x:c>
      <x:c r="C4" s="12" t="str">
        <x:v>Why it matters</x:v>
      </x:c>
      <x:c r="D4" s="12" t="str">
        <x:v>Initial rule</x:v>
      </x:c>
      <x:c r="E4" s="12" t="str">
        <x:v>Final owner</x:v>
      </x:c>
      <x:c r="F4" s="12" t="str">
        <x:v>Notes</x:v>
      </x:c>
    </x:row>
    <x:row r="5">
      <x:c r="A5" s="32" t="str">
        <x:v>Iteration period</x:v>
      </x:c>
      <x:c r="B5" s="32" t="str">
        <x:v>Periodo objetivo start-to-start entre inicios de iteración.</x:v>
      </x:c>
      <x:c r="C5" s="32" t="str">
        <x:v>Define capacidad de reacción.</x:v>
      </x:c>
      <x:c r="D5" s="32" t="str">
        <x:v>5 s candidate</x:v>
      </x:c>
      <x:c r="E5" s="32" t="str">
        <x:v>R3.5 Timing Closure</x:v>
      </x:c>
      <x:c r="F5" s="32" t="str">
        <x:v>No es sleep fijo post-cycle.</x:v>
      </x:c>
    </x:row>
    <x:row r="6">
      <x:c r="A6" s="32" t="str">
        <x:v>Data refresh</x:v>
      </x:c>
      <x:c r="B6" s="32" t="str">
        <x:v>Frecuencia sintética de nueva revisión de datos operacionales.</x:v>
      </x:c>
      <x:c r="C6" s="32" t="str">
        <x:v>Separa control-plane de refresh físico.</x:v>
      </x:c>
      <x:c r="D6" s="32" t="str">
        <x:v>10 s</x:v>
      </x:c>
      <x:c r="E6" s="32" t="str">
        <x:v>Data pipeline / runtime contract</x:v>
      </x:c>
      <x:c r="F6" s="32" t="str">
        <x:v>Iteraciones intermedias pueden usar la misma revisión de datos.</x:v>
      </x:c>
    </x:row>
    <x:row r="7">
      <x:c r="A7" s="32" t="str">
        <x:v>Overrun</x:v>
      </x:c>
      <x:c r="B7" s="32" t="str">
        <x:v>Duración de iteration &gt; iteration period.</x:v>
      </x:c>
      <x:c r="C7" s="32" t="str">
        <x:v>Mide presión sobre la cadencia.</x:v>
      </x:c>
      <x:c r="D7" s="32" t="str">
        <x:v>Observar; no FAIL automático</x:v>
      </x:c>
      <x:c r="E7" s="32" t="str">
        <x:v>R3.5 analysis</x:v>
      </x:c>
      <x:c r="F7" s="32" t="str">
        <x:v>Sin catch-up acumulativo.</x:v>
      </x:c>
    </x:row>
    <x:row r="8">
      <x:c r="A8" s="32" t="str">
        <x:v>Integrity failure</x:v>
      </x:c>
      <x:c r="B8" s="32" t="str">
        <x:v>Violación de durabilidad/correctness.</x:v>
      </x:c>
      <x:c r="C8" s="32" t="str">
        <x:v>Tiene prioridad sobre performance.</x:v>
      </x:c>
      <x:c r="D8" s="32" t="str">
        <x:v>Siempre FAIL</x:v>
      </x:c>
      <x:c r="E8" s="32" t="str">
        <x:v>Architecture</x:v>
      </x:c>
      <x:c r="F8" s="32" t="str">
        <x:v>Incluye duplicados, pérdidas, corrupción, stale writer.</x:v>
      </x:c>
    </x:row>
    <x:row r="9">
      <x:c r="A9" s="32" t="str">
        <x:v>Bounded memory</x:v>
      </x:c>
      <x:c r="B9" s="32" t="str">
        <x:v>Memoria alcanza meseta o tendencia estable bajo carga sostenida.</x:v>
      </x:c>
      <x:c r="C9" s="32" t="str">
        <x:v>Detecta fugas aunque no haya OOM.</x:v>
      </x:c>
      <x:c r="D9" s="32" t="str">
        <x:v>Caracterizar slope</x:v>
      </x:c>
      <x:c r="E9" s="32" t="str">
        <x:v>R3.5F</x:v>
      </x:c>
      <x:c r="F9" s="32" t="str">
        <x:v>No usar threshold absoluto al inicio.</x:v>
      </x:c>
    </x:row>
    <x:row r="10">
      <x:c r="A10" s="32" t="str">
        <x:v>Performance GREEN</x:v>
      </x:c>
      <x:c r="B10" s="32" t="str">
        <x:v>p95 ≤ 5 s.</x:v>
      </x:c>
      <x:c r="C10" s="32" t="str">
        <x:v>Periodo candidato aparentemente sostenible.</x:v>
      </x:c>
      <x:c r="D10" s="32" t="str">
        <x:v>GREEN</x:v>
      </x:c>
      <x:c r="E10" s="32" t="str">
        <x:v>R3.5 analysis</x:v>
      </x:c>
      <x:c r="F10" s="32" t="str">
        <x:v>No reemplaza integrity gate.</x:v>
      </x:c>
    </x:row>
    <x:row r="11">
      <x:c r="A11" s="32" t="str">
        <x:v>Performance REVIEW</x:v>
      </x:c>
      <x:c r="B11" s="32" t="str">
        <x:v>5 s &lt; p95 ≤ 10 s.</x:v>
      </x:c>
      <x:c r="C11" s="32" t="str">
        <x:v>Hay overruns pero puede ser operacionalmente aceptable.</x:v>
      </x:c>
      <x:c r="D11" s="32" t="str">
        <x:v>REVIEW</x:v>
      </x:c>
      <x:c r="E11" s="32" t="str">
        <x:v>R3.5 analysis</x:v>
      </x:c>
      <x:c r="F11" s="32" t="str">
        <x:v>Investigar tendencia y recursos.</x:v>
      </x:c>
    </x:row>
    <x:row r="12">
      <x:c r="A12" s="32" t="str">
        <x:v>Performance INVESTIGATE</x:v>
      </x:c>
      <x:c r="B12" s="32" t="str">
        <x:v>p95 &gt; 10 s.</x:v>
      </x:c>
      <x:c r="C12" s="32" t="str">
        <x:v>Probable cuello antes de timing closure.</x:v>
      </x:c>
      <x:c r="D12" s="32" t="str">
        <x:v>INVESTIGATE</x:v>
      </x:c>
      <x:c r="E12" s="32" t="str">
        <x:v>R3.5 analysis</x:v>
      </x:c>
      <x:c r="F12" s="32" t="str">
        <x:v>No implica corrupción.</x:v>
      </x:c>
    </x:row>
    <x:row r="13">
      <x:c r="A13" s="32" t="str">
        <x:v>Granular profiling</x:v>
      </x:c>
      <x:c r="B13" s="32" t="str">
        <x:v>Instrumentación por fronteras sólo cuando exista evidencia de cuello.</x:v>
      </x:c>
      <x:c r="C13" s="32" t="str">
        <x:v>Evita overhead y sobreingeniería.</x:v>
      </x:c>
      <x:c r="D13" s="32" t="str">
        <x:v>Conditional</x:v>
      </x:c>
      <x:c r="E13" s="32" t="str">
        <x:v>Harness</x:v>
      </x:c>
      <x:c r="F13" s="32" t="str">
        <x:v>Wall/CPU/RSS/bytes por etapa.</x:v>
      </x:c>
    </x:row>
    <x:row r="14">
      <x:c r="A14" t="str">
        <x:v>Granular iteration CPU %</x:v>
      </x:c>
      <x:c r="B14" t="str">
        <x:v>CPU-time del proceso consumido durante la ventana activa de una iteration dividido por su wall time.</x:v>
      </x:c>
      <x:c r="C14" t="str">
        <x:v>Permite saber cuán intensiva es la parte activa, pero no representa CPU sostenido durante sleeps.</x:v>
      </x:c>
      <x:c r="D14" t="str">
        <x:v>Puede superar 100% en un proceso multihilo/multicore; interpretar junto a duración y duty-cycle.</x:v>
      </x:c>
      <x:c r="E14" t="str">
        <x:v>Harness</x:v>
      </x:c>
      <x:c r="F14" t="str">
        <x:v>A-001: ~81.68% activo; ~1.71% de un core equivalente al promediar las muestras sobre 120.18 s.</x:v>
      </x:c>
    </x:row>
    <x:row r="15">
      <x:c r="A15" t="str">
        <x:v>Source frame bytes</x:v>
      </x:c>
      <x:c r="B15" t="str">
        <x:v>Tamaño reportado por el harness para los datos materializados de la vista sintética.</x:v>
      </x:c>
      <x:c r="C15" t="str">
        <x:v>Sirve para comparar perfiles dentro del mismo harness.</x:v>
      </x:c>
      <x:c r="D15" t="str">
        <x:v>Interpretar como métrica relativa; no representa necesariamente todo el overhead Python/Pandas de columnas, índice y objetos.</x:v>
      </x:c>
      <x:c r="E15" t="str">
        <x:v>Harness</x:v>
      </x:c>
      <x:c r="F15" t="str">
        <x:v>B-001: 8132 bytes para 1 row × 1000 FLOAT columns.</x:v>
      </x:c>
    </x:row>
    <x:row r="16">
      <x:c r="A16" t="str">
        <x:v>Physical partitions</x:v>
      </x:c>
      <x:c r="B16" t="str">
        <x:v>Chunks físicos sintéticos que componen una única vista lógica DataPartition.LATEST antes de entregarla al Runtime.</x:v>
      </x:c>
      <x:c r="C16" t="str">
        <x:v>Permiten caracterizar costo de particionado y merge sin inventar nuevos valores del contrato DataPartition.</x:v>
      </x:c>
      <x:c r="D16" t="str">
        <x:v>No confundir con múltiples valores lógicos de DataPartition ni con múltiples fuentes.</x:v>
      </x:c>
      <x:c r="E16" t="str">
        <x:v>Harness</x:v>
      </x:c>
      <x:c r="F16" t="str">
        <x:v>B-003: 4 chunks balanceados de 250 columnas; mergeados a 1 LoadedDataSourceView de 1000 columnas.</x:v>
      </x:c>
    </x:row>
    <x:row r="17">
      <x:c r="A17" t="str">
        <x:v>Adaptive campaign</x:v>
      </x:c>
      <x:c r="B17" t="str">
        <x:v>Estrategia que aumenta el salto experimental cuando existe margen amplio y evita ejecutar puntos intermedios de bajo valor.</x:v>
      </x:c>
      <x:c r="C17" t="str">
        <x:v>Reduce tiempo total sin perder capacidad de detectar rodillas, porque permite volver a puntos intermedios si aparece degradación material.</x:v>
      </x:c>
      <x:c r="D17" t="str">
        <x:v>Supersede intermediate tests; never count them as PASS.</x:v>
      </x:c>
      <x:c r="E17" t="str">
        <x:v>R3.5 analysis</x:v>
      </x:c>
      <x:c r="F17" t="str">
        <x:v>Desde B-004: 4→36 partitions; 8/16/32 quedan Superseded, no Completed.</x:v>
      </x:c>
    </x:row>
    <x:row r="18">
      <x:c r="A18" t="str">
        <x:v>Neutral snapshot semantics</x:v>
      </x:c>
      <x:c r="B18" t="str">
        <x:v>Alarmas configuradas que no tienen occurrence, management_effect ni deactivation_effect no ocupan hot-state en GroupRuntimeSnapshot.</x:v>
      </x:c>
      <x:c r="C18" t="str">
        <x:v>Evita confundir cardinal de configuración con cardinal de estado durable y previene falsos FAIL en escenarios con evaluación inicial INACTIVE.</x:v>
      </x:c>
      <x:c r="D18" t="str">
        <x:v>Integrity gate must compare snapshot_alarm_count with expected materialized hot-state count, not configured alarm_count.</x:v>
      </x:c>
      <x:c r="E18" t="str">
        <x:v>Alarm Core / Runtime snapshot contract</x:v>
      </x:c>
      <x:c r="F18" t="str">
        <x:v>B-008: 1000 configured, 120 null→INACTIVE neutral, expected/observed snapshot = 880.</x:v>
      </x:c>
    </x:row>
    <x:row r="19">
      <x:c r="A19" t="str">
        <x:v>Historical Stress Jump</x:v>
      </x:c>
      <x:c r="B19" t="str">
        <x:v>Escenario adaptativo que combina Latest con PI_INTERPOLATED/DAILY y TimeWindow real, usando suficiente densidad para buscar la primera frontera operacional.</x:v>
      </x:c>
      <x:c r="C19" t="str">
        <x:v>Evita múltiples corridas históricas pequeñas que aportan poca información cuando el motor conserva margen.</x:v>
      </x:c>
      <x:c r="D19" t="str">
        <x:v>B-009 target: 1000 alarms × 3 historical series × 360 points = 1,080,000 historical numeric values, plus 1000 Latest values.</x:v>
      </x:c>
      <x:c r="E19" t="str">
        <x:v>R3.5 analysis / ada.data contracts</x:v>
      </x:c>
      <x:c r="F19" t="str">
        <x:v>Si p95 cruza 5 s o aparece anomalía, no seguir escalando: regresar a un punto intermedio y aislar la dimensión responsable.</x:v>
      </x:c>
    </x:row>
    <x:row r="20">
      <x:c r="A20" s="32" t="str">
        <x:v>Functional lifecycle churn</x:v>
      </x:c>
      <x:c r="B20" s="32" t="str">
        <x:v>Cambio sintético determinístico del estado evaluado que obliga al Core a iniciar/cerrar continuidad operacional real.</x:v>
      </x:c>
      <x:c r="C20" s="32" t="str">
        <x:v>Mide state-machine + EngineCommit + WAL, no sólo costo de evaluación.</x:v>
      </x:c>
      <x:c r="D20" s="32" t="str">
        <x:v>C-001: 10% de alarmas por data generation.</x:v>
      </x:c>
      <x:c r="E20" s="32" t="str">
        <x:v>R3.5C</x:v>
      </x:c>
      <x:c r="F20" s="32" t="str">
        <x:v>Los contadores esperados se derivan de las generaciones realmente observadas.</x:v>
      </x:c>
    </x:row>
    <x:row r="21">
      <x:c r="A21" s="32" t="str">
        <x:v>Lifecycle commit</x:v>
      </x:c>
      <x:c r="B21" s="32" t="str">
        <x:v>EngineCommit que contiene cambios de Occurrence, Episode o Assignment asociados a una transición funcional.</x:v>
      </x:c>
      <x:c r="C21" s="32" t="str">
        <x:v>Permite distinguir churn semántico de evidence periódica sin cambio de continuidad.</x:v>
      </x:c>
      <x:c r="D21" s="32" t="str">
        <x:v>Debe coincidir con el número esperado y no duplicarse por group+generation.</x:v>
      </x:c>
      <x:c r="E21" s="32" t="str">
        <x:v>Harness / Alarm Core</x:v>
      </x:c>
      <x:c r="F21" s="32" t="str">
        <x:v>C-001: 700 observados = 700 esperados.</x:v>
      </x:c>
    </x:row>
    <x:row r="22">
      <x:c r="A22" s="32" t="str">
        <x:v>Evidence-only commit</x:v>
      </x:c>
      <x:c r="B22" s="32" t="str">
        <x:v>Commit durable que contiene evidence contractual sin cambio de Occurrence/Episode/Assignment.</x:v>
      </x:c>
      <x:c r="C22" s="32" t="str">
        <x:v>Evita falsos FAIL cuando vence una obligación de evidence en un estado estable.</x:v>
      </x:c>
      <x:c r="D22" s="32" t="str">
        <x:v>Permitido; se reporta separado del lifecycle churn.</x:v>
      </x:c>
      <x:c r="E22" s="32" t="str">
        <x:v>Alarm Core / Harness</x:v>
      </x:c>
      <x:c r="F22" s="32" t="str">
        <x:v>C-001 observó 0; el gate permanece preparado para escenarios que sí los produzcan.</x:v>
      </x:c>
    </x:row>
    <x:row r="23">
      <x:c r="A23" s="32" t="str">
        <x:v>Technical Hold recovery churn</x:v>
      </x:c>
      <x:c r="B23" s="32" t="str">
        <x:v>Escenario determinístico que convierte temporalmente una cohorte ACTIVE en ERROR y la recupera antes del vencimiento de TechnicalHold.</x:v>
      </x:c>
      <x:c r="C23" s="32" t="str">
        <x:v>Ejercita ERROR, TechnicalHold STARTED/CLEARED, Journey, Evidence, EngineCommit y WAL sin cerrar la Occurrence ni el Episode.</x:v>
      </x:c>
      <x:c r="D23" s="32" t="str">
        <x:v>C-002: 10% de alarmas por generación; hold observado ~10 s; grace productivo 300 s.</x:v>
      </x:c>
      <x:c r="E23" s="32" t="str">
        <x:v>R3.5C</x:v>
      </x:c>
      <x:c r="F23" s="32" t="str">
        <x:v>El gate exige occurrence_id estable, TechnicalHold EXPIRED=0 y ausencia de cierres de Occurrence/Episode.</x:v>
      </x:c>
    </x:row>
    <x:row r="24">
      <x:c r="A24" s="32" t="str">
        <x:v>Technical Hold expiry &amp; reappearance</x:v>
      </x:c>
      <x:c r="B24" s="32" t="str">
        <x:v>Escenario en que una Occurrence ACTIVE entra ERROR, permanece más allá del grace técnico real de 300 s y después recupera cuando la continuidad anterior ya fue cerrada.</x:v>
      </x:c>
      <x:c r="C24" s="32" t="str">
        <x:v>Valida TechnicalHold EXPIRED, OccurrenceClosureReason.TECHNICAL_HOLD_EXPIRED, EpisodeClosureReason.TECHNICAL_UNCERTAINTY y creación de nueva Occurrence/Episode al reaparecer.</x:v>
      </x:c>
      <x:c r="D24" s="32" t="str">
        <x:v>C-003: 10% por cohorte; stagger 30 s; ERROR 320 s; refresh 10 s; duración 600 s.</x:v>
      </x:c>
      <x:c r="E24" s="32" t="str">
        <x:v>R3.5C</x:v>
      </x:c>
      <x:c r="F24" s="32" t="str">
        <x:v>El harness no altera el grace. Tras expiry no se acepta technical_hold_recovered sobre la identidad antigua; ACTIVE debe iniciar una occurrence_id nueva. El cierre de Occurrence y Episode debe usar razones exactas.</x:v>
      </x:c>
    </x:row>
    <x:row r="25">
      <x:c r="A25" s="32" t="str">
        <x:v>Initial ERROR without continuity</x:v>
      </x:c>
      <x:c r="B25" s="32" t="str">
        <x:v>Estado ERROR para una alarma que todavía no posee Occurrence ni Episode abiertos, seguido por su primera activación.</x:v>
      </x:c>
      <x:c r="C25" s="32" t="str">
        <x:v>Distingue un fallo técnico previo al nacimiento de continuidad de TechnicalHold, que requiere una Occurrence previa.</x:v>
      </x:c>
      <x:c r="D25" s="32" t="str">
        <x:v>C-004: bootstrap 100% ERROR; hold 20 s; first activation 10% cada 20 s; refresh 10 s.</x:v>
      </x:c>
      <x:c r="E25" s="32" t="str">
        <x:v>R3.5C</x:v>
      </x:c>
      <x:c r="F25" s="32" t="str">
        <x:v>Antes de la primera activación: cero lifecycle commits, hot-state y TechnicalHold. Cada primera ACTIVE crea exactamente una primera occurrence_id; no es reappearance.</x:v>
      </x:c>
    </x:row>
    <x:row r="26">
      <x:c r="A26" s="32" t="str">
        <x:v>Mixed initial-ERROR hotspot</x:v>
      </x:c>
      <x:c r="B26" s="32" t="str">
        <x:v>Incremento de latencia observado cuando coexisten alarmas ACTIVE con continuidad y alarmas ERROR sin continuidad previa.</x:v>
      </x:c>
      <x:c r="C26" s="32" t="str">
        <x:v>C-004 mostró una curva no monótona con máximo cercano a 50/50, aun en iteraciones sin writes.</x:v>
      </x:c>
      <x:c r="D26" s="32" t="str">
        <x:v>Reproduce before attribution; fixed 50/50 steady state is the next isolation point.</x:v>
      </x:c>
      <x:c r="E26" s="32" t="str">
        <x:v>R3.5C</x:v>
      </x:c>
      <x:c r="F26" s="32" t="str">
        <x:v>No confundir con TechnicalHold: las alarmas ERROR de este caso nunca tuvieron Occurrence. No atribuir a recursos de deployment hasta aislar el comportamiento.</x:v>
      </x:c>
    </x:row>
    <x:row r="27">
      <x:c r="A27" s="32" t="str">
        <x:v>Fixed mixed initial-ERROR reproduction</x:v>
      </x:c>
      <x:c r="B27" s="32" t="str">
        <x:v>Composición inmutable con una población ACTIVE que posee continuidad y otra población ERROR que nunca tuvo Occurrence.</x:v>
      </x:c>
      <x:c r="C27" s="32" t="str">
        <x:v>Aísla el costo de composición de los costos de transición, stagger y persistencia lifecycle.</x:v>
      </x:c>
      <x:c r="D27" s="32" t="str">
        <x:v>C-004-R1: 50% ACTIVE / 50% ERROR; 100 grupos×10; 300 s; 0 transitions after bootstrap.</x:v>
      </x:c>
      <x:c r="E27" s="32" t="str">
        <x:v>R3.5C</x:v>
      </x:c>
      <x:c r="F27" s="32" t="str">
        <x:v>ERROR permanece neutral: no Occurrence, Episode, Assignment ni TechnicalHold. Sólo la mitad ACTIVE debe aparecer en hot-state.</x:v>
      </x:c>
    </x:row>
    <x:row r="28">
      <x:c r="A28" s="32" t="str">
        <x:v>Repeated durable-history lookup</x:v>
      </x:c>
      <x:c r="B28" s="32" t="str">
        <x:v>Patrón donde la ausencia de snapshot obliga a comprobar si el grupo tuvo historia durable, releyendo el journal durable completo para responder una pregunta de pertenencia.</x:v>
      </x:c>
      <x:c r="C28" s="32" t="str">
        <x:v>Puede transformar una verificación de integridad en trabajo repetido proporcional a durable_groups × missing_snapshot_groups.</x:v>
      </x:c>
      <x:c r="D28" s="32" t="str">
        <x:v>C-004/R1 root-cause candidate; C-004-R2 must confirm causality before product changes.</x:v>
      </x:c>
      <x:c r="E28" s="32" t="str">
        <x:v>R3.5C</x:v>
      </x:c>
      <x:c r="F28" s="32" t="str">
        <x:v>La garantía 'missing snapshot + durable history = corruption' debe conservarse. La optimización sólo puede cambiar cómo se obtiene la pertenencia, no relajar la validación.</x:v>
      </x:c>
    </x:row>
    <x:row r="29">
      <x:c r="A29" s="32" t="str">
        <x:v>Per-cycle durable history index POC</x:v>
      </x:c>
      <x:c r="B29" s="32" t="str">
        <x:v>Índice efímero de priority_groups con historia durable, construido desde el journal una sola vez en cada iteración cuando existe al menos un grupo sin snapshot.</x:v>
      </x:c>
      <x:c r="C29" s="32" t="str">
        <x:v>Reduce lecturas repetidas del mismo WAL sin cambiar la regla de integridad 'missing snapshot + durable history = corruption'.</x:v>
      </x:c>
      <x:c r="D29" s="32" t="str">
        <x:v>C-004-R2 harness only; baseline vs indexed A/B; index discarded at every iteration boundary.</x:v>
      </x:c>
      <x:c r="E29" s="32" t="str">
        <x:v>R3.5C</x:v>
      </x:c>
      <x:c r="F29" s="32" t="str">
        <x:v>No es todavía una optimización productiva. El resultado end-to-end debe confirmar la causalidad antes de modificar AlarmRuntimeComposition o Persistence.</x:v>
      </x:c>
    </x:row>
    <x:row r="30">
      <x:c r="A30" s="32" t="str">
        <x:v>Cycle-scoped durable history membership</x:v>
      </x:c>
      <x:c r="B30" s="32" t="str">
        <x:v>Vista efímera de los priority_groups presentes en la historia durable, compartida por todas las cargas de grupo dentro de una sola iteración y descartada al terminarla.</x:v>
      </x:c>
      <x:c r="C30" s="32" t="str">
        <x:v>Evita releer el mismo journal N veces en el ciclo manteniendo el chequeo de integridad para cada grupo.</x:v>
      </x:c>
      <x:c r="D30" s="32" t="str">
        <x:v>C-004-R2 confirmed; proposed product contract for C-004-R3.</x:v>
      </x:c>
      <x:c r="E30" s="32" t="str">
        <x:v>R3.5C</x:v>
      </x:c>
      <x:c r="F30" s="32" t="str">
        <x:v>No debe convertirse en cache global/persistente ni sobrevivir entre iteraciones sin validación explícita contra el durable head. Missing snapshot + membership durable continúa siendo corrupción.</x:v>
      </x:c>
    </x:row>
    <x:row r="31">
      <x:c r="A31" s="32" t="str">
        <x:v>Batch group hydration</x:v>
      </x:c>
      <x:c r="B31" s="32" t="str">
        <x:v>Carga productiva de todos los priority_groups de una iteración como un lote, usando snapshots por grupo y una única vista durable compartida sólo cuando existe algún snapshot faltante.</x:v>
      </x:c>
      <x:c r="C31" s="32" t="str">
        <x:v>Convierte la verificación repetida durable_groups × missing_groups en un scan durable por lote sin mantener cache entre iteraciones.</x:v>
      </x:c>
      <x:c r="D31" s="32" t="str">
        <x:v>Implemented candidate in ada-alarms-runtime-process 0.14.2; C-004-R3 validates product path.</x:v>
      </x:c>
      <x:c r="E31" s="32" t="str">
        <x:v>R3.5C</x:v>
      </x:c>
      <x:c r="F31" s="32" t="str">
        <x:v>La vista es local a load_groups(); no sobrevive al ciclo. Si no faltan snapshots no se lee el journal. Si un grupo faltante sí aparece en historia durable, continúa levantándose AlarmRuntimeCompositionError.</x:v>
      </x:c>
    </x:row>
    <x:row r="32">
      <x:c r="A32" s="32" t="str">
        <x:v>Validated product batch hydration</x:v>
      </x:c>
      <x:c r="B32" s="32" t="str">
        <x:v>Implementación productiva 0.14.2 que hidrata grupos como lote por ciclo y comparte una única vista de pertenencia durable cuando existen snapshots faltantes.</x:v>
      </x:c>
      <x:c r="C32" s="32" t="str">
        <x:v>C-004-R3 demuestra que elimina el hotspot de scans repetidos sin cache persistente y sin cambiar integridad.</x:v>
      </x:c>
      <x:c r="D32" s="32" t="str">
        <x:v>C-004-R3 PASS/GREEN: p95 0.988 s, 0 overruns, harness lookup mode baseline.</x:v>
      </x:c>
      <x:c r="E32" s="32" t="str">
        <x:v>R3.5C</x:v>
      </x:c>
      <x:c r="F32" s="32" t="str">
        <x:v>La telemetría durable_history_lookup del harness queda en baseline/zero porque el fix ya vive en producto; la prueba autoritativa es el tiempo recuperado más WAL/snapshot exactos.</x:v>
      </x:c>
    </x:row>
    <x:row r="33">
      <x:c r="A33" s="32" t="str">
        <x:v>C1 immediate routing fan-out</x:v>
      </x:c>
      <x:c r="B33" s="32" t="str">
        <x:v>Routing de Criticality.C1 donde una Occurrence abierta queda asignada en el mismo ciclo al Tool de origen y a todos sus RoutingDestination, sin pending timers.</x:v>
      </x:c>
      <x:c r="C33" s="32" t="str">
        <x:v>Presiona AssignmentChange, Journey, commit/WAL y snapshot aumentando Tools asignados por alarma sin introducir churn de evaluación.</x:v>
      </x:c>
      <x:c r="D33" s="32" t="str">
        <x:v>C-005: origin + 3 destinations = 4 immediate assignments/alarm; 1000 alarms =&gt; 4000 assignments.</x:v>
      </x:c>
      <x:c r="E33" s="32" t="str">
        <x:v>R3.5C</x:v>
      </x:c>
      <x:c r="F33" s="32" t="str">
        <x:v>Todos los cambios deben ser ASSIGNED. SCHEDULED/RESCHEDULED/REMOVED o cualquier pending assignment hacen fallar el gate funcional C1.</x:v>
      </x:c>
    </x:row>
    <x:row r="34">
      <x:c r="A34" s="32" t="str">
        <x:v>C2 delayed routing progression</x:v>
      </x:c>
      <x:c r="B34" s="32" t="str">
        <x:v>Routing Criticality.C2 donde origin se asigna al iniciar la Occurrence y cada RoutingDestination queda pending hasta un due_at absoluto derivado de occurrence.started_at.</x:v>
      </x:c>
      <x:c r="C34" s="32" t="str">
        <x:v>Ejercita SCHEDULED, pending_assignments y posteriores ASSIGNED por deadline sin cambios de evaluación/configuración.</x:v>
      </x:c>
      <x:c r="D34" s="32" t="str">
        <x:v>C-006: delays 60/120/180 s; 1000 alarms; pending 3000→2000→1000→0; 300 s.</x:v>
      </x:c>
      <x:c r="E34" s="32" t="str">
        <x:v>R3.5C</x:v>
      </x:c>
      <x:c r="F34" s="32" t="str">
        <x:v>El gate exige offsets due_at exactos y snapshots de cada ola. RESCHEDULED/REMOVED deben permanecer en cero. Los delays deben ser positivos, únicos, crecientes y alineados con data_refresh.</x:v>
      </x:c>
    </x:row>
    <x:row r="35">
      <x:c r="A35" s="32" t="str">
        <x:v>C2 reschedule across configuration window</x:v>
      </x:c>
      <x:c r="B35" s="32" t="str">
        <x:v>Prueba bifásica donde pending assignments creados bajo una revisión C2 se reconcilian contra una nueva revisión adoptada en otra ejecución que reutiliza el mismo estado durable.</x:v>
      </x:c>
      <x:c r="C35" s="32" t="str">
        <x:v>Ejercita RESCHEDULED real, preservación de occurrence_id, reemplazo de due_at y posteriores ASSIGNED sin violar el freeze de configuración intra-ventana.</x:v>
      </x:c>
      <x:c r="D35" s="32" t="str">
        <x:v>C-007: AC-1 +60/+120/+180 for 30 s; AC-2 +90/+150/+210 on same volume; 270 s total.</x:v>
      </x:c>
      <x:c r="E35" s="32" t="str">
        <x:v>R3.5C</x:v>
      </x:c>
      <x:c r="F35" s="32" t="str">
        <x:v>Los destinos no cambian, sólo sus delays. Se esperan 3000 RESCHEDULED y REMOVED=0. La adopción debe ocurrir antes de todos los due_at viejos y nuevos; Phase B conserva la Occurrence original.</x:v>
      </x:c>
    </x:row>
    <x:row r="36">
      <x:c r="A36" s="32" t="str">
        <x:v>C2 destination removal across configuration window</x:v>
      </x:c>
      <x:c r="B36" s="32" t="str">
        <x:v>Prueba bifásica donde una nueva revisión compatible conserva alarma, Criticality.C2, origin Tool y Occurrence, pero elimina todos los RoutingDestination existentes.</x:v>
      </x:c>
      <x:c r="C36" s="32" t="str">
        <x:v>Ejercita AssignmentChange REMOVED tanto desde Tool ya materializado como desde pending assignment sin mezclar disable, alarm removal, structural reset ni reschedule.</x:v>
      </x:c>
      <x:c r="D36" s="32" t="str">
        <x:v>C-008: AC-1 +60/+120/+180 for 90 s; AC-2 destinations=(); 210 s total; 1000 alarms.</x:v>
      </x:c>
      <x:c r="E36" s="32" t="str">
        <x:v>R3.5C</x:v>
      </x:c>
      <x:c r="F36" s="32" t="str">
        <x:v>A la adopción route-01 ya está assigned y route-02/03 siguen pending. Se esperan 3000 REMOVED: 1000 reached + 2000 pending, 100 commits de reconciliación, REMOVED sin due_at, mismo occurrence_id, origin preservado y final 1000 assignments/0 pending.</x:v>
      </x:c>
    </x:row>
    <x:row r="37">
      <x:c r="A37" s="32" t="str">
        <x:v>Validated C2 destination removal</x:v>
      </x:c>
      <x:c r="B37" s="32" t="str">
        <x:v>Adopción compatible C2 donde una nueva revisión elimina RoutingDestination y Core emite REMOVED para Tools ya assigned y pending sin cerrar la Occurrence.</x:v>
      </x:c>
      <x:c r="C37" s="32" t="str">
        <x:v>C-008 cierra la última semántica de routing pendiente y demuestra que no quedan timers residuales ni assignments tardíos tras la reconciliación.</x:v>
      </x:c>
      <x:c r="D37" s="32" t="str">
        <x:v>C-008 PASS/GREEN: 3000 REMOVED = 1000 reached + 2000 pending; final origin-only.</x:v>
      </x:c>
      <x:c r="E37" s="32" t="str">
        <x:v>R3.5C</x:v>
      </x:c>
      <x:c r="F37" s="32" t="str">
        <x:v>R3.5C queda cerrado 11/11. La continuidad se conserva: state_basis AC-2 y occurrence start revision AC-1; durable y materialized heads idénticos.</x:v>
      </x:c>
    </x:row>
    <x:row r="38">
      <x:c r="A38" s="32" t="str">
        <x:v>Durable single-management baseline</x:v>
      </x:c>
      <x:c r="B38" s="32" t="str">
        <x:v>Caracterización de una ManagementAction individual que entra por AlarmDurableInputConsumer, produce un efecto de management y un InputReceipt terminal durable antes de que el consumer avance su cursor.</x:v>
      </x:c>
      <x:c r="C38" s="32" t="str">
        <x:v>Aísla latencia y corrección del control-plane durable antes de continuous/burst management y antes de DeactivationDecision.</x:v>
      </x:c>
      <x:c r="D38" s="32" t="str">
        <x:v>D-001: PERF-M-000001 at +30 s on perf/alarm_00001; receipt EFFECTIVE + ManagementEffect STARTED.</x:v>
      </x:c>
      <x:c r="E38" s="32" t="str">
        <x:v>R3.5D</x:v>
      </x:c>
      <x:c r="F38" s="32" t="str">
        <x:v>No deactivation_intent, no cascades, no reappearance durante el run. El source_occurrence_id se toma del snapshot durable y la instrumentación valida receipt durable en el índice antes de persistir cursor=256.</x:v>
      </x:c>
    </x:row>
    <x:row r="39">
      <x:c r="A39" s="32" t="str">
        <x:v>Sustained management 1/s</x:v>
      </x:c>
      <x:c r="B39" s="32" t="str">
        <x:v>Carga R3.5D donde un source sintético durable expone ManagementAction a intervalo fijo y el Runtime las consume en batches naturales según su cadencia, manteniendo receipt-before-cursor.</x:v>
      </x:c>
      <x:c r="C39" s="32" t="str">
        <x:v>Mide throughput, distribución input→receipt, batching, cursor/backlog y durabilidad sin cambiar la semántica individual EFFECTIVE de management.</x:v>
      </x:c>
      <x:c r="D39" s="32" t="str">
        <x:v>D-002: 540 unique EFFECTIVE actions from +30 to +569 s in a 600 s run; interval 1 s.</x:v>
      </x:c>
      <x:c r="E39" s="32" t="str">
        <x:v>R3.5D</x:v>
      </x:c>
      <x:c r="F39" s="32" t="str">
        <x:v>Targets group-major round-robin: primero un alarm slot en los 100 priority groups, luego el siguiente slot. Esto evita ADDITIONAL y evita que un batch normal de ~5 acciones quede concentrado en el mismo grupo. reappearance_due_at permanece +1h y deactivation_intent ausente.</x:v>
      </x:c>
    </x:row>
    <x:row r="40">
      <x:c r="A40" s="32" t="str">
        <x:v>Lease heartbeat self-contention</x:v>
      </x:c>
      <x:c r="B40" s="32" t="str">
        <x:v>Condición donde el heartbeat del mismo ExecutionLease compite por PhysicalAuthorityFence con mutaciones autoritativas legítimas del owner y convierte una espera temporal de fence en LeaseRenewalError terminal.</x:v>
      </x:c>
      <x:c r="C40" s="32" t="str">
        <x:v>Puede abortar jobs con batches/materialización largos aunque no exista takeover ni expiración, dejando durable ahead of materialized y requiriendo recovery.</x:v>
      </x:c>
      <x:c r="D40" s="32" t="str">
        <x:v>F-D002-001 / proposed R20C.3.2; reproduced on atlanticus-job-runtime 0.7.0.</x:v>
      </x:c>
      <x:c r="E40" s="32" t="str">
        <x:v>Generic runtime / R3.5D blocker</x:v>
      </x:c>
      <x:c r="F40" s="32" t="str">
        <x:v>Fail-closed es correcto y debe preservarse. La corrección no es aumentar duración de D-002: renewal debe distinguir fence contention transitoria de pérdida real de authority. D-002 recovery esperado: 24 applied + 76 skipped.</x:v>
      </x:c>
    </x:row>
    <x:row r="41">
      <x:c r="A41" s="32" t="str">
        <x:v>Contention-safe lease heartbeat 0.7.1</x:v>
      </x:c>
      <x:c r="B41" s="32" t="str">
        <x:v>Heartbeat de ExecutionLease que reintenta adquirir el PhysicalAuthorityFence cuando la contención es transitoria, limitado estrictamente por la última expiración previamente confirmada bajo fence.</x:v>
      </x:c>
      <x:c r="C41" s="32" t="str">
        <x:v>Evita false LeaseRenewalError por self-starvation sin relajar physical fencing, owner/generation checks, expiration ni authority deadline.</x:v>
      </x:c>
      <x:c r="D41" s="32" t="str">
        <x:v>R20C.3.2: generic Job Runtime 0.7.1; 16 consumers coordinated; D-002 blocker mitigation candidate.</x:v>
      </x:c>
      <x:c r="E41" s="32" t="str">
        <x:v>Generic runtime / R3.5D blocker fix</x:v>
      </x:c>
      <x:c r="F41" s="32" t="str">
        <x:v>No renewal outside fence; no expired-owner revival. Heartbeat retry is interruptible by stop_renewal. Long/repeated contention retries while authority is known-safe; real takeover/expiry/deadline remains fail-closed.</x:v>
      </x:c>
    </x:row>
    <x:row r="42">
      <x:c r="A42" s="32" t="str">
        <x:v>R20C.3.2 closed</x:v>
      </x:c>
      <x:c r="B42" s="32" t="str">
        <x:v>Cierre técnico del fix contention-safe de ExecutionLease heartbeat en atlanticus-job-runtime 0.7.1, certificado con gate, authority regressions, consumer pins y recovery real del volumen D-002.</x:v>
      </x:c>
      <x:c r="C42" s="32" t="str">
        <x:v>El Runtime ya no convierte self-contention transitoria del PhysicalAuthorityFence en LeaseRenewalError terminal mientras la última autoridad confirmada siga vigente.</x:v>
      </x:c>
      <x:c r="D42" s="32" t="str">
        <x:v>142/142 runtime + 21/21 focal + 262/262 alarms-runtime + recovery 24 applied/76 skipped.</x:v>
      </x:c>
      <x:c r="E42" s="32" t="str">
        <x:v>Generic runtime / R3.5D</x:v>
      </x:c>
      <x:c r="F42" s="32" t="str">
        <x:v>R20C.3.2 queda CLOSED. F-D002-001 permanece open sólo hasta el clean 600 s rerun del escenario que descubrió el problema; después podrá cerrarse con evidencia end-to-end.</x:v>
      </x:c>
    </x:row>
    <x:row r="43">
      <x:c r="A43" s="32" t="str">
        <x:v>Validated sustained management 1/s</x:v>
      </x:c>
      <x:c r="B43" s="32" t="str">
        <x:v>Caracterización cerrada de 540 ManagementAction únicas expuestas a 1/s y consumidas en batches naturales por un Runtime de 5 s.</x:v>
      </x:c>
      <x:c r="C43" s="32" t="str">
        <x:v>Demuestra throughput estable sin backlog y confirma end-to-end el fix contention-safe de lease bajo las olas periódicas de evidencia.</x:v>
      </x:c>
      <x:c r="D43" s="32" t="str">
        <x:v>D-002 PASS/GREEN: 540 EFFECTIVE/STARTED; p95 input→receipt 5.212 s; p95 iteration 1.058 s; 0 overruns.</x:v>
      </x:c>
      <x:c r="E43" s="32" t="str">
        <x:v>R3.5D</x:v>
      </x:c>
      <x:c r="F43" s="32" t="str">
        <x:v>Runtime 0.7.1; 835 durable records / 8,025,617 bytes; heads aligned. F-D002-001 closed. Next dimension: simultaneous Management burst.</x:v>
      </x:c>
    </x:row>
    <x:row r="44">
      <x:c r="A44" s="32" t="str">
        <x:v>Management burst 50</x:v>
      </x:c>
      <x:c r="B44" s="32" t="str">
        <x:v>Carga R3.5D donde 50 ManagementAction independientes se vuelven visibles simultáneamente para medir capacidad de absorción inmediata del consumer durable.</x:v>
      </x:c>
      <x:c r="C44" s="32" t="str">
        <x:v>Aísla burst handling de arrival-rate sostenido: backlog transitorio, tamaño de batch, latencia receipt y durabilidad bajo una sola llegada concentrada.</x:v>
      </x:c>
      <x:c r="D44" s="32" t="str">
        <x:v>Proposed D-003: 50 unique EFFECTIVE actions at +30 s, one target in groups 001..050.</x:v>
      </x:c>
      <x:c r="E44" s="32" t="str">
        <x:v>R3.5D</x:v>
      </x:c>
      <x:c r="F44" s="32" t="str">
        <x:v>Recommended 120 s run to avoid +300 s evidence. No deactivation_intent; reappearance +1h. All actions should be consumed in the first eligible iteration if no internal cap exists.</x:v>
      </x:c>
    </x:row>
    <x:row r="45">
      <x:c r="A45" s="32" t="str">
        <x:v>Validated management burst gate</x:v>
      </x:c>
      <x:c r="B45" s="32" t="str">
        <x:v>Contrato de harness para ManagementAction simultáneas donde interval=0 hace visible todo el conjunto en la misma frontera temporal y el consumer debe absorberlo en la primera iteración elegible.</x:v>
      </x:c>
      <x:c r="C45" s="32" t="str">
        <x:v>Distingue capacidad instantánea de burst del throughput sostenido de D-002 y evita considerar PASS un backlog transitorio que sólo se drene en iteraciones posteriores.</x:v>
      </x:c>
      <x:c r="D45" s="32" t="str">
        <x:v>D-003: 50 unique actions at +30 s; first_nonempty_batch_size must equal 50.</x:v>
      </x:c>
      <x:c r="E45" s="32" t="str">
        <x:v>R3.5D</x:v>
      </x:c>
      <x:c r="F45" s="32" t="str">
        <x:v>Targets slot-1 of groups 001..050; all EFFECTIVE; cursor expected 12,800 bytes. No +300 s evidence wave in the recommended 120 s run.</x:v>
      </x:c>
    </x:row>
    <x:row r="46">
      <x:c r="A46" s="32" t="str">
        <x:v>Validated management burst 50</x:v>
      </x:c>
      <x:c r="B46" s="32" t="str">
        <x:v>Caracterización cerrada de 50 ManagementAction simultáneas distribuidas en 50 priority groups y absorbidas completamente en la primera iteración elegible.</x:v>
      </x:c>
      <x:c r="C46" s="32" t="str">
        <x:v>Establece un baseline de burst sin backlog antes de escalar a una acción simultánea por cada uno de los 100 grupos.</x:v>
      </x:c>
      <x:c r="D46" s="32" t="str">
        <x:v>D-003 PASS/GREEN: first batch 50/50; burst iteration 1.379 s; p95 global 1.295 s; 0 overruns.</x:v>
      </x:c>
      <x:c r="E46" s="32" t="str">
        <x:v>R3.5D</x:v>
      </x:c>
      <x:c r="F46" s="32" t="str">
        <x:v>150 durable records / 2,376,600 bytes; cursor=12800; durable==materialized. Next: burst 100.</x:v>
      </x:c>
    </x:row>
    <x:row r="47">
      <x:c r="A47" s="32" t="str">
        <x:v>Management burst 100</x:v>
      </x:c>
      <x:c r="B47" s="32" t="str">
        <x:v>Carga R3.5D de 100 ManagementAction simultáneas, una sobre slot-1 de cada priority group, reutilizando el mismo contrato de burst de D-003.</x:v>
      </x:c>
      <x:c r="C47" s="32" t="str">
        <x:v>Busca detectar un cap/backlog al duplicar el burst y cubrir todos los grupos en una sola iteración.</x:v>
      </x:c>
      <x:c r="D47" s="32" t="str">
        <x:v>D-004: count=100, interval=0, +30 s, duration=120 s.</x:v>
      </x:c>
      <x:c r="E47" s="32" t="str">
        <x:v>R3.5D</x:v>
      </x:c>
      <x:c r="F47" s="32" t="str">
        <x:v>Hard gate: first batch=100/100; expected cursor=25,600 bytes; expected WAL=200 records.</x:v>
      </x:c>
    </x:row>
    <x:row r="48">
      <x:c r="A48" s="32" t="str">
        <x:v>Validated management burst 100</x:v>
      </x:c>
      <x:c r="B48" s="32" t="str">
        <x:v>Caracterización cerrada de 100 ManagementAction simultáneas, una por cada priority group, absorbidas en una sola iteración elegible.</x:v>
      </x:c>
      <x:c r="C48" s="32" t="str">
        <x:v>Confirma ausencia de cap/backlog hasta 100 y cierra la dimensión de burst Management antes de cambiar a decisions.</x:v>
      </x:c>
      <x:c r="D48" s="32" t="str">
        <x:v>D-004 PASS/GREEN: first batch 100/100; burst iteration 1.717 s; global p95 1.564 s; 0 overruns.</x:v>
      </x:c>
      <x:c r="E48" s="32" t="str">
        <x:v>R3.5D</x:v>
      </x:c>
      <x:c r="F48" s="32" t="str">
        <x:v>200 durable records / 2,722,400 bytes; cursor=25600; durable==materialized. Next: D-005 decision baseline.</x:v>
      </x:c>
    </x:row>
    <x:row r="49">
      <x:c r="A49" s="32" t="str">
        <x:v>Single DeactivationDecision baseline</x:v>
      </x:c>
      <x:c r="B49" s="32" t="str">
        <x:v>Propuesta R3.5D para medir una decisión canónica contra un DeactivationRequest durable ya existente, sin usar un request externo independiente.</x:v>
      </x:c>
      <x:c r="C49" s="32" t="str">
        <x:v>Aísla causalidad request→decision, receipt-before-cursor y latencia de decision ingress antes de continuous/burst decisions.</x:v>
      </x:c>
      <x:c r="D49" s="32" t="str">
        <x:v>D-005 proposed: request setup +30 s; APPROVED decision +60 s; target approval_required=true.</x:v>
      </x:c>
      <x:c r="E49" s="32" t="str">
        <x:v>R3.5D</x:v>
      </x:c>
      <x:c r="F49" s="32" t="str">
        <x:v>Request must remain durable and occurrence-bound; decision cannot migrate to another occurrence; approval uses remaining original effective_until. Exact current enums/record counts to be read from baseline code/tests before implementation.</x:v>
      </x:c>
    </x:row>
    <x:row r="50">
      <x:c r="A50" s="32" t="str">
        <x:v>Validated D-005 decision harness contract</x:v>
      </x:c>
      <x:c r="B50" s="32" t="str">
        <x:v>Harness R3.5D que crea el prerequisito de desactivación por el camino real ManagementAction→DeactivationRequest y sólo después expone una DeactivationDecision APPROVED canónica.</x:v>
      </x:c>
      <x:c r="C50" s="32" t="str">
        <x:v>Mide decision visible→durable receipt y verifica causalidad, cursores independientes, pending correlation, visibilidad mientras espera aprobación y preservación de la ventana original.</x:v>
      </x:c>
      <x:c r="D50" s="32" t="str">
        <x:v>D-005 ready: +30 s request setup, +60 s APPROVED decision, 300 s original window, expected remaining=270 s.</x:v>
      </x:c>
      <x:c r="E50" s="32" t="str">
        <x:v>R3.5D</x:v>
      </x:c>
      <x:c r="F50" s="32" t="str">
        <x:v>Expected receipts: DEACTIVATION_REQUEST/PENDING_APPROVAL then DEACTIVATION_DECISION/APPLIED. Expected cursors=256/256; WAL=102; target group records=3; no product changes.</x:v>
      </x:c>
    </x:row>
    <x:row r="51">
      <x:c r="A51" t="str">
        <x:v>Validated D-005 Single DeactivationDecision</x:v>
      </x:c>
      <x:c r="B51" t="str">
        <x:v>Baseline autoritativo de una DeactivationDecision APPROVED contra un DeactivationRequest real y durable creado por ManagementAction.</x:v>
      </x:c>
      <x:c r="C51" t="str">
        <x:v>Cierra causalidad request→decision, visibilidad mientras pending, cursores independientes y preservación del effective_until original antes de escalar throughput.</x:v>
      </x:c>
      <x:c r="D51" t="str">
        <x:v>D-005 PASS/GREEN: decision input→receipt=981.46 ms; p95 iteration=1.170 s; remaining=270 s; 0 overruns.</x:v>
      </x:c>
      <x:c r="E51" t="str">
        <x:v>R3.5D</x:v>
      </x:c>
      <x:c r="F51" t="str">
        <x:v>102 durable records / 2,045,701 bytes; management/decision cursors=256/256; durable==materialized. Next: D-006 design.</x:v>
      </x:c>
    </x:row>
    <x:row r="52">
      <x:c r="A52" t="str">
        <x:v>D-006 two-phase continuous decision design</x:v>
      </x:c>
      <x:c r="B52" t="str">
        <x:v>Propuesta para medir 540 DeactivationDecision APPROVED a 1/s después de pre-provisionar 540 requests canónicos en una fase anterior sobre el mismo volumen.</x:v>
      </x:c>
      <x:c r="C52" t="str">
        <x:v>Separa el costo del decision consumer del costo de crear requests, sin inyectar DeactivationRequest por un contrato que producción no expone.</x:v>
      </x:c>
      <x:c r="D52" t="str">
        <x:v>Phase A: 540 request setups @1/s. Phase B: 540 APPROVED decisions @1/s. 1000 ACTIVE, cadence=5 s, refresh=10 s.</x:v>
      </x:c>
      <x:c r="E52" t="str">
        <x:v>R3.5D</x:v>
      </x:c>
      <x:c r="F52" t="str">
        <x:v>Proposed only; implementation requires agreement. Hard integrity target: 540 APPLIED, cursors=138240/138240, pending final=0, exact occurrence correlation and durable==materialized.</x:v>
      </x:c>
    </x:row>
    <x:row r="53">
      <x:c r="A53" t="str">
        <x:v>D-006 two-phase harness gate</x:v>
      </x:c>
      <x:c r="B53" t="str">
        <x:v>Contrato de harness que prepara requests canónicos en una fase y mide únicamente DeactivationDecision APPROVED en una segunda fase sobre el mismo estado durable.</x:v>
      </x:c>
      <x:c r="C53" t="str">
        <x:v>Aísla throughput de decisions y evita aceptar una Phase B apoyada en prerequisitos incompletos o artificiales.</x:v>
      </x:c>
      <x:c r="D53" t="str">
        <x:v>D-006 ready: 540 request setups @1/s + 540 decisions @1/s; Phase B requires the exact 540 approval_required requests durable and pending; preserve each request.effective_until.</x:v>
      </x:c>
      <x:c r="E53" t="str">
        <x:v>R3.5D</x:v>
      </x:c>
    </x:row>
    <x:row r="54">
      <x:c r="A54" t="str">
        <x:v>D-006 percentile helper correction</x:v>
      </x:c>
      <x:c r="B54" t="str">
        <x:v>Corrección de harness que reutiliza `_percentile_values` de performance.run para p50/p95/p99 de decision input→receipt.</x:v>
      </x:c>
      <x:c r="C54" t="str">
        <x:v>Elimina un NameError/F821 sin cambiar semántica, cálculo, contratos ni código productivo.</x:v>
      </x:c>
      <x:c r="D54" t="str">
        <x:v>D-006 harness 0.1.1; 6 name substitutions across production + commented mirror; existing regression test unchanged.</x:v>
      </x:c>
      <x:c r="E54" t="str">
        <x:v>R3.5D</x:v>
      </x:c>
    </x:row>
    <x:row r="55">
      <x:c r="A55" t="str">
        <x:v>D-006 logical-time decision visibility</x:v>
      </x:c>
      <x:c r="B55" t="str">
        <x:v>Regla de harness por la que una DeactivationDecision sostenida sólo puede entrar como fresh input si ya llegó según el reloj monotónico y su decided_at no supera el iteration.as_of del ciclo.</x:v>
      </x:c>
      <x:c r="C55" t="str">
        <x:v>Evita que el tiempo transcurrido durante la preparación de una iteración haga aparecer inputs futuros respecto del snapshot temporal que Core está reduciendo.</x:v>
      </x:c>
      <x:c r="D55" t="str">
        <x:v>D-006 harness 0.1.2: visible_count=min(monotonic arrived, decided_at&lt;=iteration.as_of); no artificial timestamp lag and no Core contract relaxation.</x:v>
      </x:c>
      <x:c r="E55" t="str">
        <x:v>R3.5D</x:v>
      </x:c>
    </x:row>
    <x:row r="56">
      <x:c r="A56" t="str">
        <x:v>Validated D-006 sustained DeactivationDecision 1/s</x:v>
      </x:c>
      <x:c r="B56" t="str">
        <x:v>Caracterización autoritativa two-phase de 540 requests canónicos seguidos por 540 decisions APPROVED a 1/s.</x:v>
      </x:c>
      <x:c r="C56" t="str">
        <x:v>Confirma throughput sostenido del decision consumer sin mezclar creación de prerequisitos durante la fase medida.</x:v>
      </x:c>
      <x:c r="D56" t="str">
        <x:v>D-006 PASS/GREEN: 540 APPLIED/STARTED; p95 decision receipt=6.107 s; global p95 iteration=1.060 s; 0 overruns.</x:v>
      </x:c>
      <x:c r="E56" t="str">
        <x:v>R3.5D</x:v>
      </x:c>
      <x:c r="F56" t="str">
        <x:v>WAL 1570 records / 15,160,690 bytes; 100 chains and materialized snapshots aligned; cursors=138240/138240; all pending=0; all 540 windows preserve effective_until with 1197 s remaining.</x:v>
      </x:c>
    </x:row>
    <x:row r="57">
      <x:c r="A57" t="str">
        <x:v>D-007 two-phase Decision burst 50 design</x:v>
      </x:c>
      <x:c r="B57" t="str">
        <x:v>Propuesta de burst simultáneo de 50 DeactivationDecision APPROVED sobre 50 requests canónicos ya durables.</x:v>
      </x:c>
      <x:c r="C57" t="str">
        <x:v>Aísla absorción instantánea del decision consumer y permite comparación directa con D-003 Management burst 50.</x:v>
      </x:c>
      <x:c r="D57" t="str">
        <x:v>Phase A 120 s: 50 request setups simultaneous at +30 s. Phase B 120 s: 50 APPROVED decisions simultaneous at +30 s. Targets in perf-group-001..050; window=600 s.</x:v>
      </x:c>
      <x:c r="E57" t="str">
        <x:v>R3.5D</x:v>
      </x:c>
      <x:c r="F57" t="str">
        <x:v>Design accepted for implementation. D-007 must reuse the D-006 two-phase boundary, keep one target in perf-group-001..050, preserve effective_until and require first decision receipt batch 50/50.</x:v>
      </x:c>
    </x:row>
    <x:row r="58">
      <x:c r="A58" t="str">
        <x:v>D-007 Decision burst 50 harness gate</x:v>
      </x:c>
      <x:c r="B58" t="str">
        <x:v>Contrato de harness two-phase donde 50 requests de setup y luego 50 DeactivationDecision APPROVED se hacen visibles simultáneamente sobre el mismo volumen durable.</x:v>
      </x:c>
      <x:c r="C58" t="str">
        <x:v>Mide absorción instantánea real del decision consumer sin mezclar la creación de requests en la fase medida y protege la causalidad temporal de ambas fases con iteration.as_of.</x:v>
      </x:c>
      <x:c r="D58" t="str">
        <x:v>D-007 ready: Phase A 50 setup burst + Phase B 50 decision burst; interval=0/0; first decision receipt batch=50; cursors=12800/12800; final pending=0.</x:v>
      </x:c>
      <x:c r="E58" t="str">
        <x:v>R3.5D</x:v>
      </x:c>
      <x:c r="F58" t="str">
        <x:v>Harness 0.1.0 only. Both two-phase sources require monotonic arrival AND logical timestamp &lt;= iteration.as_of. Preserve each request.effective_until; four new regressions; expected suite 278.</x:v>
      </x:c>
    </x:row>
    <x:row r="59">
      <x:c r="A59" t="str">
        <x:v>Validated D-007 DeactivationDecision burst 50</x:v>
      </x:c>
      <x:c r="B59" t="str">
        <x:v>Caracterización autoritativa two-phase de 50 requests burst seguidos por 50 decisions APPROVED burst.</x:v>
      </x:c>
      <x:c r="C59" t="str">
        <x:v>Confirma absorción instantánea del decision consumer con prerequisitos reales y sin mezclar setup en la fase medida.</x:v>
      </x:c>
      <x:c r="D59" t="str">
        <x:v>D-007 PASS/GREEN: first decision receipt batch=50/50, fully absorbed=true, input→receipt=1851.26 ms, global p95 iteration=1.248 s, 0 overruns.</x:v>
      </x:c>
      <x:c r="E59" t="str">
        <x:v>R3.5D</x:v>
      </x:c>
      <x:c r="F59" t="str">
        <x:v>WAL 200 records / 2,775,850 bytes; cursors=12800/12800; final pending=0/0/0; 50 windows preserved with 479 s remaining; 100 commit chains and materialized snapshots aligned.</x:v>
      </x:c>
    </x:row>
    <x:row r="60">
      <x:c r="A60" t="str">
        <x:v>D-008 inverted-delivery pending correlation design</x:v>
      </x:c>
      <x:c r="B60" t="str">
        <x:v>Propuesta donde DeactivationDecision llega por su stream antes de que exista el DeactivationRequest durable, aunque el request tenga timestamp lógico anterior a la decisión.</x:v>
      </x:c>
      <x:c r="C60" t="str">
        <x:v>Prueba que cursor advance + durable pending locator evita perder decisiones cuando streams distintos llegan fuera de orden.</x:v>
      </x:c>
      <x:c r="D60" t="str">
        <x:v>Candidate: 50 targets. request logical +30 s but delivered +60 s; decision decided_at/visible +45 s. At +45: decision cursor=12800, pending=50, receipts=0. At +60: 50 requests durable while decisions remain pending. Next eligible cycle: 50 APPLIED/STARTED and pending final=0.</x:v>
      </x:c>
      <x:c r="E60" t="str">
        <x:v>R3.5D</x:v>
      </x:c>
      <x:c r="F60" t="str">
        <x:v>Design accepted for implementation. Preserve request logical +30 s, decision +45 s and request delivery +60 s; cursor-before-receipt is intentional and must be protected by exact durable pending replay.</x:v>
      </x:c>
    </x:row>
    <x:row r="61">
      <x:c r="A61" t="str">
        <x:v>D-008 inverted-delivery harness gate</x:v>
      </x:c>
      <x:c r="B61" t="str">
        <x:v>Contrato de harness single-execution que entrega 50 decisions antes de los 50 ManagementAction que crean sus requests, manteniendo una línea temporal de dominio válida.</x:v>
      </x:c>
      <x:c r="C61" t="str">
        <x:v>Demuestra que state.decisions.pending conserva locators después del avance de cursor y permite replay exacto cuando el prerequisito durable aparece por el otro stream.</x:v>
      </x:c>
      <x:c r="D61" t="str">
        <x:v>D-008 ready: request logical +30 s; decision visible/decided +45 s; request delivery +60 s; count=50; decision cursor/pending milestone=12800/50 before requests; final APPLIED=50 and pending=0.</x:v>
      </x:c>
      <x:c r="E61" t="str">
        <x:v>R3.5D</x:v>
      </x:c>
      <x:c r="F61" t="str">
        <x:v>Harness 0.1.0 only. Fresh Decision records total exactly 50; pending read_at must be used later. Expected WAL=200 records; preserve occurrence and effective_until; four new regressions; expected suite 282.</x:v>
      </x:c>
    </x:row>
    <x:row r="62">
      <x:c r="A62" t="str">
        <x:v>Validated D-008 inverted-delivery pending correlation</x:v>
      </x:c>
      <x:c r="B62" t="str">
        <x:v>Prueba autoritativa donde 50 Decisions llegan primero, avanzan cursor y permanecen como locators pending hasta que sus requests se vuelven durables.</x:v>
      </x:c>
      <x:c r="C62" t="str">
        <x:v>Confirma que el durable pending state evita pérdida por cursor advance y que el replay usa read_at sin volver a entregar records fresh.</x:v>
      </x:c>
      <x:c r="D62" t="str">
        <x:v>D-008 PASS/GREEN: early cursor/pending/receipts=12800/50/0; post-request pending=50; final APPLIED=50, pending=0; fresh=50; read_at=200; p95 iteration=1.279 s; 0 overruns.</x:v>
      </x:c>
      <x:c r="E62" t="str">
        <x:v>R3.5D</x:v>
      </x:c>
      <x:c r="F62" t="str">
        <x:v>WAL 200 records / 2,775,850 bytes; request cycle +60 s, decision replay cycle +65 s; cursors=12800/12800; remaining=585 s; 100 chains and materialized snapshots aligned.</x:v>
      </x:c>
    </x:row>
    <x:row r="63">
      <x:c r="A63" t="str">
        <x:v>D-009 mixed Management + Decisions continuous design</x:v>
      </x:c>
      <x:c r="B63" t="str">
        <x:v>Propuesta de pipeline sostenido donde requests canónicos y sus Decisions matching fluyen simultáneamente durante la misma ejecución.</x:v>
      </x:c>
      <x:c r="C63" t="str">
        <x:v>Mide interferencia entre los dos consumers después de haber validado throughput individual y pending correlation.</x:v>
      </x:c>
      <x:c r="D63" t="str">
        <x:v>Candidate: 600 s, 480 ManagementAction @1/s from +30, 480 matching Decisions @1/s from +60, 30 s lag, 900 s deactivation window, 1000 ACTIVE/C3/36 balanced.</x:v>
      </x:c>
      <x:c r="E63" t="str">
        <x:v>R3.5D</x:v>
      </x:c>
      <x:c r="F63" t="str">
        <x:v>Design accepted for implementation. One shared 600 s execution with 480 requests @1/s from +30 and 480 matching Decisions @1/s from +60; pending high-water/read_at are characterization, final convergence is hard gate.</x:v>
      </x:c>
    </x:row>
    <x:row r="64">
      <x:c r="A64" t="str">
        <x:v>D-009 mixed Management + Decisions harness gate</x:v>
      </x:c>
      <x:c r="B64" t="str">
        <x:v>Contrato harness single-execution para dos streams sostenidos concurrentes: ManagementAction crea requests canónicos y DeactivationDecision matching circula 30 s detrás durante el mismo run.</x:v>
      </x:c>
      <x:c r="C64" t="str">
        <x:v>Mide interferencia entre consumers sin perder causalidad por input, y separa costo de procesamiento de pending transitorio legítimo.</x:v>
      </x:c>
      <x:c r="D64" t="str">
        <x:v>D-009 ready: 600 s; 480 requests @1/s +30..+509; 480 Decisions @1/s +60..+539; window=900 s; expected cursors=122880/122880; final pending=0/0/0.</x:v>
      </x:c>
      <x:c r="E64" t="str">
        <x:v>R3.5D</x:v>
      </x:c>
      <x:c r="F64" t="str">
        <x:v>Harness 0.1.0 only. Fresh visibility uses monotonic arrival AND iteration.as_of for both streams. Measure request/decision latencies, source/receipt batches, mixed cycles and pending read_at. Four new regressions; expected suite 286.</x:v>
      </x:c>
    </x:row>
    <x:row r="65">
      <x:c r="A65" t="str">
        <x:v>Validated D-009 mixed Management + Decisions continuous</x:v>
      </x:c>
      <x:c r="B65" t="str">
        <x:v>Caracterización autoritativa de 480 requests y 480 matching Decisions a 1/s circulando concurrentemente durante una única ejecución.</x:v>
      </x:c>
      <x:c r="C65" t="str">
        <x:v>Confirma que el overlap sostenido no crea pending de stream ni pérdida y permite comparar costo mixto contra los baselines aislados.</x:v>
      </x:c>
      <x:c r="D65" t="str">
        <x:v>D-009 PASS/GREEN: 91 mixed receipt cycles; request/decision p95=5190.44/5195.30 ms; mixed-cycle p95≈1101.77 ms; 0 overruns; pending stream HW=0/0; request pending HW=30.</x:v>
      </x:c>
      <x:c r="E65" t="str">
        <x:v>R3.5D</x:v>
      </x:c>
      <x:c r="F65" t="str">
        <x:v>WAL 1250 records / 11,894,761 bytes; 480 pairs preserve occurrence and 900 s window with 870 s remaining; cursors=122880/122880; final pending=0/0/0; 100 chains/snapshots aligned.</x:v>
      </x:c>
    </x:row>
    <x:row r="66">
      <x:c r="A66" t="str">
        <x:v>D-010 late Decision after configuration removal design</x:v>
      </x:c>
      <x:c r="B66" t="str">
        <x:v>Propuesta de corrección final R3.5D donde requests válidos quedan pendientes, la configuración elimina sus alarmas objetivo y Decisions APPROVED llegan después contra los occurrences originales.</x:v>
      </x:c>
      <x:c r="C66" t="str">
        <x:v>Valida STALE_TARGET bajo burst transversal a los 100 priority groups y demuestra que una decisión tardía no migra a otro occurrence ni crea un efecto sobre un target removido.</x:v>
      </x:c>
      <x:c r="D66" t="str">
        <x:v>Candidate: 180 s; +30 100 request burst; +60 target revision REMOVES one alarm per group; +90 100 APPROVED Decision burst; window=600 s.</x:v>
      </x:c>
      <x:c r="E66" t="str">
        <x:v>R3.5D</x:v>
      </x:c>
      <x:c r="F66" t="str">
        <x:v>Design accepted and implemented harness-only. Use real RuntimeRevisionResolver + adoption planner/executor; 100 CONFIGURATION_REMOVED closures and 100 ManagementEffect CLEARED are now explicit secondary gates.</x:v>
      </x:c>
    </x:row>
    <x:row r="67">
      <x:c r="A67" t="str">
        <x:v>D-010 late Decision STALE_TARGET harness gate</x:v>
      </x:c>
      <x:c r="B67" t="str">
        <x:v>Contrato harness single-execution que crea requests sobre occurrences reales, adopta una revisión que remueve esos targets y sólo después entrega las Decisions originales.</x:v>
      </x:c>
      <x:c r="C67" t="str">
        <x:v>Demuestra que configuration removal vuelve stale la identidad del request sin expirarlo, que adoption limpia el ManagementEffect fuera de scope y que una Decision tardía nunca migra ni crea DeactivationEffect.</x:v>
      </x:c>
      <x:c r="D67" t="str">
        <x:v>D-010 ready: 180 s; +30 request burst100; +60 real adoption to PERF-AC-2/900 alarms; +90 decision burst100; window=600 s; expected cursors=25600/25600; WAL=400.</x:v>
      </x:c>
      <x:c r="E67" t="str">
        <x:v>R3.5D</x:v>
      </x:c>
      <x:c r="F67" t="str">
        <x:v>Harness 0.1.0 only. Hard gate: 100 PENDING_APPROVAL, 100 CONFIGURATION_REMOVED closures, 100 ManagementEffect CLEARED, 100 STALE_TARGET, 0 APPLIED/DeactivationEffect, final pending=0/0/0, fresh=100/100 and removed targets absent. Four new regressions; expected suite 290.</x:v>
      </x:c>
    </x:row>
    <x:row r="68">
      <x:c r="A68" t="str">
        <x:v>D-010 harness package-path correction 0.1.1</x:v>
      </x:c>
      <x:c r="B68" t="str">
        <x:v>Corrección de distribución del patch D-010 sin cambios de código: los 7 payloads pasan de rutas raíz `performance/tests` a rutas stage-relative bajo `scopes/ada/processes/alarms-runtime`.</x:v>
      </x:c>
      <x:c r="C68" t="str">
        <x:v>Garantiza que el comando de aplicación estándar desde `atlanticus-stage` modifique realmente el scope objetivo.</x:v>
      </x:c>
      <x:c r="D68" t="str">
        <x:v>0.1.0 gate observed 286 tests because D-010 files were extracted outside the scope. 0.1.1 payload identical; expected rerun=290 tests.</x:v>
      </x:c>
      <x:c r="E68" t="str">
        <x:v>R3.5D</x:v>
      </x:c>
      <x:c r="F68" t="str">
        <x:v>Not a product/runtime finding. Remove stray root-level performance/ and tests/ created by 0.1.0, apply 0.1.1, then rerun Ruff/format/pytest.</x:v>
      </x:c>
    </x:row>
    <x:row r="69">
      <x:c r="A69" t="str">
        <x:v>D-010 harness iteration clock correction 0.1.2</x:v>
      </x:c>
      <x:c r="B69" t="str">
        <x:v>Corrección harness-only que incorpora StaleTargetDeactivationInputSource al prepare_iteration dispatch del PerformanceAlarmDurableInputConsumer antes de delegar al consumer durable base.</x:v>
      </x:c>
      <x:c r="C69" t="str">
        <x:v>Evita que el primer read_after de bootstrap ocurra sin iteration.as_of y cubre explícitamente la frontera temporal que ya usan Sustained, Inverted y Mixed.</x:v>
      </x:c>
      <x:c r="D69" t="str">
        <x:v>Failed attempt 93dc873a: RuntimeError before first completed iteration. 0.1.2 adds missing dispatch + one bootstrap regression; expected suite 291.</x:v>
      </x:c>
      <x:c r="E69" t="str">
        <x:v>R3.5D</x:v>
      </x:c>
      <x:c r="F69" t="str">
        <x:v>No product finding. Patch touches baseline.py + commented mirror + tests only. Re-run full gate before workload.</x:v>
      </x:c>
    </x:row>
    <x:row r="70">
      <x:c r="A70" t="str">
        <x:v>D-010 harness single-execution routing correction 0.1.3</x:v>
      </x:c>
      <x:c r="B70" t="str">
        <x:v>Corrección harness-only del selector de runner: un escenario multi-decision usa two-phase sólo si no es stale-target, inverted-delivery ni mixed.</x:v>
      </x:c>
      <x:c r="C70" t="str">
        <x:v>Evita ejecutar D-010 dos veces y asegura que sus requests, adoption y late Decisions se midan en la misma ejecución, preservando el objetivo STALE_TARGET.</x:v>
      </x:c>
      <x:c r="D70" t="str">
        <x:v>Second attempt reached real adoption but main routed into D-006/D-007 two-phase and failed in phase metrics. 0.1.3 adds stale-target exclusion + one routing regression; expected suite 292.</x:v>
      </x:c>
      <x:c r="E70" t="str">
        <x:v>R3.5D</x:v>
      </x:c>
      <x:c r="F70" t="str">
        <x:v>Patch touches run.py + commented mirror + tests only. D-007 remains two-phase; D-010 routes single-run. No product finding.</x:v>
      </x:c>
    </x:row>
    <x:row r="71">
      <x:c r="A71" t="str">
        <x:v>D-010 routing regression fixture correction 0.1.4</x:v>
      </x:c>
      <x:c r="B71" t="str">
        <x:v>Corrección test-only de los escenarios D-010 y D-007 usados para validar el selector single-run/two-phase.</x:v>
      </x:c>
      <x:c r="C71" t="str">
        <x:v>Permite que la regresión llegue al assertion de routing usando el mismo contrato válido de Management pressure que usa el workload real.</x:v>
      </x:c>
      <x:c r="D71" t="str">
        <x:v>0.1.3 gate: fixture rejected with `management pressure requires data_profile=latest-narrow`. 0.1.4 adds canonical latest-narrow/36-balanced settings to both fixtures; expected suite remains 292.</x:v>
      </x:c>
      <x:c r="E71" t="str">
        <x:v>R3.5D</x:v>
      </x:c>
      <x:c r="F71" t="str">
        <x:v>No production change and no product finding. Patch contains only tests/test_performance_harness.py.</x:v>
      </x:c>
    </x:row>
    <x:row r="72">
      <x:c r="A72" t="str">
        <x:v>D-010 cumulative regression coverage restoration 0.1.5</x:v>
      </x:c>
      <x:c r="B72" t="str">
        <x:v>Corrección test-only que vuelve a incluir la regresión de prepare_iteration/bootstrap de 0.1.2 junto con la regresión de routing single-run/two-phase introducida en 0.1.3 y corregida en 0.1.4.</x:v>
      </x:c>
      <x:c r="C72" t="str">
        <x:v>Asegura cobertura acumulativa de ambos defectos harness encontrados antes del workload autoritativo.</x:v>
      </x:c>
      <x:c r="D72" t="str">
        <x:v>0.1.4 gate=291/291 because routing test replaced the bootstrap regression in the test payload lineage. 0.1.5 has both and expected pytest=292.</x:v>
      </x:c>
      <x:c r="E72" t="str">
        <x:v>R3.5D</x:v>
      </x:c>
      <x:c r="F72" t="str">
        <x:v>No production change and no product finding. Patch contains only tests/test_performance_harness.py.</x:v>
      </x:c>
    </x:row>
    <x:row r="73">
      <x:c r="A73" t="str">
        <x:v>D-010 durable adjudication correction 0.1.6</x:v>
      </x:c>
      <x:c r="B73" t="str">
        <x:v>Corrección harness-only del metrics builder para usar la serialización real de configuration removal y la correlación durable real de stale Decisions.</x:v>
      </x:c>
      <x:c r="C73" t="str">
        <x:v>Elimina un falso negativo: closure_reason se normaliza a configuration_removed y Decision receipt se asocia al stale journey emitido en el mismo engine commit/priority group, validando después alarm y occurrence.</x:v>
      </x:c>
      <x:c r="D73" t="str">
        <x:v>Run 550948d8 independently audited product-GREEN: 100 removals, 100 STALE_TARGET, 0 APPLIED/effects, WAL=400, runtime=900, pending=0; raw harness falsely counted 0 removals and 100 wrong correlations.</x:v>
      </x:c>
      <x:c r="E73" t="str">
        <x:v>R3.5D</x:v>
      </x:c>
      <x:c r="F73" t="str">
        <x:v>Patch 0.1.6 touches run.py + commented mirror + existing metrics regression only. Suite count remains 292. D-010 stays open until corrected harness rerun returns PASS.</x:v>
      </x:c>
    </x:row>
    <x:row r="74">
      <x:c r="A74" t="str">
        <x:v>Validated D-010 late Decision after configuration removal</x:v>
      </x:c>
      <x:c r="B74" t="str">
        <x:v>Cierre autoritativo de STALE_TARGET burst 100 mediante una sola ejecución con request +30 s, configuration removal +60 s y late Decision +90 s.</x:v>
      </x:c>
      <x:c r="C74" t="str">
        <x:v>Valida que Decisions aprobadas contra occurrences removidos terminan STALE_TARGET sin migración de identidad, sin DeactivationEffect y con convergencia exacta de consumers, WAL y snapshots.</x:v>
      </x:c>
      <x:c r="D74" t="str">
        <x:v>PASS/GREEN run 24b97fa3...: 100 removals + 100 STALE_TARGET, 0 APPLIED/effects, 900 alarms, cursors=25600/25600, pending=0, WAL=400 / 4,037,700 B, durable==materialized. One adoption iteration=5499.03 ms accepted as Info.</x:v>
      </x:c>
      <x:c r="E74" t="str">
        <x:v>R3.5D</x:v>
      </x:c>
      <x:c r="F74" t="str">
        <x:v>Harness 0.1.6; suite 292/292. Independent audit: 100 groups × 4 records, 0 duplicate commits/chains/snapshot mismatches; exact request/decision occurrence identity and 540 s remaining window.</x:v>
      </x:c>
    </x:row>
    <x:row r="75">
      <x:c r="A75" t="str">
        <x:v>R3.5D Management / Decisions closure</x:v>
      </x:c>
      <x:c r="B75" t="str">
        <x:v>Cierre de la fase de presión funcional Management/Decisions después de D-001..D-010.</x:v>
      </x:c>
      <x:c r="C75" t="str">
        <x:v>Confirma single actions, sustained/burst Management, Decision lifecycle, pending replay, mixed ingress y late stale decisions bajo configuration removal con integridad durable exacta.</x:v>
      </x:c>
      <x:c r="D75" t="str">
        <x:v>R3.5D CLOSED 10/10. D-010 final PASS/GREEN; no open product findings. Configuration-adoption duration is carried as characterization into R3.5E.</x:v>
      </x:c>
      <x:c r="E75" t="str">
        <x:v>R3.5D</x:v>
      </x:c>
      <x:c r="F75" t="str">
        <x:v>Next: E-001 Parameter-only adoption. Preserve D-010 adoption iteration 5499.03 ms as a comparison point.</x:v>
      </x:c>
    </x:row>
    <x:row r="76">
      <x:c r="A76" t="str">
        <x:v>E-001 parameter-only compatible adoption harness 0.1.0</x:v>
      </x:c>
      <x:c r="B76" t="str">
        <x:v>Harness R3.5E que programa una revisión PERF-AC-2 cambiando únicamente threshold 0.50→0.75 para 1000 alarmas, preservando identidades, estructura y Tool revision.</x:v>
      </x:c>
      <x:c r="C76" t="str">
        <x:v>Demuestra que la adopción COMPATIBLE puede promover la revisión runtime efectiva sin fabricar commits durables ni reescribir snapshots cuando no existe una mutación de estado operacional.</x:v>
      </x:c>
      <x:c r="D76" t="str">
        <x:v>Expected: 1000 COMPATIBLE; one ADOPTED/cycle_executed=true iteration; cache PERF-AC-2; WAL=100 bootstrap PERF-AC-1 records, target records=0; 100 snapshots state_basis PERF-AC-1; 1000 open occurrences; full suite expected=296.</x:v>
      </x:c>
      <x:c r="E76" t="str">
        <x:v>R3.5E</x:v>
      </x:c>
      <x:c r="F76" t="str">
        <x:v>Patch SHA-256 6c121a973538562e6e9bee0d6e046107cacb7a588109576d4166aedd60d14d85. No Core/Runtime change. Adoption timing is characterized against D-010 5499.03 ms without hard performance fail.</x:v>
      </x:c>
    </x:row>
    <x:row r="77">
      <x:c r="A77" t="str">
        <x:v>E-001 RuntimeManifest regression fixture correction 0.1.1</x:v>
      </x:c>
      <x:c r="B77" t="str">
        <x:v>Corrección test-only del RuntimeManifest sintético usado por la regresión de cache promotion/WAL de E-001.</x:v>
      </x:c>
      <x:c r="C77" t="str">
        <x:v>Hace que el fixture respete el contrato real `schema_version: str` sin cambiar validación ni comportamiento productivo.</x:v>
      </x:c>
      <x:c r="D77" t="str">
        <x:v>0.1.0 gate: 295 passed / 1 failed because schema_version=1 was rejected before assertions. 0.1.1 uses schema_version='1'; test count remains 296.</x:v>
      </x:c>
      <x:c r="E77" t="str">
        <x:v>R3.5E</x:v>
      </x:c>
      <x:c r="F77" t="str">
        <x:v>Patch contains only tests/test_performance_harness.py. SHA-256 6efc874754b0624eed1225d0c8f88e4d764fbdbad691214d3b197b65cc3db3bd.</x:v>
      </x:c>
    </x:row>
    <x:row r="78">
      <x:c r="A78" t="str">
        <x:v>E-001 RuntimeManifest schema constant fixture correction 0.1.2</x:v>
      </x:c>
      <x:c r="B78" t="str">
        <x:v>Corrección test-only para construir el RuntimeManifest sintético con la constante pública `RUNTIME_MANIFEST_SCHEMA_VERSION`.</x:v>
      </x:c>
      <x:c r="C78" t="str">
        <x:v>Evita hardcodear una representación parcial del schema y hace que la regresión E-001 siga exactamente el contrato exportado por revision_resolution.</x:v>
      </x:c>
      <x:c r="D78" t="str">
        <x:v>0.1.1 gate: 295 passed / 1 failed because schema_version='1' is not the supported schema. 0.1.2 uses RUNTIME_MANIFEST_SCHEMA_VERSION (`alarm-runtime-manifest.v1`); test count remains 296.</x:v>
      </x:c>
      <x:c r="E78" t="str">
        <x:v>R3.5E</x:v>
      </x:c>
      <x:c r="F78" t="str">
        <x:v>Patch contains only tests/test_performance_harness.py. SHA-256 81ec7daa725fbec330f3639515552a6ce3326af661be782da0b6e25c34441c09.</x:v>
      </x:c>
    </x:row>
    <x:row r="79">
      <x:c r="A79" t="str">
        <x:v>Validated E-001 parameter-only compatible adoption</x:v>
      </x:c>
      <x:c r="B79" t="str">
        <x:v>Cierre autoritativo de una revisión PERF-AC-1→PERF-AC-2 que cambia únicamente threshold 0.50→0.75 sobre 1000 alarmas ACTIVE.</x:v>
      </x:c>
      <x:c r="C79" t="str">
        <x:v>Valida que 1000 cambios COMPATIBLE se adopten con cycle_executed=true y cache efectivo PERF-AC-2, sin materialization/commit artificial y sin reescritura del state_basis durable.</x:v>
      </x:c>
      <x:c r="D79" t="str">
        <x:v>PASS/GREEN run 29fdaf99...: adoption=1346.11 ms; 24 post-adoption cache-current iterations; WAL=100 / 2,030,800 B all PERF-AC-1; 0 target records; 100 source-basis snapshots; 1000 open occurrences; durable==materialized; 0 overruns.</x:v>
      </x:c>
      <x:c r="E79" t="str">
        <x:v>R3.5E</x:v>
      </x:c>
      <x:c r="F79" t="str">
        <x:v>Harness 0.1.2 gate 296/296. Adoption duration is ~75.5% below D-010 removal-adoption reference; next E-002 changes dimension to C2 routing adoption.</x:v>
      </x:c>
    </x:row>
    <x:row r="80">
      <x:c r="A80" t="str">
        <x:v>E-002 single-run C2 routing adoption harness 0.1.0</x:v>
      </x:c>
      <x:c r="B80" t="str">
        <x:v>Harness R3.5E que adopta dentro de una única ejecución una revisión C2 con los mismos tres destinos y nuevos deadlines: (60,120,180) → (60,90,150) a +90 s.</x:v>
      </x:c>
      <x:c r="C80" t="str">
        <x:v>Valida simultáneamente retention de un destino ya asignado, promoción inmediata de un pending a ASSIGNED y RESCHEDULED de otro pending, usando el revision resolver y adoption executor reales.</x:v>
      </x:c>
      <x:c r="D80" t="str">
        <x:v>Expected: 1000 COMPATIBLE; one ADOPTED/cycle_executed=false iteration; adoption 100 commits with 1000 ASSIGNED + 1000 RESCHEDULED; final WAL=400 with source/target=200/200; final assignments=4000, pending=0, 1000 open occurrences, 100 snapshots state_basis PERF-AC-2; full suite expected=300.</x:v>
      </x:c>
      <x:c r="E80" t="str">
        <x:v>R3.5E</x:v>
      </x:c>
      <x:c r="F80" t="str">
        <x:v>Patch contains 7 harness/test files only. SHA-256 0e4b544b206a7a9134f8b24d241adef56ed3b09d41c5b9d51a99bad380c9b94c. No product change; next step is authoritative GLONBW11 gate.</x:v>
      </x:c>
    </x:row>
    <x:row r="81">
      <x:c r="A81" t="str">
        <x:v>Validated E-002 single-run C2 routing adoption</x:v>
      </x:c>
      <x:c r="B81" t="str">
        <x:v>Cierre autoritativo de una transición PERF-AC-1→PERF-AC-2 que conserva tres destinos C2 y cambia sus deadlines de (60,120,180) a (60,90,150) dentro de una única ejecución.</x:v>
      </x:c>
      <x:c r="C81" t="str">
        <x:v>Valida retention de route-01 ya assigned, promoción inmediata de route-02 pending a ASSIGNED, RESCHEDULED de route-03 pending y asignación posterior de route-03, todo por el revision/adoption path real.</x:v>
      </x:c>
      <x:c r="D81" t="str">
        <x:v>PASS/GREEN run b474c653...: 1000 COMPATIBLE; adoption=100 commits / 1000 ASSIGNED + 1000 RESCHEDULED; final WAL=400 / 8,646,400 B AC1/AC2=200/200; assignments=4000, pending=0; 1000 original occurrences open; 100 snapshots/cache PERF-AC-2; durable==materialized; 0 overruns.</x:v>
      </x:c>
      <x:c r="E81" t="str">
        <x:v>R3.5E</x:v>
      </x:c>
      <x:c r="F81" t="str">
        <x:v>Harness 0.1.0 gate 300/300. No finding. Next: E-003 Disabled 10%, measuring configuration-driven closures.</x:v>
      </x:c>
    </x:row>
    <x:row r="82">
      <x:c r="A82" t="str">
        <x:v>E-003 disabled 10% configuration adoption harness 0.1.0</x:v>
      </x:c>
      <x:c r="B82" t="str">
        <x:v>Harness R3.5E que conserva 1000 alarm identities definidas en PERF-AC-2 pero deshabilita exactamente 100 de la execution session, una por cada grupo.</x:v>
      </x:c>
      <x:c r="C82" t="str">
        <x:v>Valida la semántica DISABLED separada de REMOVED: cierre configuration_disabled del occurrence original, episode preservado cuando quedan otras alarms en el grupo y ausencia de reescrituras adicionales.</x:v>
      </x:c>
      <x:c r="D82" t="str">
        <x:v>Expected: 900 UNCHANGED + 100 DISABLED; 100 adoption commits; WAL=200 AC1/AC2=100/100; 100 configuration_disabled closures; final 900 alarms/occurrences/assignments, 100 open episodes, 100 target-basis snapshots; full suite expected=304.</x:v>
      </x:c>
      <x:c r="E82" t="str">
        <x:v>R3.5E</x:v>
      </x:c>
      <x:c r="F82" t="str">
        <x:v>Patch contains 7 harness/test files only. SHA-256 4d87502e628e2c57f7d0db6397acb64a876d84f4bdb347e4dc6dd8c0548178c6. No product change; next step is authoritative GLONBW11 gate.</x:v>
      </x:c>
    </x:row>
    <x:row r="83">
      <x:c r="A83" t="str">
        <x:v>Validated E-003 disabled 10% configuration adoption</x:v>
      </x:c>
      <x:c r="B83" t="str">
        <x:v>Cierre autoritativo de PERF-AC-1→PERF-AC-2 manteniendo 1000 alarm identities definidas pero dejando 900 ejecutables, con una alarma deshabilitada por cada priority group.</x:v>
      </x:c>
      <x:c r="C83" t="str">
        <x:v>Valida que DISABLED se diferencie de REMOVED: 100 occurrences originales cierran con configuration_disabled, las restantes 900 continúan abiertas y los 100 episodes permanecen abiertos.</x:v>
      </x:c>
      <x:c r="D83" t="str">
        <x:v>PASS/GREEN run 50b15483...: 900 UNCHANGED + 100 DISABLED; adoption 100 commits; WAL=200 / 2,658,600 B AC1/AC2=100/100; 0 configuration_removed; final 900 alarms/assignments/occurrences, 100 open episodes, 100 target-basis snapshots; durable==materialized; 0 overruns.</x:v>
      </x:c>
      <x:c r="E83" t="str">
        <x:v>R3.5E</x:v>
      </x:c>
      <x:c r="F83" t="str">
        <x:v>Harness 0.1.0 gate 304/304. No finding. Next: E-004 Removed 10% configuration adoption.</x:v>
      </x:c>
    </x:row>
    <x:row r="84">
      <x:c r="A84" t="str">
        <x:v>E-004 removed 10% + orphan deactivation adoption harness 0.1.0</x:v>
      </x:c>
      <x:c r="B84" t="str">
        <x:v>Harness R3.5E que crea 100 DeactivationEffect activos y luego elimina completamente sus alarm identities de PERF-AC-2, una por priority group.</x:v>
      </x:c>
      <x:c r="C84" t="str">
        <x:v>Valida REMOVED frente a DISABLED y el contrato de orphan handling: occurrence cerrado con configuration_removed, ManagementEffect limpiado y DeactivationEffect activo preservado como estado durable sin identity ejecutable.</x:v>
      </x:c>
      <x:c r="D84" t="str">
        <x:v>Expected: 900 UNCHANGED + 100 REMOVED; 100 requests PENDING_APPROVAL; 100 decisions APPLIED; 100 removal commits; WAL=400 AC1/AC2=300/100; 100 configuration_removed closures; 0 deactivation CLEARED; final 900 operational occurrences/assignments + 100 orphan deactivation-only states; full suite expected=308.</x:v>
      </x:c>
      <x:c r="E84" t="str">
        <x:v>R3.5E</x:v>
      </x:c>
      <x:c r="F84" t="str">
        <x:v>Patch contains 7 harness/test files only. SHA-256 3ee729e98026fa74f9a81e6c8509a391bca19093c0c25efccdaa4a53948b15a2. No product change; next step is authoritative GLONBW11 gate.</x:v>
      </x:c>
    </x:row>
    <x:row r="85">
      <x:c r="A85" t="str">
        <x:v>E-004 removed-adoption harness contract fix 0.1.1</x:v>
      </x:c>
      <x:c r="B85" t="str">
        <x:v>Harness-only correction for REMOVED adoption validation order and single-target regression support.</x:v>
      </x:c>
      <x:c r="C85" t="str">
        <x:v>Keeps the real invariant: removed_alarm_percent must be valid, and there must be exactly one management request and one decision per removed target. It does not require more than one target merely because the shared input source was originally built for burst/stale-target pressure.</x:v>
      </x:c>
      <x:c r="D85" t="str">
        <x:v>0.1.0 gate: 306 passed / 2 failed before workload assertions. 0.1.1 allows input_count&gt;=1 for the shared source while D-010 still enforces multi at scenario level, and corrects the invalid-contract expected message. Full suite remains 308.</x:v>
      </x:c>
      <x:c r="E85" t="str">
        <x:v>R3.5E</x:v>
      </x:c>
      <x:c r="F85" t="str">
        <x:v>Patch contains only baseline.py, commented baseline.py and tests/test_performance_harness.py. SHA-256 fdc3d34ae4fab2a1675d7cf5f537fd705d2a258589211cd70602040703881374.</x:v>
      </x:c>
    </x:row>
    <x:row r="86">
      <x:c r="A86" t="str">
        <x:v>E-004 removed-adoption validation order fix 0.1.2</x:v>
      </x:c>
      <x:c r="B86" t="str">
        <x:v>Harness-only correction that moves the removed_alarm_percent dependency guard before generic deactivation-pressure classification.</x:v>
      </x:c>
      <x:c r="C86" t="str">
        <x:v>Ensures invalid scenarios with removed_alarm_percent &gt; 0 and removed_adoption_at_seconds=0 fail with the specific REMOVED contract error instead of an unrelated mixed-deactivation interval error.</x:v>
      </x:c>
      <x:c r="D86" t="str">
        <x:v>0.1.1 gate: 307 passed / 1 failed. 0.1.2 changes only validation precedence; valid E-004 execution and all hard workload expectations are unchanged. Full suite remains 308.</x:v>
      </x:c>
      <x:c r="E86" t="str">
        <x:v>R3.5E</x:v>
      </x:c>
      <x:c r="F86" t="str">
        <x:v>Patch contains only performance/baseline.py and performance/commented/baseline.py. SHA-256 a4b02f1da3753fb2c15f2aa214074c6f4f5728b9dc496d38cad56a6bb1ec7691.</x:v>
      </x:c>
    </x:row>
    <x:row r="87">
      <x:c r="A87" t="str">
        <x:v>Validated E-004 removed 10% + orphan deactivation adoption</x:v>
      </x:c>
      <x:c r="B87" t="str">
        <x:v>Cierre autoritativo de PERF-AC-1→PERF-AC-2 eliminando 100 identities después de crear y aprobar un DeactivationEffect activo en cada target.</x:v>
      </x:c>
      <x:c r="C87" t="str">
        <x:v>Valida REMOVED y orphan handling completo: occurrence termina con configuration_removed, ManagementEffect se limpia, DeactivationEffect sigue activo y materializado aunque la identity ya no esté definida ni ejecutable.</x:v>
      </x:c>
      <x:c r="D87" t="str">
        <x:v>PASS/GREEN run 8ab0d2a9...: 900 UNCHANGED + 100 REMOVED; 100 requests PENDING_APPROVAL; 100 decisions APPLIED; 100 removal commits; WAL=400 / 4,177,400 B AC1/AC2=300/100; 100 deactivation-only orphan states; final 900 assignments/open occurrences, 100 open episodes; durable==materialized; 0 overruns.</x:v>
      </x:c>
      <x:c r="E87" t="str">
        <x:v>R3.5E</x:v>
      </x:c>
      <x:c r="F87" t="str">
        <x:v>Harness 0.1.2 gate 308/308. No finding. Next: E-005 Structural reset 5% configuration adoption.</x:v>
      </x:c>
    </x:row>
    <x:row r="88">
      <x:c r="A88" t="str">
        <x:v>E-005 structural reset 5% adoption harness 0.1.0</x:v>
      </x:c>
      <x:c r="B88" t="str">
        <x:v>Harness R3.5E que cambia criticality C3→C2 para las 50 alarmas de cinco grupos completos y adopta PERF-AC-2 a +60 s.</x:v>
      </x:c>
      <x:c r="C88" t="str">
        <x:v>Valida la naturaleza group-scoped de STRUCTURAL_RESET y el boundary entre adoption commit y la siguiente iteración operacional: reset cierra el epoch completo del grupo y la iteración +1 debe iniciar un epoch nuevo.</x:v>
      </x:c>
      <x:c r="D88" t="str">
        <x:v>Expected: 950 UNCHANGED + 50 STRUCTURAL_RESET across 5 groups; 5 reset commits + 5 immediate restart commits; 50 configuration_reconfigured closures, 5 configuration_terminated episodes, 50 fresh occurrences + 5 episodes; WAL=110 AC1/AC2=100/10; final snapshot basis AC1/AC2=95/5; full suite expected=312.</x:v>
      </x:c>
      <x:c r="E88" t="str">
        <x:v>R3.5E</x:v>
      </x:c>
      <x:c r="F88" t="str">
        <x:v>Patch contains 7 harness/test files only. SHA-256 e4f262767505d2790e4d63205453ad1349d1a7a445c48ce3d71fd3781bd4024d. No product change; next step is authoritative GLONBW11 gate.</x:v>
      </x:c>
    </x:row>
    <x:row r="89">
      <x:c r="A89" t="str">
        <x:v>Validated E-005 structural reset 5% adoption</x:v>
      </x:c>
      <x:c r="B89" t="str">
        <x:v>Cierre autoritativo de PERF-AC-1→PERF-AC-2 cambiando criticality C3→C2 para cinco priority groups completos (50 alarms), seguido por reinicio inmediato de sus epochs.</x:v>
      </x:c>
      <x:c r="C89" t="str">
        <x:v>Valida STRUCTURAL_RESET group-scoped, cierres configuration_reconfigured/configuration_terminated y el boundary adoption→next cycle: el reset commit omite cycle y la iteración inmediata siguiente reinicia sólo los grupos mutados.</x:v>
      </x:c>
      <x:c r="D89" t="str">
        <x:v>PASS/GREEN run 501e21ca...: 950 UNCHANGED +50 STRUCTURAL_RESET; 5 reset commits +5 restart commits; 50/5 closures y 50/5 restarts sin ID reuse; immediate next start interval≈396.11 ms; WAL=110 / 2,167,095 B AC1/AC2=100/10; final basis=95 AC1 +5 AC2; durable==materialized; 0 overruns.</x:v>
      </x:c>
      <x:c r="E89" t="str">
        <x:v>R3.5E</x:v>
      </x:c>
      <x:c r="F89" t="str">
        <x:v>Harness 0.1.0 gate 312/312. No finding. Next: E-006 Large mixed revision.</x:v>
      </x:c>
    </x:row>
    <x:row r="90">
      <x:c r="A90" t="str">
        <x:v>E-006 large mixed revision adoption harness 0.1.0</x:v>
      </x:c>
      <x:c r="B90" t="str">
        <x:v>Harness R3.5E que combina en PERF-AC-2 un threshold compatible global con 50 disabled, 50 removed y 50 structural-reset alarms, distribuidos sobre los 100 priority groups.</x:v>
      </x:c>
      <x:c r="C90" t="str">
        <x:v>Valida interacción simultánea de las cuatro dispositions y el peak durable: todos los grupos escriben adoption, mientras sólo los cinco reset groups reinician epoch en la iteración siguiente.</x:v>
      </x:c>
      <x:c r="D90" t="str">
        <x:v>Expected: 850 COMPATIBLE +50 DISABLED +50 REMOVED +50 STRUCTURAL_RESET; 100 adoption commits +5 restart; closures reconfigured/disabled/removed=50/50/50; 5 terminated episodes; WAL=205 AC1/AC2=100/105; group geometry=95×2 +5×3; target defined/runtime=950/900; final 900 alarms/assignments/occurrences, 100 episodes and 100 target-basis snapshots; full suite expected=316.</x:v>
      </x:c>
      <x:c r="E90" t="str">
        <x:v>R3.5E</x:v>
      </x:c>
      <x:c r="F90" t="str">
        <x:v>Patch contains 7 harness/test files only. SHA-256 fff42f9ac11dbcc90a95246c11514356d9cc224896b839629f2470ebcf905427. No product change; next step is authoritative GLONBW11 gate.</x:v>
      </x:c>
    </x:row>
    <x:row r="91">
      <x:c r="A91" t="str">
        <x:v>Validated E-006 large mixed revision adoption</x:v>
      </x:c>
      <x:c r="B91" t="str">
        <x:v>Cierre autoritativo de una sola PERF-AC-2 que combina 850 compatible, 50 disabled, 50 removed y 50 structural-reset changes distribuidos sobre los 100 priority groups.</x:v>
      </x:c>
      <x:c r="C91" t="str">
        <x:v>Valida interacción simultánea de las cuatro dispositions, overlap disabled/removed, 100-commit adoption peak, restart exclusivo de reset groups y convergencia completa de snapshots a target revision.</x:v>
      </x:c>
      <x:c r="D91" t="str">
        <x:v>PASS/GREEN run 165f1396...: adoption=1098.43 ms; 100 adoption commits +5 restart; closures reconfigured/disabled/removed=50/50/50; WAL=205 / 2,750,435 B AC1/AC2=100/105; 95×2 +5×3 groups; target defined/runtime=950/900; final 900 alarms/assignments/occurrences +100 episodes; 100 target-basis snapshots; durable==materialized; 0 overruns.</x:v>
      </x:c>
      <x:c r="E91" t="str">
        <x:v>R3.5E</x:v>
      </x:c>
      <x:c r="F91" t="str">
        <x:v>Harness 0.1.0 gate 316/316. No finding. Next: E-007 Rejected target / last-known-good.</x:v>
      </x:c>
    </x:row>
    <x:row r="92">
      <x:c r="A92" t="str">
        <x:v>E-007 rejected target / last-known-good harness 0.1.0</x:v>
      </x:c>
      <x:c r="B92" t="str">
        <x:v>Harness R3.5E que publica PERF-AC-2 a +60 s con una sola mutación prohibida: alarm_00001 cambia priority_group desde perf-group-001 a perf-rejected-group.</x:v>
      </x:c>
      <x:c r="C92" t="str">
        <x:v>Valida Configuration Adoption fail-closed: 1 REJECTED(priority_group_changed), cache LKG sin promoción, re-evaluación/rechazo repetido del candidate y continuidad operacional degradada usando PERF-AC-1.</x:v>
      </x:c>
      <x:c r="D92" t="str">
        <x:v>Expected: 999 UNCHANGED +1 REJECTED; first rejection iteration=13; all candidate-era iterations SOURCE_CANDIDATE/REJECTED/cycle_executed/degraded; WAL=100 AC1 +0 AC2; snapshots basis=100 AC1 +0 AC2; perf-rejected-group materialized=0; final 1000 alarms/assignments/open occurrences +100 episodes; full suite=320.</x:v>
      </x:c>
      <x:c r="E92" t="str">
        <x:v>R3.5E</x:v>
      </x:c>
      <x:c r="F92" t="str">
        <x:v>Patch contains 7 harness/test files only. SHA-256 bb80c9fd588c04edaab395e8dbca7f10059125f0eb686ad414abd1255b544046. No product change; next step is authoritative GLONBW11 gate.</x:v>
      </x:c>
    </x:row>
    <x:row r="93">
      <x:c r="A93" t="str">
        <x:v>Validated E-007 rejected target / last-known-good</x:v>
      </x:c>
      <x:c r="B93" t="str">
        <x:v>Cierre autoritativo de un PERF-AC-2 no adoptable que cambia sólo el priority_group de alarm_00001 y debe ser rechazado repetidamente sin sustituir PERF-AC-1.</x:v>
      </x:c>
      <x:c r="C93" t="str">
        <x:v>Valida fail-closed de Configuration Adoption, repetición de SOURCE_CANDIDATE/REJECTED, degraded=true con cycle ejecutado sobre LKG y ausencia total de efectos durables del target rechazado.</x:v>
      </x:c>
      <x:c r="D93" t="str">
        <x:v>PASS/GREEN run 53342c61...: 999 UNCHANGED +1 REJECTED(priority_group_changed); first rejection #13; 25/25 rejected iterations degraded+cycle; WAL=100 / 2,030,800 B AC1/AC2=100/0; basis snapshots=100/0; rejected group materialized=0; final 1000 alarms/assignments/occurrences +100 episodes; 0 closures/resets/restarts; p95=1222.58 ms; 0 overruns.</x:v>
      </x:c>
      <x:c r="E93" t="str">
        <x:v>R3.5E</x:v>
      </x:c>
      <x:c r="F93" t="str">
        <x:v>Harness 0.1.0 gate 320/320. No finding. Next: E-008 Source unavailable / CACHE_FALLBACK design.</x:v>
      </x:c>
    </x:row>
    <x:row r="94">
      <x:c r="A94" t="str">
        <x:v>E-008 source unavailable / CACHE_FALLBACK harness 0.1.0</x:v>
      </x:c>
      <x:c r="B94" t="str">
        <x:v>Harness R3.5E que mantiene PERF-AC-1/PERF-TR-1 como LKG y vuelve persistentemente inaccesible sólo el runtime manifest desde +60 s mientras continúa operational churn 10%.</x:v>
      </x:c>
      <x:c r="C94" t="str">
        <x:v>Valida el contrato real de CACHE_FALLBACK: cada iteración posterior a la caída ejecuta la sesión efectiva desde cache con degraded=true, sin promover/reemplazar cache ni introducir una revisión alternativa.</x:v>
      </x:c>
      <x:c r="D94" t="str">
        <x:v>Expected: first fallback iteration=13; all post-failure samples CACHE_FALLBACK/NOT_REQUIRED/cycle_executed/degraded; cache replace total=1 and post-failure=0; all WAL commits and all snapshot state_basis remain PERF-AC-1/PERF-TR-1; FunctionalPressure operational churn remains green; full suite expected=324.</x:v>
      </x:c>
      <x:c r="E94" t="str">
        <x:v>R3.5E</x:v>
      </x:c>
      <x:c r="F94" t="str">
        <x:v>Patch contains 7 harness/test files only. SHA-256 ceac94317727cee9c1c32dc7ac1f0c30e81be45261f07d911aca11dfcf0c4762. No product change; next step is authoritative GLONBW11 gate.</x:v>
      </x:c>
    </x:row>
    <x:row r="95">
      <x:c r="A95" t="str">
        <x:v>E-008 harness gate corrective 0.1.1</x:v>
      </x:c>
      <x:c r="B95" t="str">
        <x:v>Corrección test-only posterior al primer gate autoritativo del harness E-008.</x:v>
      </x:c>
      <x:c r="C95" t="str">
        <x:v>Preserva el orden de validación existente: operational_churn valida primero data_profile, balanced layout y priority_group_size; source unavailable conserva sus guardas propias para condiciones no capturadas previamente.</x:v>
      </x:c>
      <x:c r="D95" t="str">
        <x:v>Gate 0.1.0 observado: 323/324; único FAIL por regex esperado en tres casos negativos. Corrective 0.1.1 cambia únicamente esas expectativas; suite esperada continúa en 324.</x:v>
      </x:c>
      <x:c r="E95" t="str">
        <x:v>R3.5E</x:v>
      </x:c>
      <x:c r="F95" t="str">
        <x:v>SHA-256 07ed814474afc853eaeefc02b7c69d99bd3be2011a8f74aa4e7360bbaa0c9c0d. No product change. Next: authoritative GLONBW11 gate.</x:v>
      </x:c>
    </x:row>
    <x:row r="96">
      <x:c r="A96" t="str">
        <x:v>Validated E-008 harness gate 0.1.1</x:v>
      </x:c>
      <x:c r="B96" t="str">
        <x:v>Cierre autoritativo del corrective test-only del harness E-008.</x:v>
      </x:c>
      <x:c r="C96" t="str">
        <x:v>Confirma que la implementación de source unavailable / CACHE_FALLBACK y sus cuatro regresiones conviven con todos los contratos previos del alarms-runtime.</x:v>
      </x:c>
      <x:c r="D96" t="str">
        <x:v>GLONBW11: Ruff/format green; 324/324 tests passed in 7.21 s under Python 3.14.2.</x:v>
      </x:c>
      <x:c r="E96" t="str">
        <x:v>R3.5E</x:v>
      </x:c>
      <x:c r="F96" t="str">
        <x:v>No product change. E-008 is WORKLOAD READY; next step is the single 600 s authoritative execution.</x:v>
      </x:c>
    </x:row>
    <x:row r="97">
      <x:c r="A97" t="str">
        <x:v>Validated E-008 source unavailable / CACHE_FALLBACK</x:v>
      </x:c>
      <x:c r="B97" t="str">
        <x:v>Cierre autoritativo de indisponibilidad persistente del runtime manifest desde +60 s bajo operational churn 10%, usando exclusivamente el LKG PERF-AC-1/PERF-TR-1.</x:v>
      </x:c>
      <x:c r="C97" t="str">
        <x:v>Valida continuidad operacional degradada sostenida: 109/109 iteraciones post-failure CACHE_FALLBACK/NOT_REQUIRED/cycle_executed/degraded, 0 promociones o reemplazos de cache después de la falla y semántica lifecycle intacta.</x:v>
      </x:c>
      <x:c r="D97" t="str">
        <x:v>PASS/GREEN run 5a696b96...: 121 iterations; first fallback #13; manifest 12 success +109 failure; cache replace 1/0 post-failure; WAL 700 / 10,253,900 B all AC1/TR1; 100×7 group commits; 0 chain/materialization mismatches; final 500 ACTIVE/assignments/open occurrences +100 episodes; p95=1025.78 ms; 0 overruns.</x:v>
      </x:c>
      <x:c r="E97" t="str">
        <x:v>R3.5E</x:v>
      </x:c>
      <x:c r="F97" t="str">
        <x:v>Harness 0.1.1 gate 324/324. Results/work SHA-256 9e146f8c... / 8219d759.... No finding. Next: E-009 Invalid source candidate design.</x:v>
      </x:c>
    </x:row>
    <x:row r="98">
      <x:c r="A98" t="str">
        <x:v>E-009 invalid source candidate harness 0.1.0</x:v>
      </x:c>
      <x:c r="B98" t="str">
        <x:v>Harness R3.5E que mantiene Source disponible pero publica desde +60 s un manifest PERF-AC-2/PERF-TR-1 cuyo documento alarm configuration, físicamente legible en Local FS, declara PERF-AC-CORRUPT.</x:v>
      </x:c>
      <x:c r="C98" t="str">
        <x:v>Valida que la cross-validation contractual falle antes de Configuration Adoption y produzca CACHE_FALLBACK continuo sobre el LKG, con manifest failures=0, candidate reads/failures correlacionadas 1:1 con cada fallback y cero promoción durable del target.</x:v>
      </x:c>
      <x:c r="D98" t="str">
        <x:v>Expected: first fallback #13; all post-candidate samples CACHE_FALLBACK/NOT_REQUIRED/cycle_executed/degraded; manifest failures=0; candidate manifest/config/tool reads=contract failures=fallback count; post-candidate SOURCE_CANDIDATE/REJECTED=0; cache replace 1 total/0 post-candidate; target WAL/basis=0; operational churn green; suite expected=328.</x:v>
      </x:c>
      <x:c r="E98" t="str">
        <x:v>R3.5E</x:v>
      </x:c>
      <x:c r="F98" t="str">
        <x:v>Patch contains exactly 7 harness/test files. SHA-256 e9a7655696e011ad5f5b2aeb2427a7bbef32aeee338958e4061d513a91fc7b20. No product change; next step is authoritative GLONBW11 gate.</x:v>
      </x:c>
    </x:row>
    <x:row r="99">
      <x:c r="A99" t="str">
        <x:v>Validated E-009 harness gate 0.1.0</x:v>
      </x:c>
      <x:c r="B99" t="str">
        <x:v>Cierre autoritativo del gate del harness E-009 Invalid source candidate.</x:v>
      </x:c>
      <x:c r="C99" t="str">
        <x:v>Confirma que la simulación de manifest válido + candidate físicamente legible pero contractualmente inconsistente, junto con su instrumentación y cuatro regresiones, convive con todos los contratos previos del alarms-runtime.</x:v>
      </x:c>
      <x:c r="D99" t="str">
        <x:v>GLONBW11: Ruff/format green; 328/328 tests passed in 14.63 s under Python 3.14.2.</x:v>
      </x:c>
      <x:c r="E99" t="str">
        <x:v>R3.5E</x:v>
      </x:c>
      <x:c r="F99" t="str">
        <x:v>No product change. E-009 is WORKLOAD READY; next step is the single 600 s authoritative execution.</x:v>
      </x:c>
    </x:row>
    <x:row r="100">
      <x:c r="A100" t="str">
        <x:v>Validated E-009 invalid source candidate</x:v>
      </x:c>
      <x:c r="B100" t="str">
        <x:v>Cierre autoritativo de un Source accesible que desde +60 s expone PERF-AC-2/PERF-TR-1 mientras el documento físico PERF-AC-2.json declara revision=PERF-AC-CORRUPT.</x:v>
      </x:c>
      <x:c r="C100" t="str">
        <x:v>Valida que el bundle inválido sea rechazado en cross-validation antes de Configuration Adoption y que cada exposición produzca CACHE_FALLBACK sobre el LKG, sin promoción durable ni alteración del operational churn.</x:v>
      </x:c>
      <x:c r="D100" t="str">
        <x:v>PASS/GREEN run a89f6c7b...: 121 manifest success/0 failure; 109 candidate manifest/config/tool reads y 109 contract failures; first fallback #13; 109/109 fallback iterations degraded+cycle+NOT_REQUIRED; target durable/basis=0; cache replace 1/0 post-candidate; WAL 700 / 10,253,900 B all AC1/TR1; 0 chain/snapshot mismatch; final 500 ACTIVE/assignments/occurrences +100 episodes; p95=1030.23 ms; 0 overruns.</x:v>
      </x:c>
      <x:c r="E100" t="str">
        <x:v>R3.5E</x:v>
      </x:c>
      <x:c r="F100" t="str">
        <x:v>Harness 0.1.0 gate 328/328. Results/work SHA-256 3c354bcd... / 1dd06922.... No finding. Next: E-010 Lease lost after WAL before cache design.</x:v>
      </x:c>
    </x:row>
    <x:row r="101">
      <x:c r="A101" t="str">
        <x:v>E-010 lease lost after WAL before cache harness 0.1.0</x:v>
      </x:c>
      <x:c r="B101" t="str">
        <x:v>Harness R3.5E two-owner sobre SMB que materializa una revisión PERF-AC-2 con 50 STRUCTURAL_RESET en Owner A, pierde su lease después de journal aligned y antes del fence de cache, y transfiere autoridad a Owner B generation 2.</x:v>
      </x:c>
      <x:c r="C101" t="str">
        <x:v>Valida no stale cache promotion y replay idempotente de Configuration Adoption: persistence recovery no-op, 0 replay adoption commits, promoción final AC-2 por Owner B, continuidad de churn/identidades y fencing real sobre shared volume.</x:v>
      </x:c>
      <x:c r="D101" t="str">
        <x:v>Expected: preflight SMB post-durable PASS; A/B generations=1/2; A adoption commits=5; A stale cache writes=0; B recovery 0/0/0; B replay adoption commits=0; WAL=710 AC1/AC2=150/560; reset groups=5×9, others=95×7; occurrence STARTED/CLOSED=3525/3025; final 500 ACTIVE/assignments/open occurrences +100 episodes; 100 final snapshots AC2/TR1; durable==materialized; suite expected=332.</x:v>
      </x:c>
      <x:c r="E101" t="str">
        <x:v>R3.5E</x:v>
      </x:c>
      <x:c r="F101" t="str">
        <x:v>Patch contains exactly 7 harness/test files. SHA-256 9d3191ccb890e48cf5986e90cdf07b19dc897e550eafb7deedc63e3467afcc8d. Contract DOCX SHA-256 d5f843664648c58e5c08c079c43bd303cca17158cd7db98196edc2722cf1a6ab; visual QA PASS (3/3 pages). No product change; next step is authoritative GLONBW11 harness gate.</x:v>
      </x:c>
    </x:row>
    <x:row r="102">
      <x:c r="A102" t="str">
        <x:v>E-010 harness gate corrective 0.1.1</x:v>
      </x:c>
      <x:c r="B102" t="str">
        <x:v>Corrección test-only posterior al primer gate autoritativo E-010, que quedó 331/332 por usar alarm keys no canónicas en el fixture sintético.</x:v>
      </x:c>
      <x:c r="C102" t="str">
        <x:v>Alinea `_e010_synthetic_evidence()` con el contrato durable real: occurrence/assignment/snapshot alarm keys usan `perf/alarm_*`, igual que WAL y ConfigurationAdoptionPlan canonical identity. No relaja ni modifica el adjudicador E-010.</x:v>
      </x:c>
      <x:c r="D102" t="str">
        <x:v>Gate 0.1.0: 331/332; métricas observadas en diagnóstico: expected reconfigured/restarted=10/10 pero actual=0/0 por mismatch `alarm_*` vs `perf/alarm_*`. Corrective cambia cuatro construcciones de key; cuatro regresiones E-010 pasan en reproducción local adaptada; suite autoritativa esperada=332.</x:v>
      </x:c>
      <x:c r="E102" t="str">
        <x:v>R3.5E</x:v>
      </x:c>
      <x:c r="F102" t="str">
        <x:v>Corrective ZIP contiene sólo tests/test_performance_harness.py. SHA-256 8184d0983b0d87ccd495f7738b2e63ae92fe3c4fd538b2f1c18d642b31c953a1. No product/harness-runtime change. Next: authoritative GLONBW11 gate.</x:v>
      </x:c>
    </x:row>
  </x:sheetData>
  <x:mergeCells>
    <x:mergeCell ref="A1:F2"/>
  </x:mergeCells>
  <x:pageMargins left="0.7" right="0.7" top="0.75" bottom="0.75" header="0.3" footer="0.3"/>
</x:worksheet>
</file>