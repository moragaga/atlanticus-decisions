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f18c541f451447c" /></Relationships>
</file>

<file path=xl/workbook.xml><?xml version="1.0" encoding="utf-8"?>
<x:workbook xmlns:x="http://schemas.openxmlformats.org/spreadsheetml/2006/main">
  <x:sheets>
    <x:sheet xmlns:r="http://schemas.openxmlformats.org/officeDocument/2006/relationships" name="00_Control" sheetId="1" r:id="Rf65ba9c0c4404c20"/>
    <x:sheet xmlns:r="http://schemas.openxmlformats.org/officeDocument/2006/relationships" name="01_Test_Plan" sheetId="2" r:id="R1152b58f181442a1"/>
    <x:sheet xmlns:r="http://schemas.openxmlformats.org/officeDocument/2006/relationships" name="02_Run_Results" sheetId="3" r:id="Ra9d5d4430e6740d1"/>
    <x:sheet xmlns:r="http://schemas.openxmlformats.org/officeDocument/2006/relationships" name="03_Findings" sheetId="4" r:id="Rd499bd070ded4b8c"/>
    <x:sheet xmlns:r="http://schemas.openxmlformats.org/officeDocument/2006/relationships" name="04_Decisions" sheetId="5" r:id="R4c79e0b0575745f7"/>
    <x:sheet xmlns:r="http://schemas.openxmlformats.org/officeDocument/2006/relationships" name="05_Dashboard" sheetId="6" r:id="Ra59f036abf394a69"/>
    <x:sheet xmlns:r="http://schemas.openxmlformats.org/officeDocument/2006/relationships" name="06_Definitions" sheetId="7" r:id="Rf7bb92e8002e41a2"/>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7b64da45bb7434d" /><Relationship Type="http://schemas.openxmlformats.org/officeDocument/2006/relationships/theme" Target="/xl/theme/theme1.xml" Id="R656d87aa6f2c4d61" /><Relationship Type="http://schemas.microsoft.com/office/2022/11/relationships/FeaturePropertyBag" Target="/xl/featurePropertyBag/featurePropertyBag.xml" Id="Rf326b397ae55427d" /><Relationship Type="http://schemas.openxmlformats.org/officeDocument/2006/relationships/sharedStrings" Target="/xl/sharedStrings.xml" Id="R1c081aea473a466a" /><Relationship Type="http://schemas.openxmlformats.org/officeDocument/2006/relationships/worksheet" Target="/xl/worksheets/sheet1.xml" Id="Rf65ba9c0c4404c20" /><Relationship Type="http://schemas.openxmlformats.org/officeDocument/2006/relationships/worksheet" Target="/xl/worksheets/sheet2.xml" Id="R1152b58f181442a1" /><Relationship Type="http://schemas.openxmlformats.org/officeDocument/2006/relationships/worksheet" Target="/xl/worksheets/sheet3.xml" Id="Ra9d5d4430e6740d1" /><Relationship Type="http://schemas.openxmlformats.org/officeDocument/2006/relationships/worksheet" Target="/xl/worksheets/sheet4.xml" Id="Rd499bd070ded4b8c" /><Relationship Type="http://schemas.openxmlformats.org/officeDocument/2006/relationships/worksheet" Target="/xl/worksheets/sheet5.xml" Id="R4c79e0b0575745f7" /><Relationship Type="http://schemas.openxmlformats.org/officeDocument/2006/relationships/worksheet" Target="/xl/worksheets/sheet6.xml" Id="Ra59f036abf394a69" /><Relationship Type="http://schemas.openxmlformats.org/officeDocument/2006/relationships/worksheet" Target="/xl/worksheets/sheet7.xml" Id="Rf7bb92e8002e41a2" /></Relationships>
</file>

<file path=xl/drawings/_rels/drawing1.xml.rels>&#65279;<?xml version="1.0" encoding="utf-8"?><Relationships xmlns="http://schemas.openxmlformats.org/package/2006/relationships"><Relationship Type="http://schemas.openxmlformats.org/officeDocument/2006/relationships/chart" Target="/xl/drawings/charts/chart1.xml" Id="R56dfccea14d14b2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6dfccea14d14b2d"/>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d8cbf3762d9423e" /></Relationships>
</file>

<file path=xl/worksheets/_rels/sheet6.xml.rels>&#65279;<?xml version="1.0" encoding="utf-8"?><Relationships xmlns="http://schemas.openxmlformats.org/package/2006/relationships"><Relationship Type="http://schemas.openxmlformats.org/officeDocument/2006/relationships/drawing" Target="/xl/drawings/drawing1.xml" Id="Rb9b772124c5b46d8"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1.0.52</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R3.5D IN PROGRESS — D-005 CLOSED PASS/GREEN; D-006 DESIGN PROPOSED</x:v>
      </x:c>
    </x:row>
    <x:row r="27">
      <x:c r="A27" s="21" t="str">
        <x:v>Siguiente test sugerido</x:v>
      </x:c>
      <x:c r="B27" t="str">
        <x:v>D-006 Decision continuous 1/s — two-phase design</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Characterize decision input→receipt p50/p95/p99/max, batch sizes and backlog trend. Compare against D-002 Management 1/s; do not treat cadence-dominated receipt latency above 5 s as integrity failure by itself. Global iteration performance remains classified with the campaign p95 thresholds.</x:v>
      </x:c>
      <x:c r="R38" s="36" t="str">
        <x:v>Planned</x:v>
      </x:c>
      <x:c r="S38" s="36" t="str">
        <x:v>D-005 PASS/GREEN; requires agreement on two-phase same-volume harness before implementation</x:v>
      </x:c>
      <x:c r="T38" s="36" t="str">
        <x:v>DESIGN PROPOSED. Recommended structure is one harness scenario with two sequential executions over the same work volume: Phase A provisions 540 canonical pending requests through the real ManagementAction path at 1/s; Phase B then measures 540 APPROVED decisions at 1/s. This isolates decision throughput from request ingress during the measured phase and avoids bypassing the production contract. A single concurrent request+decision pipeline would be shorter but would conflate both consumers, so it is not the recommended authoritative D-006.</x:v>
      </x:c>
    </x:row>
    <x:row r="39">
      <x:c r="A39" s="36" t="str">
        <x:v>D-007</x:v>
      </x:c>
      <x:c r="B39" s="36" t="str">
        <x:v>R3.5D</x:v>
      </x:c>
      <x:c r="C39" s="36" t="n">
        <x:v>56</x:v>
      </x:c>
      <x:c r="D39" s="36" t="str">
        <x:v>Decision burst 50</x:v>
      </x:c>
      <x:c r="E39" s="36" t="str">
        <x:v>Medir burst de decisiones</x:v>
      </x:c>
      <x:c r="F39" s="36" t="n">
        <x:v>1000</x:v>
      </x:c>
      <x:c r="G39" s="36" t="str">
        <x:v>Local FS</x:v>
      </x:c>
      <x:c r="H39" s="36" t="str">
        <x:v>Operational churn</x:v>
      </x:c>
      <x:c r="I39" s="36" t="str">
        <x:v>Baseline</x:v>
      </x:c>
      <x:c r="J39" s="36" t="str">
        <x:v>50 decision burst</x:v>
      </x:c>
      <x:c r="K39" s="36" t="str">
        <x:v>Stable config</x:v>
      </x:c>
      <x:c r="L39" s="36" t="n">
        <x:v>10</x:v>
      </x:c>
      <x:c r="M39" s="36" t="n">
        <x:v>5</x:v>
      </x:c>
      <x:c r="N39" s="36" t="n">
        <x:v>10</x:v>
      </x:c>
      <x:c r="O39" s="36" t="str">
        <x:v>Stress</x:v>
      </x:c>
      <x:c r="P39" s="36" t="str">
        <x:v>causalidad + idempotencia</x:v>
      </x:c>
      <x:c r="Q39" s="36" t="str">
        <x:v>Observar pending/cursors</x:v>
      </x:c>
      <x:c r="R39" s="36" t="str">
        <x:v>Planned</x:v>
      </x:c>
      <x:c r="S39" s="36" t="str">
        <x:v>D-006</x:v>
      </x:c>
      <x:c r="T39" s="36" t="str"/>
    </x:row>
    <x:row r="40">
      <x:c r="A40" s="36" t="str">
        <x:v>D-008</x:v>
      </x:c>
      <x:c r="B40" s="36" t="str">
        <x:v>R3.5D</x:v>
      </x:c>
      <x:c r="C40" s="36" t="n">
        <x:v>57</x:v>
      </x:c>
      <x:c r="D40" s="36" t="str">
        <x:v>Early decisions before requests</x:v>
      </x:c>
      <x:c r="E40" s="36" t="str">
        <x:v>Presionar pending correlation</x:v>
      </x:c>
      <x:c r="F40" s="36" t="n">
        <x:v>1000</x:v>
      </x:c>
      <x:c r="G40" s="36" t="str">
        <x:v>Local FS</x:v>
      </x:c>
      <x:c r="H40" s="36" t="str">
        <x:v>Operational churn</x:v>
      </x:c>
      <x:c r="I40" s="36" t="str">
        <x:v>Baseline</x:v>
      </x:c>
      <x:c r="J40" s="36" t="str">
        <x:v>Early decisions</x:v>
      </x:c>
      <x:c r="K40" s="36" t="str">
        <x:v>Stable config</x:v>
      </x:c>
      <x:c r="L40" s="36" t="n">
        <x:v>10</x:v>
      </x:c>
      <x:c r="M40" s="36" t="n">
        <x:v>5</x:v>
      </x:c>
      <x:c r="N40" s="36" t="n">
        <x:v>10</x:v>
      </x:c>
      <x:c r="O40" s="36" t="str">
        <x:v>Correctness + stress</x:v>
      </x:c>
      <x:c r="P40" s="36" t="str">
        <x:v>0 wrong correlation</x:v>
      </x:c>
      <x:c r="Q40" s="36" t="str">
        <x:v>Performance secundaria</x:v>
      </x:c>
      <x:c r="R40" s="36" t="str">
        <x:v>Planned</x:v>
      </x:c>
      <x:c r="S40" s="36" t="str">
        <x:v>D-007</x:v>
      </x:c>
      <x:c r="T40" s="36" t="str"/>
    </x:row>
    <x:row r="41">
      <x:c r="A41" s="36" t="str">
        <x:v>D-009</x:v>
      </x:c>
      <x:c r="B41" s="36" t="str">
        <x:v>R3.5D</x:v>
      </x:c>
      <x:c r="C41" s="36" t="n">
        <x:v>58</x:v>
      </x:c>
      <x:c r="D41" s="36" t="str">
        <x:v>Mixed Management + Decisions</x:v>
      </x:c>
      <x:c r="E41" s="36" t="str">
        <x:v>Control-plane mixto bajo carga</x:v>
      </x:c>
      <x:c r="F41" s="36" t="n">
        <x:v>1000</x:v>
      </x:c>
      <x:c r="G41" s="36" t="str">
        <x:v>Local FS</x:v>
      </x:c>
      <x:c r="H41" s="36" t="str">
        <x:v>Operational churn</x:v>
      </x:c>
      <x:c r="I41" s="36" t="str">
        <x:v>Baseline</x:v>
      </x:c>
      <x:c r="J41" s="36" t="str">
        <x:v>Mgmt + decisions continuous</x:v>
      </x:c>
      <x:c r="K41" s="36" t="str">
        <x:v>Stable config</x:v>
      </x:c>
      <x:c r="L41" s="36" t="n">
        <x:v>10</x:v>
      </x:c>
      <x:c r="M41" s="36" t="n">
        <x:v>5</x:v>
      </x:c>
      <x:c r="N41" s="36" t="n">
        <x:v>10</x:v>
      </x:c>
      <x:c r="O41" s="36" t="str">
        <x:v>Stress</x:v>
      </x:c>
      <x:c r="P41" s="36" t="str">
        <x:v>0 durable errors</x:v>
      </x:c>
      <x:c r="Q41" s="36" t="str">
        <x:v>Medir ambas latencias</x:v>
      </x:c>
      <x:c r="R41" s="36" t="str">
        <x:v>Planned</x:v>
      </x:c>
      <x:c r="S41" s="36" t="str">
        <x:v>D-008</x:v>
      </x:c>
      <x:c r="T41" s="36" t="str"/>
    </x:row>
    <x:row r="42">
      <x:c r="A42" s="36" t="str">
        <x:v>D-010</x:v>
      </x:c>
      <x:c r="B42" s="36" t="str">
        <x:v>R3.5D</x:v>
      </x:c>
      <x:c r="C42" s="36" t="n">
        <x:v>59</x:v>
      </x:c>
      <x:c r="D42" s="36" t="str">
        <x:v>Late decision after removal</x:v>
      </x:c>
      <x:c r="E42" s="36" t="str">
        <x:v>Validar STALE_TARGET bajo presión</x:v>
      </x:c>
      <x:c r="F42" s="36" t="n">
        <x:v>1000</x:v>
      </x:c>
      <x:c r="G42" s="36" t="str">
        <x:v>Local FS</x:v>
      </x:c>
      <x:c r="H42" s="36" t="str">
        <x:v>Operational churn</x:v>
      </x:c>
      <x:c r="I42" s="36" t="str">
        <x:v>Baseline</x:v>
      </x:c>
      <x:c r="J42" s="36" t="str">
        <x:v>Late decisions</x:v>
      </x:c>
      <x:c r="K42" s="36" t="str">
        <x:v>Alarm removed</x:v>
      </x:c>
      <x:c r="L42" s="36" t="n">
        <x:v>10</x:v>
      </x:c>
      <x:c r="M42" s="36" t="n">
        <x:v>5</x:v>
      </x:c>
      <x:c r="N42" s="36" t="n">
        <x:v>10</x:v>
      </x:c>
      <x:c r="O42" s="36" t="str">
        <x:v>Correctness</x:v>
      </x:c>
      <x:c r="P42" s="36" t="str">
        <x:v>STALE_TARGET correcto</x:v>
      </x:c>
      <x:c r="Q42" s="36" t="str">
        <x:v>Performance secundaria</x:v>
      </x:c>
      <x:c r="R42" s="36" t="str">
        <x:v>Planned</x:v>
      </x:c>
      <x:c r="S42" s="36" t="str">
        <x:v>D-009</x:v>
      </x:c>
      <x:c r="T42" s="36" t="str"/>
    </x:row>
    <x:row r="43">
      <x:c r="A43" s="36" t="str">
        <x:v>E-001</x:v>
      </x:c>
      <x:c r="B43" s="36" t="str">
        <x:v>R3.5E</x:v>
      </x:c>
      <x:c r="C43" s="36" t="n">
        <x:v>70</x:v>
      </x:c>
      <x:c r="D43" s="36" t="str">
        <x:v>Parameter-only adoption</x:v>
      </x:c>
      <x:c r="E43" s="36" t="str">
        <x:v>Medir adopción compatible sin commit artificial</x:v>
      </x:c>
      <x:c r="F43" s="36" t="n">
        <x:v>1000</x:v>
      </x:c>
      <x:c r="G43" s="36" t="str">
        <x:v>Local FS</x:v>
      </x:c>
      <x:c r="H43" s="36" t="str">
        <x:v>Operational churn</x:v>
      </x:c>
      <x:c r="I43" s="36" t="str">
        <x:v>Baseline</x:v>
      </x:c>
      <x:c r="J43" s="36" t="str">
        <x:v>None</x:v>
      </x:c>
      <x:c r="K43" s="36" t="str">
        <x:v>Parameter change</x:v>
      </x:c>
      <x:c r="L43" s="36" t="n">
        <x:v>10</x:v>
      </x:c>
      <x:c r="M43" s="36" t="n">
        <x:v>5</x:v>
      </x:c>
      <x:c r="N43" s="36" t="n">
        <x:v>10</x:v>
      </x:c>
      <x:c r="O43" s="36" t="str">
        <x:v>Config adoption</x:v>
      </x:c>
      <x:c r="P43" s="36" t="str">
        <x:v>0 duplicate durable effects</x:v>
      </x:c>
      <x:c r="Q43" s="36" t="str">
        <x:v>Resolution+planner+promotion</x:v>
      </x:c>
      <x:c r="R43" s="36" t="str">
        <x:v>Planned</x:v>
      </x:c>
      <x:c r="S43" s="36" t="str">
        <x:v>C-001</x:v>
      </x:c>
      <x:c r="T43" s="36" t="str"/>
    </x:row>
    <x:row r="44">
      <x:c r="A44" s="36" t="str">
        <x:v>E-002</x:v>
      </x:c>
      <x:c r="B44" s="36" t="str">
        <x:v>R3.5E</x:v>
      </x:c>
      <x:c r="C44" s="36" t="n">
        <x:v>71</x:v>
      </x:c>
      <x:c r="D44" s="36" t="str">
        <x:v>C2 routing adoption</x:v>
      </x:c>
      <x:c r="E44" s="36" t="str">
        <x:v>Medir reconciliación C2</x:v>
      </x:c>
      <x:c r="F44" s="36" t="n">
        <x:v>1000</x:v>
      </x:c>
      <x:c r="G44" s="36" t="str">
        <x:v>Local FS</x:v>
      </x:c>
      <x:c r="H44" s="36" t="str">
        <x:v>Operational churn</x:v>
      </x:c>
      <x:c r="I44" s="36" t="str">
        <x:v>C2-heavy</x:v>
      </x:c>
      <x:c r="J44" s="36" t="str">
        <x:v>None</x:v>
      </x:c>
      <x:c r="K44" s="36" t="str">
        <x:v>C2 routing change</x:v>
      </x:c>
      <x:c r="L44" s="36" t="n">
        <x:v>10</x:v>
      </x:c>
      <x:c r="M44" s="36" t="n">
        <x:v>5</x:v>
      </x:c>
      <x:c r="N44" s="36" t="n">
        <x:v>10</x:v>
      </x:c>
      <x:c r="O44" s="36" t="str">
        <x:v>Config adoption</x:v>
      </x:c>
      <x:c r="P44" s="36" t="str">
        <x:v>0 routing corruption</x:v>
      </x:c>
      <x:c r="Q44" s="36" t="str">
        <x:v>Adoption duration</x:v>
      </x:c>
      <x:c r="R44" s="36" t="str">
        <x:v>Planned</x:v>
      </x:c>
      <x:c r="S44" s="36" t="str">
        <x:v>E-001</x:v>
      </x:c>
      <x:c r="T44" s="36" t="str"/>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0d8cbf3762d9423e"/>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row>
    <x:row r="39">
      <x:c r="A39" s="32"/>
      <x:c r="B39" s="32"/>
      <x:c r="C39" s="42"/>
      <x:c r="D39" s="32"/>
      <x:c r="E39" s="32"/>
      <x:c r="F39" s="32"/>
      <x:c r="G39" s="32"/>
      <x:c r="H39" s="32"/>
      <x:c r="I39" s="32"/>
      <x:c r="J39" s="32"/>
      <x:c r="K39" s="32"/>
      <x:c r="L39" s="32"/>
      <x:c r="M39" s="32"/>
      <x:c r="N39" s="32"/>
      <x:c r="O39" s="32"/>
      <x:c r="P39" s="32"/>
      <x:c r="Q39" s="32"/>
      <x:c r="R39" s="32"/>
      <x:c r="S39" s="32"/>
      <x:c r="T39" s="43" t="str">
        <x:f>IFERROR(S39/L39,"")</x:f>
      </x:c>
      <x:c r="U39" s="32"/>
      <x:c r="V39" s="32"/>
      <x:c r="W39" s="32"/>
      <x:c r="X39" s="32"/>
      <x:c r="Y39" s="32"/>
      <x:c r="Z39" s="32"/>
      <x:c r="AA39" s="32"/>
      <x:c r="AB39" s="32"/>
      <x:c r="AC39" s="32"/>
      <x:c r="AD39" s="32"/>
      <x:c r="AE39" s="32"/>
      <x:c r="AF39" s="32"/>
      <x:c r="AG39" s="32"/>
      <x:c r="AH39" s="32"/>
      <x:c r="AI39" s="32"/>
      <x:c r="AJ39" s="32"/>
      <x:c r="AK39" s="32"/>
      <x:c r="AL39" s="32"/>
      <x:c r="AM39" s="32"/>
      <x:c r="AN39" s="32"/>
      <x:c r="AO39" s="32"/>
      <x:c r="AP39" s="32"/>
      <x:c r="AQ39" s="32"/>
      <x:c r="AR39" s="32"/>
      <x:c r="AS39" s="32"/>
      <x:c r="AT39" s="32"/>
      <x:c r="AU39" s="32"/>
      <x:c r="AV39" s="32"/>
      <x:c r="AW39" s="32"/>
      <x:c r="AX39" s="32"/>
      <x:c r="AZ39" s="32"/>
      <x:c r="BA39" s="32"/>
      <x:c r="BB39" s="32"/>
      <x:c r="BC39" s="32"/>
      <x:c r="BD39" s="32"/>
      <x:c r="BE39" s="32"/>
      <x:c r="BF39" s="32"/>
      <x:c r="BG39" s="32"/>
      <x:c r="BH39" s="32"/>
      <x:c r="BI39" s="32"/>
      <x:c r="BJ39" s="32"/>
      <x:c r="BK39" s="32"/>
      <x:c r="BL39" s="32"/>
      <x:c r="BM39" s="32"/>
    </x:row>
    <x:row r="40">
      <x:c r="A40" s="32"/>
      <x:c r="B40" s="32"/>
      <x:c r="C40" s="42"/>
      <x:c r="D40" s="32"/>
      <x:c r="E40" s="32"/>
      <x:c r="F40" s="32"/>
      <x:c r="G40" s="32"/>
      <x:c r="H40" s="32"/>
      <x:c r="I40" s="32"/>
      <x:c r="J40" s="32"/>
      <x:c r="K40" s="32"/>
      <x:c r="L40" s="32"/>
      <x:c r="M40" s="32"/>
      <x:c r="N40" s="32"/>
      <x:c r="O40" s="32"/>
      <x:c r="P40" s="32"/>
      <x:c r="Q40" s="32"/>
      <x:c r="R40" s="32"/>
      <x:c r="S40" s="32"/>
      <x:c r="T40" s="43" t="str">
        <x:f>IFERROR(S40/L40,"")</x:f>
      </x:c>
      <x:c r="U40" s="32"/>
      <x:c r="V40" s="32"/>
      <x:c r="W40" s="32"/>
      <x:c r="X40" s="32"/>
      <x:c r="Y40" s="32"/>
      <x:c r="Z40" s="32"/>
      <x:c r="AA40" s="32"/>
      <x:c r="AB40" s="32"/>
      <x:c r="AC40" s="32"/>
      <x:c r="AD40" s="32"/>
      <x:c r="AE40" s="32"/>
      <x:c r="AF40" s="32"/>
      <x:c r="AG40" s="32"/>
      <x:c r="AH40" s="32"/>
      <x:c r="AI40" s="32"/>
      <x:c r="AJ40" s="32"/>
      <x:c r="AK40" s="32"/>
      <x:c r="AL40" s="32"/>
      <x:c r="AM40" s="32"/>
      <x:c r="AN40" s="32"/>
      <x:c r="AO40" s="32"/>
      <x:c r="AP40" s="32"/>
      <x:c r="AQ40" s="32"/>
      <x:c r="AR40" s="32"/>
      <x:c r="AS40" s="32"/>
      <x:c r="AT40" s="32"/>
      <x:c r="AU40" s="32"/>
      <x:c r="AV40" s="32"/>
      <x:c r="AW40" s="32"/>
      <x:c r="AX40" s="32"/>
      <x:c r="AZ40" s="32"/>
      <x:c r="BA40" s="32"/>
      <x:c r="BB40" s="32"/>
      <x:c r="BC40" s="32"/>
      <x:c r="BD40" s="32"/>
      <x:c r="BE40" s="32"/>
      <x:c r="BF40" s="32"/>
      <x:c r="BG40" s="32"/>
      <x:c r="BH40" s="32"/>
      <x:c r="BI40" s="32"/>
      <x:c r="BJ40" s="32"/>
      <x:c r="BK40" s="32"/>
      <x:c r="BL40" s="32"/>
      <x:c r="BM40" s="32"/>
    </x:row>
    <x:row r="41">
      <x:c r="A41" s="32"/>
      <x:c r="B41" s="32"/>
      <x:c r="C41" s="42"/>
      <x:c r="D41" s="32"/>
      <x:c r="E41" s="32"/>
      <x:c r="F41" s="32"/>
      <x:c r="G41" s="32"/>
      <x:c r="H41" s="32"/>
      <x:c r="I41" s="32"/>
      <x:c r="J41" s="32"/>
      <x:c r="K41" s="32"/>
      <x:c r="L41" s="32"/>
      <x:c r="M41" s="32"/>
      <x:c r="N41" s="32"/>
      <x:c r="O41" s="32"/>
      <x:c r="P41" s="32"/>
      <x:c r="Q41" s="32"/>
      <x:c r="R41" s="32"/>
      <x:c r="S41" s="32"/>
      <x:c r="T41" s="43" t="str">
        <x:f>IFERROR(S41/L41,"")</x:f>
      </x:c>
      <x:c r="U41" s="32"/>
      <x:c r="V41" s="32"/>
      <x:c r="W41" s="32"/>
      <x:c r="X41" s="32"/>
      <x:c r="Y41" s="32"/>
      <x:c r="Z41" s="32"/>
      <x:c r="AA41" s="32"/>
      <x:c r="AB41" s="32"/>
      <x:c r="AC41" s="32"/>
      <x:c r="AD41" s="32"/>
      <x:c r="AE41" s="32"/>
      <x:c r="AF41" s="32"/>
      <x:c r="AG41" s="32"/>
      <x:c r="AH41" s="32"/>
      <x:c r="AI41" s="32"/>
      <x:c r="AJ41" s="32"/>
      <x:c r="AK41" s="32"/>
      <x:c r="AL41" s="32"/>
      <x:c r="AM41" s="32"/>
      <x:c r="AN41" s="32"/>
      <x:c r="AO41" s="32"/>
      <x:c r="AP41" s="32"/>
      <x:c r="AQ41" s="32"/>
      <x:c r="AR41" s="32"/>
      <x:c r="AS41" s="32"/>
      <x:c r="AT41" s="32"/>
      <x:c r="AU41" s="32"/>
      <x:c r="AV41" s="32"/>
      <x:c r="AW41" s="32"/>
      <x:c r="AX41" s="32"/>
      <x:c r="AZ41" s="32"/>
      <x:c r="BA41" s="32"/>
      <x:c r="BB41" s="32"/>
      <x:c r="BC41" s="32"/>
      <x:c r="BD41" s="32"/>
      <x:c r="BE41" s="32"/>
      <x:c r="BF41" s="32"/>
      <x:c r="BG41" s="32"/>
      <x:c r="BH41" s="32"/>
      <x:c r="BI41" s="32"/>
      <x:c r="BJ41" s="32"/>
      <x:c r="BK41" s="32"/>
      <x:c r="BL41" s="32"/>
      <x:c r="BM41" s="32"/>
    </x:row>
    <x:row r="42">
      <x:c r="A42" s="32"/>
      <x:c r="B42" s="32"/>
      <x:c r="C42" s="42"/>
      <x:c r="D42" s="32"/>
      <x:c r="E42" s="32"/>
      <x:c r="F42" s="32"/>
      <x:c r="G42" s="32"/>
      <x:c r="H42" s="32"/>
      <x:c r="I42" s="32"/>
      <x:c r="J42" s="32"/>
      <x:c r="K42" s="32"/>
      <x:c r="L42" s="32"/>
      <x:c r="M42" s="32"/>
      <x:c r="N42" s="32"/>
      <x:c r="O42" s="32"/>
      <x:c r="P42" s="32"/>
      <x:c r="Q42" s="32"/>
      <x:c r="R42" s="32"/>
      <x:c r="S42" s="32"/>
      <x:c r="T42" s="43" t="str">
        <x:f>IFERROR(S42/L42,"")</x:f>
      </x:c>
      <x:c r="U42" s="32"/>
      <x:c r="V42" s="32"/>
      <x:c r="W42" s="32"/>
      <x:c r="X42" s="32"/>
      <x:c r="Y42" s="32"/>
      <x:c r="Z42" s="32"/>
      <x:c r="AA42" s="32"/>
      <x:c r="AB42" s="32"/>
      <x:c r="AC42" s="32"/>
      <x:c r="AD42" s="32"/>
      <x:c r="AE42" s="32"/>
      <x:c r="AF42" s="32"/>
      <x:c r="AG42" s="32"/>
      <x:c r="AH42" s="32"/>
      <x:c r="AI42" s="32"/>
      <x:c r="AJ42" s="32"/>
      <x:c r="AK42" s="32"/>
      <x:c r="AL42" s="32"/>
      <x:c r="AM42" s="32"/>
      <x:c r="AN42" s="32"/>
      <x:c r="AO42" s="32"/>
      <x:c r="AP42" s="32"/>
      <x:c r="AQ42" s="32"/>
      <x:c r="AR42" s="32"/>
      <x:c r="AS42" s="32"/>
      <x:c r="AT42" s="32"/>
      <x:c r="AU42" s="32"/>
      <x:c r="AV42" s="32"/>
      <x:c r="AW42" s="32"/>
      <x:c r="AX42" s="32"/>
      <x:c r="AZ42" s="32"/>
      <x:c r="BA42" s="32"/>
      <x:c r="BB42" s="32"/>
      <x:c r="BC42" s="32"/>
      <x:c r="BD42" s="32"/>
      <x:c r="BE42" s="32"/>
      <x:c r="BF42" s="32"/>
      <x:c r="BG42" s="32"/>
      <x:c r="BH42" s="32"/>
      <x:c r="BI42" s="32"/>
      <x:c r="BJ42" s="32"/>
      <x:c r="BK42" s="32"/>
      <x:c r="BL42" s="32"/>
      <x:c r="BM42" s="32"/>
    </x:row>
    <x:row r="43">
      <x:c r="A43" s="32"/>
      <x:c r="B43" s="32"/>
      <x:c r="C43" s="42"/>
      <x:c r="D43" s="32"/>
      <x:c r="E43" s="32"/>
      <x:c r="F43" s="32"/>
      <x:c r="G43" s="32"/>
      <x:c r="H43" s="32"/>
      <x:c r="I43" s="32"/>
      <x:c r="J43" s="32"/>
      <x:c r="K43" s="32"/>
      <x:c r="L43" s="32"/>
      <x:c r="M43" s="32"/>
      <x:c r="N43" s="32"/>
      <x:c r="O43" s="32"/>
      <x:c r="P43" s="32"/>
      <x:c r="Q43" s="32"/>
      <x:c r="R43" s="32"/>
      <x:c r="S43" s="32"/>
      <x:c r="T43" s="43" t="str">
        <x:f>IFERROR(S43/L43,"")</x:f>
      </x:c>
      <x:c r="U43" s="32"/>
      <x:c r="V43" s="32"/>
      <x:c r="W43" s="32"/>
      <x:c r="X43" s="32"/>
      <x:c r="Y43" s="32"/>
      <x:c r="Z43" s="32"/>
      <x:c r="AA43" s="32"/>
      <x:c r="AB43" s="32"/>
      <x:c r="AC43" s="32"/>
      <x:c r="AD43" s="32"/>
      <x:c r="AE43" s="32"/>
      <x:c r="AF43" s="32"/>
      <x:c r="AG43" s="32"/>
      <x:c r="AH43" s="32"/>
      <x:c r="AI43" s="32"/>
      <x:c r="AJ43" s="32"/>
      <x:c r="AK43" s="32"/>
      <x:c r="AL43" s="32"/>
      <x:c r="AM43" s="32"/>
      <x:c r="AN43" s="32"/>
      <x:c r="AO43" s="32"/>
      <x:c r="AP43" s="32"/>
      <x:c r="AQ43" s="32"/>
      <x:c r="AR43" s="32"/>
      <x:c r="AS43" s="32"/>
      <x:c r="AT43" s="32"/>
      <x:c r="AU43" s="32"/>
      <x:c r="AV43" s="32"/>
      <x:c r="AW43" s="32"/>
      <x:c r="AX43" s="32"/>
      <x:c r="AZ43" s="32"/>
      <x:c r="BA43" s="32"/>
      <x:c r="BB43" s="32"/>
      <x:c r="BC43" s="32"/>
      <x:c r="BD43" s="32"/>
      <x:c r="BE43" s="32"/>
      <x:c r="BF43" s="32"/>
      <x:c r="BG43" s="32"/>
      <x:c r="BH43" s="32"/>
      <x:c r="BI43" s="32"/>
      <x:c r="BJ43" s="32"/>
      <x:c r="BK43" s="32"/>
      <x:c r="BL43" s="32"/>
      <x:c r="BM43" s="32"/>
    </x:row>
    <x:row r="44">
      <x:c r="A44" s="32"/>
      <x:c r="B44" s="32"/>
      <x:c r="C44" s="42"/>
      <x:c r="D44" s="32"/>
      <x:c r="E44" s="32"/>
      <x:c r="F44" s="32"/>
      <x:c r="G44" s="32"/>
      <x:c r="H44" s="32"/>
      <x:c r="I44" s="32"/>
      <x:c r="J44" s="32"/>
      <x:c r="K44" s="32"/>
      <x:c r="L44" s="32"/>
      <x:c r="M44" s="32"/>
      <x:c r="N44" s="32"/>
      <x:c r="O44" s="32"/>
      <x:c r="P44" s="32"/>
      <x:c r="Q44" s="32"/>
      <x:c r="R44" s="32"/>
      <x:c r="S44" s="32"/>
      <x:c r="T44" s="43" t="str">
        <x:f>IFERROR(S44/L44,"")</x:f>
      </x:c>
      <x:c r="U44" s="32"/>
      <x:c r="V44" s="32"/>
      <x:c r="W44" s="32"/>
      <x:c r="X44" s="32"/>
      <x:c r="Y44" s="32"/>
      <x:c r="Z44" s="32"/>
      <x:c r="AA44" s="32"/>
      <x:c r="AB44" s="32"/>
      <x:c r="AC44" s="32"/>
      <x:c r="AD44" s="32"/>
      <x:c r="AE44" s="32"/>
      <x:c r="AF44" s="32"/>
      <x:c r="AG44" s="32"/>
      <x:c r="AH44" s="32"/>
      <x:c r="AI44" s="32"/>
      <x:c r="AJ44" s="32"/>
      <x:c r="AK44" s="32"/>
      <x:c r="AL44" s="32"/>
      <x:c r="AM44" s="32"/>
      <x:c r="AN44" s="32"/>
      <x:c r="AO44" s="32"/>
      <x:c r="AP44" s="32"/>
      <x:c r="AQ44" s="32"/>
      <x:c r="AR44" s="32"/>
      <x:c r="AS44" s="32"/>
      <x:c r="AT44" s="32"/>
      <x:c r="AU44" s="32"/>
      <x:c r="AV44" s="32"/>
      <x:c r="AW44" s="32"/>
      <x:c r="AX44" s="32"/>
      <x:c r="AZ44" s="32"/>
      <x:c r="BA44" s="32"/>
      <x:c r="BB44" s="32"/>
      <x:c r="BC44" s="32"/>
      <x:c r="BD44" s="32"/>
      <x:c r="BE44" s="32"/>
      <x:c r="BF44" s="32"/>
      <x:c r="BG44" s="32"/>
      <x:c r="BH44" s="32"/>
      <x:c r="BI44" s="32"/>
      <x:c r="BJ44" s="32"/>
      <x:c r="BK44" s="32"/>
      <x:c r="BL44" s="32"/>
      <x:c r="BM44" s="32"/>
    </x:row>
    <x:row r="45">
      <x:c r="A45" s="32"/>
      <x:c r="B45" s="32"/>
      <x:c r="C45" s="42"/>
      <x:c r="D45" s="32"/>
      <x:c r="E45" s="32"/>
      <x:c r="F45" s="32"/>
      <x:c r="G45" s="32"/>
      <x:c r="H45" s="32"/>
      <x:c r="I45" s="32"/>
      <x:c r="J45" s="32"/>
      <x:c r="K45" s="32"/>
      <x:c r="L45" s="32"/>
      <x:c r="M45" s="32"/>
      <x:c r="N45" s="32"/>
      <x:c r="O45" s="32"/>
      <x:c r="P45" s="32"/>
      <x:c r="Q45" s="32"/>
      <x:c r="R45" s="32"/>
      <x:c r="S45" s="32"/>
      <x:c r="T45" s="43" t="str">
        <x:f>IFERROR(S45/L45,"")</x:f>
      </x:c>
      <x:c r="U45" s="32"/>
      <x:c r="V45" s="32"/>
      <x:c r="W45" s="32"/>
      <x:c r="X45" s="32"/>
      <x:c r="Y45" s="32"/>
      <x:c r="Z45" s="32"/>
      <x:c r="AA45" s="32"/>
      <x:c r="AB45" s="32"/>
      <x:c r="AC45" s="32"/>
      <x:c r="AD45" s="32"/>
      <x:c r="AE45" s="32"/>
      <x:c r="AF45" s="32"/>
      <x:c r="AG45" s="32"/>
      <x:c r="AH45" s="32"/>
      <x:c r="AI45" s="32"/>
      <x:c r="AJ45" s="32"/>
      <x:c r="AK45" s="32"/>
      <x:c r="AL45" s="32"/>
      <x:c r="AM45" s="32"/>
      <x:c r="AN45" s="32"/>
      <x:c r="AO45" s="32"/>
      <x:c r="AP45" s="32"/>
      <x:c r="AQ45" s="32"/>
      <x:c r="AR45" s="32"/>
      <x:c r="AS45" s="32"/>
      <x:c r="AT45" s="32"/>
      <x:c r="AU45" s="32"/>
      <x:c r="AV45" s="32"/>
      <x:c r="AW45" s="32"/>
      <x:c r="AX45" s="32"/>
      <x:c r="AZ45" s="32"/>
      <x:c r="BA45" s="32"/>
      <x:c r="BB45" s="32"/>
      <x:c r="BC45" s="32"/>
      <x:c r="BD45" s="32"/>
      <x:c r="BE45" s="32"/>
      <x:c r="BF45" s="32"/>
      <x:c r="BG45" s="32"/>
      <x:c r="BH45" s="32"/>
      <x:c r="BI45" s="32"/>
      <x:c r="BJ45" s="32"/>
      <x:c r="BK45" s="32"/>
      <x:c r="BL45" s="32"/>
      <x:c r="BM45" s="32"/>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x:c r="B81" s="32"/>
      <x:c r="C81" s="32"/>
      <x:c r="D81" s="32"/>
      <x:c r="E81" s="32"/>
      <x:c r="F81" s="32"/>
      <x:c r="G81" s="32"/>
      <x:c r="H81" s="32"/>
      <x:c r="I81" s="32"/>
      <x:c r="J81" s="32"/>
      <x:c r="K81" s="32"/>
      <x:c r="L81" s="32"/>
    </x:row>
    <x:row r="82">
      <x:c r="A82" s="32"/>
      <x:c r="B82" s="32"/>
      <x:c r="C82" s="32"/>
      <x:c r="D82" s="32"/>
      <x:c r="E82" s="32"/>
      <x:c r="F82" s="32"/>
      <x:c r="G82" s="32"/>
      <x:c r="H82" s="32"/>
      <x:c r="I82" s="32"/>
      <x:c r="J82" s="32"/>
      <x:c r="K82" s="32"/>
      <x:c r="L82" s="32"/>
    </x:row>
    <x:row r="83">
      <x:c r="A83" s="32"/>
      <x:c r="B83" s="32"/>
      <x:c r="C83" s="32"/>
      <x:c r="D83" s="32"/>
      <x:c r="E83" s="32"/>
      <x:c r="F83" s="32"/>
      <x:c r="G83" s="32"/>
      <x:c r="H83" s="32"/>
      <x:c r="I83" s="32"/>
      <x:c r="J83" s="32"/>
      <x:c r="K83" s="32"/>
      <x:c r="L83" s="32"/>
    </x:row>
    <x:row r="84">
      <x:c r="A84" s="32"/>
      <x:c r="B84" s="32"/>
      <x:c r="C84" s="32"/>
      <x:c r="D84" s="32"/>
      <x:c r="E84" s="32"/>
      <x:c r="F84" s="32"/>
      <x:c r="G84" s="32"/>
      <x:c r="H84" s="32"/>
      <x:c r="I84" s="32"/>
      <x:c r="J84" s="32"/>
      <x:c r="K84" s="32"/>
      <x:c r="L84" s="32"/>
    </x:row>
    <x:row r="85">
      <x:c r="A85" s="32"/>
      <x:c r="B85" s="32"/>
      <x:c r="C85" s="32"/>
      <x:c r="D85" s="32"/>
      <x:c r="E85" s="32"/>
      <x:c r="F85" s="32"/>
      <x:c r="G85" s="32"/>
      <x:c r="H85" s="32"/>
      <x:c r="I85" s="32"/>
      <x:c r="J85" s="32"/>
      <x:c r="K85" s="32"/>
      <x:c r="L85" s="32"/>
    </x:row>
    <x:row r="86">
      <x:c r="A86" s="32"/>
      <x:c r="B86" s="32"/>
      <x:c r="C86" s="32"/>
      <x:c r="D86" s="32"/>
      <x:c r="E86" s="32"/>
      <x:c r="F86" s="32"/>
      <x:c r="G86" s="32"/>
      <x:c r="H86" s="32"/>
      <x:c r="I86" s="32"/>
      <x:c r="J86" s="32"/>
      <x:c r="K86" s="32"/>
      <x:c r="L86" s="32"/>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Proposed</x:v>
      </x:c>
      <x:c r="I59" s="32" t="str">
        <x:v>Confirmar diseño antes de implementar. Si se acepta, el siguiente incremento debe ser exclusivamente harness; no tocar Core, Persistence ni Runtime salvo que la inspección previa demuestre una carencia real del contrato.</x:v>
      </x:c>
    </x:row>
    <x:row r="60">
      <x:c r="A60" s="32"/>
      <x:c r="B60" s="32"/>
      <x:c r="C60" s="32"/>
      <x:c r="D60" s="32"/>
      <x:c r="E60" s="32"/>
      <x:c r="F60" s="32"/>
      <x:c r="G60" s="32"/>
      <x:c r="H60" s="32"/>
      <x:c r="I60" s="32"/>
    </x:row>
    <x:row r="61">
      <x:c r="A61" s="32"/>
      <x:c r="B61" s="32"/>
      <x:c r="C61" s="32"/>
      <x:c r="D61" s="32"/>
      <x:c r="E61" s="32"/>
      <x:c r="F61" s="32"/>
      <x:c r="G61" s="32"/>
      <x:c r="H61" s="32"/>
      <x:c r="I61" s="32"/>
    </x:row>
    <x:row r="62">
      <x:c r="A62" s="32"/>
      <x:c r="B62" s="32"/>
      <x:c r="C62" s="32"/>
      <x:c r="D62" s="32"/>
      <x:c r="E62" s="32"/>
      <x:c r="F62" s="32"/>
      <x:c r="G62" s="32"/>
      <x:c r="H62" s="32"/>
      <x:c r="I62" s="32"/>
    </x:row>
    <x:row r="63">
      <x:c r="A63" s="32"/>
      <x:c r="B63" s="32"/>
      <x:c r="C63" s="32"/>
      <x:c r="D63" s="32"/>
      <x:c r="E63" s="32"/>
      <x:c r="F63" s="32"/>
      <x:c r="G63" s="32"/>
      <x:c r="H63" s="32"/>
      <x:c r="I63" s="32"/>
    </x:row>
    <x:row r="64">
      <x:c r="A64" s="32"/>
      <x:c r="B64" s="32"/>
      <x:c r="C64" s="32"/>
      <x:c r="D64" s="32"/>
      <x:c r="E64" s="32"/>
      <x:c r="F64" s="32"/>
      <x:c r="G64" s="32"/>
      <x:c r="H64" s="32"/>
      <x:c r="I64" s="32"/>
    </x:row>
    <x:row r="65">
      <x:c r="A65" s="32"/>
      <x:c r="B65" s="32"/>
      <x:c r="C65" s="32"/>
      <x:c r="D65" s="32"/>
      <x:c r="E65" s="32"/>
      <x:c r="F65" s="32"/>
      <x:c r="G65" s="32"/>
      <x:c r="H65" s="32"/>
      <x:c r="I65" s="32"/>
    </x:row>
    <x:row r="66">
      <x:c r="A66" s="32"/>
      <x:c r="B66" s="32"/>
      <x:c r="C66" s="32"/>
      <x:c r="D66" s="32"/>
      <x:c r="E66" s="32"/>
      <x:c r="F66" s="32"/>
      <x:c r="G66" s="32"/>
      <x:c r="H66" s="32"/>
      <x:c r="I66" s="32"/>
    </x:row>
    <x:row r="67">
      <x:c r="A67" s="32"/>
      <x:c r="B67" s="32"/>
      <x:c r="C67" s="32"/>
      <x:c r="D67" s="32"/>
      <x:c r="E67" s="32"/>
      <x:c r="F67" s="32"/>
      <x:c r="G67" s="32"/>
      <x:c r="H67" s="32"/>
      <x:c r="I67" s="32"/>
    </x:row>
    <x:row r="68">
      <x:c r="A68" s="32"/>
      <x:c r="B68" s="32"/>
      <x:c r="C68" s="32"/>
      <x:c r="D68" s="32"/>
      <x:c r="E68" s="32"/>
      <x:c r="F68" s="32"/>
      <x:c r="G68" s="32"/>
      <x:c r="H68" s="32"/>
      <x:c r="I68" s="32"/>
    </x:row>
    <x:row r="69">
      <x:c r="A69" s="32"/>
      <x:c r="B69" s="32"/>
      <x:c r="C69" s="32"/>
      <x:c r="D69" s="32"/>
      <x:c r="E69" s="32"/>
      <x:c r="F69" s="32"/>
      <x:c r="G69" s="32"/>
      <x:c r="H69" s="32"/>
      <x:c r="I69" s="32"/>
    </x:row>
    <x:row r="70">
      <x:c r="A70" s="32"/>
      <x:c r="B70" s="32"/>
      <x:c r="C70" s="32"/>
      <x:c r="D70" s="32"/>
      <x:c r="E70" s="32"/>
      <x:c r="F70" s="32"/>
      <x:c r="G70" s="32"/>
      <x:c r="H70" s="32"/>
      <x:c r="I70" s="32"/>
    </x:row>
    <x:row r="71">
      <x:c r="A71" s="32"/>
      <x:c r="B71" s="32"/>
      <x:c r="C71" s="32"/>
      <x:c r="D71" s="32"/>
      <x:c r="E71" s="32"/>
      <x:c r="F71" s="32"/>
      <x:c r="G71" s="32"/>
      <x:c r="H71" s="32"/>
      <x:c r="I71" s="32"/>
    </x:row>
    <x:row r="72">
      <x:c r="A72" s="32"/>
      <x:c r="B72" s="32"/>
      <x:c r="C72" s="32"/>
      <x:c r="D72" s="32"/>
      <x:c r="E72" s="32"/>
      <x:c r="F72" s="32"/>
      <x:c r="G72" s="32"/>
      <x:c r="H72" s="32"/>
      <x:c r="I72" s="32"/>
    </x:row>
    <x:row r="73">
      <x:c r="A73" s="32"/>
      <x:c r="B73" s="32"/>
      <x:c r="C73" s="32"/>
      <x:c r="D73" s="32"/>
      <x:c r="E73" s="32"/>
      <x:c r="F73" s="32"/>
      <x:c r="G73" s="32"/>
      <x:c r="H73" s="32"/>
      <x:c r="I73" s="32"/>
    </x:row>
    <x:row r="74">
      <x:c r="A74" s="32"/>
      <x:c r="B74" s="32"/>
      <x:c r="C74" s="32"/>
      <x:c r="D74" s="32"/>
      <x:c r="E74" s="32"/>
      <x:c r="F74" s="32"/>
      <x:c r="G74" s="32"/>
      <x:c r="H74" s="32"/>
      <x:c r="I74" s="32"/>
    </x:row>
    <x:row r="75">
      <x:c r="A75" s="32"/>
      <x:c r="B75" s="32"/>
      <x:c r="C75" s="32"/>
      <x:c r="D75" s="32"/>
      <x:c r="E75" s="32"/>
      <x:c r="F75" s="32"/>
      <x:c r="G75" s="32"/>
      <x:c r="H75" s="32"/>
      <x:c r="I75" s="32"/>
    </x:row>
    <x:row r="76">
      <x:c r="A76" s="32"/>
      <x:c r="B76" s="32"/>
      <x:c r="C76" s="32"/>
      <x:c r="D76" s="32"/>
      <x:c r="E76" s="32"/>
      <x:c r="F76" s="32"/>
      <x:c r="G76" s="32"/>
      <x:c r="H76" s="32"/>
      <x:c r="I76" s="32"/>
    </x:row>
    <x:row r="77">
      <x:c r="A77" s="32"/>
      <x:c r="B77" s="32"/>
      <x:c r="C77" s="32"/>
      <x:c r="D77" s="32"/>
      <x:c r="E77" s="32"/>
      <x:c r="F77" s="32"/>
      <x:c r="G77" s="32"/>
      <x:c r="H77" s="32"/>
      <x:c r="I77" s="32"/>
    </x:row>
    <x:row r="78">
      <x:c r="A78" s="32"/>
      <x:c r="B78" s="32"/>
      <x:c r="C78" s="32"/>
      <x:c r="D78" s="32"/>
      <x:c r="E78" s="32"/>
      <x:c r="F78" s="32"/>
      <x:c r="G78" s="32"/>
      <x:c r="H78" s="32"/>
      <x:c r="I78" s="32"/>
    </x:row>
    <x:row r="79">
      <x:c r="A79" s="32"/>
      <x:c r="B79" s="32"/>
      <x:c r="C79" s="32"/>
      <x:c r="D79" s="32"/>
      <x:c r="E79" s="32"/>
      <x:c r="F79" s="32"/>
      <x:c r="G79" s="32"/>
      <x:c r="H79" s="32"/>
      <x:c r="I79" s="32"/>
    </x:row>
    <x:row r="80">
      <x:c r="A80" s="32"/>
      <x:c r="B80" s="32"/>
      <x:c r="C80" s="32"/>
      <x:c r="D80" s="32"/>
      <x:c r="E80" s="32"/>
      <x:c r="F80" s="32"/>
      <x:c r="G80" s="32"/>
      <x:c r="H80" s="32"/>
      <x:c r="I80" s="32"/>
    </x:row>
    <x:row r="81">
      <x:c r="A81" s="32"/>
      <x:c r="B81" s="32"/>
      <x:c r="C81" s="32"/>
      <x:c r="D81" s="32"/>
      <x:c r="E81" s="32"/>
      <x:c r="F81" s="32"/>
      <x:c r="G81" s="32"/>
      <x:c r="H81" s="32"/>
      <x:c r="I81" s="32"/>
    </x:row>
    <x:row r="82">
      <x:c r="A82" s="32"/>
      <x:c r="B82" s="32"/>
      <x:c r="C82" s="32"/>
      <x:c r="D82" s="32"/>
      <x:c r="E82" s="32"/>
      <x:c r="F82" s="32"/>
      <x:c r="G82" s="32"/>
      <x:c r="H82" s="32"/>
      <x:c r="I82" s="32"/>
    </x:row>
    <x:row r="83">
      <x:c r="A83" s="32"/>
      <x:c r="B83" s="32"/>
      <x:c r="C83" s="32"/>
      <x:c r="D83" s="32"/>
      <x:c r="E83" s="32"/>
      <x:c r="F83" s="32"/>
      <x:c r="G83" s="32"/>
      <x:c r="H83" s="32"/>
      <x:c r="I83" s="32"/>
    </x:row>
    <x:row r="84">
      <x:c r="A84" s="32"/>
      <x:c r="B84" s="32"/>
      <x:c r="C84" s="32"/>
      <x:c r="D84" s="32"/>
      <x:c r="E84" s="32"/>
      <x:c r="F84" s="32"/>
      <x:c r="G84" s="32"/>
      <x:c r="H84" s="32"/>
      <x:c r="I84" s="32"/>
    </x:row>
    <x:row r="85">
      <x:c r="A85" s="32"/>
      <x:c r="B85" s="32"/>
      <x:c r="C85" s="32"/>
      <x:c r="D85" s="32"/>
      <x:c r="E85" s="32"/>
      <x:c r="F85" s="32"/>
      <x:c r="G85" s="32"/>
      <x:c r="H85" s="32"/>
      <x:c r="I85" s="32"/>
    </x:row>
    <x:row r="86">
      <x:c r="A86" s="32"/>
      <x:c r="B86" s="32"/>
      <x:c r="C86" s="32"/>
      <x:c r="D86" s="32"/>
      <x:c r="E86" s="32"/>
      <x:c r="F86" s="32"/>
      <x:c r="G86" s="32"/>
      <x:c r="H86" s="32"/>
      <x:c r="I86" s="32"/>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29</x:v>
      </x:c>
      <x:c r="J5" t="str">
        <x:v>GREEN</x:v>
      </x:c>
    </x:row>
    <x:row r="6">
      <x:c r="A6" s="21" t="str">
        <x:v>Completed</x:v>
      </x:c>
      <x:c r="B6" t="n">
        <x:v>32</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0</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5</x:v>
      </x:c>
      <x:c r="H8" s="21" t="str">
        <x:v>OBSERVED</x:v>
      </x:c>
      <x:c r="I8" t="n">
        <x:v>1</x:v>
      </x:c>
      <x:c r="J8" t="str">
        <x:v>N/A</x:v>
      </x:c>
    </x:row>
    <x:row r="9">
      <x:c r="A9" s="21" t="str">
        <x:v>Completion %</x:v>
      </x:c>
      <x:c r="B9" s="38" t="n">
        <x:v>0.5161290322580645</x:v>
      </x:c>
      <x:c r="D9" s="21" t="str">
        <x:v>R3.5E</x:v>
      </x:c>
      <x:c r="E9" t="n">
        <x:f>COUNTIF('01_Test_Plan'!B5:B200,D9)</x:f>
        <x:v>12</x:v>
      </x:c>
      <x:c r="F9" t="n">
        <x:f>COUNTIFS('01_Test_Plan'!B5:B200,D9,'01_Test_Plan'!R5:R200,"Completed")</x:f>
        <x:v>0</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b9b772124c5b46d8"/>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sheetData>
  <x:mergeCells>
    <x:mergeCell ref="A1:F2"/>
  </x:mergeCells>
  <x:pageMargins left="0.7" right="0.7" top="0.75" bottom="0.75" header="0.3" footer="0.3"/>
</x:worksheet>
</file>