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4c3c246610e4426" /></Relationships>
</file>

<file path=xl/workbook.xml><?xml version="1.0" encoding="utf-8"?>
<x:workbook xmlns:x="http://schemas.openxmlformats.org/spreadsheetml/2006/main">
  <x:sheets>
    <x:sheet xmlns:r="http://schemas.openxmlformats.org/officeDocument/2006/relationships" name="00_Control" sheetId="1" r:id="Re0ab41f47e45433c"/>
    <x:sheet xmlns:r="http://schemas.openxmlformats.org/officeDocument/2006/relationships" name="01_Test_Plan" sheetId="2" r:id="R208eb2ec9b52434e"/>
    <x:sheet xmlns:r="http://schemas.openxmlformats.org/officeDocument/2006/relationships" name="02_Run_Results" sheetId="3" r:id="Rb8a3d416b2ae47f5"/>
    <x:sheet xmlns:r="http://schemas.openxmlformats.org/officeDocument/2006/relationships" name="03_Findings" sheetId="4" r:id="Raff8146a08824e3f"/>
    <x:sheet xmlns:r="http://schemas.openxmlformats.org/officeDocument/2006/relationships" name="04_Decisions" sheetId="5" r:id="Rf7c82049581048d3"/>
    <x:sheet xmlns:r="http://schemas.openxmlformats.org/officeDocument/2006/relationships" name="05_Dashboard" sheetId="6" r:id="R82a2bd3768c64ae7"/>
    <x:sheet xmlns:r="http://schemas.openxmlformats.org/officeDocument/2006/relationships" name="06_Definitions" sheetId="7" r:id="R7e940bae5dd44f91"/>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d0b18e1cb36449e" /><Relationship Type="http://schemas.openxmlformats.org/officeDocument/2006/relationships/theme" Target="/xl/theme/theme1.xml" Id="Rdaea11b2a9a740ea" /><Relationship Type="http://schemas.microsoft.com/office/2022/11/relationships/FeaturePropertyBag" Target="/xl/featurePropertyBag/featurePropertyBag.xml" Id="R7b2bb7598fd64bef" /><Relationship Type="http://schemas.openxmlformats.org/officeDocument/2006/relationships/sharedStrings" Target="/xl/sharedStrings.xml" Id="R7251fd1b0fa54e98" /><Relationship Type="http://schemas.openxmlformats.org/officeDocument/2006/relationships/worksheet" Target="/xl/worksheets/sheet1.xml" Id="Re0ab41f47e45433c" /><Relationship Type="http://schemas.openxmlformats.org/officeDocument/2006/relationships/worksheet" Target="/xl/worksheets/sheet2.xml" Id="R208eb2ec9b52434e" /><Relationship Type="http://schemas.openxmlformats.org/officeDocument/2006/relationships/worksheet" Target="/xl/worksheets/sheet3.xml" Id="Rb8a3d416b2ae47f5" /><Relationship Type="http://schemas.openxmlformats.org/officeDocument/2006/relationships/worksheet" Target="/xl/worksheets/sheet4.xml" Id="Raff8146a08824e3f" /><Relationship Type="http://schemas.openxmlformats.org/officeDocument/2006/relationships/worksheet" Target="/xl/worksheets/sheet5.xml" Id="Rf7c82049581048d3" /><Relationship Type="http://schemas.openxmlformats.org/officeDocument/2006/relationships/worksheet" Target="/xl/worksheets/sheet6.xml" Id="R82a2bd3768c64ae7" /><Relationship Type="http://schemas.openxmlformats.org/officeDocument/2006/relationships/worksheet" Target="/xl/worksheets/sheet7.xml" Id="R7e940bae5dd44f91" /></Relationships>
</file>

<file path=xl/drawings/_rels/drawing1.xml.rels>&#65279;<?xml version="1.0" encoding="utf-8"?><Relationships xmlns="http://schemas.openxmlformats.org/package/2006/relationships"><Relationship Type="http://schemas.openxmlformats.org/officeDocument/2006/relationships/chart" Target="/xl/drawings/charts/chart1.xml" Id="R2428437a0b2944c3"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428437a0b2944c3"/>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07d0a99d2054a4a" /></Relationships>
</file>

<file path=xl/worksheets/_rels/sheet6.xml.rels>&#65279;<?xml version="1.0" encoding="utf-8"?><Relationships xmlns="http://schemas.openxmlformats.org/package/2006/relationships"><Relationship Type="http://schemas.openxmlformats.org/officeDocument/2006/relationships/drawing" Target="/xl/drawings/drawing1.xml" Id="R6c1b1785ec5f47ff" /></Relationships>
</file>

<file path=xl/worksheets/sheet1.xml><?xml version="1.0" encoding="utf-8"?>
<x:worksheet xmlns:x="http://schemas.openxmlformats.org/spreadsheetml/2006/main">
  <x:sheetFormatPr defaultRowHeight="15"/>
  <x:cols>
    <x:col min="1" max="1" width="18" hidden="0" customWidth="1"/>
    <x:col min="2" max="2" width="24"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1.0.36</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0.14.1</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0.7.0</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x:c r="A26" s="21" t="str">
        <x:v>Estado campaña</x:v>
      </x:c>
      <x:c r="B26" t="str">
        <x:v>R3.5C IN PROGRESS — C-006 C2 PROGRESSION CLOSED / C2 RESCHEDULE NEXT</x:v>
      </x:c>
    </x:row>
    <x:row r="27">
      <x:c r="A27" s="21" t="str">
        <x:v>Siguiente test sugerido</x:v>
      </x:c>
      <x:c r="B27" t="str">
        <x:v>C-007 C2 Reschedule Across Configuration Window — design review</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 — proposed</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Two-phase design. Phase A (30 s, PERF-AC-1): origin ASSIGNED + destinations SCHEDULED at +60/+120/+180; stop with 3000 pending and 1000 open Occurrences. Phase B starts a new execution/window on the same volume with PERF-AC-2, same destinations but delays +90/+150/+210. Expect exactly 3000 RESCHEDULED at adoption, no new Occurrence/Episode, pending remains 3000 with revised due_at. Then three waves assign 1000 each at +90/+150/+210 relative to original occurrence.started_at. Final totals across both phases: ASSIGNED=4000, SCHEDULED=3000, RESCHEDULED=3000, REMOVED=0, final assignments=4000, pending=0.</x:v>
      </x:c>
      <x:c r="Q31" s="36" t="str">
        <x:v>Design review only. Do not mutate configuration mid-run because Runtime freezes Tool/alarm configuration within an execution window. Preserve the same durable volume between phases and change only alarm configuration revision/delays before Phase B. Keep destination keys identical so this isolates RESCHEDULED; REMOVED is a later test. Phase A should stop before +60 s; Phase B must run long enough to pass original +210 s deadline and should audit Occurrence identity preservation, revised due_at values, lifecycle commit count and intermediate pending waves.</x:v>
      </x:c>
      <x:c r="R31" s="36" t="str">
        <x:v>Planned</x:v>
      </x:c>
      <x:c r="S31" s="36" t="str">
        <x:v>C-006</x:v>
      </x:c>
      <x:c r="T31" s="36" t="str">
        <x:v>C-006 closes the base C2 temporal contract with exact +60/+120/+180 progression and no overruns. The next semantic gap is reconciliation of already-pending routes against a newly adopted configuration. A two-execution test respects the existing 10-minute configuration-freeze contract instead of introducing an artificial mid-window refresh.</x:v>
      </x:c>
    </x:row>
    <x:row r="32">
      <x:c r="A32" s="36" t="str">
        <x:v>C-011</x:v>
      </x:c>
      <x:c r="B32" s="36" t="str">
        <x:v>R3.5C</x:v>
      </x:c>
      <x:c r="C32" s="36" t="n">
        <x:v>40</x:v>
      </x:c>
      <x:c r="D32" s="36" t="str">
        <x:v>Deactivation/timer heavy</x:v>
      </x:c>
      <x:c r="E32" s="36" t="str">
        <x:v>Presionar timers y DeactivationEffects vigentes</x:v>
      </x:c>
      <x:c r="F32" s="36" t="n">
        <x:v>1000</x:v>
      </x:c>
      <x:c r="G32" s="36" t="str">
        <x:v>Local FS</x:v>
      </x:c>
      <x:c r="H32" s="36" t="str">
        <x:v>Mixed timers</x:v>
      </x:c>
      <x:c r="I32" s="36" t="str">
        <x:v>Balanced</x:v>
      </x:c>
      <x:c r="J32" s="36" t="str">
        <x:v>None</x:v>
      </x:c>
      <x:c r="K32" s="36" t="str">
        <x:v>Stable config</x:v>
      </x:c>
      <x:c r="L32" s="36" t="n">
        <x:v>10</x:v>
      </x:c>
      <x:c r="M32" s="36" t="n">
        <x:v>5</x:v>
      </x:c>
      <x:c r="N32" s="36" t="n">
        <x:v>10</x:v>
      </x:c>
      <x:c r="O32" s="36" t="str">
        <x:v>Functional pressure</x:v>
      </x:c>
      <x:c r="P32" s="36" t="str">
        <x:v>0 integrity errors</x:v>
      </x:c>
      <x:c r="Q32" s="36" t="str">
        <x:v>Observar hot state y deadlines</x:v>
      </x:c>
      <x:c r="R32" s="36" t="str">
        <x:v>Planned</x:v>
      </x:c>
      <x:c r="S32" s="36" t="str">
        <x:v>C-003</x:v>
      </x:c>
      <x:c r="T32" s="36" t="str"/>
    </x:row>
    <x:row r="33">
      <x:c r="A33" s="36" t="str">
        <x:v>D-001</x:v>
      </x:c>
      <x:c r="B33" s="36" t="str">
        <x:v>R3.5D</x:v>
      </x:c>
      <x:c r="C33" s="36" t="n">
        <x:v>50</x:v>
      </x:c>
      <x:c r="D33" s="36" t="str">
        <x:v>Single ManagementAction</x:v>
      </x:c>
      <x:c r="E33" s="36" t="str">
        <x:v>Medir latencia end-to-end de una gestión</x:v>
      </x:c>
      <x:c r="F33" s="36" t="n">
        <x:v>1000</x:v>
      </x:c>
      <x:c r="G33" s="36" t="str">
        <x:v>Local FS</x:v>
      </x:c>
      <x:c r="H33" s="36" t="str">
        <x:v>Steady-state</x:v>
      </x:c>
      <x:c r="I33" s="36" t="str">
        <x:v>Baseline</x:v>
      </x:c>
      <x:c r="J33" s="36" t="str">
        <x:v>1 management</x:v>
      </x:c>
      <x:c r="K33" s="36" t="str">
        <x:v>Stable config</x:v>
      </x:c>
      <x:c r="L33" s="36" t="n">
        <x:v>5</x:v>
      </x:c>
      <x:c r="M33" s="36" t="n">
        <x:v>5</x:v>
      </x:c>
      <x:c r="N33" s="36" t="n">
        <x:v>10</x:v>
      </x:c>
      <x:c r="O33" s="36" t="str">
        <x:v>Control-plane</x:v>
      </x:c>
      <x:c r="P33" s="36" t="str">
        <x:v>receipt durable + no duplicate</x:v>
      </x:c>
      <x:c r="Q33" s="36" t="str">
        <x:v>Medir ingress→receipt</x:v>
      </x:c>
      <x:c r="R33" s="36" t="str">
        <x:v>Planned</x:v>
      </x:c>
      <x:c r="S33" s="36" t="str">
        <x:v>C-001</x:v>
      </x:c>
      <x:c r="T33" s="36" t="str"/>
    </x:row>
    <x:row r="34">
      <x:c r="A34" s="36" t="str">
        <x:v>D-002</x:v>
      </x:c>
      <x:c r="B34" s="36" t="str">
        <x:v>R3.5D</x:v>
      </x:c>
      <x:c r="C34" s="36" t="n">
        <x:v>51</x:v>
      </x:c>
      <x:c r="D34" s="36" t="str">
        <x:v>Management continuous 1/s</x:v>
      </x:c>
      <x:c r="E34" s="36" t="str">
        <x:v>Medir carga sostenida de gestiones</x:v>
      </x:c>
      <x:c r="F34" s="36" t="n">
        <x:v>1000</x:v>
      </x:c>
      <x:c r="G34" s="36" t="str">
        <x:v>Local FS</x:v>
      </x:c>
      <x:c r="H34" s="36" t="str">
        <x:v>Operational churn</x:v>
      </x:c>
      <x:c r="I34" s="36" t="str">
        <x:v>Baseline</x:v>
      </x:c>
      <x:c r="J34" s="36" t="str">
        <x:v>1 management/s</x:v>
      </x:c>
      <x:c r="K34" s="36" t="str">
        <x:v>Stable config</x:v>
      </x:c>
      <x:c r="L34" s="36" t="n">
        <x:v>10</x:v>
      </x:c>
      <x:c r="M34" s="36" t="n">
        <x:v>5</x:v>
      </x:c>
      <x:c r="N34" s="36" t="n">
        <x:v>10</x:v>
      </x:c>
      <x:c r="O34" s="36" t="str">
        <x:v>Control-plane</x:v>
      </x:c>
      <x:c r="P34" s="36" t="str">
        <x:v>0 lost receipts / duplicates</x:v>
      </x:c>
      <x:c r="Q34" s="36" t="str">
        <x:v>p95 management latency</x:v>
      </x:c>
      <x:c r="R34" s="36" t="str">
        <x:v>Planned</x:v>
      </x:c>
      <x:c r="S34" s="36" t="str">
        <x:v>D-001</x:v>
      </x:c>
      <x:c r="T34" s="36" t="str"/>
    </x:row>
    <x:row r="35">
      <x:c r="A35" s="36" t="str">
        <x:v>D-003</x:v>
      </x:c>
      <x:c r="B35" s="36" t="str">
        <x:v>R3.5D</x:v>
      </x:c>
      <x:c r="C35" s="36" t="n">
        <x:v>52</x:v>
      </x:c>
      <x:c r="D35" s="36" t="str">
        <x:v>Management burst 50</x:v>
      </x:c>
      <x:c r="E35" s="36" t="str">
        <x:v>Medir absorción de burst</x:v>
      </x:c>
      <x:c r="F35" s="36" t="n">
        <x:v>1000</x:v>
      </x:c>
      <x:c r="G35" s="36" t="str">
        <x:v>Local FS</x:v>
      </x:c>
      <x:c r="H35" s="36" t="str">
        <x:v>Operational churn</x:v>
      </x:c>
      <x:c r="I35" s="36" t="str">
        <x:v>Baseline</x:v>
      </x:c>
      <x:c r="J35" s="36" t="str">
        <x:v>50 management burst</x:v>
      </x:c>
      <x:c r="K35" s="36" t="str">
        <x:v>Stable config</x:v>
      </x:c>
      <x:c r="L35" s="36" t="n">
        <x:v>10</x:v>
      </x:c>
      <x:c r="M35" s="36" t="n">
        <x:v>5</x:v>
      </x:c>
      <x:c r="N35" s="36" t="n">
        <x:v>10</x:v>
      </x:c>
      <x:c r="O35" s="36" t="str">
        <x:v>Stress</x:v>
      </x:c>
      <x:c r="P35" s="36" t="str">
        <x:v>0 lost receipts / duplicates</x:v>
      </x:c>
      <x:c r="Q35" s="36" t="str">
        <x:v>Observar backlog y recovery</x:v>
      </x:c>
      <x:c r="R35" s="36" t="str">
        <x:v>Planned</x:v>
      </x:c>
      <x:c r="S35" s="36" t="str">
        <x:v>D-002</x:v>
      </x:c>
      <x:c r="T35" s="36" t="str"/>
    </x:row>
    <x:row r="36">
      <x:c r="A36" s="36" t="str">
        <x:v>D-004</x:v>
      </x:c>
      <x:c r="B36" s="36" t="str">
        <x:v>R3.5D</x:v>
      </x:c>
      <x:c r="C36" s="36" t="n">
        <x:v>53</x:v>
      </x:c>
      <x:c r="D36" s="36" t="str">
        <x:v>Management burst 100</x:v>
      </x:c>
      <x:c r="E36" s="36" t="str">
        <x:v>Buscar techo de burst</x:v>
      </x:c>
      <x:c r="F36" s="36" t="n">
        <x:v>1000</x:v>
      </x:c>
      <x:c r="G36" s="36" t="str">
        <x:v>Local FS</x:v>
      </x:c>
      <x:c r="H36" s="36" t="str">
        <x:v>Operational churn</x:v>
      </x:c>
      <x:c r="I36" s="36" t="str">
        <x:v>Baseline</x:v>
      </x:c>
      <x:c r="J36" s="36" t="str">
        <x:v>100 management burst</x:v>
      </x:c>
      <x:c r="K36" s="36" t="str">
        <x:v>Stable config</x:v>
      </x:c>
      <x:c r="L36" s="36" t="n">
        <x:v>10</x:v>
      </x:c>
      <x:c r="M36" s="36" t="n">
        <x:v>5</x:v>
      </x:c>
      <x:c r="N36" s="36" t="n">
        <x:v>10</x:v>
      </x:c>
      <x:c r="O36" s="36" t="str">
        <x:v>Extreme</x:v>
      </x:c>
      <x:c r="P36" s="36" t="str">
        <x:v>0 lost receipts / duplicates</x:v>
      </x:c>
      <x:c r="Q36" s="36" t="str">
        <x:v>No fail sólo por latencia</x:v>
      </x:c>
      <x:c r="R36" s="36" t="str">
        <x:v>Planned</x:v>
      </x:c>
      <x:c r="S36" s="36" t="str">
        <x:v>D-003</x:v>
      </x:c>
      <x:c r="T36" s="36" t="str"/>
    </x:row>
    <x:row r="37">
      <x:c r="A37" s="36" t="str">
        <x:v>D-005</x:v>
      </x:c>
      <x:c r="B37" s="36" t="str">
        <x:v>R3.5D</x:v>
      </x:c>
      <x:c r="C37" s="36" t="n">
        <x:v>54</x:v>
      </x:c>
      <x:c r="D37" s="36" t="str">
        <x:v>Single DeactivationDecision</x:v>
      </x:c>
      <x:c r="E37" s="36" t="str">
        <x:v>Medir latencia de decisión</x:v>
      </x:c>
      <x:c r="F37" s="36" t="n">
        <x:v>1000</x:v>
      </x:c>
      <x:c r="G37" s="36" t="str">
        <x:v>Local FS</x:v>
      </x:c>
      <x:c r="H37" s="36" t="str">
        <x:v>Steady-state</x:v>
      </x:c>
      <x:c r="I37" s="36" t="str">
        <x:v>Baseline</x:v>
      </x:c>
      <x:c r="J37" s="36" t="str">
        <x:v>1 decision</x:v>
      </x:c>
      <x:c r="K37" s="36" t="str">
        <x:v>Stable config</x:v>
      </x:c>
      <x:c r="L37" s="36" t="n">
        <x:v>5</x:v>
      </x:c>
      <x:c r="M37" s="36" t="n">
        <x:v>5</x:v>
      </x:c>
      <x:c r="N37" s="36" t="n">
        <x:v>10</x:v>
      </x:c>
      <x:c r="O37" s="36" t="str">
        <x:v>Control-plane</x:v>
      </x:c>
      <x:c r="P37" s="36" t="str">
        <x:v>receipt durable + causalidad</x:v>
      </x:c>
      <x:c r="Q37" s="36" t="str">
        <x:v>Medir ingress→receipt</x:v>
      </x:c>
      <x:c r="R37" s="36" t="str">
        <x:v>Planned</x:v>
      </x:c>
      <x:c r="S37" s="36" t="str">
        <x:v>D-001</x:v>
      </x:c>
      <x:c r="T37" s="36" t="str"/>
    </x:row>
    <x:row r="38">
      <x:c r="A38" s="36" t="str">
        <x:v>D-006</x:v>
      </x:c>
      <x:c r="B38" s="36" t="str">
        <x:v>R3.5D</x:v>
      </x:c>
      <x:c r="C38" s="36" t="n">
        <x:v>55</x:v>
      </x:c>
      <x:c r="D38" s="36" t="str">
        <x:v>Decision continuous 1/s</x:v>
      </x:c>
      <x:c r="E38" s="36" t="str">
        <x:v>Medir decisiones sostenidas</x:v>
      </x:c>
      <x:c r="F38" s="36" t="n">
        <x:v>1000</x:v>
      </x:c>
      <x:c r="G38" s="36" t="str">
        <x:v>Local FS</x:v>
      </x:c>
      <x:c r="H38" s="36" t="str">
        <x:v>Operational churn</x:v>
      </x:c>
      <x:c r="I38" s="36" t="str">
        <x:v>Baseline</x:v>
      </x:c>
      <x:c r="J38" s="36" t="str">
        <x:v>1 decision/s</x:v>
      </x:c>
      <x:c r="K38" s="36" t="str">
        <x:v>Stable config</x:v>
      </x:c>
      <x:c r="L38" s="36" t="n">
        <x:v>10</x:v>
      </x:c>
      <x:c r="M38" s="36" t="n">
        <x:v>5</x:v>
      </x:c>
      <x:c r="N38" s="36" t="n">
        <x:v>10</x:v>
      </x:c>
      <x:c r="O38" s="36" t="str">
        <x:v>Control-plane</x:v>
      </x:c>
      <x:c r="P38" s="36" t="str">
        <x:v>0 lost receipts / duplicates</x:v>
      </x:c>
      <x:c r="Q38" s="36" t="str">
        <x:v>p95 decision latency</x:v>
      </x:c>
      <x:c r="R38" s="36" t="str">
        <x:v>Planned</x:v>
      </x:c>
      <x:c r="S38" s="36" t="str">
        <x:v>D-005</x:v>
      </x:c>
      <x:c r="T38" s="36" t="str"/>
    </x:row>
    <x:row r="39">
      <x:c r="A39" s="36" t="str">
        <x:v>D-007</x:v>
      </x:c>
      <x:c r="B39" s="36" t="str">
        <x:v>R3.5D</x:v>
      </x:c>
      <x:c r="C39" s="36" t="n">
        <x:v>56</x:v>
      </x:c>
      <x:c r="D39" s="36" t="str">
        <x:v>Decision burst 50</x:v>
      </x:c>
      <x:c r="E39" s="36" t="str">
        <x:v>Medir burst de decisiones</x:v>
      </x:c>
      <x:c r="F39" s="36" t="n">
        <x:v>1000</x:v>
      </x:c>
      <x:c r="G39" s="36" t="str">
        <x:v>Local FS</x:v>
      </x:c>
      <x:c r="H39" s="36" t="str">
        <x:v>Operational churn</x:v>
      </x:c>
      <x:c r="I39" s="36" t="str">
        <x:v>Baseline</x:v>
      </x:c>
      <x:c r="J39" s="36" t="str">
        <x:v>50 decision burst</x:v>
      </x:c>
      <x:c r="K39" s="36" t="str">
        <x:v>Stable config</x:v>
      </x:c>
      <x:c r="L39" s="36" t="n">
        <x:v>10</x:v>
      </x:c>
      <x:c r="M39" s="36" t="n">
        <x:v>5</x:v>
      </x:c>
      <x:c r="N39" s="36" t="n">
        <x:v>10</x:v>
      </x:c>
      <x:c r="O39" s="36" t="str">
        <x:v>Stress</x:v>
      </x:c>
      <x:c r="P39" s="36" t="str">
        <x:v>causalidad + idempotencia</x:v>
      </x:c>
      <x:c r="Q39" s="36" t="str">
        <x:v>Observar pending/cursors</x:v>
      </x:c>
      <x:c r="R39" s="36" t="str">
        <x:v>Planned</x:v>
      </x:c>
      <x:c r="S39" s="36" t="str">
        <x:v>D-006</x:v>
      </x:c>
      <x:c r="T39" s="36" t="str"/>
    </x:row>
    <x:row r="40">
      <x:c r="A40" s="36" t="str">
        <x:v>D-008</x:v>
      </x:c>
      <x:c r="B40" s="36" t="str">
        <x:v>R3.5D</x:v>
      </x:c>
      <x:c r="C40" s="36" t="n">
        <x:v>57</x:v>
      </x:c>
      <x:c r="D40" s="36" t="str">
        <x:v>Early decisions before requests</x:v>
      </x:c>
      <x:c r="E40" s="36" t="str">
        <x:v>Presionar pending correlation</x:v>
      </x:c>
      <x:c r="F40" s="36" t="n">
        <x:v>1000</x:v>
      </x:c>
      <x:c r="G40" s="36" t="str">
        <x:v>Local FS</x:v>
      </x:c>
      <x:c r="H40" s="36" t="str">
        <x:v>Operational churn</x:v>
      </x:c>
      <x:c r="I40" s="36" t="str">
        <x:v>Baseline</x:v>
      </x:c>
      <x:c r="J40" s="36" t="str">
        <x:v>Early decisions</x:v>
      </x:c>
      <x:c r="K40" s="36" t="str">
        <x:v>Stable config</x:v>
      </x:c>
      <x:c r="L40" s="36" t="n">
        <x:v>10</x:v>
      </x:c>
      <x:c r="M40" s="36" t="n">
        <x:v>5</x:v>
      </x:c>
      <x:c r="N40" s="36" t="n">
        <x:v>10</x:v>
      </x:c>
      <x:c r="O40" s="36" t="str">
        <x:v>Correctness + stress</x:v>
      </x:c>
      <x:c r="P40" s="36" t="str">
        <x:v>0 wrong correlation</x:v>
      </x:c>
      <x:c r="Q40" s="36" t="str">
        <x:v>Performance secundaria</x:v>
      </x:c>
      <x:c r="R40" s="36" t="str">
        <x:v>Planned</x:v>
      </x:c>
      <x:c r="S40" s="36" t="str">
        <x:v>D-007</x:v>
      </x:c>
      <x:c r="T40" s="36" t="str"/>
    </x:row>
    <x:row r="41">
      <x:c r="A41" s="36" t="str">
        <x:v>D-009</x:v>
      </x:c>
      <x:c r="B41" s="36" t="str">
        <x:v>R3.5D</x:v>
      </x:c>
      <x:c r="C41" s="36" t="n">
        <x:v>58</x:v>
      </x:c>
      <x:c r="D41" s="36" t="str">
        <x:v>Mixed Management + Decisions</x:v>
      </x:c>
      <x:c r="E41" s="36" t="str">
        <x:v>Control-plane mixto bajo carga</x:v>
      </x:c>
      <x:c r="F41" s="36" t="n">
        <x:v>1000</x:v>
      </x:c>
      <x:c r="G41" s="36" t="str">
        <x:v>Local FS</x:v>
      </x:c>
      <x:c r="H41" s="36" t="str">
        <x:v>Operational churn</x:v>
      </x:c>
      <x:c r="I41" s="36" t="str">
        <x:v>Baseline</x:v>
      </x:c>
      <x:c r="J41" s="36" t="str">
        <x:v>Mgmt + decisions continuous</x:v>
      </x:c>
      <x:c r="K41" s="36" t="str">
        <x:v>Stable config</x:v>
      </x:c>
      <x:c r="L41" s="36" t="n">
        <x:v>10</x:v>
      </x:c>
      <x:c r="M41" s="36" t="n">
        <x:v>5</x:v>
      </x:c>
      <x:c r="N41" s="36" t="n">
        <x:v>10</x:v>
      </x:c>
      <x:c r="O41" s="36" t="str">
        <x:v>Stress</x:v>
      </x:c>
      <x:c r="P41" s="36" t="str">
        <x:v>0 durable errors</x:v>
      </x:c>
      <x:c r="Q41" s="36" t="str">
        <x:v>Medir ambas latencias</x:v>
      </x:c>
      <x:c r="R41" s="36" t="str">
        <x:v>Planned</x:v>
      </x:c>
      <x:c r="S41" s="36" t="str">
        <x:v>D-008</x:v>
      </x:c>
      <x:c r="T41" s="36" t="str"/>
    </x:row>
    <x:row r="42">
      <x:c r="A42" s="36" t="str">
        <x:v>D-010</x:v>
      </x:c>
      <x:c r="B42" s="36" t="str">
        <x:v>R3.5D</x:v>
      </x:c>
      <x:c r="C42" s="36" t="n">
        <x:v>59</x:v>
      </x:c>
      <x:c r="D42" s="36" t="str">
        <x:v>Late decision after removal</x:v>
      </x:c>
      <x:c r="E42" s="36" t="str">
        <x:v>Validar STALE_TARGET bajo presión</x:v>
      </x:c>
      <x:c r="F42" s="36" t="n">
        <x:v>1000</x:v>
      </x:c>
      <x:c r="G42" s="36" t="str">
        <x:v>Local FS</x:v>
      </x:c>
      <x:c r="H42" s="36" t="str">
        <x:v>Operational churn</x:v>
      </x:c>
      <x:c r="I42" s="36" t="str">
        <x:v>Baseline</x:v>
      </x:c>
      <x:c r="J42" s="36" t="str">
        <x:v>Late decisions</x:v>
      </x:c>
      <x:c r="K42" s="36" t="str">
        <x:v>Alarm removed</x:v>
      </x:c>
      <x:c r="L42" s="36" t="n">
        <x:v>10</x:v>
      </x:c>
      <x:c r="M42" s="36" t="n">
        <x:v>5</x:v>
      </x:c>
      <x:c r="N42" s="36" t="n">
        <x:v>10</x:v>
      </x:c>
      <x:c r="O42" s="36" t="str">
        <x:v>Correctness</x:v>
      </x:c>
      <x:c r="P42" s="36" t="str">
        <x:v>STALE_TARGET correcto</x:v>
      </x:c>
      <x:c r="Q42" s="36" t="str">
        <x:v>Performance secundaria</x:v>
      </x:c>
      <x:c r="R42" s="36" t="str">
        <x:v>Planned</x:v>
      </x:c>
      <x:c r="S42" s="36" t="str">
        <x:v>D-009</x:v>
      </x:c>
      <x:c r="T42" s="36" t="str"/>
    </x:row>
    <x:row r="43">
      <x:c r="A43" s="36" t="str">
        <x:v>E-001</x:v>
      </x:c>
      <x:c r="B43" s="36" t="str">
        <x:v>R3.5E</x:v>
      </x:c>
      <x:c r="C43" s="36" t="n">
        <x:v>70</x:v>
      </x:c>
      <x:c r="D43" s="36" t="str">
        <x:v>Parameter-only adoption</x:v>
      </x:c>
      <x:c r="E43" s="36" t="str">
        <x:v>Medir adopción compatible sin commit artificial</x:v>
      </x:c>
      <x:c r="F43" s="36" t="n">
        <x:v>1000</x:v>
      </x:c>
      <x:c r="G43" s="36" t="str">
        <x:v>Local FS</x:v>
      </x:c>
      <x:c r="H43" s="36" t="str">
        <x:v>Operational churn</x:v>
      </x:c>
      <x:c r="I43" s="36" t="str">
        <x:v>Baseline</x:v>
      </x:c>
      <x:c r="J43" s="36" t="str">
        <x:v>None</x:v>
      </x:c>
      <x:c r="K43" s="36" t="str">
        <x:v>Parameter change</x:v>
      </x:c>
      <x:c r="L43" s="36" t="n">
        <x:v>10</x:v>
      </x:c>
      <x:c r="M43" s="36" t="n">
        <x:v>5</x:v>
      </x:c>
      <x:c r="N43" s="36" t="n">
        <x:v>10</x:v>
      </x:c>
      <x:c r="O43" s="36" t="str">
        <x:v>Config adoption</x:v>
      </x:c>
      <x:c r="P43" s="36" t="str">
        <x:v>0 duplicate durable effects</x:v>
      </x:c>
      <x:c r="Q43" s="36" t="str">
        <x:v>Resolution+planner+promotion</x:v>
      </x:c>
      <x:c r="R43" s="36" t="str">
        <x:v>Planned</x:v>
      </x:c>
      <x:c r="S43" s="36" t="str">
        <x:v>C-001</x:v>
      </x:c>
      <x:c r="T43" s="36" t="str"/>
    </x:row>
    <x:row r="44">
      <x:c r="A44" s="36" t="str">
        <x:v>E-002</x:v>
      </x:c>
      <x:c r="B44" s="36" t="str">
        <x:v>R3.5E</x:v>
      </x:c>
      <x:c r="C44" s="36" t="n">
        <x:v>71</x:v>
      </x:c>
      <x:c r="D44" s="36" t="str">
        <x:v>C2 routing adoption</x:v>
      </x:c>
      <x:c r="E44" s="36" t="str">
        <x:v>Medir reconciliación C2</x:v>
      </x:c>
      <x:c r="F44" s="36" t="n">
        <x:v>1000</x:v>
      </x:c>
      <x:c r="G44" s="36" t="str">
        <x:v>Local FS</x:v>
      </x:c>
      <x:c r="H44" s="36" t="str">
        <x:v>Operational churn</x:v>
      </x:c>
      <x:c r="I44" s="36" t="str">
        <x:v>C2-heavy</x:v>
      </x:c>
      <x:c r="J44" s="36" t="str">
        <x:v>None</x:v>
      </x:c>
      <x:c r="K44" s="36" t="str">
        <x:v>C2 routing change</x:v>
      </x:c>
      <x:c r="L44" s="36" t="n">
        <x:v>10</x:v>
      </x:c>
      <x:c r="M44" s="36" t="n">
        <x:v>5</x:v>
      </x:c>
      <x:c r="N44" s="36" t="n">
        <x:v>10</x:v>
      </x:c>
      <x:c r="O44" s="36" t="str">
        <x:v>Config adoption</x:v>
      </x:c>
      <x:c r="P44" s="36" t="str">
        <x:v>0 routing corruption</x:v>
      </x:c>
      <x:c r="Q44" s="36" t="str">
        <x:v>Adoption duration</x:v>
      </x:c>
      <x:c r="R44" s="36" t="str">
        <x:v>Planned</x:v>
      </x:c>
      <x:c r="S44" s="36" t="str">
        <x:v>E-001</x:v>
      </x:c>
      <x:c r="T44" s="36" t="str"/>
    </x:row>
    <x:row r="45">
      <x:c r="A45" s="36" t="str">
        <x:v>E-003</x:v>
      </x:c>
      <x:c r="B45" s="36" t="str">
        <x:v>R3.5E</x:v>
      </x:c>
      <x:c r="C45" s="36" t="n">
        <x:v>72</x:v>
      </x:c>
      <x:c r="D45" s="36" t="str">
        <x:v>Disabled 10%</x:v>
      </x:c>
      <x:c r="E45" s="36" t="str">
        <x:v>Medir cierres por config</x:v>
      </x:c>
      <x:c r="F45" s="36" t="n">
        <x:v>1000</x:v>
      </x:c>
      <x:c r="G45" s="36" t="str">
        <x:v>Local FS</x:v>
      </x:c>
      <x:c r="H45" s="36" t="str">
        <x:v>Operational churn</x:v>
      </x:c>
      <x:c r="I45" s="36" t="str">
        <x:v>Balanced</x:v>
      </x:c>
      <x:c r="J45" s="36" t="str">
        <x:v>None</x:v>
      </x:c>
      <x:c r="K45" s="36" t="str">
        <x:v>10% disabled</x:v>
      </x:c>
      <x:c r="L45" s="36" t="n">
        <x:v>10</x:v>
      </x:c>
      <x:c r="M45" s="36" t="n">
        <x:v>5</x:v>
      </x:c>
      <x:c r="N45" s="36" t="n">
        <x:v>10</x:v>
      </x:c>
      <x:c r="O45" s="36" t="str">
        <x:v>Config adoption</x:v>
      </x:c>
      <x:c r="P45" s="36" t="str">
        <x:v>correct closures</x:v>
      </x:c>
      <x:c r="Q45" s="36" t="str">
        <x:v>WAL/snapshot spike</x:v>
      </x:c>
      <x:c r="R45" s="36" t="str">
        <x:v>Planned</x:v>
      </x:c>
      <x:c r="S45" s="36" t="str">
        <x:v>E-001</x:v>
      </x:c>
      <x:c r="T45" s="36" t="str"/>
    </x:row>
    <x:row r="46">
      <x:c r="A46" s="36" t="str">
        <x:v>E-004</x:v>
      </x:c>
      <x:c r="B46" s="36" t="str">
        <x:v>R3.5E</x:v>
      </x:c>
      <x:c r="C46" s="36" t="n">
        <x:v>73</x:v>
      </x:c>
      <x:c r="D46" s="36" t="str">
        <x:v>Removed 10%</x:v>
      </x:c>
      <x:c r="E46" s="36" t="str">
        <x:v>Medir removal + orphan deactivation handling</x:v>
      </x:c>
      <x:c r="F46" s="36" t="n">
        <x:v>1000</x:v>
      </x:c>
      <x:c r="G46" s="36" t="str">
        <x:v>Local FS</x:v>
      </x:c>
      <x:c r="H46" s="36" t="str">
        <x:v>Operational churn</x:v>
      </x:c>
      <x:c r="I46" s="36" t="str">
        <x:v>Balanced</x:v>
      </x:c>
      <x:c r="J46" s="36" t="str">
        <x:v>None</x:v>
      </x:c>
      <x:c r="K46" s="36" t="str">
        <x:v>10% removed</x:v>
      </x:c>
      <x:c r="L46" s="36" t="n">
        <x:v>10</x:v>
      </x:c>
      <x:c r="M46" s="36" t="n">
        <x:v>5</x:v>
      </x:c>
      <x:c r="N46" s="36" t="n">
        <x:v>10</x:v>
      </x:c>
      <x:c r="O46" s="36" t="str">
        <x:v>Config adoption</x:v>
      </x:c>
      <x:c r="P46" s="36" t="str">
        <x:v>correct closures / preserved effects</x:v>
      </x:c>
      <x:c r="Q46" s="36" t="str">
        <x:v>Adoption duration</x:v>
      </x:c>
      <x:c r="R46" s="36" t="str">
        <x:v>Planned</x:v>
      </x:c>
      <x:c r="S46" s="36" t="str">
        <x:v>E-003</x:v>
      </x:c>
      <x:c r="T46" s="36" t="str"/>
    </x:row>
    <x:row r="47">
      <x:c r="A47" s="36" t="str">
        <x:v>E-005</x:v>
      </x:c>
      <x:c r="B47" s="36" t="str">
        <x:v>R3.5E</x:v>
      </x:c>
      <x:c r="C47" s="36" t="n">
        <x:v>74</x:v>
      </x:c>
      <x:c r="D47" s="36" t="str">
        <x:v>Structural reset 5%</x:v>
      </x:c>
      <x:c r="E47" s="36" t="str">
        <x:v>Medir resets y siguiente iteración inmediata</x:v>
      </x:c>
      <x:c r="F47" s="36" t="n">
        <x:v>1000</x:v>
      </x:c>
      <x:c r="G47" s="36" t="str">
        <x:v>Local FS</x:v>
      </x:c>
      <x:c r="H47" s="36" t="str">
        <x:v>Operational churn</x:v>
      </x:c>
      <x:c r="I47" s="36" t="str">
        <x:v>Mixed</x:v>
      </x:c>
      <x:c r="J47" s="36" t="str">
        <x:v>None</x:v>
      </x:c>
      <x:c r="K47" s="36" t="str">
        <x:v>5% structural reset</x:v>
      </x:c>
      <x:c r="L47" s="36" t="n">
        <x:v>10</x:v>
      </x:c>
      <x:c r="M47" s="36" t="n">
        <x:v>5</x:v>
      </x:c>
      <x:c r="N47" s="36" t="n">
        <x:v>10</x:v>
      </x:c>
      <x:c r="O47" s="36" t="str">
        <x:v>Config adoption</x:v>
      </x:c>
      <x:c r="P47" s="36" t="str">
        <x:v>1 durable unit/iteration</x:v>
      </x:c>
      <x:c r="Q47" s="36" t="str">
        <x:v>Bypass 0 delay</x:v>
      </x:c>
      <x:c r="R47" s="36" t="str">
        <x:v>Planned</x:v>
      </x:c>
      <x:c r="S47" s="36" t="str">
        <x:v>E-002</x:v>
      </x:c>
      <x:c r="T47" s="36" t="str"/>
    </x:row>
    <x:row r="48">
      <x:c r="A48" s="36" t="str">
        <x:v>E-006</x:v>
      </x:c>
      <x:c r="B48" s="36" t="str">
        <x:v>R3.5E</x:v>
      </x:c>
      <x:c r="C48" s="36" t="n">
        <x:v>75</x:v>
      </x:c>
      <x:c r="D48" s="36" t="str">
        <x:v>Large mixed revision</x:v>
      </x:c>
      <x:c r="E48" s="36" t="str">
        <x:v>Combinar compatible/disabled/removed/reset</x:v>
      </x:c>
      <x:c r="F48" s="36" t="n">
        <x:v>1000</x:v>
      </x:c>
      <x:c r="G48" s="36" t="str">
        <x:v>Local FS</x:v>
      </x:c>
      <x:c r="H48" s="36" t="str">
        <x:v>Operational churn</x:v>
      </x:c>
      <x:c r="I48" s="36" t="str">
        <x:v>Mixed</x:v>
      </x:c>
      <x:c r="J48" s="36" t="str">
        <x:v>None</x:v>
      </x:c>
      <x:c r="K48" s="36" t="str">
        <x:v>Large mixed revision</x:v>
      </x:c>
      <x:c r="L48" s="36" t="n">
        <x:v>10</x:v>
      </x:c>
      <x:c r="M48" s="36" t="n">
        <x:v>5</x:v>
      </x:c>
      <x:c r="N48" s="36" t="n">
        <x:v>10</x:v>
      </x:c>
      <x:c r="O48" s="36" t="str">
        <x:v>Stress</x:v>
      </x:c>
      <x:c r="P48" s="36" t="str">
        <x:v>0 durable errors</x:v>
      </x:c>
      <x:c r="Q48" s="36" t="str">
        <x:v>Caracterizar adoption peak</x:v>
      </x:c>
      <x:c r="R48" s="36" t="str">
        <x:v>Planned</x:v>
      </x:c>
      <x:c r="S48" s="36" t="str">
        <x:v>E-005</x:v>
      </x:c>
      <x:c r="T48" s="36" t="str"/>
    </x:row>
    <x:row r="49">
      <x:c r="A49" s="36" t="str">
        <x:v>E-007</x:v>
      </x:c>
      <x:c r="B49" s="36" t="str">
        <x:v>R3.5E</x:v>
      </x:c>
      <x:c r="C49" s="36" t="n">
        <x:v>76</x:v>
      </x:c>
      <x:c r="D49" s="36" t="str">
        <x:v>Rejected target</x:v>
      </x:c>
      <x:c r="E49" s="36" t="str">
        <x:v>Validar last-known-good bajo rechazo</x:v>
      </x:c>
      <x:c r="F49" s="36" t="n">
        <x:v>1000</x:v>
      </x:c>
      <x:c r="G49" s="36" t="str">
        <x:v>Local FS</x:v>
      </x:c>
      <x:c r="H49" s="36" t="str">
        <x:v>Steady-state</x:v>
      </x:c>
      <x:c r="I49" s="36" t="str">
        <x:v>Baseline</x:v>
      </x:c>
      <x:c r="J49" s="36" t="str">
        <x:v>None</x:v>
      </x:c>
      <x:c r="K49" s="36" t="str">
        <x:v>Rejected revision</x:v>
      </x:c>
      <x:c r="L49" s="36" t="n">
        <x:v>10</x:v>
      </x:c>
      <x:c r="M49" s="36" t="n">
        <x:v>5</x:v>
      </x:c>
      <x:c r="N49" s="36" t="n">
        <x:v>10</x:v>
      </x:c>
      <x:c r="O49" s="36" t="str">
        <x:v>Failure</x:v>
      </x:c>
      <x:c r="P49" s="36" t="str">
        <x:v>LKG preserved</x:v>
      </x:c>
      <x:c r="Q49" s="36" t="str">
        <x:v>Debe continuar degradado</x:v>
      </x:c>
      <x:c r="R49" s="36" t="str">
        <x:v>Planned</x:v>
      </x:c>
      <x:c r="S49" s="36" t="str">
        <x:v>E-001</x:v>
      </x:c>
      <x:c r="T49" s="36" t="str"/>
    </x:row>
    <x:row r="50">
      <x:c r="A50" s="36" t="str">
        <x:v>E-008</x:v>
      </x:c>
      <x:c r="B50" s="36" t="str">
        <x:v>R3.5E</x:v>
      </x:c>
      <x:c r="C50" s="36" t="n">
        <x:v>77</x:v>
      </x:c>
      <x:c r="D50" s="36" t="str">
        <x:v>Source unavailable</x:v>
      </x:c>
      <x:c r="E50" s="36" t="str">
        <x:v>Validar CACHE_FALLBACK bajo carga</x:v>
      </x:c>
      <x:c r="F50" s="36" t="n">
        <x:v>1000</x:v>
      </x:c>
      <x:c r="G50" s="36" t="str">
        <x:v>Local FS</x:v>
      </x:c>
      <x:c r="H50" s="36" t="str">
        <x:v>Operational churn</x:v>
      </x:c>
      <x:c r="I50" s="36" t="str">
        <x:v>Baseline</x:v>
      </x:c>
      <x:c r="J50" s="36" t="str">
        <x:v>None</x:v>
      </x:c>
      <x:c r="K50" s="36" t="str">
        <x:v>Source unavailable</x:v>
      </x:c>
      <x:c r="L50" s="36" t="n">
        <x:v>10</x:v>
      </x:c>
      <x:c r="M50" s="36" t="n">
        <x:v>5</x:v>
      </x:c>
      <x:c r="N50" s="36" t="n">
        <x:v>10</x:v>
      </x:c>
      <x:c r="O50" s="36" t="str">
        <x:v>Failure</x:v>
      </x:c>
      <x:c r="P50" s="36" t="str">
        <x:v>LKG preserved</x:v>
      </x:c>
      <x:c r="Q50" s="36" t="str">
        <x:v>Continuidad degradada</x:v>
      </x:c>
      <x:c r="R50" s="36" t="str">
        <x:v>Planned</x:v>
      </x:c>
      <x:c r="S50" s="36" t="str">
        <x:v>E-007</x:v>
      </x:c>
      <x:c r="T50" s="36" t="str"/>
    </x:row>
    <x:row r="51">
      <x:c r="A51" s="36" t="str">
        <x:v>E-009</x:v>
      </x:c>
      <x:c r="B51" s="36" t="str">
        <x:v>R3.5E</x:v>
      </x:c>
      <x:c r="C51" s="36" t="n">
        <x:v>78</x:v>
      </x:c>
      <x:c r="D51" s="36" t="str">
        <x:v>Invalid source candidate</x:v>
      </x:c>
      <x:c r="E51" s="36" t="str">
        <x:v>Validar candidate inválido sin reemplazar cache</x:v>
      </x:c>
      <x:c r="F51" s="36" t="n">
        <x:v>1000</x:v>
      </x:c>
      <x:c r="G51" s="36" t="str">
        <x:v>Local FS</x:v>
      </x:c>
      <x:c r="H51" s="36" t="str">
        <x:v>Operational churn</x:v>
      </x:c>
      <x:c r="I51" s="36" t="str">
        <x:v>Baseline</x:v>
      </x:c>
      <x:c r="J51" s="36" t="str">
        <x:v>None</x:v>
      </x:c>
      <x:c r="K51" s="36" t="str">
        <x:v>Invalid candidate</x:v>
      </x:c>
      <x:c r="L51" s="36" t="n">
        <x:v>10</x:v>
      </x:c>
      <x:c r="M51" s="36" t="n">
        <x:v>5</x:v>
      </x:c>
      <x:c r="N51" s="36" t="n">
        <x:v>10</x:v>
      </x:c>
      <x:c r="O51" s="36" t="str">
        <x:v>Failure</x:v>
      </x:c>
      <x:c r="P51" s="36" t="str">
        <x:v>cache unchanged</x:v>
      </x:c>
      <x:c r="Q51" s="36" t="str">
        <x:v>Continuidad degradada</x:v>
      </x:c>
      <x:c r="R51" s="36" t="str">
        <x:v>Planned</x:v>
      </x:c>
      <x:c r="S51" s="36" t="str">
        <x:v>E-008</x:v>
      </x:c>
      <x:c r="T51" s="36" t="str"/>
    </x:row>
    <x:row r="52">
      <x:c r="A52" s="36" t="str">
        <x:v>E-010</x:v>
      </x:c>
      <x:c r="B52" s="36" t="str">
        <x:v>R3.5E</x:v>
      </x:c>
      <x:c r="C52" s="36" t="n">
        <x:v>79</x:v>
      </x:c>
      <x:c r="D52" s="36" t="str">
        <x:v>Lease lost after WAL before cache</x:v>
      </x:c>
      <x:c r="E52" s="36" t="str">
        <x:v>Validar replay idempotente de adopción</x:v>
      </x:c>
      <x:c r="F52" s="36" t="n">
        <x:v>1000</x:v>
      </x:c>
      <x:c r="G52" s="36" t="str">
        <x:v>SMB</x:v>
      </x:c>
      <x:c r="H52" s="36" t="str">
        <x:v>Operational churn</x:v>
      </x:c>
      <x:c r="I52" s="36" t="str">
        <x:v>Baseline</x:v>
      </x:c>
      <x:c r="J52" s="36" t="str">
        <x:v>None</x:v>
      </x:c>
      <x:c r="K52" s="36" t="str">
        <x:v>Lease loss window</x:v>
      </x:c>
      <x:c r="L52" s="36" t="n">
        <x:v>10</x:v>
      </x:c>
      <x:c r="M52" s="36" t="n">
        <x:v>5</x:v>
      </x:c>
      <x:c r="N52" s="36" t="n">
        <x:v>10</x:v>
      </x:c>
      <x:c r="O52" s="36" t="str">
        <x:v>Failure</x:v>
      </x:c>
      <x:c r="P52" s="36" t="str">
        <x:v>no stale cache promotion</x:v>
      </x:c>
      <x:c r="Q52" s="36" t="str">
        <x:v>Recovery/replay correcto</x:v>
      </x:c>
      <x:c r="R52" s="36" t="str">
        <x:v>Conditional</x:v>
      </x:c>
      <x:c r="S52" s="36" t="str">
        <x:v>SMB environment</x:v>
      </x:c>
      <x:c r="T52" s="36" t="str"/>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None</x:v>
      </x:c>
      <x:c r="K53" s="36" t="str">
        <x:v>Injected cache write failure</x:v>
      </x:c>
      <x:c r="L53" s="36" t="n">
        <x:v>10</x:v>
      </x:c>
      <x:c r="M53" s="36" t="n">
        <x:v>5</x:v>
      </x:c>
      <x:c r="N53" s="36" t="n">
        <x:v>10</x:v>
      </x:c>
      <x:c r="O53" s="36" t="str">
        <x:v>Failure</x:v>
      </x:c>
      <x:c r="P53" s="36" t="str">
        <x:v>no new operational cycle</x:v>
      </x:c>
      <x:c r="Q53" s="36" t="str">
        <x:v>Debe detener run</x:v>
      </x:c>
      <x:c r="R53" s="36" t="str">
        <x:v>Planned</x:v>
      </x:c>
      <x:c r="S53" s="36" t="str">
        <x:v>E-006</x:v>
      </x:c>
      <x:c r="T53" s="36" t="str"/>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Operational churn</x:v>
      </x:c>
      <x:c r="I54" s="36" t="str">
        <x:v>Mixed</x:v>
      </x:c>
      <x:c r="J54" s="36" t="str">
        <x:v>Mgmt + decisions</x:v>
      </x:c>
      <x:c r="K54" s="36" t="str">
        <x:v>Stop/drain</x:v>
      </x:c>
      <x:c r="L54" s="36" t="n">
        <x:v>10</x:v>
      </x:c>
      <x:c r="M54" s="36" t="n">
        <x:v>5</x:v>
      </x:c>
      <x:c r="N54" s="36" t="n">
        <x:v>10</x:v>
      </x:c>
      <x:c r="O54" s="36" t="str">
        <x:v>Drain</x:v>
      </x:c>
      <x:c r="P54" s="36" t="str">
        <x:v>durable==materialized</x:v>
      </x:c>
      <x:c r="Q54" s="36" t="str">
        <x:v>Drain duration separada</x:v>
      </x:c>
      <x:c r="R54" s="36" t="str">
        <x:v>Planned</x:v>
      </x:c>
      <x:c r="S54" s="36" t="str">
        <x:v>D-009</x:v>
      </x:c>
      <x:c r="T54" s="36" t="str"/>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f07d0a99d2054a4a"/>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row>
    <x:row r="31">
      <x:c r="A31" s="32"/>
      <x:c r="B31" s="32"/>
      <x:c r="C31" s="42"/>
      <x:c r="D31" s="32"/>
      <x:c r="E31" s="32"/>
      <x:c r="F31" s="32"/>
      <x:c r="G31" s="32"/>
      <x:c r="H31" s="32"/>
      <x:c r="I31" s="32"/>
      <x:c r="J31" s="32"/>
      <x:c r="K31" s="32"/>
      <x:c r="L31" s="32"/>
      <x:c r="M31" s="32"/>
      <x:c r="N31" s="32"/>
      <x:c r="O31" s="32"/>
      <x:c r="P31" s="32"/>
      <x:c r="Q31" s="32"/>
      <x:c r="R31" s="32"/>
      <x:c r="S31" s="32"/>
      <x:c r="T31" s="43" t="str">
        <x:f>IFERROR(S31/L31,"")</x:f>
      </x:c>
      <x:c r="U31" s="32"/>
      <x:c r="V31" s="32"/>
      <x:c r="W31" s="32"/>
      <x:c r="X31" s="32"/>
      <x:c r="Y31" s="32"/>
      <x:c r="Z31" s="32"/>
      <x:c r="AA31" s="32"/>
      <x:c r="AB31" s="32"/>
      <x:c r="AC31" s="32"/>
      <x:c r="AD31" s="32"/>
      <x:c r="AE31" s="32"/>
      <x:c r="AF31" s="32"/>
      <x:c r="AG31" s="32"/>
      <x:c r="AH31" s="32"/>
      <x:c r="AI31" s="32"/>
      <x:c r="AJ31" s="32"/>
      <x:c r="AK31" s="32"/>
      <x:c r="AL31" s="32"/>
      <x:c r="AM31" s="32"/>
      <x:c r="AN31" s="32"/>
      <x:c r="AO31" s="32"/>
      <x:c r="AP31" s="32"/>
      <x:c r="AQ31" s="32"/>
      <x:c r="AR31" s="32"/>
      <x:c r="AS31" s="32"/>
      <x:c r="AT31" s="32"/>
      <x:c r="AU31" s="32"/>
      <x:c r="AV31" s="32"/>
      <x:c r="AW31" s="32"/>
      <x:c r="AX31" s="32"/>
      <x:c r="AZ31" s="32"/>
      <x:c r="BA31" s="32"/>
      <x:c r="BB31" s="32"/>
      <x:c r="BC31" s="32"/>
      <x:c r="BD31" s="32"/>
      <x:c r="BE31" s="32"/>
      <x:c r="BF31" s="32"/>
      <x:c r="BG31" s="32"/>
      <x:c r="BH31" s="32"/>
      <x:c r="BI31" s="32"/>
      <x:c r="BJ31" s="32"/>
      <x:c r="BK31" s="32"/>
      <x:c r="BL31" s="32"/>
      <x:c r="BM31" s="32"/>
    </x:row>
    <x:row r="32">
      <x:c r="A32" s="32"/>
      <x:c r="B32" s="32"/>
      <x:c r="C32" s="42"/>
      <x:c r="D32" s="32"/>
      <x:c r="E32" s="32"/>
      <x:c r="F32" s="32"/>
      <x:c r="G32" s="32"/>
      <x:c r="H32" s="32"/>
      <x:c r="I32" s="32"/>
      <x:c r="J32" s="32"/>
      <x:c r="K32" s="32"/>
      <x:c r="L32" s="32"/>
      <x:c r="M32" s="32"/>
      <x:c r="N32" s="32"/>
      <x:c r="O32" s="32"/>
      <x:c r="P32" s="32"/>
      <x:c r="Q32" s="32"/>
      <x:c r="R32" s="32"/>
      <x:c r="S32" s="32"/>
      <x:c r="T32" s="43" t="str">
        <x:f>IFERROR(S32/L32,"")</x:f>
      </x:c>
      <x:c r="U32" s="32"/>
      <x:c r="V32" s="32"/>
      <x:c r="W32" s="32"/>
      <x:c r="X32" s="32"/>
      <x:c r="Y32" s="32"/>
      <x:c r="Z32" s="32"/>
      <x:c r="AA32" s="32"/>
      <x:c r="AB32" s="32"/>
      <x:c r="AC32" s="32"/>
      <x:c r="AD32" s="32"/>
      <x:c r="AE32" s="32"/>
      <x:c r="AF32" s="32"/>
      <x:c r="AG32" s="32"/>
      <x:c r="AH32" s="32"/>
      <x:c r="AI32" s="32"/>
      <x:c r="AJ32" s="32"/>
      <x:c r="AK32" s="32"/>
      <x:c r="AL32" s="32"/>
      <x:c r="AM32" s="32"/>
      <x:c r="AN32" s="32"/>
      <x:c r="AO32" s="32"/>
      <x:c r="AP32" s="32"/>
      <x:c r="AQ32" s="32"/>
      <x:c r="AR32" s="32"/>
      <x:c r="AS32" s="32"/>
      <x:c r="AT32" s="32"/>
      <x:c r="AU32" s="32"/>
      <x:c r="AV32" s="32"/>
      <x:c r="AW32" s="32"/>
      <x:c r="AX32" s="32"/>
      <x:c r="AZ32" s="32"/>
      <x:c r="BA32" s="32"/>
      <x:c r="BB32" s="32"/>
      <x:c r="BC32" s="32"/>
      <x:c r="BD32" s="32"/>
      <x:c r="BE32" s="32"/>
      <x:c r="BF32" s="32"/>
      <x:c r="BG32" s="32"/>
      <x:c r="BH32" s="32"/>
      <x:c r="BI32" s="32"/>
      <x:c r="BJ32" s="32"/>
      <x:c r="BK32" s="32"/>
      <x:c r="BL32" s="32"/>
      <x:c r="BM32" s="32"/>
    </x:row>
    <x:row r="33">
      <x:c r="A33" s="32"/>
      <x:c r="B33" s="32"/>
      <x:c r="C33" s="42"/>
      <x:c r="D33" s="32"/>
      <x:c r="E33" s="32"/>
      <x:c r="F33" s="32"/>
      <x:c r="G33" s="32"/>
      <x:c r="H33" s="32"/>
      <x:c r="I33" s="32"/>
      <x:c r="J33" s="32"/>
      <x:c r="K33" s="32"/>
      <x:c r="L33" s="32"/>
      <x:c r="M33" s="32"/>
      <x:c r="N33" s="32"/>
      <x:c r="O33" s="32"/>
      <x:c r="P33" s="32"/>
      <x:c r="Q33" s="32"/>
      <x:c r="R33" s="32"/>
      <x:c r="S33" s="32"/>
      <x:c r="T33" s="43" t="str">
        <x:f>IFERROR(S33/L33,"")</x:f>
      </x:c>
      <x:c r="U33" s="32"/>
      <x:c r="V33" s="32"/>
      <x:c r="W33" s="32"/>
      <x:c r="X33" s="32"/>
      <x:c r="Y33" s="32"/>
      <x:c r="Z33" s="32"/>
      <x:c r="AA33" s="32"/>
      <x:c r="AB33" s="32"/>
      <x:c r="AC33" s="32"/>
      <x:c r="AD33" s="32"/>
      <x:c r="AE33" s="32"/>
      <x:c r="AF33" s="32"/>
      <x:c r="AG33" s="32"/>
      <x:c r="AH33" s="32"/>
      <x:c r="AI33" s="32"/>
      <x:c r="AJ33" s="32"/>
      <x:c r="AK33" s="32"/>
      <x:c r="AL33" s="32"/>
      <x:c r="AM33" s="32"/>
      <x:c r="AN33" s="32"/>
      <x:c r="AO33" s="32"/>
      <x:c r="AP33" s="32"/>
      <x:c r="AQ33" s="32"/>
      <x:c r="AR33" s="32"/>
      <x:c r="AS33" s="32"/>
      <x:c r="AT33" s="32"/>
      <x:c r="AU33" s="32"/>
      <x:c r="AV33" s="32"/>
      <x:c r="AW33" s="32"/>
      <x:c r="AX33" s="32"/>
      <x:c r="AZ33" s="32"/>
      <x:c r="BA33" s="32"/>
      <x:c r="BB33" s="32"/>
      <x:c r="BC33" s="32"/>
      <x:c r="BD33" s="32"/>
      <x:c r="BE33" s="32"/>
      <x:c r="BF33" s="32"/>
      <x:c r="BG33" s="32"/>
      <x:c r="BH33" s="32"/>
      <x:c r="BI33" s="32"/>
      <x:c r="BJ33" s="32"/>
      <x:c r="BK33" s="32"/>
      <x:c r="BL33" s="32"/>
      <x:c r="BM33" s="32"/>
    </x:row>
    <x:row r="34">
      <x:c r="A34" s="32"/>
      <x:c r="B34" s="32"/>
      <x:c r="C34" s="42"/>
      <x:c r="D34" s="32"/>
      <x:c r="E34" s="32"/>
      <x:c r="F34" s="32"/>
      <x:c r="G34" s="32"/>
      <x:c r="H34" s="32"/>
      <x:c r="I34" s="32"/>
      <x:c r="J34" s="32"/>
      <x:c r="K34" s="32"/>
      <x:c r="L34" s="32"/>
      <x:c r="M34" s="32"/>
      <x:c r="N34" s="32"/>
      <x:c r="O34" s="32"/>
      <x:c r="P34" s="32"/>
      <x:c r="Q34" s="32"/>
      <x:c r="R34" s="32"/>
      <x:c r="S34" s="32"/>
      <x:c r="T34" s="43" t="str">
        <x:f>IFERROR(S34/L34,"")</x:f>
      </x:c>
      <x:c r="U34" s="32"/>
      <x:c r="V34" s="32"/>
      <x:c r="W34" s="32"/>
      <x:c r="X34" s="32"/>
      <x:c r="Y34" s="32"/>
      <x:c r="Z34" s="32"/>
      <x:c r="AA34" s="32"/>
      <x:c r="AB34" s="32"/>
      <x:c r="AC34" s="32"/>
      <x:c r="AD34" s="32"/>
      <x:c r="AE34" s="32"/>
      <x:c r="AF34" s="32"/>
      <x:c r="AG34" s="32"/>
      <x:c r="AH34" s="32"/>
      <x:c r="AI34" s="32"/>
      <x:c r="AJ34" s="32"/>
      <x:c r="AK34" s="32"/>
      <x:c r="AL34" s="32"/>
      <x:c r="AM34" s="32"/>
      <x:c r="AN34" s="32"/>
      <x:c r="AO34" s="32"/>
      <x:c r="AP34" s="32"/>
      <x:c r="AQ34" s="32"/>
      <x:c r="AR34" s="32"/>
      <x:c r="AS34" s="32"/>
      <x:c r="AT34" s="32"/>
      <x:c r="AU34" s="32"/>
      <x:c r="AV34" s="32"/>
      <x:c r="AW34" s="32"/>
      <x:c r="AX34" s="32"/>
      <x:c r="AZ34" s="32"/>
      <x:c r="BA34" s="32"/>
      <x:c r="BB34" s="32"/>
      <x:c r="BC34" s="32"/>
      <x:c r="BD34" s="32"/>
      <x:c r="BE34" s="32"/>
      <x:c r="BF34" s="32"/>
      <x:c r="BG34" s="32"/>
      <x:c r="BH34" s="32"/>
      <x:c r="BI34" s="32"/>
      <x:c r="BJ34" s="32"/>
      <x:c r="BK34" s="32"/>
      <x:c r="BL34" s="32"/>
      <x:c r="BM34" s="32"/>
    </x:row>
    <x:row r="35">
      <x:c r="A35" s="32"/>
      <x:c r="B35" s="32"/>
      <x:c r="C35" s="42"/>
      <x:c r="D35" s="32"/>
      <x:c r="E35" s="32"/>
      <x:c r="F35" s="32"/>
      <x:c r="G35" s="32"/>
      <x:c r="H35" s="32"/>
      <x:c r="I35" s="32"/>
      <x:c r="J35" s="32"/>
      <x:c r="K35" s="32"/>
      <x:c r="L35" s="32"/>
      <x:c r="M35" s="32"/>
      <x:c r="N35" s="32"/>
      <x:c r="O35" s="32"/>
      <x:c r="P35" s="32"/>
      <x:c r="Q35" s="32"/>
      <x:c r="R35" s="32"/>
      <x:c r="S35" s="32"/>
      <x:c r="T35" s="43" t="str">
        <x:f>IFERROR(S35/L35,"")</x:f>
      </x:c>
      <x:c r="U35" s="32"/>
      <x:c r="V35" s="32"/>
      <x:c r="W35" s="32"/>
      <x:c r="X35" s="32"/>
      <x:c r="Y35" s="32"/>
      <x:c r="Z35" s="32"/>
      <x:c r="AA35" s="32"/>
      <x:c r="AB35" s="32"/>
      <x:c r="AC35" s="32"/>
      <x:c r="AD35" s="32"/>
      <x:c r="AE35" s="32"/>
      <x:c r="AF35" s="32"/>
      <x:c r="AG35" s="32"/>
      <x:c r="AH35" s="32"/>
      <x:c r="AI35" s="32"/>
      <x:c r="AJ35" s="32"/>
      <x:c r="AK35" s="32"/>
      <x:c r="AL35" s="32"/>
      <x:c r="AM35" s="32"/>
      <x:c r="AN35" s="32"/>
      <x:c r="AO35" s="32"/>
      <x:c r="AP35" s="32"/>
      <x:c r="AQ35" s="32"/>
      <x:c r="AR35" s="32"/>
      <x:c r="AS35" s="32"/>
      <x:c r="AT35" s="32"/>
      <x:c r="AU35" s="32"/>
      <x:c r="AV35" s="32"/>
      <x:c r="AW35" s="32"/>
      <x:c r="AX35" s="32"/>
      <x:c r="AZ35" s="32"/>
      <x:c r="BA35" s="32"/>
      <x:c r="BB35" s="32"/>
      <x:c r="BC35" s="32"/>
      <x:c r="BD35" s="32"/>
      <x:c r="BE35" s="32"/>
      <x:c r="BF35" s="32"/>
      <x:c r="BG35" s="32"/>
      <x:c r="BH35" s="32"/>
      <x:c r="BI35" s="32"/>
      <x:c r="BJ35" s="32"/>
      <x:c r="BK35" s="32"/>
      <x:c r="BL35" s="32"/>
      <x:c r="BM35" s="32"/>
    </x:row>
    <x:row r="36">
      <x:c r="A36" s="32"/>
      <x:c r="B36" s="32"/>
      <x:c r="C36" s="42"/>
      <x:c r="D36" s="32"/>
      <x:c r="E36" s="32"/>
      <x:c r="F36" s="32"/>
      <x:c r="G36" s="32"/>
      <x:c r="H36" s="32"/>
      <x:c r="I36" s="32"/>
      <x:c r="J36" s="32"/>
      <x:c r="K36" s="32"/>
      <x:c r="L36" s="32"/>
      <x:c r="M36" s="32"/>
      <x:c r="N36" s="32"/>
      <x:c r="O36" s="32"/>
      <x:c r="P36" s="32"/>
      <x:c r="Q36" s="32"/>
      <x:c r="R36" s="32"/>
      <x:c r="S36" s="32"/>
      <x:c r="T36" s="43" t="str">
        <x:f>IFERROR(S36/L36,"")</x:f>
      </x:c>
      <x:c r="U36" s="32"/>
      <x:c r="V36" s="32"/>
      <x:c r="W36" s="32"/>
      <x:c r="X36" s="32"/>
      <x:c r="Y36" s="32"/>
      <x:c r="Z36" s="32"/>
      <x:c r="AA36" s="32"/>
      <x:c r="AB36" s="32"/>
      <x:c r="AC36" s="32"/>
      <x:c r="AD36" s="32"/>
      <x:c r="AE36" s="32"/>
      <x:c r="AF36" s="32"/>
      <x:c r="AG36" s="32"/>
      <x:c r="AH36" s="32"/>
      <x:c r="AI36" s="32"/>
      <x:c r="AJ36" s="32"/>
      <x:c r="AK36" s="32"/>
      <x:c r="AL36" s="32"/>
      <x:c r="AM36" s="32"/>
      <x:c r="AN36" s="32"/>
      <x:c r="AO36" s="32"/>
      <x:c r="AP36" s="32"/>
      <x:c r="AQ36" s="32"/>
      <x:c r="AR36" s="32"/>
      <x:c r="AS36" s="32"/>
      <x:c r="AT36" s="32"/>
      <x:c r="AU36" s="32"/>
      <x:c r="AV36" s="32"/>
      <x:c r="AW36" s="32"/>
      <x:c r="AX36" s="32"/>
      <x:c r="AZ36" s="32"/>
      <x:c r="BA36" s="32"/>
      <x:c r="BB36" s="32"/>
      <x:c r="BC36" s="32"/>
      <x:c r="BD36" s="32"/>
      <x:c r="BE36" s="32"/>
      <x:c r="BF36" s="32"/>
      <x:c r="BG36" s="32"/>
      <x:c r="BH36" s="32"/>
      <x:c r="BI36" s="32"/>
      <x:c r="BJ36" s="32"/>
      <x:c r="BK36" s="32"/>
      <x:c r="BL36" s="32"/>
      <x:c r="BM36" s="32"/>
    </x:row>
    <x:row r="37">
      <x:c r="A37" s="32"/>
      <x:c r="B37" s="32"/>
      <x:c r="C37" s="42"/>
      <x:c r="D37" s="32"/>
      <x:c r="E37" s="32"/>
      <x:c r="F37" s="32"/>
      <x:c r="G37" s="32"/>
      <x:c r="H37" s="32"/>
      <x:c r="I37" s="32"/>
      <x:c r="J37" s="32"/>
      <x:c r="K37" s="32"/>
      <x:c r="L37" s="32"/>
      <x:c r="M37" s="32"/>
      <x:c r="N37" s="32"/>
      <x:c r="O37" s="32"/>
      <x:c r="P37" s="32"/>
      <x:c r="Q37" s="32"/>
      <x:c r="R37" s="32"/>
      <x:c r="S37" s="32"/>
      <x:c r="T37" s="43" t="str">
        <x:f>IFERROR(S37/L37,"")</x:f>
      </x:c>
      <x:c r="U37" s="32"/>
      <x:c r="V37" s="32"/>
      <x:c r="W37" s="32"/>
      <x:c r="X37" s="32"/>
      <x:c r="Y37" s="32"/>
      <x:c r="Z37" s="32"/>
      <x:c r="AA37" s="32"/>
      <x:c r="AB37" s="32"/>
      <x:c r="AC37" s="32"/>
      <x:c r="AD37" s="32"/>
      <x:c r="AE37" s="32"/>
      <x:c r="AF37" s="32"/>
      <x:c r="AG37" s="32"/>
      <x:c r="AH37" s="32"/>
      <x:c r="AI37" s="32"/>
      <x:c r="AJ37" s="32"/>
      <x:c r="AK37" s="32"/>
      <x:c r="AL37" s="32"/>
      <x:c r="AM37" s="32"/>
      <x:c r="AN37" s="32"/>
      <x:c r="AO37" s="32"/>
      <x:c r="AP37" s="32"/>
      <x:c r="AQ37" s="32"/>
      <x:c r="AR37" s="32"/>
      <x:c r="AS37" s="32"/>
      <x:c r="AT37" s="32"/>
      <x:c r="AU37" s="32"/>
      <x:c r="AV37" s="32"/>
      <x:c r="AW37" s="32"/>
      <x:c r="AX37" s="32"/>
      <x:c r="AZ37" s="32"/>
      <x:c r="BA37" s="32"/>
      <x:c r="BB37" s="32"/>
      <x:c r="BC37" s="32"/>
      <x:c r="BD37" s="32"/>
      <x:c r="BE37" s="32"/>
      <x:c r="BF37" s="32"/>
      <x:c r="BG37" s="32"/>
      <x:c r="BH37" s="32"/>
      <x:c r="BI37" s="32"/>
      <x:c r="BJ37" s="32"/>
      <x:c r="BK37" s="32"/>
      <x:c r="BL37" s="32"/>
      <x:c r="BM37" s="32"/>
    </x:row>
    <x:row r="38">
      <x:c r="A38" s="32"/>
      <x:c r="B38" s="32"/>
      <x:c r="C38" s="42"/>
      <x:c r="D38" s="32"/>
      <x:c r="E38" s="32"/>
      <x:c r="F38" s="32"/>
      <x:c r="G38" s="32"/>
      <x:c r="H38" s="32"/>
      <x:c r="I38" s="32"/>
      <x:c r="J38" s="32"/>
      <x:c r="K38" s="32"/>
      <x:c r="L38" s="32"/>
      <x:c r="M38" s="32"/>
      <x:c r="N38" s="32"/>
      <x:c r="O38" s="32"/>
      <x:c r="P38" s="32"/>
      <x:c r="Q38" s="32"/>
      <x:c r="R38" s="32"/>
      <x:c r="S38" s="32"/>
      <x:c r="T38" s="43" t="str">
        <x:f>IFERROR(S38/L38,"")</x:f>
      </x:c>
      <x:c r="U38" s="32"/>
      <x:c r="V38" s="32"/>
      <x:c r="W38" s="32"/>
      <x:c r="X38" s="32"/>
      <x:c r="Y38" s="32"/>
      <x:c r="Z38" s="32"/>
      <x:c r="AA38" s="32"/>
      <x:c r="AB38" s="32"/>
      <x:c r="AC38" s="32"/>
      <x:c r="AD38" s="32"/>
      <x:c r="AE38" s="32"/>
      <x:c r="AF38" s="32"/>
      <x:c r="AG38" s="32"/>
      <x:c r="AH38" s="32"/>
      <x:c r="AI38" s="32"/>
      <x:c r="AJ38" s="32"/>
      <x:c r="AK38" s="32"/>
      <x:c r="AL38" s="32"/>
      <x:c r="AM38" s="32"/>
      <x:c r="AN38" s="32"/>
      <x:c r="AO38" s="32"/>
      <x:c r="AP38" s="32"/>
      <x:c r="AQ38" s="32"/>
      <x:c r="AR38" s="32"/>
      <x:c r="AS38" s="32"/>
      <x:c r="AT38" s="32"/>
      <x:c r="AU38" s="32"/>
      <x:c r="AV38" s="32"/>
      <x:c r="AW38" s="32"/>
      <x:c r="AX38" s="32"/>
      <x:c r="AZ38" s="32"/>
      <x:c r="BA38" s="32"/>
      <x:c r="BB38" s="32"/>
      <x:c r="BC38" s="32"/>
      <x:c r="BD38" s="32"/>
      <x:c r="BE38" s="32"/>
      <x:c r="BF38" s="32"/>
      <x:c r="BG38" s="32"/>
      <x:c r="BH38" s="32"/>
      <x:c r="BI38" s="32"/>
      <x:c r="BJ38" s="32"/>
      <x:c r="BK38" s="32"/>
      <x:c r="BL38" s="32"/>
      <x:c r="BM38" s="32"/>
    </x:row>
    <x:row r="39">
      <x:c r="A39" s="32"/>
      <x:c r="B39" s="32"/>
      <x:c r="C39" s="42"/>
      <x:c r="D39" s="32"/>
      <x:c r="E39" s="32"/>
      <x:c r="F39" s="32"/>
      <x:c r="G39" s="32"/>
      <x:c r="H39" s="32"/>
      <x:c r="I39" s="32"/>
      <x:c r="J39" s="32"/>
      <x:c r="K39" s="32"/>
      <x:c r="L39" s="32"/>
      <x:c r="M39" s="32"/>
      <x:c r="N39" s="32"/>
      <x:c r="O39" s="32"/>
      <x:c r="P39" s="32"/>
      <x:c r="Q39" s="32"/>
      <x:c r="R39" s="32"/>
      <x:c r="S39" s="32"/>
      <x:c r="T39" s="43" t="str">
        <x:f>IFERROR(S39/L39,"")</x:f>
      </x:c>
      <x:c r="U39" s="32"/>
      <x:c r="V39" s="32"/>
      <x:c r="W39" s="32"/>
      <x:c r="X39" s="32"/>
      <x:c r="Y39" s="32"/>
      <x:c r="Z39" s="32"/>
      <x:c r="AA39" s="32"/>
      <x:c r="AB39" s="32"/>
      <x:c r="AC39" s="32"/>
      <x:c r="AD39" s="32"/>
      <x:c r="AE39" s="32"/>
      <x:c r="AF39" s="32"/>
      <x:c r="AG39" s="32"/>
      <x:c r="AH39" s="32"/>
      <x:c r="AI39" s="32"/>
      <x:c r="AJ39" s="32"/>
      <x:c r="AK39" s="32"/>
      <x:c r="AL39" s="32"/>
      <x:c r="AM39" s="32"/>
      <x:c r="AN39" s="32"/>
      <x:c r="AO39" s="32"/>
      <x:c r="AP39" s="32"/>
      <x:c r="AQ39" s="32"/>
      <x:c r="AR39" s="32"/>
      <x:c r="AS39" s="32"/>
      <x:c r="AT39" s="32"/>
      <x:c r="AU39" s="32"/>
      <x:c r="AV39" s="32"/>
      <x:c r="AW39" s="32"/>
      <x:c r="AX39" s="32"/>
      <x:c r="AZ39" s="32"/>
      <x:c r="BA39" s="32"/>
      <x:c r="BB39" s="32"/>
      <x:c r="BC39" s="32"/>
      <x:c r="BD39" s="32"/>
      <x:c r="BE39" s="32"/>
      <x:c r="BF39" s="32"/>
      <x:c r="BG39" s="32"/>
      <x:c r="BH39" s="32"/>
      <x:c r="BI39" s="32"/>
      <x:c r="BJ39" s="32"/>
      <x:c r="BK39" s="32"/>
      <x:c r="BL39" s="32"/>
      <x:c r="BM39" s="32"/>
    </x:row>
    <x:row r="40">
      <x:c r="A40" s="32"/>
      <x:c r="B40" s="32"/>
      <x:c r="C40" s="42"/>
      <x:c r="D40" s="32"/>
      <x:c r="E40" s="32"/>
      <x:c r="F40" s="32"/>
      <x:c r="G40" s="32"/>
      <x:c r="H40" s="32"/>
      <x:c r="I40" s="32"/>
      <x:c r="J40" s="32"/>
      <x:c r="K40" s="32"/>
      <x:c r="L40" s="32"/>
      <x:c r="M40" s="32"/>
      <x:c r="N40" s="32"/>
      <x:c r="O40" s="32"/>
      <x:c r="P40" s="32"/>
      <x:c r="Q40" s="32"/>
      <x:c r="R40" s="32"/>
      <x:c r="S40" s="32"/>
      <x:c r="T40" s="43" t="str">
        <x:f>IFERROR(S40/L40,"")</x:f>
      </x:c>
      <x:c r="U40" s="32"/>
      <x:c r="V40" s="32"/>
      <x:c r="W40" s="32"/>
      <x:c r="X40" s="32"/>
      <x:c r="Y40" s="32"/>
      <x:c r="Z40" s="32"/>
      <x:c r="AA40" s="32"/>
      <x:c r="AB40" s="32"/>
      <x:c r="AC40" s="32"/>
      <x:c r="AD40" s="32"/>
      <x:c r="AE40" s="32"/>
      <x:c r="AF40" s="32"/>
      <x:c r="AG40" s="32"/>
      <x:c r="AH40" s="32"/>
      <x:c r="AI40" s="32"/>
      <x:c r="AJ40" s="32"/>
      <x:c r="AK40" s="32"/>
      <x:c r="AL40" s="32"/>
      <x:c r="AM40" s="32"/>
      <x:c r="AN40" s="32"/>
      <x:c r="AO40" s="32"/>
      <x:c r="AP40" s="32"/>
      <x:c r="AQ40" s="32"/>
      <x:c r="AR40" s="32"/>
      <x:c r="AS40" s="32"/>
      <x:c r="AT40" s="32"/>
      <x:c r="AU40" s="32"/>
      <x:c r="AV40" s="32"/>
      <x:c r="AW40" s="32"/>
      <x:c r="AX40" s="32"/>
      <x:c r="AZ40" s="32"/>
      <x:c r="BA40" s="32"/>
      <x:c r="BB40" s="32"/>
      <x:c r="BC40" s="32"/>
      <x:c r="BD40" s="32"/>
      <x:c r="BE40" s="32"/>
      <x:c r="BF40" s="32"/>
      <x:c r="BG40" s="32"/>
      <x:c r="BH40" s="32"/>
      <x:c r="BI40" s="32"/>
      <x:c r="BJ40" s="32"/>
      <x:c r="BK40" s="32"/>
      <x:c r="BL40" s="32"/>
      <x:c r="BM40" s="32"/>
    </x:row>
    <x:row r="41">
      <x:c r="A41" s="32"/>
      <x:c r="B41" s="32"/>
      <x:c r="C41" s="42"/>
      <x:c r="D41" s="32"/>
      <x:c r="E41" s="32"/>
      <x:c r="F41" s="32"/>
      <x:c r="G41" s="32"/>
      <x:c r="H41" s="32"/>
      <x:c r="I41" s="32"/>
      <x:c r="J41" s="32"/>
      <x:c r="K41" s="32"/>
      <x:c r="L41" s="32"/>
      <x:c r="M41" s="32"/>
      <x:c r="N41" s="32"/>
      <x:c r="O41" s="32"/>
      <x:c r="P41" s="32"/>
      <x:c r="Q41" s="32"/>
      <x:c r="R41" s="32"/>
      <x:c r="S41" s="32"/>
      <x:c r="T41" s="43" t="str">
        <x:f>IFERROR(S41/L41,"")</x:f>
      </x:c>
      <x:c r="U41" s="32"/>
      <x:c r="V41" s="32"/>
      <x:c r="W41" s="32"/>
      <x:c r="X41" s="32"/>
      <x:c r="Y41" s="32"/>
      <x:c r="Z41" s="32"/>
      <x:c r="AA41" s="32"/>
      <x:c r="AB41" s="32"/>
      <x:c r="AC41" s="32"/>
      <x:c r="AD41" s="32"/>
      <x:c r="AE41" s="32"/>
      <x:c r="AF41" s="32"/>
      <x:c r="AG41" s="32"/>
      <x:c r="AH41" s="32"/>
      <x:c r="AI41" s="32"/>
      <x:c r="AJ41" s="32"/>
      <x:c r="AK41" s="32"/>
      <x:c r="AL41" s="32"/>
      <x:c r="AM41" s="32"/>
      <x:c r="AN41" s="32"/>
      <x:c r="AO41" s="32"/>
      <x:c r="AP41" s="32"/>
      <x:c r="AQ41" s="32"/>
      <x:c r="AR41" s="32"/>
      <x:c r="AS41" s="32"/>
      <x:c r="AT41" s="32"/>
      <x:c r="AU41" s="32"/>
      <x:c r="AV41" s="32"/>
      <x:c r="AW41" s="32"/>
      <x:c r="AX41" s="32"/>
      <x:c r="AZ41" s="32"/>
      <x:c r="BA41" s="32"/>
      <x:c r="BB41" s="32"/>
      <x:c r="BC41" s="32"/>
      <x:c r="BD41" s="32"/>
      <x:c r="BE41" s="32"/>
      <x:c r="BF41" s="32"/>
      <x:c r="BG41" s="32"/>
      <x:c r="BH41" s="32"/>
      <x:c r="BI41" s="32"/>
      <x:c r="BJ41" s="32"/>
      <x:c r="BK41" s="32"/>
      <x:c r="BL41" s="32"/>
      <x:c r="BM41" s="32"/>
    </x:row>
    <x:row r="42">
      <x:c r="A42" s="32"/>
      <x:c r="B42" s="32"/>
      <x:c r="C42" s="42"/>
      <x:c r="D42" s="32"/>
      <x:c r="E42" s="32"/>
      <x:c r="F42" s="32"/>
      <x:c r="G42" s="32"/>
      <x:c r="H42" s="32"/>
      <x:c r="I42" s="32"/>
      <x:c r="J42" s="32"/>
      <x:c r="K42" s="32"/>
      <x:c r="L42" s="32"/>
      <x:c r="M42" s="32"/>
      <x:c r="N42" s="32"/>
      <x:c r="O42" s="32"/>
      <x:c r="P42" s="32"/>
      <x:c r="Q42" s="32"/>
      <x:c r="R42" s="32"/>
      <x:c r="S42" s="32"/>
      <x:c r="T42" s="43" t="str">
        <x:f>IFERROR(S42/L42,"")</x:f>
      </x:c>
      <x:c r="U42" s="32"/>
      <x:c r="V42" s="32"/>
      <x:c r="W42" s="32"/>
      <x:c r="X42" s="32"/>
      <x:c r="Y42" s="32"/>
      <x:c r="Z42" s="32"/>
      <x:c r="AA42" s="32"/>
      <x:c r="AB42" s="32"/>
      <x:c r="AC42" s="32"/>
      <x:c r="AD42" s="32"/>
      <x:c r="AE42" s="32"/>
      <x:c r="AF42" s="32"/>
      <x:c r="AG42" s="32"/>
      <x:c r="AH42" s="32"/>
      <x:c r="AI42" s="32"/>
      <x:c r="AJ42" s="32"/>
      <x:c r="AK42" s="32"/>
      <x:c r="AL42" s="32"/>
      <x:c r="AM42" s="32"/>
      <x:c r="AN42" s="32"/>
      <x:c r="AO42" s="32"/>
      <x:c r="AP42" s="32"/>
      <x:c r="AQ42" s="32"/>
      <x:c r="AR42" s="32"/>
      <x:c r="AS42" s="32"/>
      <x:c r="AT42" s="32"/>
      <x:c r="AU42" s="32"/>
      <x:c r="AV42" s="32"/>
      <x:c r="AW42" s="32"/>
      <x:c r="AX42" s="32"/>
      <x:c r="AZ42" s="32"/>
      <x:c r="BA42" s="32"/>
      <x:c r="BB42" s="32"/>
      <x:c r="BC42" s="32"/>
      <x:c r="BD42" s="32"/>
      <x:c r="BE42" s="32"/>
      <x:c r="BF42" s="32"/>
      <x:c r="BG42" s="32"/>
      <x:c r="BH42" s="32"/>
      <x:c r="BI42" s="32"/>
      <x:c r="BJ42" s="32"/>
      <x:c r="BK42" s="32"/>
      <x:c r="BL42" s="32"/>
      <x:c r="BM42" s="32"/>
    </x:row>
    <x:row r="43">
      <x:c r="A43" s="32"/>
      <x:c r="B43" s="32"/>
      <x:c r="C43" s="42"/>
      <x:c r="D43" s="32"/>
      <x:c r="E43" s="32"/>
      <x:c r="F43" s="32"/>
      <x:c r="G43" s="32"/>
      <x:c r="H43" s="32"/>
      <x:c r="I43" s="32"/>
      <x:c r="J43" s="32"/>
      <x:c r="K43" s="32"/>
      <x:c r="L43" s="32"/>
      <x:c r="M43" s="32"/>
      <x:c r="N43" s="32"/>
      <x:c r="O43" s="32"/>
      <x:c r="P43" s="32"/>
      <x:c r="Q43" s="32"/>
      <x:c r="R43" s="32"/>
      <x:c r="S43" s="32"/>
      <x:c r="T43" s="43" t="str">
        <x:f>IFERROR(S43/L43,"")</x:f>
      </x:c>
      <x:c r="U43" s="32"/>
      <x:c r="V43" s="32"/>
      <x:c r="W43" s="32"/>
      <x:c r="X43" s="32"/>
      <x:c r="Y43" s="32"/>
      <x:c r="Z43" s="32"/>
      <x:c r="AA43" s="32"/>
      <x:c r="AB43" s="32"/>
      <x:c r="AC43" s="32"/>
      <x:c r="AD43" s="32"/>
      <x:c r="AE43" s="32"/>
      <x:c r="AF43" s="32"/>
      <x:c r="AG43" s="32"/>
      <x:c r="AH43" s="32"/>
      <x:c r="AI43" s="32"/>
      <x:c r="AJ43" s="32"/>
      <x:c r="AK43" s="32"/>
      <x:c r="AL43" s="32"/>
      <x:c r="AM43" s="32"/>
      <x:c r="AN43" s="32"/>
      <x:c r="AO43" s="32"/>
      <x:c r="AP43" s="32"/>
      <x:c r="AQ43" s="32"/>
      <x:c r="AR43" s="32"/>
      <x:c r="AS43" s="32"/>
      <x:c r="AT43" s="32"/>
      <x:c r="AU43" s="32"/>
      <x:c r="AV43" s="32"/>
      <x:c r="AW43" s="32"/>
      <x:c r="AX43" s="32"/>
      <x:c r="AZ43" s="32"/>
      <x:c r="BA43" s="32"/>
      <x:c r="BB43" s="32"/>
      <x:c r="BC43" s="32"/>
      <x:c r="BD43" s="32"/>
      <x:c r="BE43" s="32"/>
      <x:c r="BF43" s="32"/>
      <x:c r="BG43" s="32"/>
      <x:c r="BH43" s="32"/>
      <x:c r="BI43" s="32"/>
      <x:c r="BJ43" s="32"/>
      <x:c r="BK43" s="32"/>
      <x:c r="BL43" s="32"/>
      <x:c r="BM43" s="32"/>
    </x:row>
    <x:row r="44">
      <x:c r="A44" s="32"/>
      <x:c r="B44" s="32"/>
      <x:c r="C44" s="42"/>
      <x:c r="D44" s="32"/>
      <x:c r="E44" s="32"/>
      <x:c r="F44" s="32"/>
      <x:c r="G44" s="32"/>
      <x:c r="H44" s="32"/>
      <x:c r="I44" s="32"/>
      <x:c r="J44" s="32"/>
      <x:c r="K44" s="32"/>
      <x:c r="L44" s="32"/>
      <x:c r="M44" s="32"/>
      <x:c r="N44" s="32"/>
      <x:c r="O44" s="32"/>
      <x:c r="P44" s="32"/>
      <x:c r="Q44" s="32"/>
      <x:c r="R44" s="32"/>
      <x:c r="S44" s="32"/>
      <x:c r="T44" s="43" t="str">
        <x:f>IFERROR(S44/L44,"")</x:f>
      </x:c>
      <x:c r="U44" s="32"/>
      <x:c r="V44" s="32"/>
      <x:c r="W44" s="32"/>
      <x:c r="X44" s="32"/>
      <x:c r="Y44" s="32"/>
      <x:c r="Z44" s="32"/>
      <x:c r="AA44" s="32"/>
      <x:c r="AB44" s="32"/>
      <x:c r="AC44" s="32"/>
      <x:c r="AD44" s="32"/>
      <x:c r="AE44" s="32"/>
      <x:c r="AF44" s="32"/>
      <x:c r="AG44" s="32"/>
      <x:c r="AH44" s="32"/>
      <x:c r="AI44" s="32"/>
      <x:c r="AJ44" s="32"/>
      <x:c r="AK44" s="32"/>
      <x:c r="AL44" s="32"/>
      <x:c r="AM44" s="32"/>
      <x:c r="AN44" s="32"/>
      <x:c r="AO44" s="32"/>
      <x:c r="AP44" s="32"/>
      <x:c r="AQ44" s="32"/>
      <x:c r="AR44" s="32"/>
      <x:c r="AS44" s="32"/>
      <x:c r="AT44" s="32"/>
      <x:c r="AU44" s="32"/>
      <x:c r="AV44" s="32"/>
      <x:c r="AW44" s="32"/>
      <x:c r="AX44" s="32"/>
      <x:c r="AZ44" s="32"/>
      <x:c r="BA44" s="32"/>
      <x:c r="BB44" s="32"/>
      <x:c r="BC44" s="32"/>
      <x:c r="BD44" s="32"/>
      <x:c r="BE44" s="32"/>
      <x:c r="BF44" s="32"/>
      <x:c r="BG44" s="32"/>
      <x:c r="BH44" s="32"/>
      <x:c r="BI44" s="32"/>
      <x:c r="BJ44" s="32"/>
      <x:c r="BK44" s="32"/>
      <x:c r="BL44" s="32"/>
      <x:c r="BM44" s="32"/>
    </x:row>
    <x:row r="45">
      <x:c r="A45" s="32"/>
      <x:c r="B45" s="32"/>
      <x:c r="C45" s="42"/>
      <x:c r="D45" s="32"/>
      <x:c r="E45" s="32"/>
      <x:c r="F45" s="32"/>
      <x:c r="G45" s="32"/>
      <x:c r="H45" s="32"/>
      <x:c r="I45" s="32"/>
      <x:c r="J45" s="32"/>
      <x:c r="K45" s="32"/>
      <x:c r="L45" s="32"/>
      <x:c r="M45" s="32"/>
      <x:c r="N45" s="32"/>
      <x:c r="O45" s="32"/>
      <x:c r="P45" s="32"/>
      <x:c r="Q45" s="32"/>
      <x:c r="R45" s="32"/>
      <x:c r="S45" s="32"/>
      <x:c r="T45" s="43" t="str">
        <x:f>IFERROR(S45/L45,"")</x:f>
      </x:c>
      <x:c r="U45" s="32"/>
      <x:c r="V45" s="32"/>
      <x:c r="W45" s="32"/>
      <x:c r="X45" s="32"/>
      <x:c r="Y45" s="32"/>
      <x:c r="Z45" s="32"/>
      <x:c r="AA45" s="32"/>
      <x:c r="AB45" s="32"/>
      <x:c r="AC45" s="32"/>
      <x:c r="AD45" s="32"/>
      <x:c r="AE45" s="32"/>
      <x:c r="AF45" s="32"/>
      <x:c r="AG45" s="32"/>
      <x:c r="AH45" s="32"/>
      <x:c r="AI45" s="32"/>
      <x:c r="AJ45" s="32"/>
      <x:c r="AK45" s="32"/>
      <x:c r="AL45" s="32"/>
      <x:c r="AM45" s="32"/>
      <x:c r="AN45" s="32"/>
      <x:c r="AO45" s="32"/>
      <x:c r="AP45" s="32"/>
      <x:c r="AQ45" s="32"/>
      <x:c r="AR45" s="32"/>
      <x:c r="AS45" s="32"/>
      <x:c r="AT45" s="32"/>
      <x:c r="AU45" s="32"/>
      <x:c r="AV45" s="32"/>
      <x:c r="AW45" s="32"/>
      <x:c r="AX45" s="32"/>
      <x:c r="AZ45" s="32"/>
      <x:c r="BA45" s="32"/>
      <x:c r="BB45" s="32"/>
      <x:c r="BC45" s="32"/>
      <x:c r="BD45" s="32"/>
      <x:c r="BE45" s="32"/>
      <x:c r="BF45" s="32"/>
      <x:c r="BG45" s="32"/>
      <x:c r="BH45" s="32"/>
      <x:c r="BI45" s="32"/>
      <x:c r="BJ45" s="32"/>
      <x:c r="BK45" s="32"/>
      <x:c r="BL45" s="32"/>
      <x:c r="BM45" s="32"/>
    </x:row>
    <x:row r="46">
      <x:c r="A46" s="32"/>
      <x:c r="B46" s="32"/>
      <x:c r="C46" s="42"/>
      <x:c r="D46" s="32"/>
      <x:c r="E46" s="32"/>
      <x:c r="F46" s="32"/>
      <x:c r="G46" s="32"/>
      <x:c r="H46" s="32"/>
      <x:c r="I46" s="32"/>
      <x:c r="J46" s="32"/>
      <x:c r="K46" s="32"/>
      <x:c r="L46" s="32"/>
      <x:c r="M46" s="32"/>
      <x:c r="N46" s="32"/>
      <x:c r="O46" s="32"/>
      <x:c r="P46" s="32"/>
      <x:c r="Q46" s="32"/>
      <x:c r="R46" s="32"/>
      <x:c r="S46" s="32"/>
      <x:c r="T46" s="43" t="str">
        <x:f>IFERROR(S46/L46,"")</x:f>
      </x:c>
      <x:c r="U46" s="32"/>
      <x:c r="V46" s="32"/>
      <x:c r="W46" s="32"/>
      <x:c r="X46" s="32"/>
      <x:c r="Y46" s="32"/>
      <x:c r="Z46" s="32"/>
      <x:c r="AA46" s="32"/>
      <x:c r="AB46" s="32"/>
      <x:c r="AC46" s="32"/>
      <x:c r="AD46" s="32"/>
      <x:c r="AE46" s="32"/>
      <x:c r="AF46" s="32"/>
      <x:c r="AG46" s="32"/>
      <x:c r="AH46" s="32"/>
      <x:c r="AI46" s="32"/>
      <x:c r="AJ46" s="32"/>
      <x:c r="AK46" s="32"/>
      <x:c r="AL46" s="32"/>
      <x:c r="AM46" s="32"/>
      <x:c r="AN46" s="32"/>
      <x:c r="AO46" s="32"/>
      <x:c r="AP46" s="32"/>
      <x:c r="AQ46" s="32"/>
      <x:c r="AR46" s="32"/>
      <x:c r="AS46" s="32"/>
      <x:c r="AT46" s="32"/>
      <x:c r="AU46" s="32"/>
      <x:c r="AV46" s="32"/>
      <x:c r="AW46" s="32"/>
      <x:c r="AX46" s="32"/>
      <x:c r="AZ46" s="32"/>
      <x:c r="BA46" s="32"/>
      <x:c r="BB46" s="32"/>
      <x:c r="BC46" s="32"/>
      <x:c r="BD46" s="32"/>
      <x:c r="BE46" s="32"/>
      <x:c r="BF46" s="32"/>
      <x:c r="BG46" s="32"/>
      <x:c r="BH46" s="32"/>
      <x:c r="BI46" s="32"/>
      <x:c r="BJ46" s="32"/>
      <x:c r="BK46" s="32"/>
      <x:c r="BL46" s="32"/>
      <x:c r="BM46" s="32"/>
    </x:row>
    <x:row r="47">
      <x:c r="A47" s="32"/>
      <x:c r="B47" s="32"/>
      <x:c r="C47" s="42"/>
      <x:c r="D47" s="32"/>
      <x:c r="E47" s="32"/>
      <x:c r="F47" s="32"/>
      <x:c r="G47" s="32"/>
      <x:c r="H47" s="32"/>
      <x:c r="I47" s="32"/>
      <x:c r="J47" s="32"/>
      <x:c r="K47" s="32"/>
      <x:c r="L47" s="32"/>
      <x:c r="M47" s="32"/>
      <x:c r="N47" s="32"/>
      <x:c r="O47" s="32"/>
      <x:c r="P47" s="32"/>
      <x:c r="Q47" s="32"/>
      <x:c r="R47" s="32"/>
      <x:c r="S47" s="32"/>
      <x:c r="T47" s="43" t="str">
        <x:f>IFERROR(S47/L47,"")</x:f>
      </x:c>
      <x:c r="U47" s="32"/>
      <x:c r="V47" s="32"/>
      <x:c r="W47" s="32"/>
      <x:c r="X47" s="32"/>
      <x:c r="Y47" s="32"/>
      <x:c r="Z47" s="32"/>
      <x:c r="AA47" s="32"/>
      <x:c r="AB47" s="32"/>
      <x:c r="AC47" s="32"/>
      <x:c r="AD47" s="32"/>
      <x:c r="AE47" s="32"/>
      <x:c r="AF47" s="32"/>
      <x:c r="AG47" s="32"/>
      <x:c r="AH47" s="32"/>
      <x:c r="AI47" s="32"/>
      <x:c r="AJ47" s="32"/>
      <x:c r="AK47" s="32"/>
      <x:c r="AL47" s="32"/>
      <x:c r="AM47" s="32"/>
      <x:c r="AN47" s="32"/>
      <x:c r="AO47" s="32"/>
      <x:c r="AP47" s="32"/>
      <x:c r="AQ47" s="32"/>
      <x:c r="AR47" s="32"/>
      <x:c r="AS47" s="32"/>
      <x:c r="AT47" s="32"/>
      <x:c r="AU47" s="32"/>
      <x:c r="AV47" s="32"/>
      <x:c r="AW47" s="32"/>
      <x:c r="AX47" s="32"/>
      <x:c r="AZ47" s="32"/>
      <x:c r="BA47" s="32"/>
      <x:c r="BB47" s="32"/>
      <x:c r="BC47" s="32"/>
      <x:c r="BD47" s="32"/>
      <x:c r="BE47" s="32"/>
      <x:c r="BF47" s="32"/>
      <x:c r="BG47" s="32"/>
      <x:c r="BH47" s="32"/>
      <x:c r="BI47" s="32"/>
      <x:c r="BJ47" s="32"/>
      <x:c r="BK47" s="32"/>
      <x:c r="BL47" s="32"/>
      <x:c r="BM47" s="32"/>
    </x:row>
    <x:row r="48">
      <x:c r="A48" s="32"/>
      <x:c r="B48" s="32"/>
      <x:c r="C48" s="42"/>
      <x:c r="D48" s="32"/>
      <x:c r="E48" s="32"/>
      <x:c r="F48" s="32"/>
      <x:c r="G48" s="32"/>
      <x:c r="H48" s="32"/>
      <x:c r="I48" s="32"/>
      <x:c r="J48" s="32"/>
      <x:c r="K48" s="32"/>
      <x:c r="L48" s="32"/>
      <x:c r="M48" s="32"/>
      <x:c r="N48" s="32"/>
      <x:c r="O48" s="32"/>
      <x:c r="P48" s="32"/>
      <x:c r="Q48" s="32"/>
      <x:c r="R48" s="32"/>
      <x:c r="S48" s="32"/>
      <x:c r="T48" s="43" t="str">
        <x:f>IFERROR(S48/L48,"")</x:f>
      </x:c>
      <x:c r="U48" s="32"/>
      <x:c r="V48" s="32"/>
      <x:c r="W48" s="32"/>
      <x:c r="X48" s="32"/>
      <x:c r="Y48" s="32"/>
      <x:c r="Z48" s="32"/>
      <x:c r="AA48" s="32"/>
      <x:c r="AB48" s="32"/>
      <x:c r="AC48" s="32"/>
      <x:c r="AD48" s="32"/>
      <x:c r="AE48" s="32"/>
      <x:c r="AF48" s="32"/>
      <x:c r="AG48" s="32"/>
      <x:c r="AH48" s="32"/>
      <x:c r="AI48" s="32"/>
      <x:c r="AJ48" s="32"/>
      <x:c r="AK48" s="32"/>
      <x:c r="AL48" s="32"/>
      <x:c r="AM48" s="32"/>
      <x:c r="AN48" s="32"/>
      <x:c r="AO48" s="32"/>
      <x:c r="AP48" s="32"/>
      <x:c r="AQ48" s="32"/>
      <x:c r="AR48" s="32"/>
      <x:c r="AS48" s="32"/>
      <x:c r="AT48" s="32"/>
      <x:c r="AU48" s="32"/>
      <x:c r="AV48" s="32"/>
      <x:c r="AW48" s="32"/>
      <x:c r="AX48" s="32"/>
      <x:c r="AZ48" s="32"/>
      <x:c r="BA48" s="32"/>
      <x:c r="BB48" s="32"/>
      <x:c r="BC48" s="32"/>
      <x:c r="BD48" s="32"/>
      <x:c r="BE48" s="32"/>
      <x:c r="BF48" s="32"/>
      <x:c r="BG48" s="32"/>
      <x:c r="BH48" s="32"/>
      <x:c r="BI48" s="32"/>
      <x:c r="BJ48" s="32"/>
      <x:c r="BK48" s="32"/>
      <x:c r="BL48" s="32"/>
      <x:c r="BM48" s="32"/>
    </x:row>
    <x:row r="49">
      <x:c r="A49" s="32"/>
      <x:c r="B49" s="32"/>
      <x:c r="C49" s="42"/>
      <x:c r="D49" s="32"/>
      <x:c r="E49" s="32"/>
      <x:c r="F49" s="32"/>
      <x:c r="G49" s="32"/>
      <x:c r="H49" s="32"/>
      <x:c r="I49" s="32"/>
      <x:c r="J49" s="32"/>
      <x:c r="K49" s="32"/>
      <x:c r="L49" s="32"/>
      <x:c r="M49" s="32"/>
      <x:c r="N49" s="32"/>
      <x:c r="O49" s="32"/>
      <x:c r="P49" s="32"/>
      <x:c r="Q49" s="32"/>
      <x:c r="R49" s="32"/>
      <x:c r="S49" s="32"/>
      <x:c r="T49" s="43" t="str">
        <x:f>IFERROR(S49/L49,"")</x:f>
      </x:c>
      <x:c r="U49" s="32"/>
      <x:c r="V49" s="32"/>
      <x:c r="W49" s="32"/>
      <x:c r="X49" s="32"/>
      <x:c r="Y49" s="32"/>
      <x:c r="Z49" s="32"/>
      <x:c r="AA49" s="32"/>
      <x:c r="AB49" s="32"/>
      <x:c r="AC49" s="32"/>
      <x:c r="AD49" s="32"/>
      <x:c r="AE49" s="32"/>
      <x:c r="AF49" s="32"/>
      <x:c r="AG49" s="32"/>
      <x:c r="AH49" s="32"/>
      <x:c r="AI49" s="32"/>
      <x:c r="AJ49" s="32"/>
      <x:c r="AK49" s="32"/>
      <x:c r="AL49" s="32"/>
      <x:c r="AM49" s="32"/>
      <x:c r="AN49" s="32"/>
      <x:c r="AO49" s="32"/>
      <x:c r="AP49" s="32"/>
      <x:c r="AQ49" s="32"/>
      <x:c r="AR49" s="32"/>
      <x:c r="AS49" s="32"/>
      <x:c r="AT49" s="32"/>
      <x:c r="AU49" s="32"/>
      <x:c r="AV49" s="32"/>
      <x:c r="AW49" s="32"/>
      <x:c r="AX49" s="32"/>
      <x:c r="AZ49" s="32"/>
      <x:c r="BA49" s="32"/>
      <x:c r="BB49" s="32"/>
      <x:c r="BC49" s="32"/>
      <x:c r="BD49" s="32"/>
      <x:c r="BE49" s="32"/>
      <x:c r="BF49" s="32"/>
      <x:c r="BG49" s="32"/>
      <x:c r="BH49" s="32"/>
      <x:c r="BI49" s="32"/>
      <x:c r="BJ49" s="32"/>
      <x:c r="BK49" s="32"/>
      <x:c r="BL49" s="32"/>
      <x:c r="BM49" s="32"/>
    </x:row>
    <x:row r="50">
      <x:c r="A50" s="32"/>
      <x:c r="B50" s="32"/>
      <x:c r="C50" s="42"/>
      <x:c r="D50" s="32"/>
      <x:c r="E50" s="32"/>
      <x:c r="F50" s="32"/>
      <x:c r="G50" s="32"/>
      <x:c r="H50" s="32"/>
      <x:c r="I50" s="32"/>
      <x:c r="J50" s="32"/>
      <x:c r="K50" s="32"/>
      <x:c r="L50" s="32"/>
      <x:c r="M50" s="32"/>
      <x:c r="N50" s="32"/>
      <x:c r="O50" s="32"/>
      <x:c r="P50" s="32"/>
      <x:c r="Q50" s="32"/>
      <x:c r="R50" s="32"/>
      <x:c r="S50" s="32"/>
      <x:c r="T50" s="43" t="str">
        <x:f>IFERROR(S50/L50,"")</x:f>
      </x:c>
      <x:c r="U50" s="32"/>
      <x:c r="V50" s="32"/>
      <x:c r="W50" s="32"/>
      <x:c r="X50" s="32"/>
      <x:c r="Y50" s="32"/>
      <x:c r="Z50" s="32"/>
      <x:c r="AA50" s="32"/>
      <x:c r="AB50" s="32"/>
      <x:c r="AC50" s="32"/>
      <x:c r="AD50" s="32"/>
      <x:c r="AE50" s="32"/>
      <x:c r="AF50" s="32"/>
      <x:c r="AG50" s="32"/>
      <x:c r="AH50" s="32"/>
      <x:c r="AI50" s="32"/>
      <x:c r="AJ50" s="32"/>
      <x:c r="AK50" s="32"/>
      <x:c r="AL50" s="32"/>
      <x:c r="AM50" s="32"/>
      <x:c r="AN50" s="32"/>
      <x:c r="AO50" s="32"/>
      <x:c r="AP50" s="32"/>
      <x:c r="AQ50" s="32"/>
      <x:c r="AR50" s="32"/>
      <x:c r="AS50" s="32"/>
      <x:c r="AT50" s="32"/>
      <x:c r="AU50" s="32"/>
      <x:c r="AV50" s="32"/>
      <x:c r="AW50" s="32"/>
      <x:c r="AX50" s="32"/>
      <x:c r="AZ50" s="32"/>
      <x:c r="BA50" s="32"/>
      <x:c r="BB50" s="32"/>
      <x:c r="BC50" s="32"/>
      <x:c r="BD50" s="32"/>
      <x:c r="BE50" s="32"/>
      <x:c r="BF50" s="32"/>
      <x:c r="BG50" s="32"/>
      <x:c r="BH50" s="32"/>
      <x:c r="BI50" s="32"/>
      <x:c r="BJ50" s="32"/>
      <x:c r="BK50" s="32"/>
      <x:c r="BL50" s="32"/>
      <x:c r="BM50" s="32"/>
    </x:row>
    <x:row r="51">
      <x:c r="A51" s="32"/>
      <x:c r="B51" s="32"/>
      <x:c r="C51" s="42"/>
      <x:c r="D51" s="32"/>
      <x:c r="E51" s="32"/>
      <x:c r="F51" s="32"/>
      <x:c r="G51" s="32"/>
      <x:c r="H51" s="32"/>
      <x:c r="I51" s="32"/>
      <x:c r="J51" s="32"/>
      <x:c r="K51" s="32"/>
      <x:c r="L51" s="32"/>
      <x:c r="M51" s="32"/>
      <x:c r="N51" s="32"/>
      <x:c r="O51" s="32"/>
      <x:c r="P51" s="32"/>
      <x:c r="Q51" s="32"/>
      <x:c r="R51" s="32"/>
      <x:c r="S51" s="32"/>
      <x:c r="T51" s="43" t="str">
        <x:f>IFERROR(S51/L51,"")</x:f>
      </x:c>
      <x:c r="U51" s="32"/>
      <x:c r="V51" s="32"/>
      <x:c r="W51" s="32"/>
      <x:c r="X51" s="32"/>
      <x:c r="Y51" s="32"/>
      <x:c r="Z51" s="32"/>
      <x:c r="AA51" s="32"/>
      <x:c r="AB51" s="32"/>
      <x:c r="AC51" s="32"/>
      <x:c r="AD51" s="32"/>
      <x:c r="AE51" s="32"/>
      <x:c r="AF51" s="32"/>
      <x:c r="AG51" s="32"/>
      <x:c r="AH51" s="32"/>
      <x:c r="AI51" s="32"/>
      <x:c r="AJ51" s="32"/>
      <x:c r="AK51" s="32"/>
      <x:c r="AL51" s="32"/>
      <x:c r="AM51" s="32"/>
      <x:c r="AN51" s="32"/>
      <x:c r="AO51" s="32"/>
      <x:c r="AP51" s="32"/>
      <x:c r="AQ51" s="32"/>
      <x:c r="AR51" s="32"/>
      <x:c r="AS51" s="32"/>
      <x:c r="AT51" s="32"/>
      <x:c r="AU51" s="32"/>
      <x:c r="AV51" s="32"/>
      <x:c r="AW51" s="32"/>
      <x:c r="AX51" s="32"/>
      <x:c r="AZ51" s="32"/>
      <x:c r="BA51" s="32"/>
      <x:c r="BB51" s="32"/>
      <x:c r="BC51" s="32"/>
      <x:c r="BD51" s="32"/>
      <x:c r="BE51" s="32"/>
      <x:c r="BF51" s="32"/>
      <x:c r="BG51" s="32"/>
      <x:c r="BH51" s="32"/>
      <x:c r="BI51" s="32"/>
      <x:c r="BJ51" s="32"/>
      <x:c r="BK51" s="32"/>
      <x:c r="BL51" s="32"/>
      <x:c r="BM51" s="32"/>
    </x:row>
    <x:row r="52">
      <x:c r="A52" s="32"/>
      <x:c r="B52" s="32"/>
      <x:c r="C52" s="42"/>
      <x:c r="D52" s="32"/>
      <x:c r="E52" s="32"/>
      <x:c r="F52" s="32"/>
      <x:c r="G52" s="32"/>
      <x:c r="H52" s="32"/>
      <x:c r="I52" s="32"/>
      <x:c r="J52" s="32"/>
      <x:c r="K52" s="32"/>
      <x:c r="L52" s="32"/>
      <x:c r="M52" s="32"/>
      <x:c r="N52" s="32"/>
      <x:c r="O52" s="32"/>
      <x:c r="P52" s="32"/>
      <x:c r="Q52" s="32"/>
      <x:c r="R52" s="32"/>
      <x:c r="S52" s="32"/>
      <x:c r="T52" s="43" t="str">
        <x:f>IFERROR(S52/L52,"")</x:f>
      </x:c>
      <x:c r="U52" s="32"/>
      <x:c r="V52" s="32"/>
      <x:c r="W52" s="32"/>
      <x:c r="X52" s="32"/>
      <x:c r="Y52" s="32"/>
      <x:c r="Z52" s="32"/>
      <x:c r="AA52" s="32"/>
      <x:c r="AB52" s="32"/>
      <x:c r="AC52" s="32"/>
      <x:c r="AD52" s="32"/>
      <x:c r="AE52" s="32"/>
      <x:c r="AF52" s="32"/>
      <x:c r="AG52" s="32"/>
      <x:c r="AH52" s="32"/>
      <x:c r="AI52" s="32"/>
      <x:c r="AJ52" s="32"/>
      <x:c r="AK52" s="32"/>
      <x:c r="AL52" s="32"/>
      <x:c r="AM52" s="32"/>
      <x:c r="AN52" s="32"/>
      <x:c r="AO52" s="32"/>
      <x:c r="AP52" s="32"/>
      <x:c r="AQ52" s="32"/>
      <x:c r="AR52" s="32"/>
      <x:c r="AS52" s="32"/>
      <x:c r="AT52" s="32"/>
      <x:c r="AU52" s="32"/>
      <x:c r="AV52" s="32"/>
      <x:c r="AW52" s="32"/>
      <x:c r="AX52" s="32"/>
      <x:c r="AZ52" s="32"/>
      <x:c r="BA52" s="32"/>
      <x:c r="BB52" s="32"/>
      <x:c r="BC52" s="32"/>
      <x:c r="BD52" s="32"/>
      <x:c r="BE52" s="32"/>
      <x:c r="BF52" s="32"/>
      <x:c r="BG52" s="32"/>
      <x:c r="BH52" s="32"/>
      <x:c r="BI52" s="32"/>
      <x:c r="BJ52" s="32"/>
      <x:c r="BK52" s="32"/>
      <x:c r="BL52" s="32"/>
      <x:c r="BM52" s="32"/>
    </x:row>
    <x:row r="53">
      <x:c r="A53" s="32"/>
      <x:c r="B53" s="32"/>
      <x:c r="C53" s="42"/>
      <x:c r="D53" s="32"/>
      <x:c r="E53" s="32"/>
      <x:c r="F53" s="32"/>
      <x:c r="G53" s="32"/>
      <x:c r="H53" s="32"/>
      <x:c r="I53" s="32"/>
      <x:c r="J53" s="32"/>
      <x:c r="K53" s="32"/>
      <x:c r="L53" s="32"/>
      <x:c r="M53" s="32"/>
      <x:c r="N53" s="32"/>
      <x:c r="O53" s="32"/>
      <x:c r="P53" s="32"/>
      <x:c r="Q53" s="32"/>
      <x:c r="R53" s="32"/>
      <x:c r="S53" s="32"/>
      <x:c r="T53" s="43" t="str">
        <x:f>IFERROR(S53/L53,"")</x:f>
      </x:c>
      <x:c r="U53" s="32"/>
      <x:c r="V53" s="32"/>
      <x:c r="W53" s="32"/>
      <x:c r="X53" s="32"/>
      <x:c r="Y53" s="32"/>
      <x:c r="Z53" s="32"/>
      <x:c r="AA53" s="32"/>
      <x:c r="AB53" s="32"/>
      <x:c r="AC53" s="32"/>
      <x:c r="AD53" s="32"/>
      <x:c r="AE53" s="32"/>
      <x:c r="AF53" s="32"/>
      <x:c r="AG53" s="32"/>
      <x:c r="AH53" s="32"/>
      <x:c r="AI53" s="32"/>
      <x:c r="AJ53" s="32"/>
      <x:c r="AK53" s="32"/>
      <x:c r="AL53" s="32"/>
      <x:c r="AM53" s="32"/>
      <x:c r="AN53" s="32"/>
      <x:c r="AO53" s="32"/>
      <x:c r="AP53" s="32"/>
      <x:c r="AQ53" s="32"/>
      <x:c r="AR53" s="32"/>
      <x:c r="AS53" s="32"/>
      <x:c r="AT53" s="32"/>
      <x:c r="AU53" s="32"/>
      <x:c r="AV53" s="32"/>
      <x:c r="AW53" s="32"/>
      <x:c r="AX53" s="32"/>
      <x:c r="AZ53" s="32"/>
      <x:c r="BA53" s="32"/>
      <x:c r="BB53" s="32"/>
      <x:c r="BC53" s="32"/>
      <x:c r="BD53" s="32"/>
      <x:c r="BE53" s="32"/>
      <x:c r="BF53" s="32"/>
      <x:c r="BG53" s="32"/>
      <x:c r="BH53" s="32"/>
      <x:c r="BI53" s="32"/>
      <x:c r="BJ53" s="32"/>
      <x:c r="BK53" s="32"/>
      <x:c r="BL53" s="32"/>
      <x:c r="BM53" s="32"/>
    </x:row>
    <x:row r="54">
      <x:c r="A54" s="32"/>
      <x:c r="B54" s="32"/>
      <x:c r="C54" s="42"/>
      <x:c r="D54" s="32"/>
      <x:c r="E54" s="32"/>
      <x:c r="F54" s="32"/>
      <x:c r="G54" s="32"/>
      <x:c r="H54" s="32"/>
      <x:c r="I54" s="32"/>
      <x:c r="J54" s="32"/>
      <x:c r="K54" s="32"/>
      <x:c r="L54" s="32"/>
      <x:c r="M54" s="32"/>
      <x:c r="N54" s="32"/>
      <x:c r="O54" s="32"/>
      <x:c r="P54" s="32"/>
      <x:c r="Q54" s="32"/>
      <x:c r="R54" s="32"/>
      <x:c r="S54" s="32"/>
      <x:c r="T54" s="43" t="str">
        <x:f>IFERROR(S54/L54,"")</x:f>
      </x:c>
      <x:c r="U54" s="32"/>
      <x:c r="V54" s="32"/>
      <x:c r="W54" s="32"/>
      <x:c r="X54" s="32"/>
      <x:c r="Y54" s="32"/>
      <x:c r="Z54" s="32"/>
      <x:c r="AA54" s="32"/>
      <x:c r="AB54" s="32"/>
      <x:c r="AC54" s="32"/>
      <x:c r="AD54" s="32"/>
      <x:c r="AE54" s="32"/>
      <x:c r="AF54" s="32"/>
      <x:c r="AG54" s="32"/>
      <x:c r="AH54" s="32"/>
      <x:c r="AI54" s="32"/>
      <x:c r="AJ54" s="32"/>
      <x:c r="AK54" s="32"/>
      <x:c r="AL54" s="32"/>
      <x:c r="AM54" s="32"/>
      <x:c r="AN54" s="32"/>
      <x:c r="AO54" s="32"/>
      <x:c r="AP54" s="32"/>
      <x:c r="AQ54" s="32"/>
      <x:c r="AR54" s="32"/>
      <x:c r="AS54" s="32"/>
      <x:c r="AT54" s="32"/>
      <x:c r="AU54" s="32"/>
      <x:c r="AV54" s="32"/>
      <x:c r="AW54" s="32"/>
      <x:c r="AX54" s="32"/>
      <x:c r="AZ54" s="32"/>
      <x:c r="BA54" s="32"/>
      <x:c r="BB54" s="32"/>
      <x:c r="BC54" s="32"/>
      <x:c r="BD54" s="32"/>
      <x:c r="BE54" s="32"/>
      <x:c r="BF54" s="32"/>
      <x:c r="BG54" s="32"/>
      <x:c r="BH54" s="32"/>
      <x:c r="BI54" s="32"/>
      <x:c r="BJ54" s="32"/>
      <x:c r="BK54" s="32"/>
      <x:c r="BL54" s="32"/>
      <x:c r="BM54" s="32"/>
    </x:row>
    <x:row r="55">
      <x:c r="A55" s="32"/>
      <x:c r="B55" s="32"/>
      <x:c r="C55" s="42"/>
      <x:c r="D55" s="32"/>
      <x:c r="E55" s="32"/>
      <x:c r="F55" s="32"/>
      <x:c r="G55" s="32"/>
      <x:c r="H55" s="32"/>
      <x:c r="I55" s="32"/>
      <x:c r="J55" s="32"/>
      <x:c r="K55" s="32"/>
      <x:c r="L55" s="32"/>
      <x:c r="M55" s="32"/>
      <x:c r="N55" s="32"/>
      <x:c r="O55" s="32"/>
      <x:c r="P55" s="32"/>
      <x:c r="Q55" s="32"/>
      <x:c r="R55" s="32"/>
      <x:c r="S55" s="32"/>
      <x:c r="T55" s="43" t="str">
        <x:f>IFERROR(S55/L55,"")</x:f>
      </x:c>
      <x:c r="U55" s="32"/>
      <x:c r="V55" s="32"/>
      <x:c r="W55" s="32"/>
      <x:c r="X55" s="32"/>
      <x:c r="Y55" s="32"/>
      <x:c r="Z55" s="32"/>
      <x:c r="AA55" s="32"/>
      <x:c r="AB55" s="32"/>
      <x:c r="AC55" s="32"/>
      <x:c r="AD55" s="32"/>
      <x:c r="AE55" s="32"/>
      <x:c r="AF55" s="32"/>
      <x:c r="AG55" s="32"/>
      <x:c r="AH55" s="32"/>
      <x:c r="AI55" s="32"/>
      <x:c r="AJ55" s="32"/>
      <x:c r="AK55" s="32"/>
      <x:c r="AL55" s="32"/>
      <x:c r="AM55" s="32"/>
      <x:c r="AN55" s="32"/>
      <x:c r="AO55" s="32"/>
      <x:c r="AP55" s="32"/>
      <x:c r="AQ55" s="32"/>
      <x:c r="AR55" s="32"/>
      <x:c r="AS55" s="32"/>
      <x:c r="AT55" s="32"/>
      <x:c r="AU55" s="32"/>
      <x:c r="AV55" s="32"/>
      <x:c r="AW55" s="32"/>
      <x:c r="AX55" s="32"/>
      <x:c r="AZ55" s="32"/>
      <x:c r="BA55" s="32"/>
      <x:c r="BB55" s="32"/>
      <x:c r="BC55" s="32"/>
      <x:c r="BD55" s="32"/>
      <x:c r="BE55" s="32"/>
      <x:c r="BF55" s="32"/>
      <x:c r="BG55" s="32"/>
      <x:c r="BH55" s="32"/>
      <x:c r="BI55" s="32"/>
      <x:c r="BJ55" s="32"/>
      <x:c r="BK55" s="32"/>
      <x:c r="BL55" s="32"/>
      <x:c r="BM55" s="32"/>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x:c r="B73" s="32"/>
      <x:c r="C73" s="32"/>
      <x:c r="D73" s="32"/>
      <x:c r="E73" s="32"/>
      <x:c r="F73" s="32"/>
      <x:c r="G73" s="32"/>
      <x:c r="H73" s="32"/>
      <x:c r="I73" s="32"/>
      <x:c r="J73" s="32"/>
      <x:c r="K73" s="32"/>
      <x:c r="L73" s="32"/>
    </x:row>
    <x:row r="74">
      <x:c r="A74" s="32"/>
      <x:c r="B74" s="32"/>
      <x:c r="C74" s="32"/>
      <x:c r="D74" s="32"/>
      <x:c r="E74" s="32"/>
      <x:c r="F74" s="32"/>
      <x:c r="G74" s="32"/>
      <x:c r="H74" s="32"/>
      <x:c r="I74" s="32"/>
      <x:c r="J74" s="32"/>
      <x:c r="K74" s="32"/>
      <x:c r="L74" s="32"/>
    </x:row>
    <x:row r="75">
      <x:c r="A75" s="32"/>
      <x:c r="B75" s="32"/>
      <x:c r="C75" s="32"/>
      <x:c r="D75" s="32"/>
      <x:c r="E75" s="32"/>
      <x:c r="F75" s="32"/>
      <x:c r="G75" s="32"/>
      <x:c r="H75" s="32"/>
      <x:c r="I75" s="32"/>
      <x:c r="J75" s="32"/>
      <x:c r="K75" s="32"/>
      <x:c r="L75" s="32"/>
    </x:row>
    <x:row r="76">
      <x:c r="A76" s="32"/>
      <x:c r="B76" s="32"/>
      <x:c r="C76" s="32"/>
      <x:c r="D76" s="32"/>
      <x:c r="E76" s="32"/>
      <x:c r="F76" s="32"/>
      <x:c r="G76" s="32"/>
      <x:c r="H76" s="32"/>
      <x:c r="I76" s="32"/>
      <x:c r="J76" s="32"/>
      <x:c r="K76" s="32"/>
      <x:c r="L76" s="32"/>
    </x:row>
    <x:row r="77">
      <x:c r="A77" s="32"/>
      <x:c r="B77" s="32"/>
      <x:c r="C77" s="32"/>
      <x:c r="D77" s="32"/>
      <x:c r="E77" s="32"/>
      <x:c r="F77" s="32"/>
      <x:c r="G77" s="32"/>
      <x:c r="H77" s="32"/>
      <x:c r="I77" s="32"/>
      <x:c r="J77" s="32"/>
      <x:c r="K77" s="32"/>
      <x:c r="L77" s="32"/>
    </x:row>
    <x:row r="78">
      <x:c r="A78" s="32"/>
      <x:c r="B78" s="32"/>
      <x:c r="C78" s="32"/>
      <x:c r="D78" s="32"/>
      <x:c r="E78" s="32"/>
      <x:c r="F78" s="32"/>
      <x:c r="G78" s="32"/>
      <x:c r="H78" s="32"/>
      <x:c r="I78" s="32"/>
      <x:c r="J78" s="32"/>
      <x:c r="K78" s="32"/>
      <x:c r="L78" s="32"/>
    </x:row>
    <x:row r="79">
      <x:c r="A79" s="32"/>
      <x:c r="B79" s="32"/>
      <x:c r="C79" s="32"/>
      <x:c r="D79" s="32"/>
      <x:c r="E79" s="32"/>
      <x:c r="F79" s="32"/>
      <x:c r="G79" s="32"/>
      <x:c r="H79" s="32"/>
      <x:c r="I79" s="32"/>
      <x:c r="J79" s="32"/>
      <x:c r="K79" s="32"/>
      <x:c r="L79" s="32"/>
    </x:row>
    <x:row r="80">
      <x:c r="A80" s="32"/>
      <x:c r="B80" s="32"/>
      <x:c r="C80" s="32"/>
      <x:c r="D80" s="32"/>
      <x:c r="E80" s="32"/>
      <x:c r="F80" s="32"/>
      <x:c r="G80" s="32"/>
      <x:c r="H80" s="32"/>
      <x:c r="I80" s="32"/>
      <x:c r="J80" s="32"/>
      <x:c r="K80" s="32"/>
      <x:c r="L80" s="32"/>
    </x:row>
    <x:row r="81">
      <x:c r="A81" s="32"/>
      <x:c r="B81" s="32"/>
      <x:c r="C81" s="32"/>
      <x:c r="D81" s="32"/>
      <x:c r="E81" s="32"/>
      <x:c r="F81" s="32"/>
      <x:c r="G81" s="32"/>
      <x:c r="H81" s="32"/>
      <x:c r="I81" s="32"/>
      <x:c r="J81" s="32"/>
      <x:c r="K81" s="32"/>
      <x:c r="L81" s="32"/>
    </x:row>
    <x:row r="82">
      <x:c r="A82" s="32"/>
      <x:c r="B82" s="32"/>
      <x:c r="C82" s="32"/>
      <x:c r="D82" s="32"/>
      <x:c r="E82" s="32"/>
      <x:c r="F82" s="32"/>
      <x:c r="G82" s="32"/>
      <x:c r="H82" s="32"/>
      <x:c r="I82" s="32"/>
      <x:c r="J82" s="32"/>
      <x:c r="K82" s="32"/>
      <x:c r="L82" s="32"/>
    </x:row>
    <x:row r="83">
      <x:c r="A83" s="32"/>
      <x:c r="B83" s="32"/>
      <x:c r="C83" s="32"/>
      <x:c r="D83" s="32"/>
      <x:c r="E83" s="32"/>
      <x:c r="F83" s="32"/>
      <x:c r="G83" s="32"/>
      <x:c r="H83" s="32"/>
      <x:c r="I83" s="32"/>
      <x:c r="J83" s="32"/>
      <x:c r="K83" s="32"/>
      <x:c r="L83" s="32"/>
    </x:row>
    <x:row r="84">
      <x:c r="A84" s="32"/>
      <x:c r="B84" s="32"/>
      <x:c r="C84" s="32"/>
      <x:c r="D84" s="32"/>
      <x:c r="E84" s="32"/>
      <x:c r="F84" s="32"/>
      <x:c r="G84" s="32"/>
      <x:c r="H84" s="32"/>
      <x:c r="I84" s="32"/>
      <x:c r="J84" s="32"/>
      <x:c r="K84" s="32"/>
      <x:c r="L84" s="32"/>
    </x:row>
    <x:row r="85">
      <x:c r="A85" s="32"/>
      <x:c r="B85" s="32"/>
      <x:c r="C85" s="32"/>
      <x:c r="D85" s="32"/>
      <x:c r="E85" s="32"/>
      <x:c r="F85" s="32"/>
      <x:c r="G85" s="32"/>
      <x:c r="H85" s="32"/>
      <x:c r="I85" s="32"/>
      <x:c r="J85" s="32"/>
      <x:c r="K85" s="32"/>
      <x:c r="L85" s="32"/>
    </x:row>
    <x:row r="86">
      <x:c r="A86" s="32"/>
      <x:c r="B86" s="32"/>
      <x:c r="C86" s="32"/>
      <x:c r="D86" s="32"/>
      <x:c r="E86" s="32"/>
      <x:c r="F86" s="32"/>
      <x:c r="G86" s="32"/>
      <x:c r="H86" s="32"/>
      <x:c r="I86" s="32"/>
      <x:c r="J86" s="32"/>
      <x:c r="K86" s="32"/>
      <x:c r="L86" s="32"/>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x:c r="B40" s="32"/>
      <x:c r="C40" s="32"/>
      <x:c r="D40" s="32"/>
      <x:c r="E40" s="32"/>
      <x:c r="F40" s="32"/>
      <x:c r="G40" s="32"/>
      <x:c r="H40" s="32"/>
      <x:c r="I40" s="32"/>
    </x:row>
    <x:row r="41">
      <x:c r="A41" s="32"/>
      <x:c r="B41" s="32"/>
      <x:c r="C41" s="32"/>
      <x:c r="D41" s="32"/>
      <x:c r="E41" s="32"/>
      <x:c r="F41" s="32"/>
      <x:c r="G41" s="32"/>
      <x:c r="H41" s="32"/>
      <x:c r="I41" s="32"/>
    </x:row>
    <x:row r="42">
      <x:c r="A42" s="32"/>
      <x:c r="B42" s="32"/>
      <x:c r="C42" s="32"/>
      <x:c r="D42" s="32"/>
      <x:c r="E42" s="32"/>
      <x:c r="F42" s="32"/>
      <x:c r="G42" s="32"/>
      <x:c r="H42" s="32"/>
      <x:c r="I42" s="32"/>
    </x:row>
    <x:row r="43">
      <x:c r="A43" s="32"/>
      <x:c r="B43" s="32"/>
      <x:c r="C43" s="32"/>
      <x:c r="D43" s="32"/>
      <x:c r="E43" s="32"/>
      <x:c r="F43" s="32"/>
      <x:c r="G43" s="32"/>
      <x:c r="H43" s="32"/>
      <x:c r="I43" s="32"/>
    </x:row>
    <x:row r="44">
      <x:c r="A44" s="32"/>
      <x:c r="B44" s="32"/>
      <x:c r="C44" s="32"/>
      <x:c r="D44" s="32"/>
      <x:c r="E44" s="32"/>
      <x:c r="F44" s="32"/>
      <x:c r="G44" s="32"/>
      <x:c r="H44" s="32"/>
      <x:c r="I44" s="32"/>
    </x:row>
    <x:row r="45">
      <x:c r="A45" s="32"/>
      <x:c r="B45" s="32"/>
      <x:c r="C45" s="32"/>
      <x:c r="D45" s="32"/>
      <x:c r="E45" s="32"/>
      <x:c r="F45" s="32"/>
      <x:c r="G45" s="32"/>
      <x:c r="H45" s="32"/>
      <x:c r="I45" s="32"/>
    </x:row>
    <x:row r="46">
      <x:c r="A46" s="32"/>
      <x:c r="B46" s="32"/>
      <x:c r="C46" s="32"/>
      <x:c r="D46" s="32"/>
      <x:c r="E46" s="32"/>
      <x:c r="F46" s="32"/>
      <x:c r="G46" s="32"/>
      <x:c r="H46" s="32"/>
      <x:c r="I46" s="32"/>
    </x:row>
    <x:row r="47">
      <x:c r="A47" s="32"/>
      <x:c r="B47" s="32"/>
      <x:c r="C47" s="32"/>
      <x:c r="D47" s="32"/>
      <x:c r="E47" s="32"/>
      <x:c r="F47" s="32"/>
      <x:c r="G47" s="32"/>
      <x:c r="H47" s="32"/>
      <x:c r="I47" s="32"/>
    </x:row>
    <x:row r="48">
      <x:c r="A48" s="32"/>
      <x:c r="B48" s="32"/>
      <x:c r="C48" s="32"/>
      <x:c r="D48" s="32"/>
      <x:c r="E48" s="32"/>
      <x:c r="F48" s="32"/>
      <x:c r="G48" s="32"/>
      <x:c r="H48" s="32"/>
      <x:c r="I48" s="32"/>
    </x:row>
    <x:row r="49">
      <x:c r="A49" s="32"/>
      <x:c r="B49" s="32"/>
      <x:c r="C49" s="32"/>
      <x:c r="D49" s="32"/>
      <x:c r="E49" s="32"/>
      <x:c r="F49" s="32"/>
      <x:c r="G49" s="32"/>
      <x:c r="H49" s="32"/>
      <x:c r="I49" s="32"/>
    </x:row>
    <x:row r="50">
      <x:c r="A50" s="32"/>
      <x:c r="B50" s="32"/>
      <x:c r="C50" s="32"/>
      <x:c r="D50" s="32"/>
      <x:c r="E50" s="32"/>
      <x:c r="F50" s="32"/>
      <x:c r="G50" s="32"/>
      <x:c r="H50" s="32"/>
      <x:c r="I50" s="32"/>
    </x:row>
    <x:row r="51">
      <x:c r="A51" s="32"/>
      <x:c r="B51" s="32"/>
      <x:c r="C51" s="32"/>
      <x:c r="D51" s="32"/>
      <x:c r="E51" s="32"/>
      <x:c r="F51" s="32"/>
      <x:c r="G51" s="32"/>
      <x:c r="H51" s="32"/>
      <x:c r="I51" s="32"/>
    </x:row>
    <x:row r="52">
      <x:c r="A52" s="32"/>
      <x:c r="B52" s="32"/>
      <x:c r="C52" s="32"/>
      <x:c r="D52" s="32"/>
      <x:c r="E52" s="32"/>
      <x:c r="F52" s="32"/>
      <x:c r="G52" s="32"/>
      <x:c r="H52" s="32"/>
      <x:c r="I52" s="32"/>
    </x:row>
    <x:row r="53">
      <x:c r="A53" s="32"/>
      <x:c r="B53" s="32"/>
      <x:c r="C53" s="32"/>
      <x:c r="D53" s="32"/>
      <x:c r="E53" s="32"/>
      <x:c r="F53" s="32"/>
      <x:c r="G53" s="32"/>
      <x:c r="H53" s="32"/>
      <x:c r="I53" s="32"/>
    </x:row>
    <x:row r="54">
      <x:c r="A54" s="32"/>
      <x:c r="B54" s="32"/>
      <x:c r="C54" s="32"/>
      <x:c r="D54" s="32"/>
      <x:c r="E54" s="32"/>
      <x:c r="F54" s="32"/>
      <x:c r="G54" s="32"/>
      <x:c r="H54" s="32"/>
      <x:c r="I54" s="32"/>
    </x:row>
    <x:row r="55">
      <x:c r="A55" s="32"/>
      <x:c r="B55" s="32"/>
      <x:c r="C55" s="32"/>
      <x:c r="D55" s="32"/>
      <x:c r="E55" s="32"/>
      <x:c r="F55" s="32"/>
      <x:c r="G55" s="32"/>
      <x:c r="H55" s="32"/>
      <x:c r="I55" s="32"/>
    </x:row>
    <x:row r="56">
      <x:c r="A56" s="32"/>
      <x:c r="B56" s="32"/>
      <x:c r="C56" s="32"/>
      <x:c r="D56" s="32"/>
      <x:c r="E56" s="32"/>
      <x:c r="F56" s="32"/>
      <x:c r="G56" s="32"/>
      <x:c r="H56" s="32"/>
      <x:c r="I56" s="32"/>
    </x:row>
    <x:row r="57">
      <x:c r="A57" s="32"/>
      <x:c r="B57" s="32"/>
      <x:c r="C57" s="32"/>
      <x:c r="D57" s="32"/>
      <x:c r="E57" s="32"/>
      <x:c r="F57" s="32"/>
      <x:c r="G57" s="32"/>
      <x:c r="H57" s="32"/>
      <x:c r="I57" s="32"/>
    </x:row>
    <x:row r="58">
      <x:c r="A58" s="32"/>
      <x:c r="B58" s="32"/>
      <x:c r="C58" s="32"/>
      <x:c r="D58" s="32"/>
      <x:c r="E58" s="32"/>
      <x:c r="F58" s="32"/>
      <x:c r="G58" s="32"/>
      <x:c r="H58" s="32"/>
      <x:c r="I58" s="32"/>
    </x:row>
    <x:row r="59">
      <x:c r="A59" s="32"/>
      <x:c r="B59" s="32"/>
      <x:c r="C59" s="32"/>
      <x:c r="D59" s="32"/>
      <x:c r="E59" s="32"/>
      <x:c r="F59" s="32"/>
      <x:c r="G59" s="32"/>
      <x:c r="H59" s="32"/>
      <x:c r="I59" s="32"/>
    </x:row>
    <x:row r="60">
      <x:c r="A60" s="32"/>
      <x:c r="B60" s="32"/>
      <x:c r="C60" s="32"/>
      <x:c r="D60" s="32"/>
      <x:c r="E60" s="32"/>
      <x:c r="F60" s="32"/>
      <x:c r="G60" s="32"/>
      <x:c r="H60" s="32"/>
      <x:c r="I60" s="32"/>
    </x:row>
    <x:row r="61">
      <x:c r="A61" s="32"/>
      <x:c r="B61" s="32"/>
      <x:c r="C61" s="32"/>
      <x:c r="D61" s="32"/>
      <x:c r="E61" s="32"/>
      <x:c r="F61" s="32"/>
      <x:c r="G61" s="32"/>
      <x:c r="H61" s="32"/>
      <x:c r="I61" s="32"/>
    </x:row>
    <x:row r="62">
      <x:c r="A62" s="32"/>
      <x:c r="B62" s="32"/>
      <x:c r="C62" s="32"/>
      <x:c r="D62" s="32"/>
      <x:c r="E62" s="32"/>
      <x:c r="F62" s="32"/>
      <x:c r="G62" s="32"/>
      <x:c r="H62" s="32"/>
      <x:c r="I62" s="32"/>
    </x:row>
    <x:row r="63">
      <x:c r="A63" s="32"/>
      <x:c r="B63" s="32"/>
      <x:c r="C63" s="32"/>
      <x:c r="D63" s="32"/>
      <x:c r="E63" s="32"/>
      <x:c r="F63" s="32"/>
      <x:c r="G63" s="32"/>
      <x:c r="H63" s="32"/>
      <x:c r="I63" s="32"/>
    </x:row>
    <x:row r="64">
      <x:c r="A64" s="32"/>
      <x:c r="B64" s="32"/>
      <x:c r="C64" s="32"/>
      <x:c r="D64" s="32"/>
      <x:c r="E64" s="32"/>
      <x:c r="F64" s="32"/>
      <x:c r="G64" s="32"/>
      <x:c r="H64" s="32"/>
      <x:c r="I64" s="32"/>
    </x:row>
    <x:row r="65">
      <x:c r="A65" s="32"/>
      <x:c r="B65" s="32"/>
      <x:c r="C65" s="32"/>
      <x:c r="D65" s="32"/>
      <x:c r="E65" s="32"/>
      <x:c r="F65" s="32"/>
      <x:c r="G65" s="32"/>
      <x:c r="H65" s="32"/>
      <x:c r="I65" s="32"/>
    </x:row>
    <x:row r="66">
      <x:c r="A66" s="32"/>
      <x:c r="B66" s="32"/>
      <x:c r="C66" s="32"/>
      <x:c r="D66" s="32"/>
      <x:c r="E66" s="32"/>
      <x:c r="F66" s="32"/>
      <x:c r="G66" s="32"/>
      <x:c r="H66" s="32"/>
      <x:c r="I66" s="32"/>
    </x:row>
    <x:row r="67">
      <x:c r="A67" s="32"/>
      <x:c r="B67" s="32"/>
      <x:c r="C67" s="32"/>
      <x:c r="D67" s="32"/>
      <x:c r="E67" s="32"/>
      <x:c r="F67" s="32"/>
      <x:c r="G67" s="32"/>
      <x:c r="H67" s="32"/>
      <x:c r="I67" s="32"/>
    </x:row>
    <x:row r="68">
      <x:c r="A68" s="32"/>
      <x:c r="B68" s="32"/>
      <x:c r="C68" s="32"/>
      <x:c r="D68" s="32"/>
      <x:c r="E68" s="32"/>
      <x:c r="F68" s="32"/>
      <x:c r="G68" s="32"/>
      <x:c r="H68" s="32"/>
      <x:c r="I68" s="32"/>
    </x:row>
    <x:row r="69">
      <x:c r="A69" s="32"/>
      <x:c r="B69" s="32"/>
      <x:c r="C69" s="32"/>
      <x:c r="D69" s="32"/>
      <x:c r="E69" s="32"/>
      <x:c r="F69" s="32"/>
      <x:c r="G69" s="32"/>
      <x:c r="H69" s="32"/>
      <x:c r="I69" s="32"/>
    </x:row>
    <x:row r="70">
      <x:c r="A70" s="32"/>
      <x:c r="B70" s="32"/>
      <x:c r="C70" s="32"/>
      <x:c r="D70" s="32"/>
      <x:c r="E70" s="32"/>
      <x:c r="F70" s="32"/>
      <x:c r="G70" s="32"/>
      <x:c r="H70" s="32"/>
      <x:c r="I70" s="32"/>
    </x:row>
    <x:row r="71">
      <x:c r="A71" s="32"/>
      <x:c r="B71" s="32"/>
      <x:c r="C71" s="32"/>
      <x:c r="D71" s="32"/>
      <x:c r="E71" s="32"/>
      <x:c r="F71" s="32"/>
      <x:c r="G71" s="32"/>
      <x:c r="H71" s="32"/>
      <x:c r="I71" s="32"/>
    </x:row>
    <x:row r="72">
      <x:c r="A72" s="32"/>
      <x:c r="B72" s="32"/>
      <x:c r="C72" s="32"/>
      <x:c r="D72" s="32"/>
      <x:c r="E72" s="32"/>
      <x:c r="F72" s="32"/>
      <x:c r="G72" s="32"/>
      <x:c r="H72" s="32"/>
      <x:c r="I72" s="32"/>
    </x:row>
    <x:row r="73">
      <x:c r="A73" s="32"/>
      <x:c r="B73" s="32"/>
      <x:c r="C73" s="32"/>
      <x:c r="D73" s="32"/>
      <x:c r="E73" s="32"/>
      <x:c r="F73" s="32"/>
      <x:c r="G73" s="32"/>
      <x:c r="H73" s="32"/>
      <x:c r="I73" s="32"/>
    </x:row>
    <x:row r="74">
      <x:c r="A74" s="32"/>
      <x:c r="B74" s="32"/>
      <x:c r="C74" s="32"/>
      <x:c r="D74" s="32"/>
      <x:c r="E74" s="32"/>
      <x:c r="F74" s="32"/>
      <x:c r="G74" s="32"/>
      <x:c r="H74" s="32"/>
      <x:c r="I74" s="32"/>
    </x:row>
    <x:row r="75">
      <x:c r="A75" s="32"/>
      <x:c r="B75" s="32"/>
      <x:c r="C75" s="32"/>
      <x:c r="D75" s="32"/>
      <x:c r="E75" s="32"/>
      <x:c r="F75" s="32"/>
      <x:c r="G75" s="32"/>
      <x:c r="H75" s="32"/>
      <x:c r="I75" s="32"/>
    </x:row>
    <x:row r="76">
      <x:c r="A76" s="32"/>
      <x:c r="B76" s="32"/>
      <x:c r="C76" s="32"/>
      <x:c r="D76" s="32"/>
      <x:c r="E76" s="32"/>
      <x:c r="F76" s="32"/>
      <x:c r="G76" s="32"/>
      <x:c r="H76" s="32"/>
      <x:c r="I76" s="32"/>
    </x:row>
    <x:row r="77">
      <x:c r="A77" s="32"/>
      <x:c r="B77" s="32"/>
      <x:c r="C77" s="32"/>
      <x:c r="D77" s="32"/>
      <x:c r="E77" s="32"/>
      <x:c r="F77" s="32"/>
      <x:c r="G77" s="32"/>
      <x:c r="H77" s="32"/>
      <x:c r="I77" s="32"/>
    </x:row>
    <x:row r="78">
      <x:c r="A78" s="32"/>
      <x:c r="B78" s="32"/>
      <x:c r="C78" s="32"/>
      <x:c r="D78" s="32"/>
      <x:c r="E78" s="32"/>
      <x:c r="F78" s="32"/>
      <x:c r="G78" s="32"/>
      <x:c r="H78" s="32"/>
      <x:c r="I78" s="32"/>
    </x:row>
    <x:row r="79">
      <x:c r="A79" s="32"/>
      <x:c r="B79" s="32"/>
      <x:c r="C79" s="32"/>
      <x:c r="D79" s="32"/>
      <x:c r="E79" s="32"/>
      <x:c r="F79" s="32"/>
      <x:c r="G79" s="32"/>
      <x:c r="H79" s="32"/>
      <x:c r="I79" s="32"/>
    </x:row>
    <x:row r="80">
      <x:c r="A80" s="32"/>
      <x:c r="B80" s="32"/>
      <x:c r="C80" s="32"/>
      <x:c r="D80" s="32"/>
      <x:c r="E80" s="32"/>
      <x:c r="F80" s="32"/>
      <x:c r="G80" s="32"/>
      <x:c r="H80" s="32"/>
      <x:c r="I80" s="32"/>
    </x:row>
    <x:row r="81">
      <x:c r="A81" s="32"/>
      <x:c r="B81" s="32"/>
      <x:c r="C81" s="32"/>
      <x:c r="D81" s="32"/>
      <x:c r="E81" s="32"/>
      <x:c r="F81" s="32"/>
      <x:c r="G81" s="32"/>
      <x:c r="H81" s="32"/>
      <x:c r="I81" s="32"/>
    </x:row>
    <x:row r="82">
      <x:c r="A82" s="32"/>
      <x:c r="B82" s="32"/>
      <x:c r="C82" s="32"/>
      <x:c r="D82" s="32"/>
      <x:c r="E82" s="32"/>
      <x:c r="F82" s="32"/>
      <x:c r="G82" s="32"/>
      <x:c r="H82" s="32"/>
      <x:c r="I82" s="32"/>
    </x:row>
    <x:row r="83">
      <x:c r="A83" s="32"/>
      <x:c r="B83" s="32"/>
      <x:c r="C83" s="32"/>
      <x:c r="D83" s="32"/>
      <x:c r="E83" s="32"/>
      <x:c r="F83" s="32"/>
      <x:c r="G83" s="32"/>
      <x:c r="H83" s="32"/>
      <x:c r="I83" s="32"/>
    </x:row>
    <x:row r="84">
      <x:c r="A84" s="32"/>
      <x:c r="B84" s="32"/>
      <x:c r="C84" s="32"/>
      <x:c r="D84" s="32"/>
      <x:c r="E84" s="32"/>
      <x:c r="F84" s="32"/>
      <x:c r="G84" s="32"/>
      <x:c r="H84" s="32"/>
      <x:c r="I84" s="32"/>
    </x:row>
    <x:row r="85">
      <x:c r="A85" s="32"/>
      <x:c r="B85" s="32"/>
      <x:c r="C85" s="32"/>
      <x:c r="D85" s="32"/>
      <x:c r="E85" s="32"/>
      <x:c r="F85" s="32"/>
      <x:c r="G85" s="32"/>
      <x:c r="H85" s="32"/>
      <x:c r="I85" s="32"/>
    </x:row>
    <x:row r="86">
      <x:c r="A86" s="32"/>
      <x:c r="B86" s="32"/>
      <x:c r="C86" s="32"/>
      <x:c r="D86" s="32"/>
      <x:c r="E86" s="32"/>
      <x:c r="F86" s="32"/>
      <x:c r="G86" s="32"/>
      <x:c r="H86" s="32"/>
      <x:c r="I86" s="32"/>
    </x:row>
    <x:row r="87">
      <x:c r="A87" s="32"/>
      <x:c r="B87" s="32"/>
      <x:c r="C87" s="32"/>
      <x:c r="D87" s="32"/>
      <x:c r="E87" s="32"/>
      <x:c r="F87" s="32"/>
      <x:c r="G87" s="32"/>
      <x:c r="H87" s="32"/>
      <x:c r="I87" s="32"/>
    </x:row>
    <x:row r="88">
      <x:c r="A88" s="32"/>
      <x:c r="B88" s="32"/>
      <x:c r="C88" s="32"/>
      <x:c r="D88" s="32"/>
      <x:c r="E88" s="32"/>
      <x:c r="F88" s="32"/>
      <x:c r="G88" s="32"/>
      <x:c r="H88" s="32"/>
      <x:c r="I88" s="32"/>
    </x:row>
    <x:row r="89">
      <x:c r="A89" s="32"/>
      <x:c r="B89" s="32"/>
      <x:c r="C89" s="32"/>
      <x:c r="D89" s="32"/>
      <x:c r="E89" s="32"/>
      <x:c r="F89" s="32"/>
      <x:c r="G89" s="32"/>
      <x:c r="H89" s="32"/>
      <x:c r="I89" s="32"/>
    </x:row>
    <x:row r="90">
      <x:c r="A90" s="32"/>
      <x:c r="B90" s="32"/>
      <x:c r="C90" s="32"/>
      <x:c r="D90" s="32"/>
      <x:c r="E90" s="32"/>
      <x:c r="F90" s="32"/>
      <x:c r="G90" s="32"/>
      <x:c r="H90" s="32"/>
      <x:c r="I90" s="32"/>
    </x:row>
    <x:row r="91">
      <x:c r="A91" s="32"/>
      <x:c r="B91" s="32"/>
      <x:c r="C91" s="32"/>
      <x:c r="D91" s="32"/>
      <x:c r="E91" s="32"/>
      <x:c r="F91" s="32"/>
      <x:c r="G91" s="32"/>
      <x:c r="H91" s="32"/>
      <x:c r="I91" s="32"/>
    </x:row>
    <x:row r="92">
      <x:c r="A92" s="32"/>
      <x:c r="B92" s="32"/>
      <x:c r="C92" s="32"/>
      <x:c r="D92" s="32"/>
      <x:c r="E92" s="32"/>
      <x:c r="F92" s="32"/>
      <x:c r="G92" s="32"/>
      <x:c r="H92" s="32"/>
      <x:c r="I92" s="32"/>
    </x:row>
    <x:row r="93">
      <x:c r="A93" s="32"/>
      <x:c r="B93" s="32"/>
      <x:c r="C93" s="32"/>
      <x:c r="D93" s="32"/>
      <x:c r="E93" s="32"/>
      <x:c r="F93" s="32"/>
      <x:c r="G93" s="32"/>
      <x:c r="H93" s="32"/>
      <x:c r="I93" s="32"/>
    </x:row>
    <x:row r="94">
      <x:c r="A94" s="32"/>
      <x:c r="B94" s="32"/>
      <x:c r="C94" s="32"/>
      <x:c r="D94" s="32"/>
      <x:c r="E94" s="32"/>
      <x:c r="F94" s="32"/>
      <x:c r="G94" s="32"/>
      <x:c r="H94" s="32"/>
      <x:c r="I94" s="32"/>
    </x:row>
    <x:row r="95">
      <x:c r="A95" s="32"/>
      <x:c r="B95" s="32"/>
      <x:c r="C95" s="32"/>
      <x:c r="D95" s="32"/>
      <x:c r="E95" s="32"/>
      <x:c r="F95" s="32"/>
      <x:c r="G95" s="32"/>
      <x:c r="H95" s="32"/>
      <x:c r="I95" s="32"/>
    </x:row>
    <x:row r="96">
      <x:c r="A96" s="32"/>
      <x:c r="B96" s="32"/>
      <x:c r="C96" s="32"/>
      <x:c r="D96" s="32"/>
      <x:c r="E96" s="32"/>
      <x:c r="F96" s="32"/>
      <x:c r="G96" s="32"/>
      <x:c r="H96" s="32"/>
      <x:c r="I96" s="32"/>
    </x:row>
    <x:row r="97">
      <x:c r="A97" s="32"/>
      <x:c r="B97" s="32"/>
      <x:c r="C97" s="32"/>
      <x:c r="D97" s="32"/>
      <x:c r="E97" s="32"/>
      <x:c r="F97" s="32"/>
      <x:c r="G97" s="32"/>
      <x:c r="H97" s="32"/>
      <x:c r="I97" s="32"/>
    </x:row>
    <x:row r="98">
      <x:c r="A98" s="32"/>
      <x:c r="B98" s="32"/>
      <x:c r="C98" s="32"/>
      <x:c r="D98" s="32"/>
      <x:c r="E98" s="32"/>
      <x:c r="F98" s="32"/>
      <x:c r="G98" s="32"/>
      <x:c r="H98" s="32"/>
      <x:c r="I98" s="32"/>
    </x:row>
    <x:row r="99">
      <x:c r="A99" s="32"/>
      <x:c r="B99" s="32"/>
      <x:c r="C99" s="32"/>
      <x:c r="D99" s="32"/>
      <x:c r="E99" s="32"/>
      <x:c r="F99" s="32"/>
      <x:c r="G99" s="32"/>
      <x:c r="H99" s="32"/>
      <x:c r="I99" s="32"/>
    </x:row>
    <x:row r="100">
      <x:c r="A100" s="32"/>
      <x:c r="B100" s="32"/>
      <x:c r="C100" s="32"/>
      <x:c r="D100" s="32"/>
      <x:c r="E100" s="32"/>
      <x:c r="F100" s="32"/>
      <x:c r="G100" s="32"/>
      <x:c r="H100" s="32"/>
      <x:c r="I100" s="32"/>
    </x:row>
    <x:row r="101">
      <x:c r="A101" s="32"/>
      <x:c r="B101" s="32"/>
      <x:c r="C101" s="32"/>
      <x:c r="D101" s="32"/>
      <x:c r="E101" s="32"/>
      <x:c r="F101" s="32"/>
      <x:c r="G101" s="32"/>
      <x:c r="H101" s="32"/>
      <x:c r="I101" s="32"/>
    </x:row>
    <x:row r="102">
      <x:c r="A102" s="32"/>
      <x:c r="B102" s="32"/>
      <x:c r="C102" s="32"/>
      <x:c r="D102" s="32"/>
      <x:c r="E102" s="32"/>
      <x:c r="F102" s="32"/>
      <x:c r="G102" s="32"/>
      <x:c r="H102" s="32"/>
      <x:c r="I102" s="32"/>
    </x:row>
    <x:row r="103">
      <x:c r="A103" s="32"/>
      <x:c r="B103" s="32"/>
      <x:c r="C103" s="32"/>
      <x:c r="D103" s="32"/>
      <x:c r="E103" s="32"/>
      <x:c r="F103" s="32"/>
      <x:c r="G103" s="32"/>
      <x:c r="H103" s="32"/>
      <x:c r="I103" s="32"/>
    </x:row>
    <x:row r="104">
      <x:c r="A104" s="32"/>
      <x:c r="B104" s="32"/>
      <x:c r="C104" s="32"/>
      <x:c r="D104" s="32"/>
      <x:c r="E104" s="32"/>
      <x:c r="F104" s="32"/>
      <x:c r="G104" s="32"/>
      <x:c r="H104" s="32"/>
      <x:c r="I104" s="32"/>
    </x:row>
    <x:row r="105">
      <x:c r="A105" s="32"/>
      <x:c r="B105" s="32"/>
      <x:c r="C105" s="32"/>
      <x:c r="D105" s="32"/>
      <x:c r="E105" s="32"/>
      <x:c r="F105" s="32"/>
      <x:c r="G105" s="32"/>
      <x:c r="H105" s="32"/>
      <x:c r="I105" s="32"/>
    </x:row>
    <x:row r="106">
      <x:c r="A106" s="32"/>
      <x:c r="B106" s="32"/>
      <x:c r="C106" s="32"/>
      <x:c r="D106" s="32"/>
      <x:c r="E106" s="32"/>
      <x:c r="F106" s="32"/>
      <x:c r="G106" s="32"/>
      <x:c r="H106" s="32"/>
      <x:c r="I106" s="32"/>
    </x:row>
    <x:row r="107">
      <x:c r="A107" s="32"/>
      <x:c r="B107" s="32"/>
      <x:c r="C107" s="32"/>
      <x:c r="D107" s="32"/>
      <x:c r="E107" s="32"/>
      <x:c r="F107" s="32"/>
      <x:c r="G107" s="32"/>
      <x:c r="H107" s="32"/>
      <x:c r="I107" s="32"/>
    </x:row>
    <x:row r="108">
      <x:c r="A108" s="32"/>
      <x:c r="B108" s="32"/>
      <x:c r="C108" s="32"/>
      <x:c r="D108" s="32"/>
      <x:c r="E108" s="32"/>
      <x:c r="F108" s="32"/>
      <x:c r="G108" s="32"/>
      <x:c r="H108" s="32"/>
      <x:c r="I108" s="32"/>
    </x:row>
    <x:row r="109">
      <x:c r="A109" s="32"/>
      <x:c r="B109" s="32"/>
      <x:c r="C109" s="32"/>
      <x:c r="D109" s="32"/>
      <x:c r="E109" s="32"/>
      <x:c r="F109" s="32"/>
      <x:c r="G109" s="32"/>
      <x:c r="H109" s="32"/>
      <x:c r="I109" s="32"/>
    </x:row>
    <x:row r="110">
      <x:c r="A110" s="32"/>
      <x:c r="B110" s="32"/>
      <x:c r="C110" s="32"/>
      <x:c r="D110" s="32"/>
      <x:c r="E110" s="32"/>
      <x:c r="F110" s="32"/>
      <x:c r="G110" s="32"/>
      <x:c r="H110" s="32"/>
      <x:c r="I110" s="32"/>
    </x:row>
    <x:row r="111">
      <x:c r="A111" s="32"/>
      <x:c r="B111" s="32"/>
      <x:c r="C111" s="32"/>
      <x:c r="D111" s="32"/>
      <x:c r="E111" s="32"/>
      <x:c r="F111" s="32"/>
      <x:c r="G111" s="32"/>
      <x:c r="H111" s="32"/>
      <x:c r="I111" s="32"/>
    </x:row>
    <x:row r="112">
      <x:c r="A112" s="32"/>
      <x:c r="B112" s="32"/>
      <x:c r="C112" s="32"/>
      <x:c r="D112" s="32"/>
      <x:c r="E112" s="32"/>
      <x:c r="F112" s="32"/>
      <x:c r="G112" s="32"/>
      <x:c r="H112" s="32"/>
      <x:c r="I112" s="32"/>
    </x:row>
    <x:row r="113">
      <x:c r="A113" s="32"/>
      <x:c r="B113" s="32"/>
      <x:c r="C113" s="32"/>
      <x:c r="D113" s="32"/>
      <x:c r="E113" s="32"/>
      <x:c r="F113" s="32"/>
      <x:c r="G113" s="32"/>
      <x:c r="H113" s="32"/>
      <x:c r="I113" s="32"/>
    </x:row>
    <x:row r="114">
      <x:c r="A114" s="32"/>
      <x:c r="B114" s="32"/>
      <x:c r="C114" s="32"/>
      <x:c r="D114" s="32"/>
      <x:c r="E114" s="32"/>
      <x:c r="F114" s="32"/>
      <x:c r="G114" s="32"/>
      <x:c r="H114" s="32"/>
      <x:c r="I114" s="32"/>
    </x:row>
    <x:row r="115">
      <x:c r="A115" s="32"/>
      <x:c r="B115" s="32"/>
      <x:c r="C115" s="32"/>
      <x:c r="D115" s="32"/>
      <x:c r="E115" s="32"/>
      <x:c r="F115" s="32"/>
      <x:c r="G115" s="32"/>
      <x:c r="H115" s="32"/>
      <x:c r="I115" s="32"/>
    </x:row>
    <x:row r="116">
      <x:c r="A116" s="32"/>
      <x:c r="B116" s="32"/>
      <x:c r="C116" s="32"/>
      <x:c r="D116" s="32"/>
      <x:c r="E116" s="32"/>
      <x:c r="F116" s="32"/>
      <x:c r="G116" s="32"/>
      <x:c r="H116" s="32"/>
      <x:c r="I116" s="32"/>
    </x:row>
    <x:row r="117">
      <x:c r="A117" s="32"/>
      <x:c r="B117" s="32"/>
      <x:c r="C117" s="32"/>
      <x:c r="D117" s="32"/>
      <x:c r="E117" s="32"/>
      <x:c r="F117" s="32"/>
      <x:c r="G117" s="32"/>
      <x:c r="H117" s="32"/>
      <x:c r="I117" s="32"/>
    </x:row>
    <x:row r="118">
      <x:c r="A118" s="32"/>
      <x:c r="B118" s="32"/>
      <x:c r="C118" s="32"/>
      <x:c r="D118" s="32"/>
      <x:c r="E118" s="32"/>
      <x:c r="F118" s="32"/>
      <x:c r="G118" s="32"/>
      <x:c r="H118" s="32"/>
      <x:c r="I118" s="32"/>
    </x:row>
    <x:row r="119">
      <x:c r="A119" s="32"/>
      <x:c r="B119" s="32"/>
      <x:c r="C119" s="32"/>
      <x:c r="D119" s="32"/>
      <x:c r="E119" s="32"/>
      <x:c r="F119" s="32"/>
      <x:c r="G119" s="32"/>
      <x:c r="H119" s="32"/>
      <x:c r="I119" s="32"/>
    </x:row>
    <x:row r="120">
      <x:c r="A120" s="32"/>
      <x:c r="B120" s="32"/>
      <x:c r="C120" s="32"/>
      <x:c r="D120" s="32"/>
      <x:c r="E120" s="32"/>
      <x:c r="F120" s="32"/>
      <x:c r="G120" s="32"/>
      <x:c r="H120" s="32"/>
      <x:c r="I120" s="32"/>
    </x:row>
    <x:row r="121">
      <x:c r="A121" s="32"/>
      <x:c r="B121" s="32"/>
      <x:c r="C121" s="32"/>
      <x:c r="D121" s="32"/>
      <x:c r="E121" s="32"/>
      <x:c r="F121" s="32"/>
      <x:c r="G121" s="32"/>
      <x:c r="H121" s="32"/>
      <x:c r="I121" s="32"/>
    </x:row>
    <x:row r="122">
      <x:c r="A122" s="32"/>
      <x:c r="B122" s="32"/>
      <x:c r="C122" s="32"/>
      <x:c r="D122" s="32"/>
      <x:c r="E122" s="32"/>
      <x:c r="F122" s="32"/>
      <x:c r="G122" s="32"/>
      <x:c r="H122" s="32"/>
      <x:c r="I122" s="32"/>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22</x:v>
      </x:c>
      <x:c r="J5" t="str">
        <x:v>GREEN</x:v>
      </x:c>
    </x:row>
    <x:row r="6">
      <x:c r="A6" s="21" t="str">
        <x:v>Completed</x:v>
      </x:c>
      <x:c r="B6" t="n">
        <x:v>25</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0</x:v>
      </x:c>
      <x:c r="D7" s="21" t="str">
        <x:v>R3.5C</x:v>
      </x:c>
      <x:c r="E7" t="n">
        <x:f>COUNTIF('01_Test_Plan'!B5:B200,D7)</x:f>
        <x:v>11</x:v>
      </x:c>
      <x:c r="F7" t="n">
        <x:v>9</x:v>
      </x:c>
      <x:c r="H7" s="21" t="str">
        <x:v>FAIL</x:v>
      </x:c>
      <x:c r="I7" t="n">
        <x:f>COUNTIF('02_Run_Results'!AI5:AI500,"FAIL")</x:f>
        <x:v>0</x:v>
      </x:c>
      <x:c r="J7" t="str">
        <x:v>INVESTIGATE</x:v>
      </x:c>
    </x:row>
    <x:row r="8">
      <x:c r="A8" s="21" t="str">
        <x:v>Blocked</x:v>
      </x:c>
      <x:c r="B8" t="n">
        <x:f>COUNTIF('01_Test_Plan'!R5:R200,"Blocked")</x:f>
        <x:v>0</x:v>
      </x:c>
      <x:c r="D8" s="21" t="str">
        <x:v>R3.5D</x:v>
      </x:c>
      <x:c r="E8" t="n">
        <x:f>COUNTIF('01_Test_Plan'!B5:B200,D8)</x:f>
        <x:v>10</x:v>
      </x:c>
      <x:c r="F8" t="n">
        <x:f>COUNTIFS('01_Test_Plan'!B5:B200,D8,'01_Test_Plan'!R5:R200,"Completed")</x:f>
        <x:v>0</x:v>
      </x:c>
      <x:c r="H8" s="21" t="str">
        <x:v>OBSERVED</x:v>
      </x:c>
      <x:c r="I8" t="n">
        <x:f>COUNTIF('02_Run_Results'!AI5:AI500,"OBSERVED")</x:f>
        <x:v>0</x:v>
      </x:c>
      <x:c r="J8" t="str">
        <x:v>N/A</x:v>
      </x:c>
    </x:row>
    <x:row r="9">
      <x:c r="A9" s="21" t="str">
        <x:v>Completion %</x:v>
      </x:c>
      <x:c r="B9" s="38" t="n">
        <x:v>0.4032258064516129</x:v>
      </x:c>
      <x:c r="D9" s="21" t="str">
        <x:v>R3.5E</x:v>
      </x:c>
      <x:c r="E9" t="n">
        <x:f>COUNTIF('01_Test_Plan'!B5:B200,D9)</x:f>
        <x:v>12</x:v>
      </x:c>
      <x:c r="F9" t="n">
        <x:f>COUNTIFS('01_Test_Plan'!B5:B200,D9,'01_Test_Plan'!R5:R200,"Completed")</x:f>
        <x:v>0</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f>COUNTIFS('03_Findings'!F5:F500,"High",'03_Findings'!K5:K500,"Open")+COUNTIFS('03_Findings'!F5:F500,"High",'03_Findings'!K5:K500,"Investigating")+COUNTIFS('03_Findings'!F5:F500,"Critical",'03_Findings'!K5:K500,"Open")+COUNTIFS('03_Findings'!F5:F500,"Critical",'03_Findings'!K5:K500,"Investigating")</x:f>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x:c r="A43" s="108" t="str">
        <x:v>Adaptive campaign policy</x:v>
      </x:c>
      <x:c r="B43" s="108" t="str">
        <x:v>Action</x:v>
      </x:c>
      <x:c r="C43" s="108" t="str">
        <x:v>Reason</x:v>
      </x:c>
      <x:c r="D43" s="108"/>
      <x:c r="E43" s="108"/>
      <x:c r="F43" s="108"/>
      <x:c r="G43" s="108"/>
      <x:c r="H43" s="108"/>
      <x:c r="J43" t="str">
        <x:v>C-006 p95</x:v>
      </x:c>
      <x:c r="K43" t="str">
        <x:v>1.950 s / 0 overruns</x:v>
      </x:c>
    </x:row>
    <x:row r="44">
      <x:c r="A44" s="32" t="str">
        <x:v>Large margin / low information</x:v>
      </x:c>
      <x:c r="B44" s="32" t="str">
        <x:v>Skip intermediate points</x:v>
      </x:c>
      <x:c r="C44" s="32" t="str">
        <x:v>Increase information per run</x:v>
      </x:c>
      <x:c r="D44"/>
      <x:c r="E44"/>
      <x:c r="F44"/>
      <x:c r="G44"/>
      <x:c r="H44"/>
      <x:c r="J44" t="str">
        <x:v>C2 waves</x:v>
      </x:c>
      <x:c r="K44" t="str">
        <x:v>3000→2000→1000→0 pending exact</x:v>
      </x:c>
    </x:row>
    <x:row r="45">
      <x:c r="A45" s="32" t="str">
        <x:v>Material degradation, still GREEN</x:v>
      </x:c>
      <x:c r="B45" s="32" t="str">
        <x:v>Change dimension</x:v>
      </x:c>
      <x:c r="C45" s="32" t="str">
        <x:v>Test skew / heterogeneity before profiling</x:v>
      </x:c>
      <x:c r="D45"/>
      <x:c r="E45"/>
      <x:c r="F45"/>
      <x:c r="G45"/>
      <x:c r="H45"/>
    </x:row>
    <x:row r="46">
      <x:c r="A46" s="32" t="str">
        <x:v>Knee / integrity failure</x:v>
      </x:c>
      <x:c r="B46" s="32" t="str">
        <x:v>Narrow search or stop</x:v>
      </x:c>
      <x:c r="C46" s="32" t="str">
        <x:v>Localize boundary before continuing</x:v>
      </x:c>
      <x:c r="D46"/>
      <x:c r="E46"/>
      <x:c r="F46"/>
      <x:c r="G46"/>
      <x:c r="H46"/>
      <x:c r="J46" s="116" t="str">
        <x:v>B-008 gate closure</x:v>
      </x:c>
      <x:c r="K46" s="116" t="str">
        <x:v>Value</x:v>
      </x:c>
    </x:row>
    <x:row r="47">
      <x:c r="J47" t="str">
        <x:v>Raw B-008 result</x:v>
      </x:c>
      <x:c r="K47" t="str">
        <x:v>FAIL (audited)</x:v>
      </x:c>
    </x:row>
    <x:row r="48">
      <x:c r="J48" t="str">
        <x:v>Campaign adjudication</x:v>
      </x:c>
      <x:c r="K48" t="str">
        <x:v>PASS-WITH-FINDINGS</x:v>
      </x:c>
    </x:row>
    <x:row r="49">
      <x:c r="J49" t="str">
        <x:v>Gate smoke result</x:v>
      </x:c>
      <x:c r="K49" t="str">
        <x:v>PASS</x:v>
      </x:c>
    </x:row>
    <x:row r="50">
      <x:c r="J50" t="str">
        <x:v>Snapshot observed / expected</x:v>
      </x:c>
      <x:c r="K50" t="str">
        <x:v>880 / 880</x:v>
      </x:c>
    </x:row>
    <x:row r="51">
      <x:c r="J51" t="str">
        <x:v>Neutral INACTIVE alarms</x:v>
      </x:c>
      <x:c r="K51" t="str">
        <x:v>120</x:v>
      </x:c>
    </x:row>
    <x:row r="52">
      <x:c r="J52" t="str">
        <x:v>C-006</x:v>
      </x:c>
      <x:c r="K52" t="str">
        <x:v>PASS/GREEN — base C2 closed</x:v>
      </x:c>
    </x:row>
    <x:row r="53">
      <x:c r="J53" t="str">
        <x:v>Next</x:v>
      </x:c>
      <x:c r="K53" t="str">
        <x:v>C-007 RESCHEDULED across config window</x:v>
      </x:c>
    </x:row>
    <x:row r="54">
      <x:c r="A54" s="126" t="str">
        <x:v>Adaptive stress discovery</x:v>
      </x:c>
      <x:c r="B54" s="126" t="str">
        <x:v>Trigger</x:v>
      </x:c>
      <x:c r="C54" s="126" t="str">
        <x:v>Next action</x:v>
      </x:c>
      <x:c r="D54" s="126"/>
      <x:c r="E54" s="126"/>
      <x:c r="F54" s="126"/>
      <x:c r="G54" s="126"/>
      <x:c r="H54" s="126"/>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6c1b1785ec5f47ff"/>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Reconciliación de pending assignments C2 cuando una nueva revisión de configuración se adopta en una ejecución posterior que reutiliza el mismo estado durable.</x:v>
      </x:c>
      <x:c r="C35" s="32" t="str">
        <x:v>Ejercita RESCHEDULED sin violar el freeze de configuración intra-ventana y preservando identidad de Occurrence.</x:v>
      </x:c>
      <x:c r="D35" s="32" t="str">
        <x:v>Proposed C-007: Phase A delays 60/120/180; Phase B same destinations delays 90/150/210.</x:v>
      </x:c>
      <x:c r="E35" s="32" t="str">
        <x:v>R3.5C</x:v>
      </x:c>
      <x:c r="F35" s="32" t="str">
        <x:v>La revisión no se inyecta a mitad del run. Debe cambiar entre ejecuciones/ventanas. Los destinos se mantienen para aislar RESCHEDULED; REMOVED se prueba por separado.</x:v>
      </x:c>
    </x:row>
  </x:sheetData>
  <x:mergeCells>
    <x:mergeCell ref="A1:F2"/>
  </x:mergeCells>
  <x:pageMargins left="0.7" right="0.7" top="0.75" bottom="0.75" header="0.3" footer="0.3"/>
</x:worksheet>
</file>