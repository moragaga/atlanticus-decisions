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0fb992e5e594d67" /></Relationships>
</file>

<file path=xl/workbook.xml><?xml version="1.0" encoding="utf-8"?>
<x:workbook xmlns:x="http://schemas.openxmlformats.org/spreadsheetml/2006/main">
  <x:sheets>
    <x:sheet xmlns:r="http://schemas.openxmlformats.org/officeDocument/2006/relationships" name="00_Control" sheetId="1" r:id="Re9cc718cee8f4c78"/>
    <x:sheet xmlns:r="http://schemas.openxmlformats.org/officeDocument/2006/relationships" name="01_Test_Plan" sheetId="2" r:id="R0a71f07c71a74416"/>
    <x:sheet xmlns:r="http://schemas.openxmlformats.org/officeDocument/2006/relationships" name="02_Run_Results" sheetId="3" r:id="Rec46b9f814964cfa"/>
    <x:sheet xmlns:r="http://schemas.openxmlformats.org/officeDocument/2006/relationships" name="03_Findings" sheetId="4" r:id="R543260a05920437f"/>
    <x:sheet xmlns:r="http://schemas.openxmlformats.org/officeDocument/2006/relationships" name="04_Decisions" sheetId="5" r:id="Re0e994c01224429c"/>
    <x:sheet xmlns:r="http://schemas.openxmlformats.org/officeDocument/2006/relationships" name="05_Dashboard" sheetId="6" r:id="R74f0e0db18ca4ef6"/>
    <x:sheet xmlns:r="http://schemas.openxmlformats.org/officeDocument/2006/relationships" name="06_Definitions" sheetId="7" r:id="R7c9dc0106d0e4386"/>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0.0"/>
    <x:numFmt numFmtId="201" formatCode="0.0%"/>
    <x:numFmt numFmtId="202" formatCode="yyyy-mm-dd hh:mm"/>
    <x:numFmt numFmtId="203" formatCode="0.000"/>
    <x:numFmt numFmtId="204" formatCode="0.00"/>
    <x:numFmt numFmtId="205" formatCode="0"/>
  </x:numFmts>
  <x:fonts count="5">
    <x:font>
      <x:sz val="11"/>
      <x:name val="Carlito"/>
    </x:font>
    <x:font>
      <x:b/>
      <x:sz val="16"/>
      <x:color rgb="FFFFFFFF"/>
      <x:name val="Carlito"/>
    </x:font>
    <x:font>
      <x:b/>
      <x:sz val="11"/>
      <x:color rgb="FFFFFFFF"/>
      <x:name val="Carlito"/>
    </x:font>
    <x:font>
      <x:b/>
      <x:sz val="11"/>
      <x:color rgb="FF1F2937"/>
      <x:name val="Carlito"/>
    </x:font>
    <x:font>
      <x:b/>
      <x:sz val="12"/>
      <x:color rgb="FFFFFFFF"/>
      <x:name val="Carlito"/>
    </x:font>
  </x:fonts>
  <x:fills count="23">
    <x:fill>
      <x:patternFill patternType="none"/>
    </x:fill>
    <x:fill>
      <x:patternFill patternType="gray125"/>
    </x:fill>
    <x:fill>
      <x:patternFill patternType="solid">
        <x:fgColor rgb="FF16324F"/>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D9EAF0"/>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7C3E66"/>
      </x:patternFill>
    </x:fill>
    <x:fill>
      <x:patternFill patternType="solid">
        <x:fgColor rgb="FF1F6F78"/>
      </x:patternFill>
    </x:fill>
    <x:fill>
      <x:patternFill patternType="solid">
        <x:fgColor rgb="FF274C77"/>
      </x:patternFill>
    </x:fill>
    <x:fill>
      <x:patternFill patternType="solid">
        <x:fgColor rgb="FF1F6F78"/>
      </x:patternFill>
    </x:fill>
  </x:fills>
  <x:borders count="2">
    <x:border/>
    <x:border/>
  </x:borders>
  <x:cellStyleXfs count="1">
    <x:xf numFmtId="0" fontId="0" fillId="0" borderId="0"/>
  </x:cellStyleXfs>
  <x:cellXfs count="12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vertical="center"/>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x:xf numFmtId="200" fontId="0" fillId="0" borderId="1" xfId="0" applyNumberFormat="1" applyFont="1" applyFill="1" applyBorder="1"/>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1" fontId="0" fillId="0" borderId="0" xfId="0" applyNumberFormat="1" applyFont="1" applyFill="1" applyBorder="1"/>
    <x:xf numFmtId="201" fontId="0" fillId="0"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202" fontId="0" fillId="0" borderId="0" xfId="0" applyNumberFormat="1" applyFont="1" applyFill="1" applyBorder="1" applyAlignment="1">
      <x:alignment wrapText="1"/>
    </x:xf>
    <x:xf numFmtId="201" fontId="0" fillId="0" borderId="0" xfId="0" applyNumberFormat="1" applyFont="1" applyFill="1" applyBorder="1" applyAlignment="1">
      <x:alignment wrapText="1"/>
    </x:xf>
    <x:xf numFmtId="202" fontId="0" fillId="0" borderId="1" xfId="0" applyNumberFormat="1" applyFont="1" applyFill="1" applyBorder="1" applyAlignment="1">
      <x:alignment wrapText="1"/>
    </x:xf>
    <x:xf numFmtId="201" fontId="0" fillId="0" borderId="1" xfId="0" applyNumberFormat="1" applyFont="1" applyFill="1" applyBorder="1" applyAlignment="1">
      <x:alignment wrapText="1"/>
    </x:xf>
    <x:xf numFmtId="0" fontId="0" fillId="0" borderId="0" xfId="0" applyNumberFormat="1" applyFont="1" applyFill="1" applyBorder="1"/>
    <x:xf numFmtId="203" fontId="0" fillId="0" borderId="0" xfId="0" applyNumberFormat="1" applyFont="1" applyFill="1" applyBorder="1" applyAlignment="1">
      <x:alignment wrapText="1"/>
    </x:xf>
    <x:xf numFmtId="204" fontId="0" fillId="0" borderId="0" xfId="0" applyNumberFormat="1" applyFont="1" applyFill="1" applyBorder="1" applyAlignment="1">
      <x:alignment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wrapText="1"/>
    </x:xf>
    <x:xf numFmtId="0" fontId="2" fillId="6" borderId="0" xfId="0" applyNumberFormat="1" applyFont="1" applyFill="1" applyBorder="1" applyAlignment="1">
      <x:alignment horizontal="center" wrapText="1"/>
    </x:xf>
    <x:xf numFmtId="0" fontId="2" fillId="6" borderId="0" xfId="0" applyNumberFormat="1" applyFont="1" applyFill="1" applyBorder="1" applyAlignment="1">
      <x:alignment horizontal="center" vertical="center" wrapText="1"/>
    </x:xf>
    <x:xf numFmtId="204" fontId="0" fillId="0" borderId="0" xfId="0" applyNumberFormat="1" applyFont="1" applyFill="1" applyBorder="1"/>
    <x:xf numFmtId="0" fontId="0" fillId="7" borderId="0" xfId="0" applyNumberFormat="1" applyFont="1" applyFill="1" applyBorder="1"/>
    <x:xf numFmtId="0" fontId="2" fillId="7" borderId="0" xfId="0" applyNumberFormat="1" applyFont="1" applyFill="1" applyBorder="1"/>
    <x:xf numFmtId="0" fontId="2" fillId="7" borderId="0" xfId="0" applyNumberFormat="1" applyFont="1" applyFill="1" applyBorder="1" applyAlignment="1">
      <x:alignment wrapText="1"/>
    </x:xf>
    <x:xf numFmtId="0" fontId="2" fillId="7" borderId="0" xfId="0" applyNumberFormat="1" applyFont="1" applyFill="1" applyBorder="1" applyAlignment="1">
      <x:alignment horizontal="center" wrapText="1"/>
    </x:xf>
    <x:xf numFmtId="0" fontId="2" fillId="7" borderId="0" xfId="0" applyNumberFormat="1" applyFont="1" applyFill="1" applyBorder="1" applyAlignment="1">
      <x:alignment horizontal="center" vertical="center" wrapText="1"/>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wrapText="1"/>
    </x:xf>
    <x:xf numFmtId="0" fontId="3" fillId="8" borderId="0" xfId="0" applyNumberFormat="1" applyFont="1" applyFill="1" applyBorder="1" applyAlignment="1">
      <x:alignment vertical="center" wrapText="1"/>
    </x:xf>
    <x:xf numFmtId="0" fontId="0" fillId="9" borderId="0" xfId="0" applyNumberFormat="1" applyFont="1" applyFill="1" applyBorder="1"/>
    <x:xf numFmtId="0" fontId="2" fillId="9" borderId="0" xfId="0" applyNumberFormat="1" applyFont="1" applyFill="1" applyBorder="1"/>
    <x:xf numFmtId="0" fontId="2" fillId="9" borderId="0" xfId="0" applyNumberFormat="1" applyFont="1" applyFill="1" applyBorder="1" applyAlignment="1">
      <x:alignment wrapText="1"/>
    </x:xf>
    <x:xf numFmtId="0" fontId="2" fillId="9" borderId="0" xfId="0" applyNumberFormat="1" applyFont="1" applyFill="1" applyBorder="1" applyAlignment="1">
      <x:alignment horizontal="center" wrapText="1"/>
    </x:xf>
    <x:xf numFmtId="0" fontId="2" fillId="9" borderId="0" xfId="0" applyNumberFormat="1" applyFont="1" applyFill="1" applyBorder="1" applyAlignment="1">
      <x:alignment horizontal="center" vertical="center" wrapText="1"/>
    </x:xf>
    <x:xf numFmtId="0" fontId="0" fillId="10" borderId="0" xfId="0" applyNumberFormat="1" applyFont="1" applyFill="1" applyBorder="1"/>
    <x:xf numFmtId="0" fontId="3" fillId="10" borderId="0" xfId="0" applyNumberFormat="1" applyFont="1" applyFill="1" applyBorder="1"/>
    <x:xf numFmtId="0" fontId="3" fillId="10" borderId="0" xfId="0" applyNumberFormat="1" applyFont="1" applyFill="1" applyBorder="1" applyAlignment="1">
      <x:alignment wrapText="1"/>
    </x:xf>
    <x:xf numFmtId="0" fontId="3" fillId="10" borderId="0" xfId="0" applyNumberFormat="1" applyFont="1" applyFill="1" applyBorder="1" applyAlignment="1">
      <x:alignment vertical="center" wrapText="1"/>
    </x:xf>
    <x:xf numFmtId="0" fontId="2" fillId="5" borderId="0" xfId="0" applyNumberFormat="1" applyFont="1" applyFill="1" applyBorder="1"/>
    <x:xf numFmtId="0" fontId="2" fillId="5" borderId="0" xfId="0" applyNumberFormat="1" applyFont="1" applyFill="1" applyBorder="1" applyAlignment="1">
      <x:alignment wrapText="1"/>
    </x:xf>
    <x:xf numFmtId="0" fontId="2" fillId="5" borderId="0" xfId="0" applyNumberFormat="1" applyFont="1" applyFill="1" applyBorder="1" applyAlignment="1">
      <x:alignment horizontal="center" wrapText="1"/>
    </x:xf>
    <x:xf numFmtId="0" fontId="2" fillId="5" borderId="0" xfId="0" applyNumberFormat="1" applyFont="1" applyFill="1" applyBorder="1" applyAlignment="1">
      <x:alignment horizontal="center" vertical="center" wrapText="1"/>
    </x:xf>
    <x:xf numFmtId="0" fontId="0" fillId="11" borderId="0" xfId="0" applyNumberFormat="1" applyFont="1" applyFill="1" applyBorder="1"/>
    <x:xf numFmtId="0" fontId="2" fillId="11" borderId="0" xfId="0" applyNumberFormat="1" applyFont="1" applyFill="1" applyBorder="1"/>
    <x:xf numFmtId="0" fontId="2" fillId="11" borderId="0" xfId="0" applyNumberFormat="1" applyFont="1" applyFill="1" applyBorder="1" applyAlignment="1">
      <x:alignment wrapText="1"/>
    </x:xf>
    <x:xf numFmtId="0" fontId="2" fillId="11" borderId="0" xfId="0" applyNumberFormat="1" applyFont="1" applyFill="1" applyBorder="1" applyAlignment="1">
      <x:alignment horizontal="center" wrapText="1"/>
    </x:xf>
    <x:xf numFmtId="0" fontId="2" fillId="11" borderId="0" xfId="0" applyNumberFormat="1" applyFont="1" applyFill="1" applyBorder="1" applyAlignment="1">
      <x:alignment horizontal="center" vertical="center" wrapText="1"/>
    </x:xf>
    <x:xf numFmtId="205" fontId="0" fillId="0" borderId="0" xfId="0" applyNumberFormat="1" applyFont="1" applyFill="1" applyBorder="1" applyAlignment="1">
      <x:alignment wrapText="1"/>
    </x:xf>
    <x:xf numFmtId="0" fontId="0" fillId="12" borderId="0" xfId="0" applyNumberFormat="1" applyFont="1" applyFill="1" applyBorder="1"/>
    <x:xf numFmtId="0" fontId="2" fillId="12" borderId="0" xfId="0" applyNumberFormat="1" applyFont="1" applyFill="1" applyBorder="1"/>
    <x:xf numFmtId="0" fontId="2" fillId="12" borderId="0" xfId="0" applyNumberFormat="1" applyFont="1" applyFill="1" applyBorder="1" applyAlignment="1">
      <x:alignment wrapText="1"/>
    </x:xf>
    <x:xf numFmtId="0" fontId="2" fillId="12" borderId="0" xfId="0" applyNumberFormat="1" applyFont="1" applyFill="1" applyBorder="1" applyAlignment="1">
      <x:alignment horizontal="center" wrapText="1"/>
    </x:xf>
    <x:xf numFmtId="0" fontId="2" fillId="12" borderId="0" xfId="0" applyNumberFormat="1" applyFont="1" applyFill="1" applyBorder="1" applyAlignment="1">
      <x:alignment horizontal="center" vertical="center" wrapText="1"/>
    </x:xf>
    <x:xf numFmtId="0" fontId="2" fillId="13" borderId="0" xfId="0" applyNumberFormat="1" applyFont="1" applyFill="1" applyBorder="1" applyAlignment="1">
      <x:alignment horizontal="center" vertical="center" wrapText="1"/>
    </x:xf>
    <x:xf numFmtId="0" fontId="0" fillId="14" borderId="0" xfId="0" applyNumberFormat="1" applyFont="1" applyFill="1" applyBorder="1"/>
    <x:xf numFmtId="0" fontId="2" fillId="14" borderId="0" xfId="0" applyNumberFormat="1" applyFont="1" applyFill="1" applyBorder="1"/>
    <x:xf numFmtId="0" fontId="2" fillId="14" borderId="0" xfId="0" applyNumberFormat="1" applyFont="1" applyFill="1" applyBorder="1" applyAlignment="1">
      <x:alignment wrapText="1"/>
    </x:xf>
    <x:xf numFmtId="0" fontId="2" fillId="14" borderId="0" xfId="0" applyNumberFormat="1" applyFont="1" applyFill="1" applyBorder="1" applyAlignment="1">
      <x:alignment horizontal="center" wrapText="1"/>
    </x:xf>
    <x:xf numFmtId="0" fontId="2" fillId="14" borderId="0" xfId="0" applyNumberFormat="1" applyFont="1" applyFill="1" applyBorder="1" applyAlignment="1">
      <x:alignment horizontal="center" vertical="center" wrapText="1"/>
    </x:xf>
    <x:xf numFmtId="0" fontId="0" fillId="15" borderId="0" xfId="0" applyNumberFormat="1" applyFont="1" applyFill="1" applyBorder="1"/>
    <x:xf numFmtId="0" fontId="2" fillId="15" borderId="0" xfId="0" applyNumberFormat="1" applyFont="1" applyFill="1" applyBorder="1"/>
    <x:xf numFmtId="0" fontId="2" fillId="15" borderId="0" xfId="0" applyNumberFormat="1" applyFont="1" applyFill="1" applyBorder="1" applyAlignment="1">
      <x:alignment wrapText="1"/>
    </x:xf>
    <x:xf numFmtId="0" fontId="2" fillId="15" borderId="0" xfId="0" applyNumberFormat="1" applyFont="1" applyFill="1" applyBorder="1" applyAlignment="1">
      <x:alignment horizontal="center" wrapText="1"/>
    </x:xf>
    <x:xf numFmtId="0" fontId="2" fillId="15" borderId="0" xfId="0" applyNumberFormat="1" applyFont="1" applyFill="1" applyBorder="1" applyAlignment="1">
      <x:alignment horizontal="center" vertical="center" wrapText="1"/>
    </x:xf>
    <x:xf numFmtId="0" fontId="0" fillId="16" borderId="0" xfId="0" applyNumberFormat="1" applyFont="1" applyFill="1" applyBorder="1"/>
    <x:xf numFmtId="0" fontId="2" fillId="16" borderId="0" xfId="0" applyNumberFormat="1" applyFont="1" applyFill="1" applyBorder="1"/>
    <x:xf numFmtId="0" fontId="2" fillId="16" borderId="0" xfId="0" applyNumberFormat="1" applyFont="1" applyFill="1" applyBorder="1" applyAlignment="1">
      <x:alignment wrapText="1"/>
    </x:xf>
    <x:xf numFmtId="0" fontId="2" fillId="16" borderId="0" xfId="0" applyNumberFormat="1" applyFont="1" applyFill="1" applyBorder="1" applyAlignment="1">
      <x:alignment horizontal="center" wrapText="1"/>
    </x:xf>
    <x:xf numFmtId="0" fontId="2" fillId="16" borderId="0" xfId="0" applyNumberFormat="1" applyFont="1" applyFill="1" applyBorder="1" applyAlignment="1">
      <x:alignment horizontal="center" vertical="center" wrapText="1"/>
    </x:xf>
    <x:xf numFmtId="0" fontId="0" fillId="17" borderId="0" xfId="0" applyNumberFormat="1" applyFont="1" applyFill="1" applyBorder="1"/>
    <x:xf numFmtId="0" fontId="2" fillId="17" borderId="0" xfId="0" applyNumberFormat="1" applyFont="1" applyFill="1" applyBorder="1"/>
    <x:xf numFmtId="0" fontId="2" fillId="17" borderId="0" xfId="0" applyNumberFormat="1" applyFont="1" applyFill="1" applyBorder="1" applyAlignment="1">
      <x:alignment wrapText="1"/>
    </x:xf>
    <x:xf numFmtId="0" fontId="2" fillId="17" borderId="0" xfId="0" applyNumberFormat="1" applyFont="1" applyFill="1" applyBorder="1" applyAlignment="1">
      <x:alignment horizontal="center" wrapText="1"/>
    </x:xf>
    <x:xf numFmtId="0" fontId="2" fillId="17" borderId="0" xfId="0" applyNumberFormat="1" applyFont="1" applyFill="1" applyBorder="1" applyAlignment="1">
      <x:alignment horizontal="center" vertical="center" wrapText="1"/>
    </x:xf>
    <x:xf numFmtId="0" fontId="2" fillId="18" borderId="0" xfId="0" applyNumberFormat="1" applyFont="1" applyFill="1" applyBorder="1" applyAlignment="1">
      <x:alignment horizontal="center" vertical="center" wrapText="1"/>
    </x:xf>
    <x:xf numFmtId="0" fontId="0" fillId="19" borderId="0" xfId="0" applyNumberFormat="1" applyFont="1" applyFill="1" applyBorder="1"/>
    <x:xf numFmtId="0" fontId="2" fillId="19" borderId="0" xfId="0" applyNumberFormat="1" applyFont="1" applyFill="1" applyBorder="1"/>
    <x:xf numFmtId="0" fontId="2" fillId="19" borderId="0" xfId="0" applyNumberFormat="1" applyFont="1" applyFill="1" applyBorder="1" applyAlignment="1">
      <x:alignment wrapText="1"/>
    </x:xf>
    <x:xf numFmtId="0" fontId="2" fillId="19" borderId="0" xfId="0" applyNumberFormat="1" applyFont="1" applyFill="1" applyBorder="1" applyAlignment="1">
      <x:alignment horizontal="center" wrapText="1"/>
    </x:xf>
    <x:xf numFmtId="0" fontId="2" fillId="19"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2" fillId="20" borderId="0" xfId="0" applyNumberFormat="1" applyFont="1" applyFill="1" applyBorder="1" applyAlignment="1">
      <x:alignment horizontal="center" vertical="center" wrapText="1"/>
    </x:xf>
    <x:xf numFmtId="0" fontId="0" fillId="21" borderId="0" xfId="0" applyNumberFormat="1" applyFont="1" applyFill="1" applyBorder="1"/>
    <x:xf numFmtId="0" fontId="2" fillId="21" borderId="0" xfId="0" applyNumberFormat="1" applyFont="1" applyFill="1" applyBorder="1"/>
    <x:xf numFmtId="0" fontId="2" fillId="21" borderId="0" xfId="0" applyNumberFormat="1" applyFont="1" applyFill="1" applyBorder="1" applyAlignment="1">
      <x:alignment wrapText="1"/>
    </x:xf>
    <x:xf numFmtId="0" fontId="2" fillId="21" borderId="0" xfId="0" applyNumberFormat="1" applyFont="1" applyFill="1" applyBorder="1" applyAlignment="1">
      <x:alignment horizontal="center" wrapText="1"/>
    </x:xf>
    <x:xf numFmtId="0" fontId="2" fillId="21" borderId="0" xfId="0" applyNumberFormat="1" applyFont="1" applyFill="1" applyBorder="1" applyAlignment="1">
      <x:alignment horizontal="center" vertical="center" wrapText="1"/>
    </x:xf>
    <x:xf numFmtId="0" fontId="0" fillId="22" borderId="0" xfId="0" applyNumberFormat="1" applyFont="1" applyFill="1" applyBorder="1"/>
    <x:xf numFmtId="0" fontId="2" fillId="22" borderId="0" xfId="0" applyNumberFormat="1" applyFont="1" applyFill="1" applyBorder="1"/>
    <x:xf numFmtId="0" fontId="2" fillId="22" borderId="0" xfId="0" applyNumberFormat="1" applyFont="1" applyFill="1" applyBorder="1" applyAlignment="1">
      <x:alignment wrapText="1"/>
    </x:xf>
    <x:xf numFmtId="0" fontId="2" fillId="22" borderId="0" xfId="0" applyNumberFormat="1" applyFont="1" applyFill="1" applyBorder="1" applyAlignment="1">
      <x:alignment horizontal="center" wrapText="1"/>
    </x:xf>
    <x:xf numFmtId="0" fontId="2" fillId="22" borderId="0" xfId="0" applyNumberFormat="1" applyFont="1" applyFill="1" applyBorder="1" applyAlignment="1">
      <x:alignment horizontal="center" vertical="center" wrapText="1"/>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extLst>
        <x:ext uri="{C7286773-470A-42A8-94C5-96B5CB345126}">
          <xfpb:xfComplement xmlns:xfpb="http://schemas.microsoft.com/office/spreadsheetml/2022/featurepropertybag" i="0"/>
        </x:ext>
      </x:extLst>
    </x:xf>
  </x:cellXfs>
  <x:cellStyles count="1">
    <x:cellStyle name="Normal" xfId="0"/>
  </x:cellStyles>
  <x:dxfs count="16">
    <x:dxf>
      <x:fill>
        <x:patternFill>
          <x:bgColor rgb="FFE9F6EC"/>
        </x:patternFill>
      </x:fill>
    </x:dxf>
    <x:dxf>
      <x:fill>
        <x:patternFill>
          <x:bgColor rgb="FFFFF4CC"/>
        </x:patternFill>
      </x:fill>
    </x:dxf>
    <x:dxf>
      <x:fill>
        <x:patternFill>
          <x:bgColor rgb="FFFDECEC"/>
        </x:patternFill>
      </x:fill>
    </x:dxf>
    <x:dxf>
      <x:fill>
        <x:patternFill>
          <x:bgColor rgb="FFE8F3F1"/>
        </x:patternFill>
      </x:fill>
    </x:dxf>
    <x:dxf>
      <x:fill>
        <x:patternFill>
          <x:bgColor rgb="FFE9F6EC"/>
        </x:patternFill>
      </x:fill>
    </x:dxf>
    <x:dxf>
      <x:fill>
        <x:patternFill>
          <x:bgColor rgb="FFFFF4CC"/>
        </x:patternFill>
      </x:fill>
    </x:dxf>
    <x:dxf>
      <x:fill>
        <x:patternFill>
          <x:bgColor rgb="FFFDECEC"/>
        </x:patternFill>
      </x:fill>
    </x:dxf>
    <x:dxf>
      <x:fill>
        <x:patternFill>
          <x:bgColor rgb="FFE9F6EC"/>
        </x:patternFill>
      </x:fill>
    </x:dxf>
    <x:dxf>
      <x:fill>
        <x:patternFill>
          <x:bgColor rgb="FFFFF4CC"/>
        </x:patternFill>
      </x:fill>
    </x:dxf>
    <x:dxf>
      <x:fill>
        <x:patternFill>
          <x:bgColor rgb="FFFDECEC"/>
        </x:patternFill>
      </x:fill>
    </x:dxf>
    <x:dxf>
      <x:fill>
        <x:patternFill>
          <x:bgColor rgb="FFFDECEC"/>
        </x:patternFill>
      </x:fill>
    </x:dxf>
    <x:dxf>
      <x:fill>
        <x:patternFill>
          <x:bgColor rgb="FFFFF4CC"/>
        </x:patternFill>
      </x:fill>
    </x:dxf>
    <x:dxf>
      <x:fill>
        <x:patternFill>
          <x:bgColor rgb="FFE9F6EC"/>
        </x:patternFill>
      </x:fill>
    </x:dxf>
    <x:dxf>
      <x:fill>
        <x:patternFill>
          <x:bgColor rgb="FFE9F6EC"/>
        </x:patternFill>
      </x:fill>
    </x:dxf>
    <x:dxf>
      <x:fill>
        <x:patternFill>
          <x:bgColor rgb="FFE9F6EC"/>
        </x:patternFill>
      </x:fill>
    </x:dxf>
    <x:dxf>
      <x:fill>
        <x:patternFill>
          <x:bgColor rgb="FFFFF4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372e32fcd63487b" /><Relationship Type="http://schemas.openxmlformats.org/officeDocument/2006/relationships/theme" Target="/xl/theme/theme1.xml" Id="Re4c62f1c951f4dec" /><Relationship Type="http://schemas.microsoft.com/office/2022/11/relationships/FeaturePropertyBag" Target="/xl/featurePropertyBag/featurePropertyBag.xml" Id="Raa6ba8c760d941e9" /><Relationship Type="http://schemas.openxmlformats.org/officeDocument/2006/relationships/sharedStrings" Target="/xl/sharedStrings.xml" Id="Rc31173d6758a401a" /><Relationship Type="http://schemas.openxmlformats.org/officeDocument/2006/relationships/worksheet" Target="/xl/worksheets/sheet1.xml" Id="Re9cc718cee8f4c78" /><Relationship Type="http://schemas.openxmlformats.org/officeDocument/2006/relationships/worksheet" Target="/xl/worksheets/sheet2.xml" Id="R0a71f07c71a74416" /><Relationship Type="http://schemas.openxmlformats.org/officeDocument/2006/relationships/worksheet" Target="/xl/worksheets/sheet3.xml" Id="Rec46b9f814964cfa" /><Relationship Type="http://schemas.openxmlformats.org/officeDocument/2006/relationships/worksheet" Target="/xl/worksheets/sheet4.xml" Id="R543260a05920437f" /><Relationship Type="http://schemas.openxmlformats.org/officeDocument/2006/relationships/worksheet" Target="/xl/worksheets/sheet5.xml" Id="Re0e994c01224429c" /><Relationship Type="http://schemas.openxmlformats.org/officeDocument/2006/relationships/worksheet" Target="/xl/worksheets/sheet6.xml" Id="R74f0e0db18ca4ef6" /><Relationship Type="http://schemas.openxmlformats.org/officeDocument/2006/relationships/worksheet" Target="/xl/worksheets/sheet7.xml" Id="R7c9dc0106d0e4386" /></Relationships>
</file>

<file path=xl/drawings/_rels/drawing1.xml.rels>&#65279;<?xml version="1.0" encoding="utf-8"?><Relationships xmlns="http://schemas.openxmlformats.org/package/2006/relationships"><Relationship Type="http://schemas.openxmlformats.org/officeDocument/2006/relationships/chart" Target="/xl/drawings/charts/chart1.xml" Id="Ra69664295b594961"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Pruebas por fase</a:t>
            </a:r>
          </a:p>
        </c:rich>
      </c:tx>
    </c:title>
    <c:plotArea>
      <c:barChart>
        <c:barDir val="col"/>
        <c:varyColors val="0"/>
        <c:ser>
          <c:idx val="0"/>
          <c:order val="0"/>
          <c:tx>
            <c:v>Planned</c:v>
          </c:tx>
          <c:cat>
            <c:strRef>
              <c:f>'05_Dashboard'!$D$5:$D$10</c:f>
              <c:strCache>
                <c:ptCount val="0"/>
              </c:strCache>
            </c:strRef>
          </c:cat>
          <c:val>
            <c:numRef>
              <c:f>'05_Dashboard'!$E$5:$E$10</c:f>
              <c:numCache>
                <c:formatCode>General</c:formatCode>
                <c:ptCount val="0"/>
              </c:numCache>
            </c:numRef>
          </c:val>
        </c:ser>
        <c:ser>
          <c:idx val="1"/>
          <c:order val="1"/>
          <c:tx>
            <c:v>Completed</c:v>
          </c:tx>
          <c:cat>
            <c:strRef>
              <c:f>'05_Dashboard'!$D$5:$D$10</c:f>
              <c:strCache>
                <c:ptCount val="0"/>
              </c:strCache>
            </c:strRef>
          </c:cat>
          <c:val>
            <c:numRef>
              <c:f>'05_Dashboard'!$F$5:$F$10</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11</xdr:row>
      <xdr:rowOff>0</xdr:rowOff>
    </xdr:from>
    <xdr:to>
      <xdr:col>10</xdr:col>
      <xdr:colOff>0</xdr:colOff>
      <xdr:row>27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a69664295b594961"/>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estPlanTable" displayName="TestPlanTable" ref="A4:T65" headerRowCount="1" totalsRowCount="0" totalsRowShown="0">
  <x:tableColumns count="20">
    <x:tableColumn id="1" name="Test ID"/>
    <x:tableColumn id="2" name="Phase"/>
    <x:tableColumn id="3" name="Order"/>
    <x:tableColumn id="4" name="Scenario"/>
    <x:tableColumn id="5" name="Objective"/>
    <x:tableColumn id="6" name="Alarm Count"/>
    <x:tableColumn id="7" name="Backend"/>
    <x:tableColumn id="8" name="Data Profile"/>
    <x:tableColumn id="9" name="Partitions / Sources"/>
    <x:tableColumn id="10" name="Control-plane"/>
    <x:tableColumn id="11" name="Config / Failure"/>
    <x:tableColumn id="12" name="Duration (min)"/>
    <x:tableColumn id="13" name="Iteration Period (s)"/>
    <x:tableColumn id="14" name="Data Refresh (s)"/>
    <x:tableColumn id="15" name="Gate Type"/>
    <x:tableColumn id="16" name="Integrity Gate"/>
    <x:tableColumn id="17" name="Performance Interpretation"/>
    <x:tableColumn id="18" name="Status"/>
    <x:tableColumn id="19" name="Prerequisites"/>
    <x:tableColumn id="20" name="Result Summary"/>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28045962a47b4ef2" /></Relationships>
</file>

<file path=xl/worksheets/_rels/sheet6.xml.rels>&#65279;<?xml version="1.0" encoding="utf-8"?><Relationships xmlns="http://schemas.openxmlformats.org/package/2006/relationships"><Relationship Type="http://schemas.openxmlformats.org/officeDocument/2006/relationships/drawing" Target="/xl/drawings/drawing1.xml" Id="R87ca59cbb24d4377" /></Relationships>
</file>

<file path=xl/worksheets/sheet1.xml><?xml version="1.0" encoding="utf-8"?>
<x:worksheet xmlns:x="http://schemas.openxmlformats.org/spreadsheetml/2006/main">
  <x:sheetFormatPr defaultRowHeight="15"/>
  <x:cols>
    <x:col min="1" max="1" width="18" hidden="0" customWidth="1"/>
    <x:col min="2" max="2" width="24" hidden="0" customWidth="1"/>
    <x:col min="3" max="3" width="22" hidden="0" customWidth="1"/>
    <x:col min="4" max="4" width="14" hidden="0" customWidth="1"/>
    <x:col min="5" max="5" width="14" hidden="0" customWidth="1"/>
    <x:col min="6" max="6" width="34" hidden="0" customWidth="1"/>
    <x:col min="7" max="7" width="12" hidden="0" customWidth="1"/>
    <x:col min="8" max="8" width="12" hidden="0" customWidth="1"/>
  </x:cols>
  <x:sheetData>
    <x:row r="1">
      <x:c r="A1" s="4" t="str">
        <x:v>Atlanticus / ADA — R3.5 Performance Campaign Planner</x:v>
      </x:c>
      <x:c r="B1" s="4"/>
      <x:c r="C1" s="4"/>
      <x:c r="D1" s="4"/>
      <x:c r="E1" s="4"/>
      <x:c r="F1" s="4"/>
      <x:c r="G1" s="4"/>
      <x:c r="H1" s="4"/>
    </x:row>
    <x:row r="2">
      <x:c r="A2" s="4"/>
      <x:c r="B2" s="4"/>
      <x:c r="C2" s="4"/>
      <x:c r="D2" s="4"/>
      <x:c r="E2" s="4"/>
      <x:c r="F2" s="4"/>
      <x:c r="G2" s="4"/>
      <x:c r="H2" s="4"/>
    </x:row>
    <x:row r="4">
      <x:c r="A4" s="12" t="str">
        <x:v>Campo</x:v>
      </x:c>
      <x:c r="B4" s="12" t="str">
        <x:v>Valor</x:v>
      </x:c>
      <x:c r="D4" s="28" t="str">
        <x:v>Regla de trabajo del planner</x:v>
      </x:c>
      <x:c r="E4" s="28"/>
      <x:c r="F4" s="28"/>
      <x:c r="G4" s="28"/>
      <x:c r="H4" s="28"/>
    </x:row>
    <x:row r="5">
      <x:c r="A5" s="21" t="str">
        <x:v>Planner version</x:v>
      </x:c>
      <x:c r="B5" t="str">
        <x:v>1.0.74</x:v>
      </x:c>
      <x:c r="D5" s="21" t="str">
        <x:v>1</x:v>
      </x:c>
      <x:c r="E5" s="32" t="str">
        <x:v>Este Excel es la fuente de verdad operativa de la campaña R3.5.</x:v>
      </x:c>
      <x:c r="F5" s="32" t="str"/>
      <x:c r="G5" s="32" t="str"/>
      <x:c r="H5" s="32" t="str"/>
    </x:row>
    <x:row r="6">
      <x:c r="A6" s="21" t="str">
        <x:v>Fecha base</x:v>
      </x:c>
      <x:c r="B6" t="str">
        <x:v>2026-08-25</x:v>
      </x:c>
      <x:c r="D6" s="21" t="str">
        <x:v>2</x:v>
      </x:c>
      <x:c r="E6" s="32" t="str">
        <x:v>Cada ejecución crea una fila nueva en 02_Run_Results; nunca se sobreescribe una corrida anterior.</x:v>
      </x:c>
      <x:c r="F6" s="32" t="str"/>
      <x:c r="G6" s="32" t="str"/>
      <x:c r="H6" s="32" t="str"/>
    </x:row>
    <x:row r="7">
      <x:c r="A7" s="21" t="str">
        <x:v>Python</x:v>
      </x:c>
      <x:c r="B7" t="str">
        <x:v>3.14.2 + UV</x:v>
      </x:c>
      <x:c r="D7" s="21" t="str">
        <x:v>3</x:v>
      </x:c>
      <x:c r="E7" s="32" t="str">
        <x:v>Los hallazgos se registran en 03_Findings y las decisiones técnicas en 04_Decisions.</x:v>
      </x:c>
      <x:c r="F7" s="32" t="str"/>
      <x:c r="G7" s="32" t="str"/>
      <x:c r="H7" s="32" t="str"/>
    </x:row>
    <x:row r="8">
      <x:c r="A8" s="21" t="str">
        <x:v>ada-alarms-core</x:v>
      </x:c>
      <x:c r="B8" t="str">
        <x:v>0.7.0</x:v>
      </x:c>
      <x:c r="D8" s="21" t="str">
        <x:v>4</x:v>
      </x:c>
      <x:c r="E8" s="32" t="str">
        <x:v>Después de cada prueba, volver a subir este mismo archivo para actualizar resultados y definir el siguiente paso.</x:v>
      </x:c>
      <x:c r="F8" s="32" t="str"/>
      <x:c r="G8" s="32" t="str"/>
      <x:c r="H8" s="32" t="str"/>
    </x:row>
    <x:row r="9">
      <x:c r="A9" s="21" t="str">
        <x:v>ada-alarms-persistence</x:v>
      </x:c>
      <x:c r="B9" t="str">
        <x:v>0.2.0</x:v>
      </x:c>
      <x:c r="D9" s="21" t="str">
        <x:v>5</x:v>
      </x:c>
      <x:c r="E9" s="32" t="str">
        <x:v>Primero caracterizamos capacidad; el profiling granular sólo se activa cuando exista evidencia de presión.</x:v>
      </x:c>
      <x:c r="F9" s="32" t="str"/>
      <x:c r="G9" s="32" t="str"/>
      <x:c r="H9" s="32" t="str"/>
    </x:row>
    <x:row r="10">
      <x:c r="A10" s="21" t="str">
        <x:v>ada-alarms-runtime-process</x:v>
      </x:c>
      <x:c r="B10" t="str">
        <x:v>0.14.2</x:v>
      </x:c>
      <x:c r="D10" s="21" t="str">
        <x:v>6</x:v>
      </x:c>
      <x:c r="E10" s="32" t="str">
        <x:v>Performance alta o memoria alta no implican FAIL por sí solas durante caracterización.</x:v>
      </x:c>
      <x:c r="F10" s="32" t="str"/>
      <x:c r="G10" s="32" t="str"/>
      <x:c r="H10" s="32" t="str"/>
    </x:row>
    <x:row r="11">
      <x:c r="A11" s="21" t="str">
        <x:v>atlanticus-state</x:v>
      </x:c>
      <x:c r="B11" t="str">
        <x:v>0.2.0</x:v>
      </x:c>
      <x:c r="D11" s="21" t="str">
        <x:v>7</x:v>
      </x:c>
      <x:c r="E11" s="32" t="str">
        <x:v>FAIL de integridad: corrupción, duplicados, pérdida durable, stale writer, OOM real o crecimiento no acotado.</x:v>
      </x:c>
      <x:c r="F11" s="32" t="str"/>
      <x:c r="G11" s="32" t="str"/>
      <x:c r="H11" s="32" t="str"/>
    </x:row>
    <x:row r="12">
      <x:c r="A12" s="21" t="str">
        <x:v>atlanticus-job-runtime</x:v>
      </x:c>
      <x:c r="B12" t="str">
        <x:v>0.7.1</x:v>
      </x:c>
      <x:c r="D12" s="21" t="str">
        <x:v>8</x:v>
      </x:c>
      <x:c r="E12" s="32" t="str">
        <x:v>Iteration period inicial 5 s y data refresh 10 s; timings productivos se cerrarán con evidencia.</x:v>
      </x:c>
      <x:c r="F12" s="32" t="str"/>
      <x:c r="G12" s="32" t="str"/>
      <x:c r="H12" s="32" t="str"/>
    </x:row>
    <x:row r="15">
      <x:c r="A15" s="28" t="str">
        <x:v>Flujo de campaña</x:v>
      </x:c>
      <x:c r="B15" s="28"/>
      <x:c r="C15" s="28"/>
      <x:c r="D15" s="28"/>
      <x:c r="E15" s="28"/>
      <x:c r="F15" s="28"/>
      <x:c r="G15" s="28"/>
      <x:c r="H15" s="28"/>
    </x:row>
    <x:row r="16">
      <x:c r="A16" s="21" t="str">
        <x:v>R3.5A</x:v>
      </x:c>
      <x:c r="B16" s="32" t="str">
        <x:v>Baseline Load</x:v>
      </x:c>
      <x:c r="C16" s="32" t="str">
        <x:v>100 → 250 → 500 → 750 → 1000</x:v>
      </x:c>
      <x:c r="D16" s="32" t="str">
        <x:v>Camino feliz</x:v>
      </x:c>
      <x:c r="E16" s="32" t="str">
        <x:v>Local FS</x:v>
      </x:c>
      <x:c r="F16" s="32" t="str">
        <x:v>Primero demostrar fluidez</x:v>
      </x:c>
    </x:row>
    <x:row r="17">
      <x:c r="A17" s="21" t="str">
        <x:v>R3.5B</x:v>
      </x:c>
      <x:c r="B17" s="32" t="str">
        <x:v>Data &amp; Partition Pressure</x:v>
      </x:c>
      <x:c r="C17" s="32" t="str">
        <x:v>Latest → histórico → múltiples particiones/fuentes</x:v>
      </x:c>
      <x:c r="D17" s="32" t="str">
        <x:v>Lectura</x:v>
      </x:c>
      <x:c r="E17" s="32" t="str">
        <x:v>Local/SMB</x:v>
      </x:c>
      <x:c r="F17" s="32" t="str">
        <x:v>Buscar costo de preparación de datos</x:v>
      </x:c>
    </x:row>
    <x:row r="18">
      <x:c r="A18" s="21" t="str">
        <x:v>R3.5C</x:v>
      </x:c>
      <x:c r="B18" s="32" t="str">
        <x:v>Functional Pressure</x:v>
      </x:c>
      <x:c r="C18" s="32" t="str">
        <x:v>C1/C2/C3, lifecycle, timers, write churn</x:v>
      </x:c>
      <x:c r="D18" s="32" t="str">
        <x:v>Semántica</x:v>
      </x:c>
      <x:c r="E18" s="32" t="str">
        <x:v>Local/SMB</x:v>
      </x:c>
      <x:c r="F18" s="32" t="str">
        <x:v>Presionar Core + snapshots</x:v>
      </x:c>
    </x:row>
    <x:row r="19">
      <x:c r="A19" s="21" t="str">
        <x:v>R3.5D</x:v>
      </x:c>
      <x:c r="B19" s="32" t="str">
        <x:v>Management &amp; Decisions</x:v>
      </x:c>
      <x:c r="C19" s="32" t="str">
        <x:v>continuo + burst + early decisions</x:v>
      </x:c>
      <x:c r="D19" s="32" t="str">
        <x:v>Control-plane</x:v>
      </x:c>
      <x:c r="E19" s="32" t="str">
        <x:v>Local/SMB</x:v>
      </x:c>
      <x:c r="F19" s="32" t="str">
        <x:v>Medir ingress → durable receipt</x:v>
      </x:c>
    </x:row>
    <x:row r="20">
      <x:c r="A20" s="21" t="str">
        <x:v>R3.5E</x:v>
      </x:c>
      <x:c r="B20" s="32" t="str">
        <x:v>Configuration &amp; Failure</x:v>
      </x:c>
      <x:c r="C20" s="32" t="str">
        <x:v>adoption + fallback + lease/cache failure</x:v>
      </x:c>
      <x:c r="D20" s="32" t="str">
        <x:v>Recovery</x:v>
      </x:c>
      <x:c r="E20" s="32" t="str">
        <x:v>Local/SMB</x:v>
      </x:c>
      <x:c r="F20" s="32" t="str">
        <x:v>Validar idempotencia y continuidad</x:v>
      </x:c>
    </x:row>
    <x:row r="21">
      <x:c r="A21" s="21" t="str">
        <x:v>R3.5F</x:v>
      </x:c>
      <x:c r="B21" s="32" t="str">
        <x:v>Soak / Saturation / Profiling</x:v>
      </x:c>
      <x:c r="C21" s="32" t="str">
        <x:v>30 min → 1 h → borde</x:v>
      </x:c>
      <x:c r="D21" s="32" t="str">
        <x:v>Estabilidad</x:v>
      </x:c>
      <x:c r="E21" s="32" t="str">
        <x:v>Local/SMB</x:v>
      </x:c>
      <x:c r="F21" s="32" t="str">
        <x:v>Encontrar rodilla y cuellos reales</x:v>
      </x:c>
    </x:row>
    <x:row r="22">
      <x:c r="A22" s="21" t="str">
        <x:v>FINAL</x:v>
      </x:c>
      <x:c r="B22" s="32" t="str">
        <x:v>Timing Closure</x:v>
      </x:c>
      <x:c r="C22" s="32" t="str">
        <x:v>Analizar resultados y decidir</x:v>
      </x:c>
      <x:c r="D22" s="32" t="str">
        <x:v>Decisión</x:v>
      </x:c>
      <x:c r="E22" s="32" t="str">
        <x:v>-</x:v>
      </x:c>
      <x:c r="F22" s="32" t="str">
        <x:v>Fijar timings y acciones técnicas</x:v>
      </x:c>
    </x:row>
    <x:row r="25">
      <x:c r="A25" s="12" t="str">
        <x:v>Control actual</x:v>
      </x:c>
      <x:c r="B25" s="12" t="str">
        <x:v>Valor</x:v>
      </x:c>
    </x:row>
    <x:row r="26">
      <x:c r="A26" s="21" t="str">
        <x:v>Estado campaña</x:v>
      </x:c>
      <x:c r="B26" t="str">
        <x:v>R3.5E IN PROGRESS — E-001 CLOSED PASS/GREEN (1/12)</x:v>
      </x:c>
    </x:row>
    <x:row r="27">
      <x:c r="A27" s="21" t="str">
        <x:v>Siguiente test sugerido</x:v>
      </x:c>
      <x:c r="B27" t="str">
        <x:v>Next: E-002 C2 routing adoption design</x:v>
      </x:c>
    </x:row>
    <x:row r="28">
      <x:c r="A28" s="21" t="str">
        <x:v>Iteration period candidato</x:v>
      </x:c>
      <x:c r="B28" s="34" t="n">
        <x:v>5</x:v>
      </x:c>
    </x:row>
    <x:row r="29">
      <x:c r="A29" s="21" t="str">
        <x:v>Data refresh sintético</x:v>
      </x:c>
      <x:c r="B29" s="34" t="n">
        <x:v>10</x:v>
      </x:c>
    </x:row>
  </x:sheetData>
  <x:mergeCells>
    <x:mergeCell ref="A1:H2"/>
    <x:mergeCell ref="D4:H4"/>
    <x:mergeCell ref="A15:H15"/>
  </x:mergeCells>
  <x:pageMargins left="0.7" right="0.7" top="0.75" bottom="0.75" header="0.3" footer="0.3"/>
</x:worksheet>
</file>

<file path=xl/worksheets/sheet2.xml><?xml version="1.0" encoding="utf-8"?>
<x:worksheet xmlns:x="http://schemas.openxmlformats.org/spreadsheetml/2006/main">
  <x:sheetFormatPr defaultRowHeight="15"/>
  <x:cols>
    <x:col min="1" max="1" width="11" hidden="0" customWidth="1"/>
    <x:col min="2" max="2" width="10" hidden="0" customWidth="1"/>
    <x:col min="3" max="3" width="8" hidden="0" customWidth="1"/>
    <x:col min="4" max="4" width="26" hidden="0" customWidth="1"/>
    <x:col min="5" max="5" width="34" hidden="0" customWidth="1"/>
    <x:col min="6" max="6" width="11" hidden="0" customWidth="1"/>
    <x:col min="7" max="7" width="12" hidden="0" customWidth="1"/>
    <x:col min="8" max="8" width="24" hidden="0" customWidth="1"/>
    <x:col min="9" max="9" width="24" hidden="0" customWidth="1"/>
    <x:col min="10" max="10" width="22" hidden="0" customWidth="1"/>
    <x:col min="11" max="11" width="22" hidden="0" customWidth="1"/>
    <x:col min="12" max="12" width="12" hidden="0" customWidth="1"/>
    <x:col min="13" max="13" width="14" hidden="0" customWidth="1"/>
    <x:col min="14" max="14" width="12" hidden="0" customWidth="1"/>
    <x:col min="15" max="15" width="18" hidden="0" customWidth="1"/>
    <x:col min="16" max="16" width="28" hidden="0" customWidth="1"/>
    <x:col min="17" max="17" width="30" hidden="0" customWidth="1"/>
    <x:col min="18" max="18" width="13" hidden="0" customWidth="1"/>
    <x:col min="19" max="19" width="22" hidden="0" customWidth="1"/>
    <x:col min="20" max="20" width="32" hidden="0" customWidth="1"/>
  </x:cols>
  <x:sheetData>
    <x:row r="1">
      <x:c r="A1" s="4" t="str">
        <x:v>R3.5 — Plan maestro de pruebas progresivas</x:v>
      </x:c>
      <x:c r="B1" s="4"/>
      <x:c r="C1" s="4"/>
      <x:c r="D1" s="4"/>
      <x:c r="E1" s="4"/>
      <x:c r="F1" s="4"/>
      <x:c r="G1" s="4"/>
      <x:c r="H1" s="4"/>
      <x:c r="I1" s="4"/>
      <x:c r="J1" s="4"/>
      <x:c r="K1" s="4"/>
      <x:c r="L1" s="4"/>
      <x:c r="M1" s="4"/>
      <x:c r="N1" s="4"/>
      <x:c r="O1" s="4"/>
      <x:c r="P1" s="4"/>
      <x:c r="Q1" s="4"/>
      <x:c r="R1" s="4"/>
      <x:c r="S1" s="4"/>
      <x:c r="T1" s="4"/>
    </x:row>
    <x:row r="2">
      <x:c r="A2" s="4"/>
      <x:c r="B2" s="4"/>
      <x:c r="C2" s="4"/>
      <x:c r="D2" s="4"/>
      <x:c r="E2" s="4"/>
      <x:c r="F2" s="4"/>
      <x:c r="G2" s="4"/>
      <x:c r="H2" s="4"/>
      <x:c r="I2" s="4"/>
      <x:c r="J2" s="4"/>
      <x:c r="K2" s="4"/>
      <x:c r="L2" s="4"/>
      <x:c r="M2" s="4"/>
      <x:c r="N2" s="4"/>
      <x:c r="O2" s="4"/>
      <x:c r="P2" s="4"/>
      <x:c r="Q2" s="4"/>
      <x:c r="R2" s="4"/>
      <x:c r="S2" s="4"/>
      <x:c r="T2" s="4"/>
    </x:row>
    <x:row r="4">
      <x:c r="A4" s="12" t="str">
        <x:v>Test ID</x:v>
      </x:c>
      <x:c r="B4" s="12" t="str">
        <x:v>Phase</x:v>
      </x:c>
      <x:c r="C4" s="12" t="str">
        <x:v>Order</x:v>
      </x:c>
      <x:c r="D4" s="12" t="str">
        <x:v>Scenario</x:v>
      </x:c>
      <x:c r="E4" s="12" t="str">
        <x:v>Objective</x:v>
      </x:c>
      <x:c r="F4" s="12" t="str">
        <x:v>Alarm Count</x:v>
      </x:c>
      <x:c r="G4" s="12" t="str">
        <x:v>Backend</x:v>
      </x:c>
      <x:c r="H4" s="12" t="str">
        <x:v>Data Profile</x:v>
      </x:c>
      <x:c r="I4" s="12" t="str">
        <x:v>Partitions / Sources</x:v>
      </x:c>
      <x:c r="J4" s="12" t="str">
        <x:v>Control-plane</x:v>
      </x:c>
      <x:c r="K4" s="12" t="str">
        <x:v>Config / Failure</x:v>
      </x:c>
      <x:c r="L4" s="12" t="str">
        <x:v>Duration (min)</x:v>
      </x:c>
      <x:c r="M4" s="12" t="str">
        <x:v>Iteration Period (s)</x:v>
      </x:c>
      <x:c r="N4" s="12" t="str">
        <x:v>Data Refresh (s)</x:v>
      </x:c>
      <x:c r="O4" s="12" t="str">
        <x:v>Gate Type</x:v>
      </x:c>
      <x:c r="P4" s="12" t="str">
        <x:v>Integrity Gate</x:v>
      </x:c>
      <x:c r="Q4" s="12" t="str">
        <x:v>Performance Interpretation</x:v>
      </x:c>
      <x:c r="R4" s="12" t="str">
        <x:v>Status</x:v>
      </x:c>
      <x:c r="S4" s="12" t="str">
        <x:v>Prerequisites</x:v>
      </x:c>
      <x:c r="T4" s="12" t="str">
        <x:v>Result Summary</x:v>
      </x:c>
    </x:row>
    <x:row r="5">
      <x:c r="A5" s="36" t="str">
        <x:v>A-001</x:v>
      </x:c>
      <x:c r="B5" s="36" t="str">
        <x:v>R3.5A</x:v>
      </x:c>
      <x:c r="C5" s="36" t="n">
        <x:v>1</x:v>
      </x:c>
      <x:c r="D5" s="36" t="str">
        <x:v>Smoke baseline 100</x:v>
      </x:c>
      <x:c r="E5" s="36" t="str">
        <x:v>Validar harness y camino feliz antes de carga larga</x:v>
      </x:c>
      <x:c r="F5" s="36" t="n">
        <x:v>100</x:v>
      </x:c>
      <x:c r="G5" s="36" t="str">
        <x:v>Local FS</x:v>
      </x:c>
      <x:c r="H5" s="36" t="str">
        <x:v>Steady-state / latest</x:v>
      </x:c>
      <x:c r="I5" s="36" t="str">
        <x:v>1 partición / fuente mínima</x:v>
      </x:c>
      <x:c r="J5" s="36" t="str">
        <x:v>None</x:v>
      </x:c>
      <x:c r="K5" s="36" t="str">
        <x:v>Stable config</x:v>
      </x:c>
      <x:c r="L5" s="36" t="n">
        <x:v>2</x:v>
      </x:c>
      <x:c r="M5" s="36" t="n">
        <x:v>5</x:v>
      </x:c>
      <x:c r="N5" s="36" t="n">
        <x:v>10</x:v>
      </x:c>
      <x:c r="O5" s="36" t="str">
        <x:v>Smoke</x:v>
      </x:c>
      <x:c r="P5" s="36" t="str">
        <x:v>0 integrity errors</x:v>
      </x:c>
      <x:c r="Q5" s="36" t="str">
        <x:v>Caracterización; no gate duro de performance</x:v>
      </x:c>
      <x:c r="R5" s="36" t="str">
        <x:v>Completed</x:v>
      </x:c>
      <x:c r="S5" s="36" t="str">
        <x:v>Harness foundation</x:v>
      </x:c>
      <x:c r="T5" s="36" t="str">
        <x:v>PASS / GREEN — 25 iterations; p50 99.06 ms; p95 141.46 ms; p99 150.43 ms; max 153.10 ms; 0 overruns; peak RSS 125.98 MB; journal aligned; 1 durable commit; 1 snapshot / 100 alarms; drain 27.82 ms.</x:v>
      </x:c>
    </x:row>
    <x:row r="6">
      <x:c r="A6" s="36" t="str">
        <x:v>A-002</x:v>
      </x:c>
      <x:c r="B6" s="36" t="str">
        <x:v>R3.5A</x:v>
      </x:c>
      <x:c r="C6" s="36" t="n">
        <x:v>2</x:v>
      </x:c>
      <x:c r="D6" s="36" t="str">
        <x:v>Baseline 250</x:v>
      </x:c>
      <x:c r="E6" s="36" t="str">
        <x:v>Obtener primer punto de curva estable</x:v>
      </x:c>
      <x:c r="F6" s="36" t="n">
        <x:v>250</x:v>
      </x:c>
      <x:c r="G6" s="36" t="str">
        <x:v>Local FS</x:v>
      </x:c>
      <x:c r="H6" s="36" t="str">
        <x:v>Steady-state / latest</x:v>
      </x:c>
      <x:c r="I6" s="36" t="str">
        <x:v>1 partición / fuente mínima</x:v>
      </x:c>
      <x:c r="J6" s="36" t="str">
        <x:v>None</x:v>
      </x:c>
      <x:c r="K6" s="36" t="str">
        <x:v>Stable config</x:v>
      </x:c>
      <x:c r="L6" s="36" t="n">
        <x:v>10</x:v>
      </x:c>
      <x:c r="M6" s="36" t="n">
        <x:v>5</x:v>
      </x:c>
      <x:c r="N6" s="36" t="n">
        <x:v>10</x:v>
      </x:c>
      <x:c r="O6" s="36" t="str">
        <x:v>Characterization</x:v>
      </x:c>
      <x:c r="P6" s="36" t="str">
        <x:v>0 integrity errors</x:v>
      </x:c>
      <x:c r="Q6" s="36" t="str">
        <x:v>GREEN p95≤5s; REVIEW 5–10s; INVESTIGATE &gt;10s</x:v>
      </x:c>
      <x:c r="R6" s="36" t="str">
        <x:v>Completed</x:v>
      </x:c>
      <x:c r="S6" s="36" t="str">
        <x:v>A-001</x:v>
      </x:c>
      <x:c r="T6" s="36" t="str">
        <x:v>PASS / GREEN — 121 iterations; p50 205.63 ms; p95 307.32 ms; p99 444.97 ms; max 909.02 ms; 0 overruns; peak RSS 129.65 MB; journal aligned; 3 durable commits (bootstrap + periodic evidence at ~5m/~10m); 1 final snapshot / 250 alarms; drain 97.70 ms.</x:v>
      </x:c>
    </x:row>
    <x:row r="7">
      <x:c r="A7" s="36" t="str">
        <x:v>A-003</x:v>
      </x:c>
      <x:c r="B7" s="36" t="str">
        <x:v>R3.5A</x:v>
      </x:c>
      <x:c r="C7" s="36" t="n">
        <x:v>3</x:v>
      </x:c>
      <x:c r="D7" s="36" t="str">
        <x:v>Baseline 500</x:v>
      </x:c>
      <x:c r="E7" s="36" t="str">
        <x:v>Caracterizar escala media</x:v>
      </x:c>
      <x:c r="F7" s="36" t="n">
        <x:v>500</x:v>
      </x:c>
      <x:c r="G7" s="36" t="str">
        <x:v>Local FS</x:v>
      </x:c>
      <x:c r="H7" s="36" t="str">
        <x:v>Steady-state / latest</x:v>
      </x:c>
      <x:c r="I7" s="36" t="str">
        <x:v>1 partición / fuente mínima</x:v>
      </x:c>
      <x:c r="J7" s="36" t="str">
        <x:v>None</x:v>
      </x:c>
      <x:c r="K7" s="36" t="str">
        <x:v>Stable config</x:v>
      </x:c>
      <x:c r="L7" s="36" t="n">
        <x:v>10</x:v>
      </x:c>
      <x:c r="M7" s="36" t="n">
        <x:v>5</x:v>
      </x:c>
      <x:c r="N7" s="36" t="n">
        <x:v>10</x:v>
      </x:c>
      <x:c r="O7" s="36" t="str">
        <x:v>Characterization</x:v>
      </x:c>
      <x:c r="P7" s="36" t="str">
        <x:v>0 integrity errors</x:v>
      </x:c>
      <x:c r="Q7" s="36" t="str">
        <x:v>GREEN p95≤5s; REVIEW 5–10s; INVESTIGATE &gt;10s</x:v>
      </x:c>
      <x:c r="R7" s="36" t="str">
        <x:v>Completed</x:v>
      </x:c>
      <x:c r="S7" s="36" t="str">
        <x:v>A-002</x:v>
      </x:c>
      <x:c r="T7" s="36" t="str">
        <x:v>PASS / GREEN — 121 iterations; p50 387.47 ms; p95 437.59 ms; p99 618.82 ms; max 728.32 ms; 0 overruns; peak RSS 131.27 MB; journal aligned; 3 durable commits (bootstrap + periodic evidence at ~5m/~10m); 1 final snapshot / 500 alarms; drain 192.98 ms.</x:v>
      </x:c>
    </x:row>
    <x:row r="8">
      <x:c r="A8" s="36" t="str">
        <x:v>A-004</x:v>
      </x:c>
      <x:c r="B8" s="36" t="str">
        <x:v>R3.5A</x:v>
      </x:c>
      <x:c r="C8" s="36" t="n">
        <x:v>4</x:v>
      </x:c>
      <x:c r="D8" s="36" t="str">
        <x:v>Baseline 750</x:v>
      </x:c>
      <x:c r="E8" s="36" t="str">
        <x:v>Detectar inicio de no-linealidad</x:v>
      </x:c>
      <x:c r="F8" s="36" t="n">
        <x:v>750</x:v>
      </x:c>
      <x:c r="G8" s="36" t="str">
        <x:v>Local FS</x:v>
      </x:c>
      <x:c r="H8" s="36" t="str">
        <x:v>Steady-state / latest</x:v>
      </x:c>
      <x:c r="I8" s="36" t="str">
        <x:v>1 partición / fuente mínima</x:v>
      </x:c>
      <x:c r="J8" s="36" t="str">
        <x:v>None</x:v>
      </x:c>
      <x:c r="K8" s="36" t="str">
        <x:v>Stable config</x:v>
      </x:c>
      <x:c r="L8" s="36" t="n">
        <x:v>10</x:v>
      </x:c>
      <x:c r="M8" s="36" t="n">
        <x:v>5</x:v>
      </x:c>
      <x:c r="N8" s="36" t="n">
        <x:v>10</x:v>
      </x:c>
      <x:c r="O8" s="36" t="str">
        <x:v>Characterization</x:v>
      </x:c>
      <x:c r="P8" s="36" t="str">
        <x:v>0 integrity errors</x:v>
      </x:c>
      <x:c r="Q8" s="36" t="str">
        <x:v>Comparar pendiente vs 500</x:v>
      </x:c>
      <x:c r="R8" s="36" t="str">
        <x:v>Completed</x:v>
      </x:c>
      <x:c r="S8" s="36" t="str">
        <x:v>A-003</x:v>
      </x:c>
      <x:c r="T8" s="36" t="str">
        <x:v>PASS / GREEN — 121 iterations; p50 585.99 ms; p95 645.03 ms; p99 888.15 ms; max 955.18 ms; 0 overruns; peak RSS 135.63 MB; journal aligned; 3 durable commits (bootstrap + periodic evidence at ~5m/~10m); 1 final snapshot / 750 alarms; drain 310.23 ms.</x:v>
      </x:c>
    </x:row>
    <x:row r="9">
      <x:c r="A9" s="36" t="str">
        <x:v>A-005</x:v>
      </x:c>
      <x:c r="B9" s="36" t="str">
        <x:v>R3.5A</x:v>
      </x:c>
      <x:c r="C9" s="36" t="n">
        <x:v>5</x:v>
      </x:c>
      <x:c r="D9" s="36" t="str">
        <x:v>Baseline 1000</x:v>
      </x:c>
      <x:c r="E9" s="36" t="str">
        <x:v>Caracterizar objetivo inicial de capacidad</x:v>
      </x:c>
      <x:c r="F9" s="36" t="n">
        <x:v>1000</x:v>
      </x:c>
      <x:c r="G9" s="36" t="str">
        <x:v>Local FS</x:v>
      </x:c>
      <x:c r="H9" s="36" t="str">
        <x:v>Steady-state / latest</x:v>
      </x:c>
      <x:c r="I9" s="36" t="str">
        <x:v>1 partición / fuente mínima</x:v>
      </x:c>
      <x:c r="J9" s="36" t="str">
        <x:v>None</x:v>
      </x:c>
      <x:c r="K9" s="36" t="str">
        <x:v>Stable config</x:v>
      </x:c>
      <x:c r="L9" s="36" t="n">
        <x:v>10</x:v>
      </x:c>
      <x:c r="M9" s="36" t="n">
        <x:v>5</x:v>
      </x:c>
      <x:c r="N9" s="36" t="n">
        <x:v>10</x:v>
      </x:c>
      <x:c r="O9" s="36" t="str">
        <x:v>Characterization</x:v>
      </x:c>
      <x:c r="P9" s="36" t="str">
        <x:v>0 integrity errors</x:v>
      </x:c>
      <x:c r="Q9" s="36" t="str">
        <x:v>GREEN p95≤5s; REVIEW 5–10s; INVESTIGATE &gt;10s</x:v>
      </x:c>
      <x:c r="R9" s="36" t="str">
        <x:v>Completed</x:v>
      </x:c>
      <x:c r="S9" s="36" t="str">
        <x:v>A-004</x:v>
      </x:c>
      <x:c r="T9" s="36" t="str">
        <x:v>PASS / GREEN — 121 iterations; p50 806.64 ms; p95 907.38 ms; p99 1230.24 ms; max 1274.60 ms; 0 overruns; peak RSS 139.62 MB; journal aligned; 3 durable commits (bootstrap + periodic evidence at ~5m/~10m); 1 final snapshot / 1000 alarms; drain 401.48 ms.</x:v>
      </x:c>
    </x:row>
    <x:row r="10">
      <x:c r="A10" s="36" t="str">
        <x:v>B-001</x:v>
      </x:c>
      <x:c r="B10" s="36" t="str">
        <x:v>R3.5B</x:v>
      </x:c>
      <x:c r="C10" s="36" t="n">
        <x:v>10</x:v>
      </x:c>
      <x:c r="D10" s="36" t="str">
        <x:v>Latest narrow</x:v>
      </x:c>
      <x:c r="E10" s="36" t="str">
        <x:v>Costo base de lectura con dataset estrecho</x:v>
      </x:c>
      <x:c r="F10" s="36" t="n">
        <x:v>1000</x:v>
      </x:c>
      <x:c r="G10" s="36" t="str">
        <x:v>Local FS</x:v>
      </x:c>
      <x:c r="H10" s="36" t="str">
        <x:v>Latest narrow</x:v>
      </x:c>
      <x:c r="I10" s="36" t="str">
        <x:v>1 partición / 1 fuente</x:v>
      </x:c>
      <x:c r="J10" s="36" t="str">
        <x:v>None</x:v>
      </x:c>
      <x:c r="K10" s="36" t="str">
        <x:v>Stable config</x:v>
      </x:c>
      <x:c r="L10" s="36" t="n">
        <x:v>10</x:v>
      </x:c>
      <x:c r="M10" s="36" t="n">
        <x:v>5</x:v>
      </x:c>
      <x:c r="N10" s="36" t="n">
        <x:v>10</x:v>
      </x:c>
      <x:c r="O10" s="36" t="str">
        <x:v>Data pressure</x:v>
      </x:c>
      <x:c r="P10" s="36" t="str">
        <x:v>0 integrity errors</x:v>
      </x:c>
      <x:c r="Q10" s="36" t="str">
        <x:v>Comparar con A-005</x:v>
      </x:c>
      <x:c r="R10" s="36" t="str">
        <x:v>Completed</x:v>
      </x:c>
      <x:c r="S10" s="36" t="str">
        <x:v>A-005</x:v>
      </x:c>
      <x:c r="T10" s="36" t="str">
        <x:v>PASS / GREEN — 121 iterations; p50 982.30 ms; p95 1285.54 ms; p99 1587.69 ms; max 1633.94 ms; 0 overruns; peak RSS 142.03 MB; Latest narrow = 1000 unique columns, 1 row, 1 view; source-load p95 7.69 ms; journal aligned; 3 durable commits; drain 418.61 ms.</x:v>
      </x:c>
    </x:row>
    <x:row r="11">
      <x:c r="A11" s="36" t="str">
        <x:v>B-002</x:v>
      </x:c>
      <x:c r="B11" s="36" t="str">
        <x:v>R3.5B</x:v>
      </x:c>
      <x:c r="C11" s="36" t="n">
        <x:v>11</x:v>
      </x:c>
      <x:c r="D11" s="36" t="str">
        <x:v>Latest wide</x:v>
      </x:c>
      <x:c r="E11" s="36" t="str">
        <x:v>Medir presión por ancho de columnas</x:v>
      </x:c>
      <x:c r="F11" s="36" t="n">
        <x:v>1000</x:v>
      </x:c>
      <x:c r="G11" s="36" t="str">
        <x:v>Local FS</x:v>
      </x:c>
      <x:c r="H11" s="36" t="str">
        <x:v>Latest wide</x:v>
      </x:c>
      <x:c r="I11" s="36" t="str">
        <x:v>1 partición / 1 fuente</x:v>
      </x:c>
      <x:c r="J11" s="36" t="str">
        <x:v>None</x:v>
      </x:c>
      <x:c r="K11" s="36" t="str">
        <x:v>Stable config</x:v>
      </x:c>
      <x:c r="L11" s="36" t="n">
        <x:v>10</x:v>
      </x:c>
      <x:c r="M11" s="36" t="n">
        <x:v>5</x:v>
      </x:c>
      <x:c r="N11" s="36" t="n">
        <x:v>10</x:v>
      </x:c>
      <x:c r="O11" s="36" t="str">
        <x:v>Data pressure</x:v>
      </x:c>
      <x:c r="P11" s="36" t="str">
        <x:v>0 integrity errors</x:v>
      </x:c>
      <x:c r="Q11" s="36" t="str">
        <x:v>Comparar memoria y data load</x:v>
      </x:c>
      <x:c r="R11" s="36" t="str">
        <x:v>Completed</x:v>
      </x:c>
      <x:c r="S11" s="36" t="str">
        <x:v>B-001</x:v>
      </x:c>
      <x:c r="T11" s="36" t="str">
        <x:v>PASS / GREEN — 121 iterations; p50 1007.72 ms; p95 1084.95 ms; p99 1423.10 ms; max 1436.61 ms; 0 overruns; peak RSS 144.91 MB; Latest wide = 3000 unique columns, 1 row, 1 view; source-load p95 17.45 ms; journal aligned; 3 durable commits; drain 434.39 ms.</x:v>
      </x:c>
    </x:row>
    <x:row r="12">
      <x:c r="A12" s="36" t="str">
        <x:v>B-003</x:v>
      </x:c>
      <x:c r="B12" s="36" t="str">
        <x:v>R3.5B</x:v>
      </x:c>
      <x:c r="C12" s="36" t="n">
        <x:v>12</x:v>
      </x:c>
      <x:c r="D12" s="36" t="str">
        <x:v>4 partitions balanced</x:v>
      </x:c>
      <x:c r="E12" s="36" t="str">
        <x:v>Medir merge pequeño balanceado</x:v>
      </x:c>
      <x:c r="F12" s="36" t="n">
        <x:v>1000</x:v>
      </x:c>
      <x:c r="G12" s="36" t="str">
        <x:v>Local FS</x:v>
      </x:c>
      <x:c r="H12" s="36" t="str">
        <x:v>Latest</x:v>
      </x:c>
      <x:c r="I12" s="36" t="str">
        <x:v>4 balanced</x:v>
      </x:c>
      <x:c r="J12" s="36" t="str">
        <x:v>None</x:v>
      </x:c>
      <x:c r="K12" s="36" t="str">
        <x:v>Stable config</x:v>
      </x:c>
      <x:c r="L12" s="36" t="n">
        <x:v>10</x:v>
      </x:c>
      <x:c r="M12" s="36" t="n">
        <x:v>5</x:v>
      </x:c>
      <x:c r="N12" s="36" t="n">
        <x:v>10</x:v>
      </x:c>
      <x:c r="O12" s="36" t="str">
        <x:v>Data pressure</x:v>
      </x:c>
      <x:c r="P12" s="36" t="str">
        <x:v>0 integrity errors</x:v>
      </x:c>
      <x:c r="Q12" s="36" t="str">
        <x:v>Comparar data load</x:v>
      </x:c>
      <x:c r="R12" s="36" t="str">
        <x:v>Completed</x:v>
      </x:c>
      <x:c r="S12" s="36" t="str">
        <x:v>B-002</x:v>
      </x:c>
      <x:c r="T12" s="36" t="str">
        <x:v>PASS / GREEN — 121 iterations; p50 953.85 ms; p95 992.83 ms; p99 1352.17 ms; max 1387.57 ms; 0 overruns; peak RSS 142.14 MB; 4 physical partitions balanced 250/250/250/250 over 1 logical Latest view; source-load p95 8.09 ms; merge p95 0.175 ms; journal aligned; 3 durable commits; drain 395.64 ms.</x:v>
      </x:c>
    </x:row>
    <x:row r="13">
      <x:c r="A13" s="36" t="str">
        <x:v>B-004</x:v>
      </x:c>
      <x:c r="B13" s="36" t="str">
        <x:v>R3.5B</x:v>
      </x:c>
      <x:c r="C13" s="36" t="n">
        <x:v>13</x:v>
      </x:c>
      <x:c r="D13" s="36" t="str">
        <x:v>36 partitions balanced</x:v>
      </x:c>
      <x:c r="E13" s="36" t="str">
        <x:v>Salto adaptativo para detectar reacción material del particionamiento</x:v>
      </x:c>
      <x:c r="F13" s="36" t="n">
        <x:v>1000</x:v>
      </x:c>
      <x:c r="G13" s="36" t="str">
        <x:v>Local FS</x:v>
      </x:c>
      <x:c r="H13" s="36" t="str">
        <x:v>Latest</x:v>
      </x:c>
      <x:c r="I13" s="36" t="str">
        <x:v>36 balanced</x:v>
      </x:c>
      <x:c r="J13" s="36" t="str">
        <x:v>None</x:v>
      </x:c>
      <x:c r="K13" s="36" t="str">
        <x:v>Stable config</x:v>
      </x:c>
      <x:c r="L13" s="36" t="n">
        <x:v>10</x:v>
      </x:c>
      <x:c r="M13" s="36" t="n">
        <x:v>5</x:v>
      </x:c>
      <x:c r="N13" s="36" t="n">
        <x:v>10</x:v>
      </x:c>
      <x:c r="O13" s="36" t="str">
        <x:v>Data pressure</x:v>
      </x:c>
      <x:c r="P13" s="36" t="str">
        <x:v>0 integrity errors</x:v>
      </x:c>
      <x:c r="Q13" s="36" t="str">
        <x:v>Comparar contra B-003 y presupuesto de 5 s</x:v>
      </x:c>
      <x:c r="R13" s="36" t="str">
        <x:v>Completed</x:v>
      </x:c>
      <x:c r="S13" s="36" t="str">
        <x:v>B-003</x:v>
      </x:c>
      <x:c r="T13" s="36" t="str">
        <x:v>PASS / GREEN — adaptive jump 4→36 partitions; 121 iterations; p50 1646.51 ms; p95 1805.03 ms; p99 2263.77 ms; max 2412.45 ms; 0 overruns; peak RSS 141.50 MB; distribution = 28×28 + 8×27 columns; source-load p95 25.37 ms; merge p95 1.013 ms; journal aligned; 3 durable commits; drain 663.87 ms.</x:v>
      </x:c>
    </x:row>
    <x:row r="14">
      <x:c r="A14" s="36" t="str">
        <x:v>B-005</x:v>
      </x:c>
      <x:c r="B14" s="36" t="str">
        <x:v>R3.5B</x:v>
      </x:c>
      <x:c r="C14" s="36" t="n">
        <x:v>14</x:v>
      </x:c>
      <x:c r="D14" s="36" t="str">
        <x:v>16 partitions balanced — superseded</x:v>
      </x:c>
      <x:c r="E14" s="36" t="str">
        <x:v>Omitido: el salto B-003→B-004 fue directamente de 4 a 36 particiones</x:v>
      </x:c>
      <x:c r="F14" s="36" t="n">
        <x:v>1000</x:v>
      </x:c>
      <x:c r="G14" s="36" t="str">
        <x:v>Local FS</x:v>
      </x:c>
      <x:c r="H14" s="36" t="str">
        <x:v>Latest</x:v>
      </x:c>
      <x:c r="I14" s="36" t="str">
        <x:v>16 balanced</x:v>
      </x:c>
      <x:c r="J14" s="36" t="str">
        <x:v>None</x:v>
      </x:c>
      <x:c r="K14" s="36" t="str">
        <x:v>Stable config</x:v>
      </x:c>
      <x:c r="L14" s="36" t="n">
        <x:v>10</x:v>
      </x:c>
      <x:c r="M14" s="36" t="n">
        <x:v>5</x:v>
      </x:c>
      <x:c r="N14" s="36" t="n">
        <x:v>10</x:v>
      </x:c>
      <x:c r="O14" s="36" t="str">
        <x:v>Adaptive skip</x:v>
      </x:c>
      <x:c r="P14" s="36" t="str">
        <x:v>0 integrity errors</x:v>
      </x:c>
      <x:c r="Q14" s="36" t="str">
        <x:v>Sin ejecución; cubierto por salto 4→36</x:v>
      </x:c>
      <x:c r="R14" s="36" t="str">
        <x:v>Superseded</x:v>
      </x:c>
      <x:c r="S14" s="36" t="str">
        <x:v>B-004 adaptive jump</x:v>
      </x:c>
      <x:c r="T14" s="36" t="str">
        <x:v>No ejecutado por estrategia adaptativa; 36 particiones ya ejercieron una presión mayor.</x:v>
      </x:c>
    </x:row>
    <x:row r="15">
      <x:c r="A15" s="36" t="str">
        <x:v>B-006</x:v>
      </x:c>
      <x:c r="B15" s="36" t="str">
        <x:v>R3.5B</x:v>
      </x:c>
      <x:c r="C15" s="36" t="n">
        <x:v>15</x:v>
      </x:c>
      <x:c r="D15" s="36" t="str">
        <x:v>32 partitions balanced — superseded</x:v>
      </x:c>
      <x:c r="E15" s="36" t="str">
        <x:v>Omitido: 36 particiones balanceadas reemplazan este punto intermedio</x:v>
      </x:c>
      <x:c r="F15" s="36" t="n">
        <x:v>1000</x:v>
      </x:c>
      <x:c r="G15" s="36" t="str">
        <x:v>Local FS</x:v>
      </x:c>
      <x:c r="H15" s="36" t="str">
        <x:v>Latest</x:v>
      </x:c>
      <x:c r="I15" s="36" t="str">
        <x:v>32 balanced</x:v>
      </x:c>
      <x:c r="J15" s="36" t="str">
        <x:v>None</x:v>
      </x:c>
      <x:c r="K15" s="36" t="str">
        <x:v>Stable config</x:v>
      </x:c>
      <x:c r="L15" s="36" t="n">
        <x:v>10</x:v>
      </x:c>
      <x:c r="M15" s="36" t="n">
        <x:v>5</x:v>
      </x:c>
      <x:c r="N15" s="36" t="n">
        <x:v>10</x:v>
      </x:c>
      <x:c r="O15" s="36" t="str">
        <x:v>Adaptive skip</x:v>
      </x:c>
      <x:c r="P15" s="36" t="str">
        <x:v>0 integrity errors</x:v>
      </x:c>
      <x:c r="Q15" s="36" t="str">
        <x:v>Sin ejecución; cubierto por B-004 = 36 partitions</x:v>
      </x:c>
      <x:c r="R15" s="36" t="str">
        <x:v>Superseded</x:v>
      </x:c>
      <x:c r="S15" s="36" t="str">
        <x:v>B-004 adaptive jump</x:v>
      </x:c>
      <x:c r="T15" s="36" t="str">
        <x:v>No ejecutado por estrategia adaptativa; B-004 superó este nivel.</x:v>
      </x:c>
    </x:row>
    <x:row r="16">
      <x:c r="A16" s="36" t="str">
        <x:v>B-007</x:v>
      </x:c>
      <x:c r="B16" s="36" t="str">
        <x:v>R3.5B</x:v>
      </x:c>
      <x:c r="C16" s="36" t="n">
        <x:v>16</x:v>
      </x:c>
      <x:c r="D16" s="36" t="str">
        <x:v>36 partitions skewed</x:v>
      </x:c>
      <x:c r="E16" s="36" t="str">
        <x:v>Comparar distribución sesgada contra 36 particiones balanceadas</x:v>
      </x:c>
      <x:c r="F16" s="36" t="n">
        <x:v>1000</x:v>
      </x:c>
      <x:c r="G16" s="36" t="str">
        <x:v>Local FS</x:v>
      </x:c>
      <x:c r="H16" s="36" t="str">
        <x:v>Latest</x:v>
      </x:c>
      <x:c r="I16" s="36" t="str">
        <x:v>36 skewed (≈80/20)</x:v>
      </x:c>
      <x:c r="J16" s="36" t="str">
        <x:v>None</x:v>
      </x:c>
      <x:c r="K16" s="36" t="str">
        <x:v>Stable config</x:v>
      </x:c>
      <x:c r="L16" s="36" t="n">
        <x:v>10</x:v>
      </x:c>
      <x:c r="M16" s="36" t="n">
        <x:v>5</x:v>
      </x:c>
      <x:c r="N16" s="36" t="n">
        <x:v>10</x:v>
      </x:c>
      <x:c r="O16" s="36" t="str">
        <x:v>Stress</x:v>
      </x:c>
      <x:c r="P16" s="36" t="str">
        <x:v>0 integrity errors</x:v>
      </x:c>
      <x:c r="Q16" s="36" t="str">
        <x:v>Comparar B-004: cycle/load/merge/RSS</x:v>
      </x:c>
      <x:c r="R16" s="36" t="str">
        <x:v>Completed</x:v>
      </x:c>
      <x:c r="S16" s="36" t="str">
        <x:v>B-004</x:v>
      </x:c>
      <x:c r="T16" s="36" t="str">
        <x:v>PASS / GREEN — 36 partitions skewed (~80/20); 121 iterations; p50 1708.26 ms; p95 1899.99 ms; p99 2337.01 ms; max 2450.45 ms; 0 overruns; peak RSS 141.71 MB; layout = 8×100 hot + 4×8 + 24×7 cold; source-load p95 26.15 ms; merge p95 1.103 ms; journal aligned; 3 durable commits; drain 652.24 ms.</x:v>
      </x:c>
    </x:row>
    <x:row r="17">
      <x:c r="A17" s="36" t="str">
        <x:v>B-008</x:v>
      </x:c>
      <x:c r="B17" s="36" t="str">
        <x:v>R3.5B</x:v>
      </x:c>
      <x:c r="C17" s="36" t="n">
        <x:v>17</x:v>
      </x:c>
      <x:c r="D17" s="36" t="str">
        <x:v>36 partitions mixed empty/missing-column</x:v>
      </x:c>
      <x:c r="E17" s="36" t="str">
        <x:v>Presionar síntesis de nulls, particiones vacías y columnas ausentes a presión alta</x:v>
      </x:c>
      <x:c r="F17" s="36" t="n">
        <x:v>1000</x:v>
      </x:c>
      <x:c r="G17" s="36" t="str">
        <x:v>Local FS</x:v>
      </x:c>
      <x:c r="H17" s="36" t="str">
        <x:v>Latest heterogeneous</x:v>
      </x:c>
      <x:c r="I17" s="36" t="str">
        <x:v>36 mixed</x:v>
      </x:c>
      <x:c r="J17" s="36" t="str">
        <x:v>None</x:v>
      </x:c>
      <x:c r="K17" s="36" t="str">
        <x:v>Stable config</x:v>
      </x:c>
      <x:c r="L17" s="36" t="n">
        <x:v>10</x:v>
      </x:c>
      <x:c r="M17" s="36" t="n">
        <x:v>5</x:v>
      </x:c>
      <x:c r="N17" s="36" t="n">
        <x:v>10</x:v>
      </x:c>
      <x:c r="O17" s="36" t="str">
        <x:v>Correctness + load</x:v>
      </x:c>
      <x:c r="P17" s="36" t="str">
        <x:v>0 integrity errors</x:v>
      </x:c>
      <x:c r="Q17" s="36" t="str">
        <x:v>Performance secundaria; validar estabilidad</x:v>
      </x:c>
      <x:c r="R17" s="36" t="str">
        <x:v>Completed</x:v>
      </x:c>
      <x:c r="S17" s="36" t="str">
        <x:v>B-007</x:v>
      </x:c>
      <x:c r="T17" s="36" t="str">
        <x:v>PASS-WITH-FINDINGS / GREEN (raw harness reported FAIL) — 121 iterations; p50 936.54 ms; p95 1003.20 ms; p99 1333.51 ms; max 1381.55 ms; 0 overruns; peak RSS 140.87 MB; 36 mixed partitions with 4 empty and 120 synthesized-null primary signals. Snapshot 880 alarms == corrected expected 880 (120 initial INACTIVE neutral states are intentionally omitted from hot-state snapshot); journal durable==materialized; 3 durable commits; drain 370.40 ms.</x:v>
      </x:c>
    </x:row>
    <x:row r="18">
      <x:c r="A18" s="36" t="str">
        <x:v>B-009</x:v>
      </x:c>
      <x:c r="B18" s="36" t="str">
        <x:v>R3.5B</x:v>
      </x:c>
      <x:c r="C18" s="36" t="n">
        <x:v>18</x:v>
      </x:c>
      <x:c r="D18" s="36" t="str">
        <x:v>Historical Stress Jump</x:v>
      </x:c>
      <x:c r="E18" s="36" t="str">
        <x:v>Provocar una frontera real combinando Latest + histórico denso antes de perfilar</x:v>
      </x:c>
      <x:c r="F18" s="36" t="n">
        <x:v>1000</x:v>
      </x:c>
      <x:c r="G18" s="36" t="str">
        <x:v>Local FS</x:v>
      </x:c>
      <x:c r="H18" s="36" t="str">
        <x:v>Latest + Historical 1h / 10s</x:v>
      </x:c>
      <x:c r="I18" s="36" t="str">
        <x:v>36 balanced per view / 72 chunks total</x:v>
      </x:c>
      <x:c r="J18" s="36" t="str">
        <x:v>None</x:v>
      </x:c>
      <x:c r="K18" s="36" t="str">
        <x:v>Stable config</x:v>
      </x:c>
      <x:c r="L18" s="36" t="n">
        <x:v>10</x:v>
      </x:c>
      <x:c r="M18" s="36" t="n">
        <x:v>5</x:v>
      </x:c>
      <x:c r="N18" s="36" t="n">
        <x:v>10</x:v>
      </x:c>
      <x:c r="O18" s="36" t="str">
        <x:v>Adaptive stress</x:v>
      </x:c>
      <x:c r="P18" s="36" t="str">
        <x:v>0 integrity errors</x:v>
      </x:c>
      <x:c r="Q18" s="36" t="str">
        <x:v>p95≈3 s se considera boundary band; no interpretar diferencias de milisegundos como margen alto</x:v>
      </x:c>
      <x:c r="R18" s="36" t="str">
        <x:v>Completed</x:v>
      </x:c>
      <x:c r="S18" s="36" t="str">
        <x:v>B-008 gate fixed</x:v>
      </x:c>
      <x:c r="T18" s="36" t="str">
        <x:v>PASS / GREEN — 121 iterations; p50 2625.46 ms; p95 2997.01 ms; p99 3284.83 ms; max 3600.32 ms; 0 overruns; avg/peak process CPU 99.43%/100.43% (~1 core activo durante el ciclo); peak RSS 156.66 MB; Latest 1000 cols + Historical 3000 cols × 360 rows = 1,080,000 historical values; source-load p95 8.27 ms; merge p95 0.820 ms; journal aligned; snapshot 1000/1000; 3 durable commits; drain 407.94 ms.</x:v>
      </x:c>
    </x:row>
    <x:row r="19">
      <x:c r="A19" s="36" t="str">
        <x:v>B-010</x:v>
      </x:c>
      <x:c r="B19" s="36" t="str">
        <x:v>R3.5B</x:v>
      </x:c>
      <x:c r="C19" s="36" t="n">
        <x:v>19</x:v>
      </x:c>
      <x:c r="D19" s="36" t="str">
        <x:v>Historical Depth Boundary Probe</x:v>
      </x:c>
      <x:c r="E19" s="36" t="str">
        <x:v>Buscar la frontera operacional aumentando sólo profundidad temporal después de B-009</x:v>
      </x:c>
      <x:c r="F19" s="36" t="n">
        <x:v>1000</x:v>
      </x:c>
      <x:c r="G19" s="36" t="str">
        <x:v>Local FS</x:v>
      </x:c>
      <x:c r="H19" s="36" t="str">
        <x:v>Latest + Historical 3h / 10s</x:v>
      </x:c>
      <x:c r="I19" s="36" t="str">
        <x:v>36 balanced per view / 72 chunks total</x:v>
      </x:c>
      <x:c r="J19" s="36" t="str">
        <x:v>None</x:v>
      </x:c>
      <x:c r="K19" s="36" t="str">
        <x:v>Stable config</x:v>
      </x:c>
      <x:c r="L19" s="36" t="n">
        <x:v>10</x:v>
      </x:c>
      <x:c r="M19" s="36" t="n">
        <x:v>5</x:v>
      </x:c>
      <x:c r="N19" s="36" t="n">
        <x:v>10</x:v>
      </x:c>
      <x:c r="O19" s="36" t="str">
        <x:v>Adaptive boundary probe</x:v>
      </x:c>
      <x:c r="P19" s="36" t="str">
        <x:v>0 integrity errors</x:v>
      </x:c>
      <x:c r="Q19" s="36" t="str">
        <x:v>p95≥5 s o overruns: regresar a 120 min; p95&lt;5 s limpio: decidir cierre de data pressure o un último stress de ancho</x:v>
      </x:c>
      <x:c r="R19" s="36" t="str">
        <x:v>Completed</x:v>
      </x:c>
      <x:c r="S19" s="36" t="str">
        <x:v>B-009</x:v>
      </x:c>
      <x:c r="T19" s="36" t="str">
        <x:v>PASS / GREEN — 121 iterations; p50 3141.72 ms; p95 3796.33 ms; p99 3999.59 ms; max 4465.37 ms; 0 overruns; avg/peak process CPU 99.46%/100.00%; avg/peak RSS 178.27/179.77 MB; Latest 1000 cols + Historical 3000 cols × 1080 rows = 3,240,000 historical values; source-load p95 10.80 ms; merge p95 0.924 ms; journal aligned; snapshot 1000/1000; 3 durable commits; drain 407.98 ms. Memory plateaued in second half.</x:v>
      </x:c>
    </x:row>
    <x:row r="20">
      <x:c r="A20" s="36" t="str">
        <x:v>B-011</x:v>
      </x:c>
      <x:c r="B20" s="36" t="str">
        <x:v>R3.5B</x:v>
      </x:c>
      <x:c r="C20" s="36" t="n">
        <x:v>20</x:v>
      </x:c>
      <x:c r="D20" s="36" t="str">
        <x:v>Historical Width Boundary Probe — adaptive replacement</x:v>
      </x:c>
      <x:c r="E20" s="36" t="str">
        <x:v>Buscar la frontera aumentando sólo el ancho histórico después del probe de profundidad</x:v>
      </x:c>
      <x:c r="F20" s="36" t="n">
        <x:v>1000</x:v>
      </x:c>
      <x:c r="G20" s="36" t="str">
        <x:v>Local FS</x:v>
      </x:c>
      <x:c r="H20" s="36" t="str">
        <x:v>Latest + Historical 3h / 10s</x:v>
      </x:c>
      <x:c r="I20" s="36" t="str">
        <x:v>36 balanced per view / 72 chunks total</x:v>
      </x:c>
      <x:c r="J20" s="36" t="str">
        <x:v>None</x:v>
      </x:c>
      <x:c r="K20" s="36" t="str">
        <x:v>Stable config</x:v>
      </x:c>
      <x:c r="L20" s="36" t="n">
        <x:v>10</x:v>
      </x:c>
      <x:c r="M20" s="36" t="n">
        <x:v>5</x:v>
      </x:c>
      <x:c r="N20" s="36" t="n">
        <x:v>10</x:v>
      </x:c>
      <x:c r="O20" s="36" t="str">
        <x:v>Adaptive width stress</x:v>
      </x:c>
      <x:c r="P20" s="36" t="str">
        <x:v>0 integrity errors</x:v>
      </x:c>
      <x:c r="Q20" s="36" t="str">
        <x:v>Cualquier overrun activa regresión aunque p95 siga &lt;5 s</x:v>
      </x:c>
      <x:c r="R20" s="36" t="str">
        <x:v>Completed</x:v>
      </x:c>
      <x:c r="S20" s="36" t="str">
        <x:v>B-010</x:v>
      </x:c>
      <x:c r="T20" s="36" t="str">
        <x:v>PASS-WITH-FINDINGS / GREEN — 121 iterations; p50 3185.63 ms; p95 3814.49 ms; p99 4033.21 ms; max 5636.62 ms; 1 overrun (0.826%) at iteration 72; next start interval 5638.20 ms; avg/peak process CPU 99.55%/100.18%; avg/peak RSS 193.36/197.49 MB; Latest 1000 cols + Historical 6000 cols × 1080 rows = 6,480,000 historical values; source-load p95 12.67 ms; merge p95 0.864 ms; journal aligned; snapshot 1000/1000; 3 durable commits; drain 490.29 ms. Steady-state p95 remained essentially flat vs B-010, so the single overrun is a boundary signal that requires reproduction rather than proof of sustained saturation.</x:v>
      </x:c>
    </x:row>
    <x:row r="21">
      <x:c r="A21" s="36" t="str">
        <x:v>B-011-R1</x:v>
      </x:c>
      <x:c r="B21" s="36" t="str">
        <x:v>R3.5B</x:v>
      </x:c>
      <x:c r="C21" s="36" t="n">
        <x:v>21</x:v>
      </x:c>
      <x:c r="D21" s="36" t="str">
        <x:v>Historical Width Regression — 4 series/alarm</x:v>
      </x:c>
      <x:c r="E21" s="36" t="str">
        <x:v>Regresar desde 6 series para determinar si el overrun de B-011 pertenece al workload o fue transitorio</x:v>
      </x:c>
      <x:c r="F21" s="36" t="n">
        <x:v>1000</x:v>
      </x:c>
      <x:c r="G21" s="36" t="str">
        <x:v>Local FS</x:v>
      </x:c>
      <x:c r="H21" s="36" t="str">
        <x:v>Latest + Historical 3h / 10s</x:v>
      </x:c>
      <x:c r="I21" s="36" t="str">
        <x:v>36 balanced per view / 72 chunks total</x:v>
      </x:c>
      <x:c r="J21" s="36" t="str">
        <x:v>None</x:v>
      </x:c>
      <x:c r="K21" s="36" t="str">
        <x:v>Stable config</x:v>
      </x:c>
      <x:c r="L21" s="36" t="n">
        <x:v>10</x:v>
      </x:c>
      <x:c r="M21" s="36" t="n">
        <x:v>5</x:v>
      </x:c>
      <x:c r="N21" s="36" t="n">
        <x:v>10</x:v>
      </x:c>
      <x:c r="O21" s="36" t="str">
        <x:v>Adaptive regression</x:v>
      </x:c>
      <x:c r="P21" s="36" t="str">
        <x:v>0 integrity errors</x:v>
      </x:c>
      <x:c r="Q21" s="36" t="str">
        <x:v>Si p95≥5 s o hay overruns, la frontera es reproducible a ≤4 series; si queda limpio, repetir 6 series antes de estrechar a 5</x:v>
      </x:c>
      <x:c r="R21" s="36" t="str">
        <x:v>Completed</x:v>
      </x:c>
      <x:c r="S21" s="36" t="str">
        <x:v>B-011</x:v>
      </x:c>
      <x:c r="T21" s="36" t="str">
        <x:v>PASS / GREEN — 121 iterations; p50 3076.52 ms; p95 3467.22 ms; p99 4269.63 ms; max 4921.44 ms; 0 overruns; avg/peak process CPU 99.49%/100.25%; avg/peak RSS 176.70/180.16 MB; Latest 1000 cols + Historical 4000 cols × 1080 rows = 4,320,000 historical values; source-load p95 11.74 ms; merge p95 0.857 ms; journal aligned; snapshot 1000/1000; 3 durable commits; drain 429.75 ms. Max at iteration 4 did not displace cadence; start intervals stayed 5000.54–5001.95 ms.</x:v>
      </x:c>
    </x:row>
    <x:row r="22">
      <x:c r="A22" s="36" t="str">
        <x:v>C-001</x:v>
      </x:c>
      <x:c r="B22" s="36" t="str">
        <x:v>R3.5C</x:v>
      </x:c>
      <x:c r="C22" s="36" t="n">
        <x:v>30</x:v>
      </x:c>
      <x:c r="D22" s="36" t="str">
        <x:v>Normal Lifecycle Churn 10% — balanced groups</x:v>
      </x:c>
      <x:c r="E22" s="36" t="str">
        <x:v>Medir costo semántico real de ACTIVE↔INACTIVE con continuidad de Episode por grupo</x:v>
      </x:c>
      <x:c r="F22" s="36" t="n">
        <x:v>1000</x:v>
      </x:c>
      <x:c r="G22" s="36" t="str">
        <x:v>Local FS</x:v>
      </x:c>
      <x:c r="H22" s="36" t="str">
        <x:v>Latest Narrow / deterministic 10% churn</x:v>
      </x:c>
      <x:c r="I22" s="36" t="str">
        <x:v>36 balanced / 100 priority groups × 10 alarms</x:v>
      </x:c>
      <x:c r="J22" s="36" t="str">
        <x:v>None</x:v>
      </x:c>
      <x:c r="K22" s="36" t="str">
        <x:v>Stable config / C3</x:v>
      </x:c>
      <x:c r="L22" s="36" t="n">
        <x:v>10</x:v>
      </x:c>
      <x:c r="M22" s="36" t="n">
        <x:v>5</x:v>
      </x:c>
      <x:c r="N22" s="36" t="n">
        <x:v>10</x:v>
      </x:c>
      <x:c r="O22" s="36" t="str">
        <x:v>Functional pressure</x:v>
      </x:c>
      <x:c r="P22" s="36" t="str">
        <x:v>0 integrity errors; snapshot 500 active alarms; exact lifecycle counters; 0 duplicate lifecycle commits</x:v>
      </x:c>
      <x:c r="Q22" s="36" t="str">
        <x:v>PASS/GREEN. 6000 state transitions; lifecycle counters exact. Churn-iteration p95 1287.22 ms; stable-generation p95 1085.86 ms. No overruns; periodic evidence-only commits allowed by contract.</x:v>
      </x:c>
      <x:c r="R22" s="36" t="str">
        <x:v>Completed</x:v>
      </x:c>
      <x:c r="S22" s="36" t="str">
        <x:v>R3.5B closed + C-001 harness patch 0.1.0</x:v>
      </x:c>
      <x:c r="T22" s="36" t="str">
        <x:v>Authoritative run 950633d5-157a-4d94-9b5b-a1cf48c4914b. 121 iterations; p50 1009.88 ms; p95 1237.59 ms; p99 1565.79 ms; max 1597.72 ms; 0 overruns; avg/peak process CPU 94.02%/99.86%; avg/peak RSS 132.85/133.12 MB; 60 churn generations; 6000 planned transitions; 700/700 lifecycle commits; 0 duplicate commits; 3500/3500 occurrence STARTED; 3000/3000 CLOSED; 100/100 episode STARTED; 0/0 CLOSED; 3500 assignment changes; 10000 journey events; 6500 evidence records; snapshot 500/500; WAL 10,253,900 bytes; journal durable==materialized; drain 1104.98 ms. Independent WAL audit: 700 records, 100 bootstrap groups + 60 cycles × 10 groups; each of 100 groups committed exactly 7 times. Final snapshots: 100 groups × 5 ACTIVE.</x:v>
      </x:c>
    </x:row>
    <x:row r="23">
      <x:c r="A23" s="36" t="str">
        <x:v>C-002</x:v>
      </x:c>
      <x:c r="B23" s="36" t="str">
        <x:v>R3.5C</x:v>
      </x:c>
      <x:c r="C23" s="36" t="n">
        <x:v>31</x:v>
      </x:c>
      <x:c r="D23" s="36" t="str">
        <x:v>Technical Hold Recovery Churn</x:v>
      </x:c>
      <x:c r="E23" s="36" t="str">
        <x:v>Medir ERROR transitorio con TechnicalHold STARTED/CLEARED preservando la misma Occurrence</x:v>
      </x:c>
      <x:c r="F23" s="36" t="n">
        <x:v>1000</x:v>
      </x:c>
      <x:c r="G23" s="36" t="str">
        <x:v>Local FS</x:v>
      </x:c>
      <x:c r="H23" s="36" t="str">
        <x:v>Latest Narrow / deterministic ERROR↔ACTIVE churn</x:v>
      </x:c>
      <x:c r="I23" s="36" t="str">
        <x:v>36 balanced / 100 priority groups × 10 alarms</x:v>
      </x:c>
      <x:c r="J23" s="36" t="str">
        <x:v>None</x:v>
      </x:c>
      <x:c r="K23" s="36" t="str">
        <x:v>Stable config / C3</x:v>
      </x:c>
      <x:c r="L23" s="36" t="n">
        <x:v>10</x:v>
      </x:c>
      <x:c r="M23" s="36" t="n">
        <x:v>5</x:v>
      </x:c>
      <x:c r="N23" s="36" t="n">
        <x:v>10</x:v>
      </x:c>
      <x:c r="O23" s="36" t="str">
        <x:v>Functional pressure / TechnicalHold</x:v>
      </x:c>
      <x:c r="P23" s="36" t="str">
        <x:v>0 integrity errors; exact TechnicalHold STARTED/CLEARED; TechnicalHold EXPIRED=0; Occurrence CLOSED=0; Episode CLOSED=0; occurrence identity mismatch=0; assignment changes only at bootstrap; 0 duplicate lifecycle commits</x:v>
      </x:c>
      <x:c r="Q23" s="36" t="str">
        <x:v>PASS/GREEN. 3000 TechnicalHold STARTED + 3000 RECOVERED, every hold exactly 10 s; 0 EXPIRED, 0 Occurrence/Episode closes, 0 identity mismatches. Work-iteration p95 1359.51 ms; stable p95 1084.18 ms; 0 overruns.</x:v>
      </x:c>
      <x:c r="R23" s="36" t="str">
        <x:v>Completed</x:v>
      </x:c>
      <x:c r="S23" s="36" t="str">
        <x:v>C-001 + C-002 harness patch 0.1.0</x:v>
      </x:c>
      <x:c r="T23" s="36" t="str">
        <x:v>Authoritative run 23009c7e-3c7f-4c41-a045-cbfa1a648318. 121 iterations; p50 1052.14 ms; p95 1170.53 ms; p99 1677.62 ms; max 1771.45 ms; 0 overruns; avg/peak process CPU 94.27%/100.53%; avg/peak RSS 136.11/136.20 MB; 60 generations; 6000 state transitions; 700/700 lifecycle commits; 0 duplicate commits; 1000/1000 occurrence STARTED; 0 CLOSED; 100/100 episode STARTED; 0 CLOSED; 1000 assignment changes; 3000/3000 TechnicalHold STARTED; 3000/3000 RECOVERED; 0 EXPIRED; 0 occurrence identity mismatches; 8000 journey events; 7000 evidence; snapshot 1000/1000; WAL 10,013,800 bytes; journal aligned; drain 1156.15 ms. Independent WAL audit: 700 unique commits, every alarm had exactly 3 STARTED + 3 RECOVERED events, all hold durations exactly 10 s. Final snapshots: 100 groups, 1000 ACTIVE, 0 pending holds, 100 Episodes open, 0 identity mismatches.</x:v>
      </x:c>
    </x:row>
    <x:row r="24">
      <x:c r="A24" s="36" t="str">
        <x:v>C-003</x:v>
      </x:c>
      <x:c r="B24" s="36" t="str">
        <x:v>R3.5C</x:v>
      </x:c>
      <x:c r="C24" s="36" t="n">
        <x:v>32</x:v>
      </x:c>
      <x:c r="D24" s="36" t="str">
        <x:v>Technical Hold Expiry &amp; Reappearance</x:v>
      </x:c>
      <x:c r="E24" s="36" t="str">
        <x:v>Mantener ERROR más allá del grace real de 300 s para forzar EXPIRED, cerrar continuidad y comprobar nueva Occurrence/Episode al recuperar</x:v>
      </x:c>
      <x:c r="F24" s="36" t="n">
        <x:v>1000</x:v>
      </x:c>
      <x:c r="G24" s="36" t="str">
        <x:v>Local FS</x:v>
      </x:c>
      <x:c r="H24" s="36" t="str">
        <x:v>Latest Narrow / staggered long ERROR cohorts</x:v>
      </x:c>
      <x:c r="I24" s="36" t="str">
        <x:v>36 balanced / 100 priority groups × 10 alarms</x:v>
      </x:c>
      <x:c r="J24" s="36" t="str">
        <x:v>None</x:v>
      </x:c>
      <x:c r="K24" s="36" t="str">
        <x:v>Stable config / C3</x:v>
      </x:c>
      <x:c r="L24" s="36" t="n">
        <x:v>10</x:v>
      </x:c>
      <x:c r="M24" s="36" t="n">
        <x:v>5</x:v>
      </x:c>
      <x:c r="N24" s="36" t="n">
        <x:v>10</x:v>
      </x:c>
      <x:c r="O24" s="36" t="str">
        <x:v>Functional pressure / expiry / reappearance</x:v>
      </x:c>
      <x:c r="P24" s="36" t="str">
        <x:v>0 integrity errors; exact TechnicalHold STARTED/EXPIRED; RECOVERED=0; Occurrence CLOSED reason=technical_hold_expired; Episode CLOSED reason=technical_uncertainty; post-expiry ACTIVE creates new occurrence_id; 0 duplicate lifecycle commits</x:v>
      </x:c>
      <x:c r="Q24" s="36" t="str">
        <x:v>PASS/GREEN. 1000 TechnicalHold STARTED + 1000 EXPIRED, 0 RECOVERED; 1000 Occurrence closures and 100 Episode closures with exact reasons; 1000 post-expiry new Occurrences with 0 identity reuse. 0 overruns.</x:v>
      </x:c>
      <x:c r="R24" s="36" t="str">
        <x:v>Completed</x:v>
      </x:c>
      <x:c r="S24" s="36" t="str">
        <x:v>C-002 + C-003 harness patch 0.1.0</x:v>
      </x:c>
      <x:c r="T24" s="36" t="str">
        <x:v>Authoritative run 9db89add-7ec1-4a7c-b21d-995145c3d0c4. 121 iterations; p50 988.52 ms; p95 1162.84 ms; p99 1274.61 ms; max 1820.48 ms; 0 overruns; avg/peak process CPU 96.26%/100.53%; avg/peak RSS 136.26/136.34 MB. 60 generations; 2000 state transitions; 400/400 lifecycle commits; 0 duplicates; TechnicalHold STARTED=1000/1000, EXPIRED=1000/1000, RECOVERED=0; Occurrence STARTED=2000/2000, CLOSED=1000/1000; Episode STARTED=200/200, CLOSED=100/100; assignment changes=2000; journey events=7000; evidence=4000; post-expiry Occurrence STARTED=1000/1000; identity reuse=0; invalid occurrence closure reasons=0; invalid episode closure reasons=0; snapshot 1000/1000; WAL 6,904,500 bytes; journal durable==materialized; drain 771.77 ms. Independent WAL audit: 400 unique commits, every group exactly 4 commits; 1000 closure reasons technical_hold_expired and 100 episode reasons technical_uncertainty. Each alarm sequence: occurrence_started → assigned → hold_started → occurrence_closed → hold_expired → new occurrence_started → assigned. Final 100 snapshots: 1000 ACTIVE, 0 pending holds, 100 open Episodes, final occurrence_id equals the second/new Occurrence.</x:v>
      </x:c>
    </x:row>
    <x:row r="25">
      <x:c r="A25" s="36" t="str">
        <x:v>C-004</x:v>
      </x:c>
      <x:c r="B25" s="36" t="str">
        <x:v>R3.5C</x:v>
      </x:c>
      <x:c r="C25" s="36" t="n">
        <x:v>33</x:v>
      </x:c>
      <x:c r="D25" s="36" t="str">
        <x:v>Initial ERROR Bootstrap &amp; First Activation</x:v>
      </x:c>
      <x:c r="E25" s="36" t="str">
        <x:v>Validar que una alarma sin continuidad previa que nace en ERROR no cree Occurrence/Episode ni hot-state, y que su primera transición ACTIVE cree la continuidad exactamente una vez</x:v>
      </x:c>
      <x:c r="F25" s="36" t="n">
        <x:v>1000</x:v>
      </x:c>
      <x:c r="G25" s="36" t="str">
        <x:v>Local FS</x:v>
      </x:c>
      <x:c r="H25" s="36" t="str">
        <x:v>Latest Narrow / initial ERROR then staggered first activation</x:v>
      </x:c>
      <x:c r="I25" s="36" t="str">
        <x:v>36 balanced / 100 priority groups × 10 alarms</x:v>
      </x:c>
      <x:c r="J25" s="36" t="str">
        <x:v>None</x:v>
      </x:c>
      <x:c r="K25" s="36" t="str">
        <x:v>Stable config / C3</x:v>
      </x:c>
      <x:c r="L25" s="36" t="n">
        <x:v>10</x:v>
      </x:c>
      <x:c r="M25" s="36" t="n">
        <x:v>5</x:v>
      </x:c>
      <x:c r="N25" s="36" t="n">
        <x:v>10</x:v>
      </x:c>
      <x:c r="O25" s="36" t="str">
        <x:v>Functional correctness + first activation</x:v>
      </x:c>
      <x:c r="P25" s="36" t="str">
        <x:v>Initial ERROR: 0 lifecycle commits before first activation, 0 TechnicalHold, 0 hot-state. After activation: Occurrence STARTED=1000; Episode STARTED=100; assignments=1000; no closes; final snapshot=1000 ACTIVE; 0 duplicate lifecycle commits</x:v>
      </x:c>
      <x:c r="Q25" s="36" t="str">
        <x:v>PASS-WITH-FINDINGS / ACCEPTABLE-REVIEW. Functional contract is exact, but a strong mixed-state performance hotspot appeared while ERROR-without-continuity and ACTIVE populations coexisted. Global p95 6627.98 ms; 18 overruns. Once 100% ACTIVE, cycle returned to ~1 s.</x:v>
      </x:c>
      <x:c r="R25" s="36" t="str">
        <x:v>Completed</x:v>
      </x:c>
      <x:c r="S25" s="36" t="str">
        <x:v>C-003 + C-004 harness patch 0.1.0</x:v>
      </x:c>
      <x:c r="T25" s="36" t="str">
        <x:v>Authoritative run f86db606-7094-4da9-b488-8fd58d9dac80. 116 iterations; p50 988.89 ms; p95 6627.98 ms; p99 7178.85 ms; max 7662.90 ms; 18 overruns (15.52%); avg/peak process CPU 97.83%/100.58%; avg/peak RSS 134.12/135.42 MB. Functional: 1000/1000 initial-ERROR activations; pre-activation lifecycle commits=0; 1000/1000 Occurrence STARTED; 0 CLOSED; 100/100 Episode STARTED; 0 CLOSED; 1000 assignments; all TechnicalHold counters=0; lifecycle commits=100/100; duplicates=0; 100 evidence-only commits; durable records=200; final snapshot=1000/1000 ACTIVE. Independent WAL audit: 200 unique commits = 100 lifecycle + 100 evidence-only; first durable lifecycle records appear only at first activation; final 100 group snapshots each contain 10 ACTIVE alarms, 100 open Episodes total and 0 TechnicalHolds. Composition latency median by ACTIVE count: 0=0.91 s, 100=2.97 s, 200=4.62 s, 300=5.74 s, 400=6.53 s, 500=7.08 s, 600=6.94 s, 700=6.10 s, 800=4.84 s, 900=3.28 s, 1000=0.97 s. Empty iterations show the same curve, so WAL/snapshot writes do not explain the hotspot.</x:v>
      </x:c>
    </x:row>
    <x:row r="26">
      <x:c r="A26" s="36" t="str">
        <x:v>C-004-R1</x:v>
      </x:c>
      <x:c r="B26" s="36" t="str">
        <x:v>R3.5C</x:v>
      </x:c>
      <x:c r="C26" s="36" t="n">
        <x:v>34</x:v>
      </x:c>
      <x:c r="D26" s="36" t="str">
        <x:v>Fixed Mixed-State Reproduction — 50% ACTIVE / 50% initial ERROR</x:v>
      </x:c>
      <x:c r="E26" s="36" t="str">
        <x:v>Aislar si la composición estable 50/50 reproduce el hotspot de C-004 sin stagger, sin nuevas activaciones y sin TechnicalHold</x:v>
      </x:c>
      <x:c r="F26" s="36" t="n">
        <x:v>1000</x:v>
      </x:c>
      <x:c r="G26" s="36" t="str">
        <x:v>Local FS</x:v>
      </x:c>
      <x:c r="H26" s="36" t="str">
        <x:v>Latest Narrow / fixed mixed ACTIVE + ERROR-without-continuity</x:v>
      </x:c>
      <x:c r="I26" s="36" t="str">
        <x:v>36 balanced / 100 priority groups × 10 alarms</x:v>
      </x:c>
      <x:c r="J26" s="36" t="str">
        <x:v>None</x:v>
      </x:c>
      <x:c r="K26" s="36" t="str">
        <x:v>Stable config / C3</x:v>
      </x:c>
      <x:c r="L26" s="36" t="n">
        <x:v>5</x:v>
      </x:c>
      <x:c r="M26" s="36" t="n">
        <x:v>5</x:v>
      </x:c>
      <x:c r="N26" s="36" t="n">
        <x:v>10</x:v>
      </x:c>
      <x:c r="O26" s="36" t="str">
        <x:v>Regression / mixed-state isolation</x:v>
      </x:c>
      <x:c r="P26" s="36" t="str">
        <x:v>0 integrity errors; exactly 500 ACTIVE hot-state + 500 ERROR neutral; 0 state transitions after bootstrap; 0 TechnicalHold; 50 bootstrap lifecycle commits; 500 Occurrence STARTED; 50 Episode STARTED; 500 assignments; final snapshot=500.</x:v>
      </x:c>
      <x:c r="Q26" s="36" t="str">
        <x:v>PASS-WITH-FINDINGS / ACCEPTABLE-REVIEW. Hotspot reproduced as stable composition cost: steady p50 6425.92 ms, p95 6571.94 ms, p99 6789.87 ms. 46/47 total iterations overran the 5 s period; no durable writes occurred after bootstrap.</x:v>
      </x:c>
      <x:c r="R26" s="36" t="str">
        <x:v>Completed</x:v>
      </x:c>
      <x:c r="S26" s="36" t="str">
        <x:v>C-004 + C-004-R1 harness patch 0.1.0</x:v>
      </x:c>
      <x:c r="T26" s="36" t="str">
        <x:v>Authoritative run fdc14ae0-9854-41c3-9ab8-a0b05ad3915c. 47 iterations in 301.70 s; global p50/p95/p99/max=6423.88/6569.58/6787.36/6902.76 ms; 46 overruns (97.87%). Bootstrap iteration=1254.81 ms; the following 46 fixed-state iterations were 6332.02–6902.76 ms with steady p50=6425.92 ms and p95=6571.94 ms. Avg/peak CPU=99.58%/100.19%; avg/peak RSS=132.56/132.72 MB. Functional integrity exact: lifecycle commits=50/50; 500 Occurrence STARTED; 50 Episode STARTED; 500 assignments; 0 closes; 0 TechnicalHold; 0 transitions after bootstrap; snapshot=500/500; neutral=500. Independent WAL audit: exactly 50 unique records, all bootstrap groups perf-group-001..050; WAL=1,015,400 bytes; there are no evidence-only or later commits. Final 50 snapshot files contain only alarms 00001..00500 ACTIVE, 50 open Episodes, 0 holds. Source-load p95=8.46 ms; merge p95=0.436 ms; drain=109.38 ms. Code inspection identifies a root-cause candidate in AlarmRuntimeComposition.load_group(): for every group without a snapshot, _has_durable_group_history() calls read_durable_records() and scans the complete durable journal. With A groups having durable history and E missing-snapshot groups, the repeated work scales approximately A×E. C-004 latency vs A×E has correlation ≈0.9974 and peaks at 50/50.</x:v>
      </x:c>
    </x:row>
    <x:row r="27">
      <x:c r="A27" s="36" t="str">
        <x:v>C-004-R2</x:v>
      </x:c>
      <x:c r="B27" s="36" t="str">
        <x:v>R3.5C</x:v>
      </x:c>
      <x:c r="C27" s="36" t="n">
        <x:v>35</x:v>
      </x:c>
      <x:c r="D27" s="36" t="str">
        <x:v>Durable History Lookup Isolation — indexed POC</x:v>
      </x:c>
      <x:c r="E27" s="36" t="str">
        <x:v>Confirmar end-to-end que el hotspot 50/50 proviene de releer el journal completo para cada grupo sin snapshot, reemplazando sólo esa consulta por un índice reconstruido una vez por ciclo</x:v>
      </x:c>
      <x:c r="F27" s="36" t="n">
        <x:v>1000</x:v>
      </x:c>
      <x:c r="G27" s="36" t="str">
        <x:v>Local FS</x:v>
      </x:c>
      <x:c r="H27" s="36" t="str">
        <x:v>Latest Narrow / fixed 50% ACTIVE + 50% ERROR</x:v>
      </x:c>
      <x:c r="I27" s="36" t="str">
        <x:v>36 balanced / 100 priority groups × 10 alarms</x:v>
      </x:c>
      <x:c r="J27" s="36" t="str">
        <x:v>None</x:v>
      </x:c>
      <x:c r="K27" s="36" t="str">
        <x:v>Stable config / C3</x:v>
      </x:c>
      <x:c r="L27" s="36" t="n">
        <x:v>3</x:v>
      </x:c>
      <x:c r="M27" s="36" t="n">
        <x:v>5</x:v>
      </x:c>
      <x:c r="N27" s="36" t="n">
        <x:v>10</x:v>
      </x:c>
      <x:c r="O27" s="36" t="str">
        <x:v>Targeted profiling / causal confirmation</x:v>
      </x:c>
      <x:c r="P27" s="36" t="str">
        <x:v>Same functional integrity as R1; lookup mode=indexed; exactly 500 ACTIVE hot-state + 500 ERROR neutral; 0 transitions; 0 TechnicalHold; 50 bootstrap lifecycle commits. Durable journal scans collapse to approximately one per post-bootstrap cycle while preserving missing-snapshot corruption semantics.</x:v>
      </x:c>
      <x:c r="Q27" s="36" t="str">
        <x:v>PASS/GREEN. Root cause causally confirmed end-to-end. p50/p95/p99=954.34/992.88/1210.09 ms; max=1331.19 ms; 0 overruns. Same functional state and WAL as R1. Indexed mode performed 1900 history lookups but only 36 full journal scans across 37 cycles.</x:v>
      </x:c>
      <x:c r="R27" s="36" t="str">
        <x:v>Completed</x:v>
      </x:c>
      <x:c r="S27" s="36" t="str">
        <x:v>C-004-R1 + C-004-R2 harness patch 0.1.0</x:v>
      </x:c>
      <x:c r="T27" s="36" t="str">
        <x:v>Authoritative run 5669a356-5857-440d-941e-17cc8f6f5251. 37 iterations / 181.15 s; p50=954.34 ms; p95=992.88 ms; p99=1210.09 ms; max=1331.19 ms; 0 overruns. Post-bootstrap steady 36 cycles: p50≈953.13 ms; p95≈982.48 ms; max≈994.80 ms. Start-to-start min/median/p95/max≈5000.54/5001.09/5003.07/5003.59 ms. Avg/peak process CPU=97.00%/98.96%; avg/peak RSS=132.44/132.73 MB. Functional integrity exact: 50/50 lifecycle commits, 500/500 Occurrence STARTED, 50/50 Episode STARTED, 500/500 assignments, 0 closes, 0 TechnicalHold, 0 transitions, snapshot=500/500, neutral=500, journal durable==materialized. Independent WAL audit: exactly 50 unique bootstrap commits for perf-group-001..050, WAL=1,015,400 bytes; no later/evidence-only commits. Final 50 snapshots contain 500 ACTIVE alarms, 500 unique open Occurrences, 50 open Episodes, 500 assignments and 0 holds. Lookup telemetry: mode=indexed; cycles=37; lookup calls=1900; lookup total=3934.37 ms; journal scans=36; journal scan total=3815.65 ms; record entries seen=1800; index builds=36; index build total=0.322 ms. This is exactly 50 records per scan and approximately one full scan per post-bootstrap cycle. Compared with R1, p95 fell 6569.58→992.88 ms (~6.62× faster) and overruns 46/47→0/37. The causal hypothesis is therefore confirmed: repeated full durable-journal scans per missing-snapshot group caused the mixed-state hotspot.</x:v>
      </x:c>
    </x:row>
    <x:row r="28">
      <x:c r="A28" s="36" t="str">
        <x:v>C-004-R3</x:v>
      </x:c>
      <x:c r="B28" s="36" t="str">
        <x:v>R3.5C</x:v>
      </x:c>
      <x:c r="C28" s="36" t="n">
        <x:v>36</x:v>
      </x:c>
      <x:c r="D28" s="36" t="str">
        <x:v>Product Durable-History Lookup Fix Regression</x:v>
      </x:c>
      <x:c r="E28" s="36" t="str">
        <x:v>Validar en el camino productivo que la pertenencia durable compartida por lote elimina el hotspot 50/50 sin depender del override indexed del harness y sin debilitar la detección de corrupción</x:v>
      </x:c>
      <x:c r="F28" s="36" t="n">
        <x:v>1000</x:v>
      </x:c>
      <x:c r="G28" s="36" t="str">
        <x:v>Local FS</x:v>
      </x:c>
      <x:c r="H28" s="36" t="str">
        <x:v>Latest Narrow / fixed 50% ACTIVE + 50% ERROR</x:v>
      </x:c>
      <x:c r="I28" s="36" t="str">
        <x:v>36 balanced / 100 priority groups × 10 alarms</x:v>
      </x:c>
      <x:c r="J28" s="36" t="str">
        <x:v>None</x:v>
      </x:c>
      <x:c r="K28" s="36" t="str">
        <x:v>Stable config / C3</x:v>
      </x:c>
      <x:c r="L28" s="36" t="n">
        <x:v>5</x:v>
      </x:c>
      <x:c r="M28" s="36" t="n">
        <x:v>5</x:v>
      </x:c>
      <x:c r="N28" s="36" t="n">
        <x:v>10</x:v>
      </x:c>
      <x:c r="O28" s="36" t="str">
        <x:v>Product regression / correctness + performance</x:v>
      </x:c>
      <x:c r="P28" s="36" t="str">
        <x:v>Product path only; 500 ACTIVE hot-state + 500 ERROR neutral; 0 transitions; 0 TechnicalHold; 50 lifecycle bootstrap commits; snapshot=500. Missing snapshot + durable history remains fail-closed.</x:v>
      </x:c>
      <x:c r="Q28" s="36" t="str">
        <x:v>PASS/GREEN. Product 0.14.2 reproduces the restored ~1 s range without the harness indexed override. p50/p95/p99=956.86/987.97/1335.74 ms; max=1392.97 ms; 0 overruns. Steady iterations excluding bootstrap and final 5-minute evidence tick: p95≈980.52 ms.</x:v>
      </x:c>
      <x:c r="R28" s="36" t="str">
        <x:v>Completed</x:v>
      </x:c>
      <x:c r="S28" s="36" t="str">
        <x:v>C-004-R2 + product fix 0.14.2</x:v>
      </x:c>
      <x:c r="T28" s="36" t="str">
        <x:v>Authoritative run aaa915fa-41f3-4bac-8778-35c764634764. 61 iterations / 301.67 s; harness durable-history mode=baseline (no indexed override). p50=956.86 ms; p95=987.97 ms; p99=1335.74 ms; max=1392.97 ms; 0 overruns. Steady iterations 2..60: p50≈956.81 ms; p95≈980.52 ms; p99≈1000.27 ms; max≈1017.24 ms. Bootstrap=1297.59 ms; final t≈300 s evidence tick=1392.97 ms. Start-to-start min/p50/p95/max≈5000.52/5001.06/5001.54/5002.11 ms. Avg/peak process CPU=97.85%/100.52%; avg/peak RSS=132.77/132.89 MB. Functional integrity exact: 50/50 lifecycle commits, 500/500 Occurrence STARTED, 50/50 Episode STARTED, 500/500 assignments, 0 closes, 0 TechnicalHold, 0 transitions, snapshot=500/500 and neutral=500. Independent WAL audit: 100 unique durable records / 1,496,950 bytes. First 50 records at 20:20:24Z are lifecycle bootstrap for perf-group-001..050; last 50 at 20:25:24Z are evidence-only periodic commits for the same groups. All 100 records declare ada-alarms-runtime/0.14.2. Journal head durable and materialized both end at byte_offset 1,496,950 and the same final commit. Final 50 snapshots contain exactly 500 ACTIVE alarms, 500 unique open Occurrences, 50 open Episodes, 500 assignments and 0 TechnicalHolds. Job Runtime execution status=success; 61 iterations, 2 work + 59 empty, errors=0, warnings=0, resource_pressure_events=0. Host gate console output was not included in the uploaded artifacts, so Ruff/pytest/build are not re-adjudicated from this result package; runtime artifact version 0.14.2 is independently present in WAL.</x:v>
      </x:c>
    </x:row>
    <x:row r="29">
      <x:c r="A29" s="36" t="str">
        <x:v>C-005</x:v>
      </x:c>
      <x:c r="B29" s="36" t="str">
        <x:v>R3.5C</x:v>
      </x:c>
      <x:c r="C29" s="36" t="n">
        <x:v>37</x:v>
      </x:c>
      <x:c r="D29" s="36" t="str">
        <x:v>C1 Immediate Routing Fan-out</x:v>
      </x:c>
      <x:c r="E29" s="36" t="str">
        <x:v>Medir el costo real de routing C1 inmediato con fan-out a múltiples Tools, cambiando la dimensión desde lifecycle C3 sin mezclar churn de estado</x:v>
      </x:c>
      <x:c r="F29" s="36" t="n">
        <x:v>1000</x:v>
      </x:c>
      <x:c r="G29" s="36" t="str">
        <x:v>Local FS</x:v>
      </x:c>
      <x:c r="H29" s="36" t="str">
        <x:v>Latest Narrow / stable 100% ACTIVE</x:v>
      </x:c>
      <x:c r="I29" s="36" t="str">
        <x:v>36 balanced / 100 priority groups × 10 alarms</x:v>
      </x:c>
      <x:c r="J29" s="36" t="str">
        <x:v>None</x:v>
      </x:c>
      <x:c r="K29" s="36" t="str">
        <x:v>Stable config / C1</x:v>
      </x:c>
      <x:c r="L29" s="36" t="n">
        <x:v>5</x:v>
      </x:c>
      <x:c r="M29" s="36" t="n">
        <x:v>5</x:v>
      </x:c>
      <x:c r="N29" s="36" t="n">
        <x:v>10</x:v>
      </x:c>
      <x:c r="O29" s="36" t="str">
        <x:v>Routing / assignment pressure</x:v>
      </x:c>
      <x:c r="P29" s="36" t="str">
        <x:v>100 lifecycle bootstrap commits; 1000 Occurrence STARTED; 100 Episode STARTED; 4000 AssignmentChange ASSIGNED = origin + 3 destinations per alarm; 0 SCHEDULED/RESCHEDULED/REMOVED; snapshot final=1000 alarms / 4000 Tool assignments / 0 pending; 0 TechnicalHold; 0 duplicate lifecycle commits; functional_integrity=true.</x:v>
      </x:c>
      <x:c r="Q29" s="36" t="str">
        <x:v>PASS/GREEN. p50/p95=956.05/978.11 ms; p99=1985.74 ms; max=2057.64 ms; 0 overruns. Steady state excluding bootstrap/final evidence tick: p95≈974.86 ms. Fan-out C1 increases durable/materialized volume but does not move the steady scheduling boundary.</x:v>
      </x:c>
      <x:c r="R29" s="36" t="str">
        <x:v>Completed</x:v>
      </x:c>
      <x:c r="S29" s="36" t="str">
        <x:v>C-004-R3 + C-005 harness patch 0.1.0</x:v>
      </x:c>
      <x:c r="T29" s="36" t="str">
        <x:v>Authoritative run c3547859-d2f4-4280-8359-e9913eb80e75. 61 iterations / 302.57 s; p50=956.05 ms; p95=978.11 ms; p99=1985.74 ms; max=2057.64 ms; 0 overruns. Steady iterations 2..60: p50≈955.52 ms; p95≈974.86 ms; p99≈982.46 ms; max≈988.47 ms. Bootstrap=2057.64 ms; final t≈300 s evidence tick=1937.81 ms. Start-to-start min/p50/p95/max≈5000.50/5001.05/5001.49/5001.86 ms. Avg/peak process CPU=97.47%/100.24%; avg/peak RSS=143.25/144.15 MB. Functional integrity exact: 100/100 lifecycle commits; 1000/1000 Occurrence STARTED; 100/100 Episode STARTED; 4000/4000 ASSIGNED; SCHEDULED=0; RESCHEDULED=0; REMOVED=0; snapshot=1000/1000 alarms, 4000/4000 assignments, 0/0 pending; 0 TechnicalHold; 0 transitions; 0 duplicates. Independent WAL audit: 200 unique records / 4,994,900 bytes. First 100 records at 20:48:24Z are lifecycle bootstrap with exactly 4000 ASSIGNED, 1000 occurrence changes, 100 episode changes, 1000 evidence and 5000 journey events; second 100 records at 20:53:24Z are evidence-only with 1000 evidence records. Every priority group has exactly two durable records. Tool assignment distribution is exact: perf-tool=1000 and perf-route-01/02/03=1000 each. All 200 records declare ada-alarms-runtime/0.14.2. Journal durable==materialized at byte_offset 4,994,900. Final 100 snapshots contain 1000 ACTIVE alarms, 1000 unique open Occurrences, 100 Episodes, exactly four Tool assignments per alarm and zero pending assignments. Job Runtime status=success; 61 iterations, 2 work + 59 empty, errors=0, warnings=0, resource_pressure_events=0. Relative to C-004-R3, p95 is effectively unchanged/slightly lower (987.97→978.11 ms), while peak RSS rises 132.89→144.15 MB (~+11.26 MB) and WAL rises 1.497→4.995 MB (~3.34×), consistent with larger routing state.</x:v>
      </x:c>
    </x:row>
    <x:row r="30">
      <x:c r="A30" s="36" t="str">
        <x:v>C-006</x:v>
      </x:c>
      <x:c r="B30" s="36" t="str">
        <x:v>R3.5C</x:v>
      </x:c>
      <x:c r="C30" s="36" t="n">
        <x:v>38</x:v>
      </x:c>
      <x:c r="D30" s="36" t="str">
        <x:v>C2 Delayed Routing Progression</x:v>
      </x:c>
      <x:c r="E30" s="36" t="str">
        <x:v>Caracterizar routing C2 real desde SCHEDULED hacia ASSIGNED en deadlines absolutos, manteniendo estable la evaluación y aislando timers/pending materialization</x:v>
      </x:c>
      <x:c r="F30" s="36" t="n">
        <x:v>1000</x:v>
      </x:c>
      <x:c r="G30" s="36" t="str">
        <x:v>Local FS</x:v>
      </x:c>
      <x:c r="H30" s="36" t="str">
        <x:v>Latest Narrow / stable 100% ACTIVE</x:v>
      </x:c>
      <x:c r="I30" s="36" t="str">
        <x:v>36 balanced / 100 priority groups × 10 alarms</x:v>
      </x:c>
      <x:c r="J30" s="36" t="str">
        <x:v>None</x:v>
      </x:c>
      <x:c r="K30" s="36" t="str">
        <x:v>Stable config / C2</x:v>
      </x:c>
      <x:c r="L30" s="36" t="n">
        <x:v>5</x:v>
      </x:c>
      <x:c r="M30" s="36" t="n">
        <x:v>5</x:v>
      </x:c>
      <x:c r="N30" s="36" t="n">
        <x:v>10</x:v>
      </x:c>
      <x:c r="O30" s="36" t="str">
        <x:v>Delayed routing / pending assignment pressure</x:v>
      </x:c>
      <x:c r="P30" s="36" t="str">
        <x:v>100 bootstrap lifecycle commits + 100 commits por ola 60/120/180 s = 400 lifecycle commits. Bootstrap: 1000 ASSIGNED origin + 3000 SCHEDULED; pending=3000. Waves: assigned/pending 2000/2000 @60s, 3000/1000 @120s, 4000/0 @180s. Totals: ASSIGNED=4000, SCHEDULED=3000, RESCHEDULED=0, REMOVED=0; final snapshot=4000 assignments / 0 pending; 0 TechnicalHold; 0 duplicates.</x:v>
      </x:c>
      <x:c r="Q30" s="36" t="str">
        <x:v>PASS/GREEN. Temporal contract exact. p50/p95/p99=965.30/1950.35/2012.16 ms; max=2060.52 ms; 0 overruns. Deadline waves occur exactly at +60/+120/+180 s. Steady cycles excluding bootstrap, three due waves and 5-minute evidence tick: p95≈984.58 ms.</x:v>
      </x:c>
      <x:c r="R30" s="36" t="str">
        <x:v>Completed</x:v>
      </x:c>
      <x:c r="S30" s="36" t="str">
        <x:v>C-005 + C-006 harness patch 0.1.0</x:v>
      </x:c>
      <x:c r="T30" s="36" t="str">
        <x:v>Authoritative run bccad405-b4a3-4d37-aced-d232a39dec33. 61 iterations / 303.02 s; p50=965.30 ms; p95=1950.35 ms; p99=2012.16 ms; max=2060.52 ms; 0 overruns. Special iterations: bootstrap=2060.52 ms; route-01 due wave at +60.018 s=1950.35 ms; route-02 at +120.036 s=1979.91 ms; route-03 at +180.054 s=1977.67 ms; evidence-only tick at +300.088 s=1902.65 ms. Remaining 56 cycles: p50≈963.87 ms; p95≈984.58 ms; p99≈998.24 ms; max≈1007.64 ms. Start-to-start min/p50/p95/max≈5000.49/5001.12/5003.67/5003.95 ms. Avg/peak process CPU=96.49%/101.00%; avg/peak RSS=145.38/145.77 MB. Functional integrity exact: lifecycle commits=400/400; Occurrence STARTED=1000/1000; Episode STARTED=100/100; ASSIGNED=4000/4000; SCHEDULED=3000/3000; RESCHEDULED=0; REMOVED=0; snapshot assignments=4000/4000; pending=0/0; TechnicalHold=0; duplicates=0. Independent WAL audit: 500 unique records / 9,144,500 bytes; every priority group has exactly 5 records. At 22:40:56Z bootstrap: 1000 origin ASSIGNED + 3000 SCHEDULED, 1000 Occurrences, 100 Episodes, 1000 evidence and 5000 Journey events; materialized assignments/pending=1000/3000. At 22:41:56Z route-01: +1000 ASSIGNED, state=2000/2000. At 22:42:56Z route-02: +1000 ASSIGNED, state=3000/1000. At 22:43:56Z route-03: +1000 ASSIGNED, state=4000/0. At 22:45:56Z: 100 evidence-only commits, state remains 4000/0. Scheduled due_at offsets are exact: 60 s ×1000 for perf-route-01, 120 s ×1000 for perf-route-02, 180 s ×1000 for perf-route-03. Final 100 snapshots contain 1000 ACTIVE alarms, 1000 unique Occurrences, 100 Episodes, exactly 4000 assignments (1000 per Tool) and zero pending/holds. Journal durable==materialized at byte_offset 9,144,500. Job Runtime status=success; 61 iterations, 5 work + 56 empty, errors=0, warnings=0, resource_pressure_events=0. Versus C-005: WAL 4.995→9.145 MB (~1.83×), peak RSS 144.15→145.77 MB (+1.61 MB); steady p95 remains ~0.98 s. Global p95 rises because the three legitimate deadline waves each cost ~1.95–1.98 s.</x:v>
      </x:c>
    </x:row>
    <x:row r="31">
      <x:c r="A31" s="36" t="str">
        <x:v>C-007</x:v>
      </x:c>
      <x:c r="B31" s="36" t="str">
        <x:v>R3.5C</x:v>
      </x:c>
      <x:c r="C31" s="36" t="n">
        <x:v>39</x:v>
      </x:c>
      <x:c r="D31" s="36" t="str">
        <x:v>C2 Reschedule Across Configuration Window</x:v>
      </x:c>
      <x:c r="E31" s="36" t="str">
        <x:v>Validar RESCHEDULED sobre assignments C2 pendientes cuando una nueva revisión de configuración se adopta en una ejecución/ventana posterior, preservando Occurrence y estado durable</x:v>
      </x:c>
      <x:c r="F31" s="36" t="n">
        <x:v>1000</x:v>
      </x:c>
      <x:c r="G31" s="36" t="str">
        <x:v>Local FS / same durable volume across phases</x:v>
      </x:c>
      <x:c r="H31" s="36" t="str">
        <x:v>Latest Narrow / stable 100% ACTIVE</x:v>
      </x:c>
      <x:c r="I31" s="36" t="str">
        <x:v>36 balanced / 100 priority groups × 10 alarms</x:v>
      </x:c>
      <x:c r="J31" s="36" t="str">
        <x:v>None</x:v>
      </x:c>
      <x:c r="K31" s="36" t="str">
        <x:v>C2 config revision boundary</x:v>
      </x:c>
      <x:c r="L31" s="36" t="n">
        <x:v>4.5</x:v>
      </x:c>
      <x:c r="M31" s="36" t="n">
        <x:v>5</x:v>
      </x:c>
      <x:c r="N31" s="36" t="n">
        <x:v>10</x:v>
      </x:c>
      <x:c r="O31" s="36" t="str">
        <x:v>C2 pending reconciliation / RESCHEDULED</x:v>
      </x:c>
      <x:c r="P31" s="36" t="str">
        <x:v>Two real Job Runtime phases on the same durable volume. Phase A AC-1 creates 3000 pending at +60/+120/+180. Phase B AC-2 changes only delays to +90/+150/+210. Expected: 3000 RESCHEDULED in 100 commits, same 1000 Occurrences, no new Episodes, REMOVED=0, then three revised ASSIGNED waves and final 4000/0.</x:v>
      </x:c>
      <x:c r="Q31" s="36" t="str">
        <x:v>PASS/GREEN. AC-1→AC-2 revision adoption exact: 3000 RESCHEDULED, 100 reschedule commits, occurrence_identity_mismatches=0 and revised due_at counts 1000×(+90/+150/+210). p50/p95/p99=968.81/1924.13/2010.80 ms; max=2080.40 ms; 0 overruns. 51 steady cycles excluding bootstrap/adoption/reschedule/deadline waves: p95≈984.28 ms.</x:v>
      </x:c>
      <x:c r="R31" s="36" t="str">
        <x:v>Completed</x:v>
      </x:c>
      <x:c r="S31" s="36" t="str">
        <x:v>C-006 + C-007 harness patch 0.1.1</x:v>
      </x:c>
      <x:c r="T31" s="36" t="str">
        <x:v>Authoritative aggregate run / Phase B run_id 52e52d15-ab29-4d02-ae0b-db8ef8b4346b; Phase A run_id fcb116ba-6438-46a9-8ba6-a1bfdd11e1ac. Phase A PERF-AC-1: planned 30 s, actual 31.389 s, status success, 7 iterations (1 work + 6 empty), 100 commits / 4,045,800 bytes. Phase B PERF-AC-2: planned 240 s, actual 243.883 s, status success, 50 iterations (4 work + 46 empty), 400 commits / 6,616,800 bytes. Aggregate: 57 samples / 275.273 s; p50=968.81 ms; p95=1924.13 ms; p99=2010.80 ms; max=2080.40 ms; 0 overruns. Special samples: bootstrap=2080.40 ms; AC-2 adoption-only=1376.13 ms; first post-adoption/reschedule cycle=1600.72 ms; revised route waves=1927.47/1923.29/1956.12 ms. Remaining 51 steady samples: p50≈965.23 ms; p95≈984.28 ms; p99≈992.51 ms; max≈997.15 ms. Normal 5 s cadence intervals (excluding the intentional immediate post-adoption cycle): min≈5000.65 ms; p50≈5001.12 ms; p95≈5003.34 ms; max≈5003.65 ms. Avg/peak process CPU=96.47%/100.77%; avg/peak RSS=147.96/150.37 MB. Functional integrity exact: lifecycle commits=500/500; Occurrence STARTED=1000/1000; Episode STARTED=100/100; ASSIGNED=4000/4000; SCHEDULED=3000/3000; RESCHEDULED=3000/3000; REMOVED=0; assignment changes=10000/10000; occurrence identity mismatches=0; final assignments=4000/4000; pending=0/0; TechnicalHold=0; duplicates=0; revision transition OK=true. Independent WAL audit: exactly 500 records / 10,662,600 bytes, 5 records per priority group. Cycle 23:44:30Z AC-1 bootstrap: origin 1000 ASSIGNED + 3000 SCHEDULED, 1000 Occurrences, 100 Episodes. Cycle 23:45:02Z AC-2 adoption: exactly 3000 RESCHEDULED, no new Occurrence/Episode; pending remains 3000. Cycles 23:46:03Z / 23:47:03Z / 23:48:03Z assign route-01/02/03 respectively. Old SCHEDULED offsets are exact +60/+120/+180 s, revised RESCHEDULED offsets exact +90/+150/+210 s, and delayed ASSIGNED effective offsets are exact +90/+150/+210 s, each 1000 times. All 500 records declare ada-alarms-runtime/0.14.2; revisions are AC-1=100 records and AC-2=400 records. Final 100 snapshots: 1000 ACTIVE, 1000 unique open Occurrences, 100 Episodes, exactly four assignments per alarm, zero pending; state_basis=PERF-AC-2 while occurrence configuration_revision_at_start remains PERF-AC-1, confirming continuity across adoption. Journal durable==materialized at byte_offset 10,662,600. No 5-minute evidence-only tick occurred because the two-phase scenario ended before occurrence +300 s.</x:v>
      </x:c>
    </x:row>
    <x:row r="32">
      <x:c r="A32" s="36" t="str">
        <x:v>C-008</x:v>
      </x:c>
      <x:c r="B32" s="36" t="str">
        <x:v>R3.5C</x:v>
      </x:c>
      <x:c r="C32" s="36" t="n">
        <x:v>40</x:v>
      </x:c>
      <x:c r="D32" s="36" t="str">
        <x:v>C2 Destination Removal Across Configuration Window</x:v>
      </x:c>
      <x:c r="E32" s="36" t="str">
        <x:v>Validar AssignmentChange REMOVED al adoptar una nueva revisión C2 que elimina destinos existentes, cubriendo simultáneamente un destino ya ASSIGNED y destinos todavía pending sin cerrar la Occurrence</x:v>
      </x:c>
      <x:c r="F32" s="36" t="n">
        <x:v>1000</x:v>
      </x:c>
      <x:c r="G32" s="36" t="str">
        <x:v>Local FS / same durable volume across phases</x:v>
      </x:c>
      <x:c r="H32" s="36" t="str">
        <x:v>Latest Narrow / stable 100% ACTIVE</x:v>
      </x:c>
      <x:c r="I32" s="36" t="str">
        <x:v>36 balanced / 100 priority groups × 10 alarms</x:v>
      </x:c>
      <x:c r="J32" s="36" t="str">
        <x:v>None</x:v>
      </x:c>
      <x:c r="K32" s="36" t="str">
        <x:v>C2 destination removal boundary</x:v>
      </x:c>
      <x:c r="L32" s="36" t="n">
        <x:v>3.5</x:v>
      </x:c>
      <x:c r="M32" s="36" t="n">
        <x:v>5</x:v>
      </x:c>
      <x:c r="N32" s="36" t="n">
        <x:v>10</x:v>
      </x:c>
      <x:c r="O32" s="36" t="str">
        <x:v>C2 pending/reached reconciliation / REMOVED</x:v>
      </x:c>
      <x:c r="P32" s="36" t="str">
        <x:v>Phase A AC-1 +60/+120/+180 crosses only the first deadline; Phase B AC-2 keeps the same C2 alarm/origin and removes all destinations. Expected: 2000 ASSIGNED, 3000 SCHEDULED, 3000 REMOVED, 0 RESCHEDULED; REMOVED split 1000 reached + 2000 pending; lifecycle=300; final 1000 origin assignments / 0 pending.</x:v>
      </x:c>
      <x:c r="Q32" s="36" t="str">
        <x:v>PASS/GREEN. Removal contract exact: 3000 REMOVED in 100 commits, tool counts 1000/1000/1000, removed reached/pending=1000/2000, occurrence_identity_mismatches=0 and revision transition OK. p50/p95/p99=931.63/1603.29/1978.43 ms; max=2043.89 ms; 0 overruns. 41 steady cycles excluding bootstrap, +60 wave, adoption and removal: p95≈983.79 ms.</x:v>
      </x:c>
      <x:c r="R32" s="36" t="str">
        <x:v>Completed</x:v>
      </x:c>
      <x:c r="S32" s="36" t="str">
        <x:v>C-007 + C-008 harness patch 0.1.0</x:v>
      </x:c>
      <x:c r="T32" s="36" t="str">
        <x:v>Authoritative aggregate / Phase B run_id d54b12b9-0300-48c4-a869-7c8402b7beba; Phase A run_id 267e39e5-f708-447f-b68d-79a50bf34c1f. Phase A PERF-AC-1: planned 90 s, actual 91.564 s; Phase B PERF-AC-2: planned 120 s, actual 123.592 s; aggregate actual=215.156 s / 45 samples. p50=931.63 ms; p95=1603.29 ms; p99=1978.43 ms; max=2043.89 ms; 0 overruns. Special samples: bootstrap=2043.89 ms; +60 route-01 wave=1895.12 ms; AC-2 adoption-only=1342.08 ms; removal cycle=1668.60 ms. Remaining 41 steady samples: p50≈924.71 ms; p95≈983.79 ms; p99≈1005.46 ms; max≈1011.52 ms. Normal 5 s cadence intervals excluding intentional immediate post-adoption cycle: min≈5000.70 ms; p50≈5001.25 ms; p95≈5003.01 ms; max≈5003.45 ms. Avg/peak process CPU=96.71%/99.88%; avg/peak RSS=148.98/152.84 MB. Functional integrity exact: lifecycle=300/300; Occurrence STARTED=1000/1000; Episode STARTED=100/100; ASSIGNED=2000/2000; SCHEDULED=3000/3000; RESCHEDULED=0; REMOVED=3000/3000; assignment changes=8000/8000; removal commits=100/100; removed assigned/pending=1000/2000; occurrence identity mismatches=0; final assignments=1000/1000; pending=0/0; TechnicalHold=0; duplicates=0; revision transition OK=true. Independent WAL audit: exactly 300 unique records / 7,696,200 bytes, exactly 3 records per priority group. 00:26:53Z AC-1 bootstrap: origin 1000 ASSIGNED + 3000 SCHEDULED, 1000 Occurrences, 100 Episodes. 00:27:53Z: exactly 1000 route-01 ASSIGNED at original +60 s deadline. 00:28:25Z (~+92 s, safely after +60 and before +120): AC-2 emits exactly 3000 REMOVED: route-01/02/03=1000 each. Every REMOVED has due_at=null. No durable records occur after removal, despite Phase B continuing across the old +120/+180 deadlines, proving removed pending destinations never assign later. All 300 records declare ada-alarms-runtime/0.14.2; revision distribution AC-1=200 / AC-2=100. Final 100 snapshots: 1000 ACTIVE, 1000 unique open Occurrences, 100 Episodes, only perf-tool assigned to every alarm, zero pending and zero holds. state_basis=PERF-AC-2 while occurrence configuration_revision_at_start remains PERF-AC-1, proving continuity across adoption. Journal durable==materialized at byte_offset 7,696,200. Job Runtime daily summary: 2 successful executions, 3 total work iterations, errors=0, warnings=0, resource_pressure_events=0.</x:v>
      </x:c>
    </x:row>
    <x:row r="33">
      <x:c r="A33" s="36" t="str">
        <x:v>D-001</x:v>
      </x:c>
      <x:c r="B33" s="36" t="str">
        <x:v>R3.5D</x:v>
      </x:c>
      <x:c r="C33" s="36" t="n">
        <x:v>50</x:v>
      </x:c>
      <x:c r="D33" s="36" t="str">
        <x:v>Single ManagementAction</x:v>
      </x:c>
      <x:c r="E33" s="36" t="str">
        <x:v>Establecer baseline end-to-end de una única gestión desde exposición al input consumer hasta InputReceipt durable.</x:v>
      </x:c>
      <x:c r="F33" s="36" t="n">
        <x:v>1000</x:v>
      </x:c>
      <x:c r="G33" s="36" t="str">
        <x:v>Local FS</x:v>
      </x:c>
      <x:c r="H33" s="36" t="str">
        <x:v>Latest Narrow / stable 100% ACTIVE</x:v>
      </x:c>
      <x:c r="I33" s="36" t="str">
        <x:v>36 balanced / 100 priority groups × 10 alarms</x:v>
      </x:c>
      <x:c r="J33" s="36" t="str">
        <x:v>1 ManagementAction</x:v>
      </x:c>
      <x:c r="K33" s="36" t="str">
        <x:v>Stable config / C3</x:v>
      </x:c>
      <x:c r="L33" s="36" t="n">
        <x:v>2</x:v>
      </x:c>
      <x:c r="M33" s="36" t="n">
        <x:v>5</x:v>
      </x:c>
      <x:c r="N33" s="36" t="n">
        <x:v>10</x:v>
      </x:c>
      <x:c r="O33" s="36" t="str">
        <x:v>Control-plane baseline</x:v>
      </x:c>
      <x:c r="P33" s="36" t="str">
        <x:v>100 bootstrap commits + 1 management commit. 1000 Occurrence STARTED, 100 Episode STARTED, 1000 origin assignments. PERF-M-000001 targets the current perf/alarm_00001 Occurrence. Expect exactly 1 InputReceipt MANAGEMENT/EFFECTIVE, 1 ManagementEffect STARTED, 0 CLEARED, no deactivation, target group durable records=2, total durable records=101, consumer cursor=256, pending=0, receipt-before-cursor=true, same occurrence_id and one final active management effect.</x:v>
      </x:c>
      <x:c r="Q33" s="36" t="str">
        <x:v>PASS/GREEN. Authoritative input→durable-receipt latency=997.95 ms. The management iteration lasted 1017.67 ms; global p50/p95/p99=917.33/1006.57/1520.45 ms, max=1679.23 ms, 0 overruns. Excluding bootstrap and the single management iteration, 23 steady cycles have p95≈935.46 ms. Receipt durability, cursor ordering and identity are exact.</x:v>
      </x:c>
      <x:c r="R33" s="36" t="str">
        <x:v>Completed</x:v>
      </x:c>
      <x:c r="S33" s="36" t="str">
        <x:v>R3.5C closed + D-001 harness patch 0.1.0</x:v>
      </x:c>
      <x:c r="T33" s="36" t="str">
        <x:v>Authoritative run 3204ca5b-1be9-4968-b9c0-c0b2fb6ede3e. Planned 120 s; actual 121.214 s; 25 iterations. p50=917.33 ms; p95=1006.57 ms; p99=1520.45 ms; max=1679.23 ms; 0 overruns. Bootstrap iteration=1679.23 ms; management iteration at +30.008 s=1017.67 ms; remaining 23 steady cycles p50≈914.44 ms, p95≈935.46 ms, p99≈956.45 ms, max≈962.17 ms. Start-to-start min/p50/p95/max≈5000.58/5001.09/5003.46/5004.17 ms. Avg/peak process CPU=96.78/99.45%; avg/peak RSS=136.26/136.63 MB. Input visible→receipt durable=997.95 ms. Independent WAL audit: exactly 101 records / 2,037,716 bytes. Exactly 99 priority groups have one bootstrap record and perf-group-001 has two. Bootstrap cycle at 01:32:13Z has 100 records with 1000 Occurrence STARTED, 100 Episode STARTED, 1000 ASSIGNED, 1000 evidence and 2000 initial journey events. At 01:32:43Z perf-group-001 adds exactly one record containing InputReceipt input_id=PERF-M-000001, input_kind=MANAGEMENT, outcome=EFFECTIVE; one ManagementEffect STARTED (PERF-ME-PERF-M-000001); and one management_applied journey event. No deactivation requests or ManagementEffect CLEARED records. Consumer state ends with management cursor hour_bucket=2026-08-27T01Z / byte_offset=256, pending=[], decisions cursor=null and pending_deactivation_request_ids=[]. Instrumentation confirms receipt-before-cursor=true. All 101 records declare ada-alarms-runtime/0.14.2. Journal durable==materialized at byte_offset 2,037,716. Final 100 snapshots contain 1000 ACTIVE alarms, 1000 unique open Occurrences, 1000 origin assignments, 0 pending, and exactly one active management effect on perf/alarm_00001 with source_occurrence_id=PERF-O-00000001 and reappearance_due_at=2026-08-27T02:32:43Z. Job Runtime status=success; 25 iterations, 2 work + 23 empty; errors=0, warnings=0, resource_pressure_events=0.</x:v>
      </x:c>
    </x:row>
    <x:row r="34">
      <x:c r="A34" s="36" t="str">
        <x:v>D-002</x:v>
      </x:c>
      <x:c r="B34" s="36" t="str">
        <x:v>R3.5D</x:v>
      </x:c>
      <x:c r="C34" s="36" t="n">
        <x:v>51</x:v>
      </x:c>
      <x:c r="D34" s="36" t="str">
        <x:v>Management continuous 1/s</x:v>
      </x:c>
      <x:c r="E34" s="36" t="str">
        <x:v>Caracterizar carga sostenida del AlarmDurableInputConsumer a una ManagementAction por segundo, midiendo latencia input→receipt, batching natural por ciclo y ausencia de pérdida/duplicados.</x:v>
      </x:c>
      <x:c r="F34" s="36" t="n">
        <x:v>1000</x:v>
      </x:c>
      <x:c r="G34" s="36" t="str">
        <x:v>Local FS</x:v>
      </x:c>
      <x:c r="H34" s="36" t="str">
        <x:v>Latest Narrow / stable 100% ACTIVE</x:v>
      </x:c>
      <x:c r="I34" s="36" t="str">
        <x:v>36 balanced / 100 priority groups × 10 alarms</x:v>
      </x:c>
      <x:c r="J34" s="36" t="str">
        <x:v>540 ManagementAction @ 1/s</x:v>
      </x:c>
      <x:c r="K34" s="36" t="str">
        <x:v>Stable config / C3</x:v>
      </x:c>
      <x:c r="L34" s="36" t="n">
        <x:v>10</x:v>
      </x:c>
      <x:c r="M34" s="36" t="n">
        <x:v>5</x:v>
      </x:c>
      <x:c r="N34" s="36" t="n">
        <x:v>10</x:v>
      </x:c>
      <x:c r="O34" s="36" t="str">
        <x:v>Control-plane sustained</x:v>
      </x:c>
      <x:c r="P34" s="36" t="str">
        <x:v>540 acciones únicas desde +30 a +569 s. Todas MANAGEMENT/EFFECTIVE, sin pérdida/duplicados, targets únicos distribuidos por priority group, pending final=0 y receipt-before-cursor para los 540 inputs.</x:v>
      </x:c>
      <x:c r="Q34" s="36" t="str">
        <x:v>PASS/GREEN on clean rerun with atlanticus-job-runtime 0.7.1. Exactly 540/540 MANAGEMENT/EFFECTIVE receipts, 540/540 ManagementEffect STARTED, 0 CLEARED, lost=0, duplicate receipts=0, deactivation=0, unique targets=540, identity mismatches=0, cursor=138240, pending=0, receipt-before-cursor=540/540 and 540 final management effects. Input→receipt p50/p95/p99/max=3125.85/5212.46/5246.56/5919.02 ms. Iteration p50/p95/p99=1022.86/1057.78/1890.78 ms, max=1944.68 ms, 0 overruns. The +600 s evidence wave completed successfully.</x:v>
      </x:c>
      <x:c r="R34" s="36" t="str">
        <x:v>Completed</x:v>
      </x:c>
      <x:c r="S34" s="36" t="str">
        <x:v>D-002 harness 0.1.0 + atlanticus-job-runtime 0.7.1</x:v>
      </x:c>
      <x:c r="T34" s="36" t="str">
        <x:v>Authoritative clean rerun 5e7bd0dc-d6b9-4556-a3bd-8b81a3eb3478 on GLONBW11, stage commit 489b7424f5051f7a276dafe8d5f318ccf1368d87. Planned 600 s; actual 603.156 s; 121 iterations; stop_reason=insufficient_remaining_time with execution status success. p50/p95/p99/max iteration=1022.859/1057.781/1890.777/1944.684 ms; 0 overruns. Avg/peak process CPU=91.966/100.085%; avg/peak RSS=137.093/137.828 MB. Management cycles are iterations 7..115: 109 non-empty batches = 1×1, 107×5, 1×4. Excluding the +300 s evidence-overlap iteration, management-cycle p50/p95/p99/max≈1024.00/1046.24/1188.27/1441.98 ms. Ten empty steady iterations have p50/p95/max≈925.47/950.78/961.50 ms. 5 s cadence start-to-start min/p50/p95/p99/max≈5000.664/5001.536/5004.047/5004.441/5004.677 ms. Input→receipt p50/p95/p99/max=3125.847/5212.464/5246.563/5919.025 ms; this distribution includes expected wait-to-next-5 s-cycle plus processing time. Independent WAL audit: exactly 835 EngineCommitRecord / 8,025,617 bytes, all engine-commit-record.v1 and ada-alarms-runtime/0.14.2. Cycles: bootstrap at 03:45:23Z = 100 records with 1000 Occurrence STARTED, 100 Episode STARTED, 1000 ASSIGNED, 1000 evidence and 2000 journey events; +300 s at 03:50:24Z = 100 records with 1000 evidence plus 5 management receipts/effects in the same five group commits; +600 s at 03:55:24Z = 100 evidence-only records completed successfully. Remaining management records give exactly 540 unique InputReceipt MANAGEMENT/EFFECTIVE, 540 unique ManagementEffect STARTED and 540 management_applied journey events. Commit distribution per group is consistent with target rotation and overlap: 40 groups×9 records, 55×8, 5×7. Final journal-head durable==materialized at segment 2026-08-27T03Z#0000, byte_offset=8,025,617, commit=20260827T035524000000Z__perf-group-100. Final snapshots: 1000 ACTIVE, 1000 unique open Occurrences, 1000 perf-tool assignments, 0 pending, 540 management effects, 0 TechnicalHold; state_basis PERF-AC-1/PERF-TR-1. Consumer management cursor hour_bucket=2026-08-27T03Z / byte_offset=138240, pending=[]; decisions cursor=null. Job Runtime execution.completed status=success, iterations=121, work=111, empty=10, errors=0, warnings=0, resource_pressure_events=0, lease_generation=1, alarm_commits_confirmed=835, commit bytes=8,025,617. This clean rerun confirms R20C.3.2 end-to-end and closes F-D002-001.</x:v>
      </x:c>
    </x:row>
    <x:row r="35">
      <x:c r="A35" s="36" t="str">
        <x:v>D-003</x:v>
      </x:c>
      <x:c r="B35" s="36" t="str">
        <x:v>R3.5D</x:v>
      </x:c>
      <x:c r="C35" s="36" t="n">
        <x:v>52</x:v>
      </x:c>
      <x:c r="D35" s="36" t="str">
        <x:v>Management burst 50</x:v>
      </x:c>
      <x:c r="E35" s="36" t="str">
        <x:v>Medir absorción instantánea de un burst de 50 ManagementAction y latencia hasta receipts durables, manteniendo semántica EFFECTIVE e identidad estable.</x:v>
      </x:c>
      <x:c r="F35" s="36" t="n">
        <x:v>1000</x:v>
      </x:c>
      <x:c r="G35" s="36" t="str">
        <x:v>Local FS</x:v>
      </x:c>
      <x:c r="H35" s="36" t="str">
        <x:v>Latest Narrow / stable 100% ACTIVE</x:v>
      </x:c>
      <x:c r="I35" s="36" t="str">
        <x:v>36 balanced / 100 priority groups × 10 alarms</x:v>
      </x:c>
      <x:c r="J35" s="36" t="str">
        <x:v>50 ManagementAction simultaneous burst</x:v>
      </x:c>
      <x:c r="K35" s="36" t="str">
        <x:v>Stable config / C3</x:v>
      </x:c>
      <x:c r="L35" s="36" t="n">
        <x:v>2</x:v>
      </x:c>
      <x:c r="M35" s="36" t="n">
        <x:v>5</x:v>
      </x:c>
      <x:c r="N35" s="36" t="n">
        <x:v>10</x:v>
      </x:c>
      <x:c r="O35" s="36" t="str">
        <x:v>Control-plane burst</x:v>
      </x:c>
      <x:c r="P35" s="36" t="str">
        <x:v>50 acciones simultáneas a +30 s, targets únicos slot-1 de perf-group-001..050. Esperar 50 MANAGEMENT/EFFECTIVE, 50 ManagementEffect STARTED, 0 CLEARED/deactivation/lost/duplicates, cursor=12800, pending=0, receipt-before-cursor=50/50 y absorción completa del burst en la primera iteración elegible.</x:v>
      </x:c>
      <x:c r="Q35" s="36" t="str">
        <x:v>PASS/GREEN. El burst completo fue absorbido en la primera iteración elegible: arrival_mode=burst, first_nonempty_batch_size=50/50, fully_absorbed=true, max_batch=50, nonempty_batches=1. 50/50 MANAGEMENT/EFFECTIVE receipts, 50/50 ManagementEffect STARTED, 0 CLEARED, 0 deactivation, lost=0, duplicates=0, 50 targets únicos, occurrence mismatch=0, cursor=12800, pending/high-water=0/0, receipt-before-cursor=50/50 y 50 ManagementEffects finales. Input→receipt p50/p95/p99/max idéntico=1393.99 ms porque todas las acciones comparten la misma frontera de exposición y se confirman en el mismo ciclo. Iteration p50/p95/p99/max=925.73/1295.43/1626.27/1704.32 ms; burst iteration=1379.08 ms; 0 overruns.</x:v>
      </x:c>
      <x:c r="R35" s="36" t="str">
        <x:v>Completed</x:v>
      </x:c>
      <x:c r="S35" s="36" t="str">
        <x:v>D-003 harness 0.1.0 + atlanticus-job-runtime 0.7.1</x:v>
      </x:c>
      <x:c r="T35" s="36" t="str">
        <x:v>Authoritative run 8f918b47-edd2-46e7-bc0b-de8a4206183a on GLONBW11, stage commit 489b7424f5051f7a276dafe8d5f318ccf1368d87. Planned 120 s; actual 121.247 s; 25 iterations; stop_reason=insufficient_remaining_time; execution status=success. Avg/peak process CPU=96.290/100.671%; avg/peak RSS=136.439/136.863 MB. Source load p50/p95/p99=3.902/5.042/5.112 ms; source merge p50/p95/p99=0.372/0.482/0.517 ms; recovery=1.176 ms; drain=253.830 ms. Steady cycles excluding bootstrap and burst: 23 cycles, p50/p95/p99/max≈925.42/941.59/956.69/960.83 ms. 5 s start-to-start min/p50/p95/p99/max≈5000.489/5001.260/5003.223/5003.924/5004.131 ms. Independent WAL audit: exactly 150 engine-commit-record.v1 / 2,376,600 bytes, all ada-alarms-runtime/0.14.2. Bootstrap cycle 20260827T140201000000Z contains exactly 100 commits; burst cycle 20260827T140231000000Z contains exactly 50 commits, one each in perf-group-001..050. Every burst commit has one MANAGEMENT/EFFECTIVE InputReceipt, one ManagementEffect STARTED and one management_applied journey event. Target mapping is exact: PERF-M-000001→perf-group-001/alarm_00001 through PERF-M-000050→perf-group-050/alarm_00491. Group record distribution: 50 groups×2 records, 50 groups×1 record. Final journal-head durable==materialized at segment 2026-08-27T14Z#0000, byte_offset=2,376,600, commit=20260827T140231000000Z__perf-group-050. Final snapshots: 1000 ACTIVE, 1000 unique open Occurrences, 1000 perf-tool assignments, 0 pending, 50 management effects, 0 TechnicalHold; exactly groups 001..050 contain one active management effect and groups 051..100 contain none. Consumer cursor hour_bucket=2026-08-27T14Z / byte_offset=12800, pending=[]; decisions cursor=null. Runtime execution.completed: success, iterations=25, work=2, empty=23, errors=0, warnings=0, resource_pressure_events=0, lease_generation=1, alarm_commits_confirmed=150, alarm_commit_bytes_appended=2,376,600.</x:v>
      </x:c>
    </x:row>
    <x:row r="36">
      <x:c r="A36" s="36" t="str">
        <x:v>D-004</x:v>
      </x:c>
      <x:c r="B36" s="36" t="str">
        <x:v>R3.5D</x:v>
      </x:c>
      <x:c r="C36" s="36" t="n">
        <x:v>53</x:v>
      </x:c>
      <x:c r="D36" s="36" t="str">
        <x:v>Management burst 100</x:v>
      </x:c>
      <x:c r="E36" s="36" t="str">
        <x:v>Escalar el burst simultáneo a 100 ManagementAction para medir la absorción de una acción por cada priority group en una sola iteración elegible.</x:v>
      </x:c>
      <x:c r="F36" s="36" t="n">
        <x:v>1000</x:v>
      </x:c>
      <x:c r="G36" s="36" t="str">
        <x:v>Local FS</x:v>
      </x:c>
      <x:c r="H36" s="36" t="str">
        <x:v>Latest Narrow / stable 100% ACTIVE</x:v>
      </x:c>
      <x:c r="I36" s="36" t="str">
        <x:v>36 balanced / 100 priority groups × 10 alarms</x:v>
      </x:c>
      <x:c r="J36" s="36" t="str">
        <x:v>100 ManagementAction simultaneous burst</x:v>
      </x:c>
      <x:c r="K36" s="36" t="str">
        <x:v>Stable config / C3</x:v>
      </x:c>
      <x:c r="L36" s="36" t="n">
        <x:v>2</x:v>
      </x:c>
      <x:c r="M36" s="36" t="n">
        <x:v>5</x:v>
      </x:c>
      <x:c r="N36" s="36" t="n">
        <x:v>10</x:v>
      </x:c>
      <x:c r="O36" s="36" t="str">
        <x:v>Control-plane burst</x:v>
      </x:c>
      <x:c r="P36" s="36" t="str">
        <x:v>100 acciones simultáneas a +30 s, slot-1 de perf-group-001..100. Esperar 100 MANAGEMENT/EFFECTIVE, 100 ManagementEffect STARTED, 0 CLEARED/deactivation/lost/duplicates, cursor=25600, pending=0, receipt-before-cursor=100/100 y absorción completa 100/100 en la primera iteración elegible.</x:v>
      </x:c>
      <x:c r="Q36" s="36" t="str">
        <x:v>PASS/GREEN. Burst completo absorbido en la primera iteración elegible: arrival_mode=burst, first_nonempty_batch_size=100/100, fully_absorbed=true, max_batch=100, nonempty_batches=1. 100/100 MANAGEMENT/EFFECTIVE receipts, 100/100 ManagementEffect STARTED, 0 CLEARED, 0 deactivation, lost=0, duplicates=0, 100 unique targets, occurrence mismatch=0, cursor=25600, pending/high-water=0/0, receipt-before-cursor=100/100 and 100 final ManagementEffects. Input→receipt p50/p95/p99/max identical=1727.51 ms. Iteration p50/p95/p99/max=916.02/1563.58/1720.27/1721.44 ms; burst iteration=1716.54 ms; 0 overruns.</x:v>
      </x:c>
      <x:c r="R36" s="36" t="str">
        <x:v>Completed</x:v>
      </x:c>
      <x:c r="S36" s="36" t="str">
        <x:v>D-003 generic burst harness 0.1.0 + atlanticus-job-runtime 0.7.1</x:v>
      </x:c>
      <x:c r="T36" s="36" t="str">
        <x:v>Authoritative run 248c19b9-3f16-471c-b1cf-0d730744b47a on GLONBW11, stage commit 489b7424f5051f7a276dafe8d5f318ccf1368d87. Planned 120 s; actual 121.339 s; 25 iterations; stop_reason=insufficient_remaining_time; execution status=success. Avg/peak process CPU=96.321/99.552%; avg/peak RSS=136.690/137.160 MB. Source load p50/p95/p99=4.250/5.672/6.329 ms; source merge p50/p95/p99=0.373/0.449/0.455 ms; recovery=1.121 ms; drain=309.345 ms. Steady cycles excluding bootstrap and burst: 23 cycles, p50/p95/p99/max≈914.76/945.92/950.68/951.76 ms. 5 s cadence start-to-start min/p50/p95/p99/max≈5000.420/5001.080/5003.515/5003.629/5003.651 ms. Independent WAL audit: exactly 200 engine-commit-record.v1 / 2,722,400 bytes, all ada-alarms-runtime/0.14.2. Bootstrap cycle 20260827T142125000000Z=100 commits and management burst cycle 20260827T142155000000Z=100 commits. Every priority group has exactly two records: one bootstrap and one management record. The burst records contain exactly 100 unique MANAGEMENT/EFFECTIVE InputReceipts, 100 unique ManagementEffect STARTED records and 100 management_applied journey events. Final journal-head durable==materialized at segment 2026-08-27T14Z#0000, byte_offset=2,722,400, commit=20260827T142155000000Z__perf-group-100. Final snapshots: 1000 ACTIVE, 1000 unique open Occurrences, 1000 perf-tool assignments, 0 pending, 100 ManagementEffects, 0 TechnicalHold; all 100 groups contain exactly one active management effect and state_basis PERF-AC-1/PERF-TR-1. Consumer management cursor hour_bucket=2026-08-27T14Z / byte_offset=25600, pending=[]; decisions cursor=null. Runtime execution.completed status=success, iterations=25, work=2, empty=23, errors=0, warnings=0, resource_pressure_events=0, lease_generation=1, alarm_commits_confirmed=200, alarm_commit_bytes_appended=2,722,400. Compared with D-003, doubling burst size 50→100 increased burst-cycle duration only ~24.5% (1379.08→1716.54 ms) and preserved one-cycle absorption.</x:v>
      </x:c>
    </x:row>
    <x:row r="37">
      <x:c r="A37" s="36" t="str">
        <x:v>D-005</x:v>
      </x:c>
      <x:c r="B37" s="36" t="str">
        <x:v>R3.5D</x:v>
      </x:c>
      <x:c r="C37" s="36" t="n">
        <x:v>54</x:v>
      </x:c>
      <x:c r="D37" s="36" t="str">
        <x:v>Single DeactivationDecision</x:v>
      </x:c>
      <x:c r="E37" s="36" t="str">
        <x:v>Establecer baseline end-to-end de una DeactivationDecision APPROVED contra un DeactivationRequest durable creado por el camino canónico ManagementAction→Runtime, midiendo decisión visible→receipt durable y causalidad exacta.</x:v>
      </x:c>
      <x:c r="F37" s="36" t="n">
        <x:v>1000</x:v>
      </x:c>
      <x:c r="G37" s="36" t="str">
        <x:v>Local FS</x:v>
      </x:c>
      <x:c r="H37" s="36" t="str">
        <x:v>Latest Narrow / stable 100% ACTIVE</x:v>
      </x:c>
      <x:c r="I37" s="36" t="str">
        <x:v>36 balanced / 100 priority groups × 10 alarms</x:v>
      </x:c>
      <x:c r="J37" s="36" t="str">
        <x:v>1 request setup + 1 APPROVED decision</x:v>
      </x:c>
      <x:c r="K37" s="36" t="str">
        <x:v>Stable config / C3; perf/alarm_00001 approval_required=true</x:v>
      </x:c>
      <x:c r="L37" s="36" t="n">
        <x:v>2</x:v>
      </x:c>
      <x:c r="M37" s="36" t="n">
        <x:v>5</x:v>
      </x:c>
      <x:c r="N37" s="36" t="n">
        <x:v>10</x:v>
      </x:c>
      <x:c r="O37" s="36" t="str">
        <x:v>Control-plane decision baseline</x:v>
      </x:c>
      <x:c r="P37" s="36" t="str">
        <x:v>At +30 s expose PERF-M-000001 with deactivation_intent and effective_until=+330 s from run baseline. Runtime must emit exactly one durable DEACTIVATION_REQUEST/PENDING_APPROVAL receipt and one durable request PERF-DR-PERF-M-000001 bound to the original occurrence; the target must remain visible while pending. At +60 s, and only after that request is durable, expose APPROVED decision PERF-D-000001. Expect exactly one DEACTIVATION_DECISION/APPLIED receipt, decision receipt durable before decision cursor advance, one DeactivationEffect STARTED with effective_from=decision.decided_at and effective_until unchanged from the original request, no CLEARED, management cursor=256, decision cursor=256, both stream pending lists=0, pending request final=0, pending-request high-water=1, decision-pending high-water=0, exact occurrence correlation, durable==materialized and 102 durable records total (100 bootstrap + request setup commit + decision commit).</x:v>
      </x:c>
      <x:c r="Q37" s="36" t="str">
        <x:v>PASS/GREEN. Authoritative run fa708376-dcb7-4fa4-b8af-ec09ea6bb5b5 completed successfully. Exact business path: 1 DEACTIVATION_REQUEST/PENDING_APPROVAL + 1 durable request PERF-DR-PERF-M-000001 (approval_required=true), followed 30 s later by 1 DEACTIVATION_DECISION/APPLIED and 1 DeactivationEffect STARTED. Target remained occurrence-bound and visible while pending; request/decision cursors=256/256; management/decision pending=0/0; pending request high-water=1 and final=0; request-before-decision=true; both receipt-before-cursor checks=true; effect window preserved exactly from 15:20:10Z to original 15:24:40Z, leaving 270 s. Decision visible→durable receipt=981.46 ms. Iteration p50/p95/p99/max=922.78/1169.96/1621.29/1749.98 ms; decision iteration=1213.77 ms; 0 overruns. Independent WAL audit: 102 engine-commit-record.v1 / 2,045,701 bytes; perf-group-001 has exactly 3 records and every other group exactly 1; all final group snapshots equal their latest journal snapshot_after; journal-head durable==materialized; execution status=success.</x:v>
      </x:c>
      <x:c r="R37" s="36" t="str">
        <x:v>Completed</x:v>
      </x:c>
      <x:c r="S37" s="36" t="str">
        <x:v>D-005 harness patch 0.1.0 + ada-alarms-runtime 0.14.2 + atlanticus-job-runtime 0.7.1</x:v>
      </x:c>
      <x:c r="T37" s="36" t="str">
        <x:v>Authoritative run fa708376-dcb7-4fa4-b8af-ec09ea6bb5b5 on GLONBW11, stage commit 489b7424f5051f7a276dafe8d5f318ccf1368d87. Planned 120 s; actual 121.218 s; 25 iterations; stop_reason=insufficient_remaining_time with Job Runtime status=success. Avg/peak process CPU=96.988/100.099%; avg/peak RSS=136.810/137.195 MB. Source load p50/p95/p99=4.350/6.348/6.869 ms; source merge p50/p95/p99=0.342/0.409/0.415 ms; recovery=0.870 ms; drain=216.662 ms. Request iteration≈994.72 ms; decision iteration≈1213.77 ms. Excluding bootstrap/request/decision, 22 steady cycles p50/p95/p99/max≈919.51/949.39/982.40/990.91 ms. 5 s cadence start-to-start min/p50/p95/p99/max≈5000.600/5001.183/5003.744/5003.966/5003.977 ms. Independent durable audit: bootstrap cycle 20260827T151910000000Z contains 100 records; request cycle 20260827T151940000000Z contains one perf-group-001 record with the durable request, PENDING_APPROVAL receipt and ManagementEffect STARTED; decision cycle 20260827T152010000000Z contains one perf-group-001 record with APPLIED receipt and DeactivationEffect STARTED. The request snapshot still contains occurrence PERF-O-00000001 and no deactivation effect; the decision event uses the same occurrence. Final consumer state has management and decisions cursors at byte_offset=256, both pending=[], pending_deactivation_request_ids=[]. Final journal-head durable==materialized at segment 2026-08-27T15Z#0000 / byte_offset=2,045,701.</x:v>
      </x:c>
    </x:row>
    <x:row r="38">
      <x:c r="A38" s="36" t="str">
        <x:v>D-006</x:v>
      </x:c>
      <x:c r="B38" s="36" t="str">
        <x:v>R3.5D</x:v>
      </x:c>
      <x:c r="C38" s="36" t="n">
        <x:v>55</x:v>
      </x:c>
      <x:c r="D38" s="36" t="str">
        <x:v>Decision continuous 1/s — two-phase</x:v>
      </x:c>
      <x:c r="E38" s="36" t="str">
        <x:v>Medir throughput y latencia sostenida de DeactivationDecision APPROVED a 1/s sin mezclar en la fase medida la creación de su prerequisito durable.</x:v>
      </x:c>
      <x:c r="F38" s="36" t="n">
        <x:v>1000</x:v>
      </x:c>
      <x:c r="G38" s="36" t="str">
        <x:v>Local FS</x:v>
      </x:c>
      <x:c r="H38" s="36" t="str">
        <x:v>Latest Narrow / stable 100% ACTIVE</x:v>
      </x:c>
      <x:c r="I38" s="36" t="str">
        <x:v>36 balanced / 100 priority groups × 10 alarms</x:v>
      </x:c>
      <x:c r="J38" s="36" t="str">
        <x:v>Phase A: 540 request setups @1/s; Phase B: 540 APPROVED decisions @1/s</x:v>
      </x:c>
      <x:c r="K38" s="36" t="str">
        <x:v>Stable config / C3; 540 unique approval_required targets; original deactivation window 1800 s</x:v>
      </x:c>
      <x:c r="L38" s="36" t="n">
        <x:v>20</x:v>
      </x:c>
      <x:c r="M38" s="36" t="n">
        <x:v>5</x:v>
      </x:c>
      <x:c r="N38" s="36" t="n">
        <x:v>10</x:v>
      </x:c>
      <x:c r="O38" s="36" t="str">
        <x:v>Control-plane sustained decision</x:v>
      </x:c>
      <x:c r="P38" s="36" t="str">
        <x:v>Phase A must finish with 540 unique durable pending requests and no lost/duplicate setup receipts. Phase B must reuse the same durable volume and only expose decisions after all request prerequisites exist. Expect 540/540 DEACTIVATION_DECISION/APPLIED, 540 DeactivationEffect STARTED, 0 wrong correlation, 0 duplicate/lost decisions, final decision pending=0, pending requests final=0, occurrence mismatches=0, management cursor=138240 and decision cursor=138240, durable==materialized. No CLEARED should occur inside the measured window; each effect must preserve its own request.effective_until.</x:v>
      </x:c>
      <x:c r="Q38" s="36" t="str">
        <x:v>PASS/GREEN. Authoritative two-phase run completed both executions successfully. Phase A produced exactly 540 DEACTIVATION_REQUEST/PENDING_APPROVAL receipts and 540 durable approval_required requests; Phase B produced exactly 540 DEACTIVATION_DECISION/APPLIED receipts and 540 DeactivationEffect STARTED with 0 CLEARED. Cursors=138240/138240; all pending final=0; lost/duplicates/wrong correlations/occurrence mismatches/window mismatches=0. Decision input→receipt p50/p95/p99/max=4060.15/6107.42/6166.73/6807.17 ms; batches=106×5 + 2×2 + 1×6. Global iteration p50/p95/p99/max=1020.79/1060.12/1707.01/1932.63 ms, 0 overruns. All 540 effects preserve request.effective_until; remaining=1197 s for every pair. Independent WAL audit: 1570 unique records / 15,160,690 bytes, 100 commit chains intact, 100 materialized snapshots equal latest snapshot_after and durable==materialized.</x:v>
      </x:c>
      <x:c r="R38" s="36" t="str">
        <x:v>Completed</x:v>
      </x:c>
      <x:c r="S38" s="36" t="str">
        <x:v>D-006 harness 0.1.2 + ada-alarms-runtime 0.14.2 + atlanticus-job-runtime 0.7.1</x:v>
      </x:c>
      <x:c r="T38" s="36" t="str">
        <x:v>Authoritative Phase A run f586e4a0-d802-40de-ba6f-90abe8950208 and Phase B run 4a45dc70-1f12-47dc-8687-79f59a94b3db on GLONBW11, stage commit 489b7424f5051f7a276dafe8d5f318ccf1368d87. Phase durations 602.877/604.814 s; both execution.completed status=success. Commit totals 835+735=1570 and bytes 8,377,157+6,783,533=15,160,690, exactly matching WAL. Final consumer: management/decisions cursor=138240/138240, pending=[]/[], pending requests=[]. Direct WAL reconstruction verifies exact IDs 000001..000540, same-commit decision receipt→matching effect, exact journey occurrence correlation and request-before-decision. Decision p95 is 17.17% above D-002 Management 1/s, consistent with cadence plus logical-time eligibility; global cycle p95 uses only 21.2% of the 5 s budget.</x:v>
      </x:c>
      <x:c r="U38"/>
    </x:row>
    <x:row r="39">
      <x:c r="A39" s="36" t="str">
        <x:v>D-007</x:v>
      </x:c>
      <x:c r="B39" s="36" t="str">
        <x:v>R3.5D</x:v>
      </x:c>
      <x:c r="C39" s="36" t="n">
        <x:v>56</x:v>
      </x:c>
      <x:c r="D39" s="36" t="str">
        <x:v>Decision burst 50 — two-phase</x:v>
      </x:c>
      <x:c r="E39" s="36" t="str">
        <x:v>Medir absorción instantánea de 50 DeactivationDecision APPROVED sin mezclar en la fase medida la creación de sus requests.</x:v>
      </x:c>
      <x:c r="F39" s="36" t="n">
        <x:v>1000</x:v>
      </x:c>
      <x:c r="G39" s="36" t="str">
        <x:v>Local FS</x:v>
      </x:c>
      <x:c r="H39" s="36" t="str">
        <x:v>Latest Narrow / stable 100% ACTIVE</x:v>
      </x:c>
      <x:c r="I39" s="36" t="str">
        <x:v>36 balanced / 100 priority groups × 10 alarms</x:v>
      </x:c>
      <x:c r="J39" s="36" t="str">
        <x:v>Phase A: 50 request setups simultaneous; Phase B: 50 APPROVED decisions simultaneous</x:v>
      </x:c>
      <x:c r="K39" s="36" t="str">
        <x:v>Stable config / C3; 50 unique approval_required targets in perf-group-001..050; original deactivation window 600 s</x:v>
      </x:c>
      <x:c r="L39" s="36" t="n">
        <x:v>4</x:v>
      </x:c>
      <x:c r="M39" s="36" t="n">
        <x:v>5</x:v>
      </x:c>
      <x:c r="N39" s="36" t="n">
        <x:v>10</x:v>
      </x:c>
      <x:c r="O39" s="36" t="str">
        <x:v>Control-plane decision burst</x:v>
      </x:c>
      <x:c r="P39" s="36" t="str">
        <x:v>Two sequential 120 s phases on the same durable volume. Phase A at +30 s emits 50 canonical ManagementAction+deactivation_intent inputs simultaneously, one target in perf-group-001..050, and must finish with exactly 50 durable approval_required requests pending. Phase B at +30 s exposes 50 APPROVED decisions simultaneously. Gate: 50/50 APPLIED + 50 DeactivationEffect STARTED, 0 CLEARED/lost/duplicates/wrong correlations/occurrence/window mismatches, cursors=12800/12800, all pending final=0, receipt-before-cursor=50/50 for both streams, durable==materialized, and first_nonempty_batch_size=50 with full absorption in the first eligible iteration.</x:v>
      </x:c>
      <x:c r="Q39" s="36" t="str">
        <x:v>PASS/GREEN. Authoritative two-phase burst completed successfully. Phase A: exactly 50 canonical DEACTIVATION_REQUEST/PENDING_APPROVAL + 50 approval_required requests in one request burst. Phase B: exactly 50 DEACTIVATION_DECISION/APPLIED + 50 DeactivationEffect STARTED in one decision burst; decision_arrival_mode=burst, first nonempty decision receipt batch=50/50, fully_absorbed_in_first_eligible_iteration=true. 0 CLEARED/lost/duplicates/wrong correlations/occurrence mismatches/window mismatches. Cursors=12800/12800; pending final=0/0/0; pending request high-water=50; decision pending high-water=0. Decision input→receipt p50/p95/p99/max identical =1851.26 ms. Global iteration p50/p95/p99/max=916.41/1247.71/1439.56/1556.87 ms; 0 overruns. All 50 effects preserve request.effective_until; remaining window=479 s for all. Independent WAL audit: exactly 200 engine-commit-record.v1 / 2,775,850 bytes; perf-group-001..050 each have bootstrap+request+decision and groups 051..100 bootstrap only; all 100 commit chains and final materialized snapshots align; durable==materialized.</x:v>
      </x:c>
      <x:c r="R39" s="36" t="str">
        <x:v>Completed</x:v>
      </x:c>
      <x:c r="S39" s="36" t="str">
        <x:v>D-007 harness 0.1.0 + ada-alarms-runtime 0.14.2 + atlanticus-job-runtime 0.7.1</x:v>
      </x:c>
      <x:c r="T39" s="36" t="str">
        <x:v>Authoritative Phase A run 2acf1950-9045-4781-bab2-16b328882371 and Phase B run b4acb562-5468-4276-b109-220c246065b2 on GLONBW11, stage commit 489b7424f5051f7a276dafe8d5f318ccf1368d87. Phase durations 121.223/121.557 s; both execution.completed status=success. Runtime confirmed 150 + 50 commits and 2,409,150 + 366,700 bytes, exactly matching the single WAL segment total 200 / 2,775,850. WAL cycles are rigid: 100 bootstrap records at 18:13:29Z, 50 request records at 18:13:59Z, 50 decision records at 18:16:01Z. Direct reconstruction verifies exact IDs 000001..000050, target alarm slot 1 in perf-group-001..050, same occurrence through request→decision→effect, same-commit decision receipt/effect, 50 deactivation_decision_applied journey events and remaining=479 s for all. Materialized snapshots equal each group's final snapshot_after; 1000 unique occurrences, 50 ManagementEffects, 50 DeactivationEffects. No recovery or discarded tail. Non-blocking harness metadata nuance: phases.json still labels Phase B role as `sustained-approved-decisions`, inherited from the generic D-006 two-phase runner. The authoritative scenario/result fields identify `decision_arrival_mode=burst`, interval=0, one 50-record decision cycle and first receipt batch=50/50, so this label does not affect execution or adjudication. No product finding is opened.</x:v>
      </x:c>
      <x:c r="U39"/>
    </x:row>
    <x:row r="40">
      <x:c r="A40" s="36" t="str">
        <x:v>D-008</x:v>
      </x:c>
      <x:c r="B40" s="36" t="str">
        <x:v>R3.5D</x:v>
      </x:c>
      <x:c r="C40" s="36" t="n">
        <x:v>57</x:v>
      </x:c>
      <x:c r="D40" s="36" t="str">
        <x:v>Early decisions before requests — inverted delivery</x:v>
      </x:c>
      <x:c r="E40" s="36" t="str">
        <x:v>Validar que DeactivationDecision que llega por su stream antes de que su request sea durable quede retenida como pending y se reprocesse exactamente una vez cuando aparece el prerequisito, sin perderse por avance de cursor ni violar causalidad temporal.</x:v>
      </x:c>
      <x:c r="F40" s="36" t="n">
        <x:v>1000</x:v>
      </x:c>
      <x:c r="G40" s="36" t="str">
        <x:v>Local FS</x:v>
      </x:c>
      <x:c r="H40" s="36" t="str">
        <x:v>Latest Narrow / stable 100% ACTIVE</x:v>
      </x:c>
      <x:c r="I40" s="36" t="str">
        <x:v>36 balanced / 100 priority groups × 10 alarms</x:v>
      </x:c>
      <x:c r="J40" s="36" t="str">
        <x:v>50 decisions delivered first; 50 canonical requests delivered later; same targets perf-group-001..050</x:v>
      </x:c>
      <x:c r="K40" s="36" t="str">
        <x:v>Stable config / C3; domain request timestamp precedes decision timestamp even though delivery order is inverted</x:v>
      </x:c>
      <x:c r="L40" s="36" t="n">
        <x:v>3</x:v>
      </x:c>
      <x:c r="M40" s="36" t="n">
        <x:v>5</x:v>
      </x:c>
      <x:c r="N40" s="36" t="n">
        <x:v>10</x:v>
      </x:c>
      <x:c r="O40" s="36" t="str">
        <x:v>Correctness / pending correlation</x:v>
      </x:c>
      <x:c r="P40" s="36" t="str">
        <x:v>Single execution. Domain timestamps: request source_created_at/requested_at=+30 s, decision decided_at=+45 s. Delivery order is intentionally inverted: expose 50 decisions at +45 s while their requests are not yet durable; delay the 50 ManagementAction+deactivation_intent records until +60 s even though their logical source_created_at remains +30 s. At first decision exposure expect 0 decision receipts/effects, decision cursor=12800 and exactly 50 decision pending locators. At request delivery expect 50 PENDING_APPROVAL requests and management cursor=12800 while the 50 decisions remain pending because the durable request index was captured before that cycle committed. On the next eligible cycle the pending decisions must replay without source re-read and produce exactly 50 APPLIED + 50 DeactivationEffect STARTED. Final decision pending=0, pending requests=0, lost/duplicates/wrong correlations=0, occurrence/window mismatches=0 and durable==materialized. Do NOT require decision receipt-before-cursor: in this scenario cursor-before-receipt is intentional and safe only because the locator is durably retained in pending.</x:v>
      </x:c>
      <x:c r="Q40" s="36" t="str">
        <x:v>PASS/GREEN. Authoritative single-execution inverted-delivery run completed successfully. Harness milestones are exact: early Decision state cursor=12800, pending=50, receipts=0 while Management cursor is unset; after delayed request delivery, Management cursor=12800, 50 durable pending requests and the same 50 Decision locators remain pending with receipts=0; a later cycle replays them to exactly 50 APPLIED + 50 DeactivationEffect STARTED with final pending=0/0/0. Fresh Decision records total exactly 50 while pending read_at count=200, proving no fresh redelivery. 50 PENDING_APPROVAL requests, 50 ManagementEffect STARTED, 0 CLEARED/lost/duplicates/wrong correlations/occurrence mismatches/window mismatches. Decision delivery→receipt p50/p95/p99/max=21310.39 ms; remaining window=585 s for all 50. Global iteration p50/p95/p99/max=913.49/1278.92/1494.77/1613.23 ms; 0 overruns. Independent WAL audit: exactly 200 records / 2,775,850 bytes, 100 bootstrap + 50 request + 50 decision, 0 commit duplicates, 100 chains intact, 100 materialized snapshots equal latest snapshot_after and durable==materialized.</x:v>
      </x:c>
      <x:c r="R40" s="36" t="str">
        <x:v>Completed</x:v>
      </x:c>
      <x:c r="S40" s="36" t="str">
        <x:v>D-008 harness 0.1.0 + ada-alarms-runtime 0.14.2 + atlanticus-job-runtime 0.7.1</x:v>
      </x:c>
      <x:c r="T40" s="36" t="str">
        <x:v>Authoritative run 7b0edb58-fa4f-4fca-9c11-cfda59d5c5c2 on GLONBW11, stage commit 489b7424f5051f7a276dafe8d5f318ccf1368d87. Planned 180 s; actual 181.356 s; 37 iterations; execution.completed status=success, work=3, empty=34, recovery/tail discarded=0. Runtime confirmed 200 commits / 2,775,850 bytes. Sample timing places iteration 10 at +45.014 s with no durable commit, iterations 11/12 at +50/+55 also empty, iteration 13 at +60.018 s committing 50 request records (cycle 18:43:06Z), and iteration 14 at +65.021 s committing 50 decision records (cycle 18:43:11Z). This independently matches cursor-first/pending/replay semantics. Direct WAL reconstruction verifies exact IDs 000001..000050, targets alarm 1 of groups 001..050, requested_at=18:42:36Z, decided/effective_from=18:42:51Z, request effective_until=18:52:36Z, same occurrence and remaining=585 s for every pair. Consumer final cursors=12800/12800 and all pending lists empty. Pending read_at count=200 for 50 inputs (4.0 calls/input on average) is expected polling cost while the prerequisite is delayed, not a product failure.</x:v>
      </x:c>
      <x:c r="U40"/>
    </x:row>
    <x:row r="41">
      <x:c r="A41" s="36" t="str">
        <x:v>D-009</x:v>
      </x:c>
      <x:c r="B41" s="36" t="str">
        <x:v>R3.5D</x:v>
      </x:c>
      <x:c r="C41" s="36" t="n">
        <x:v>58</x:v>
      </x:c>
      <x:c r="D41" s="36" t="str">
        <x:v>Mixed Management + Decisions continuous — concurrent pipeline</x:v>
      </x:c>
      <x:c r="E41" s="36" t="str">
        <x:v>Medir interferencia y throughput cuando ManagementAction deactivation requests y sus DeactivationDecision APPROVED circulan simultáneamente de forma sostenida, ahora que ambos consumers y el pending correlation ya fueron validados por separado.</x:v>
      </x:c>
      <x:c r="F41" s="36" t="n">
        <x:v>1000</x:v>
      </x:c>
      <x:c r="G41" s="36" t="str">
        <x:v>Local FS</x:v>
      </x:c>
      <x:c r="H41" s="36" t="str">
        <x:v>Latest Narrow / stable 100% ACTIVE</x:v>
      </x:c>
      <x:c r="I41" s="36" t="str">
        <x:v>36 balanced / 100 priority groups × 10 alarms</x:v>
      </x:c>
      <x:c r="J41" s="36" t="str">
        <x:v>480 ManagementAction+deactivation_intent @1/s from +30 s; matching 480 APPROVED decisions @1/s from +60 s</x:v>
      </x:c>
      <x:c r="K41" s="36" t="str">
        <x:v>Stable config / C3; 480 unique approval_required targets; 30 s decision delivery lag; original window 900 s</x:v>
      </x:c>
      <x:c r="L41" s="36" t="n">
        <x:v>10</x:v>
      </x:c>
      <x:c r="M41" s="36" t="n">
        <x:v>5</x:v>
      </x:c>
      <x:c r="N41" s="36" t="n">
        <x:v>10</x:v>
      </x:c>
      <x:c r="O41" s="36" t="str">
        <x:v>Mixed control-plane sustained stress</x:v>
      </x:c>
      <x:c r="P41" s="36" t="str">
        <x:v>Single 600 s execution. Emit PERF-M-000001..000480 at 1/s from +30 through +509 s. Each creates a canonical approval_required request with 900 s effective window. Emit matching PERF-D-000001..000480 APPROVED at 1/s from +60 through +539 s, preserving requested_at &lt; decided_at and a 30 s transport lag. The streams overlap for ~450 s; this concurrency is intentional and is the dimension under test. Expect exactly 480 PENDING_APPROVAL + 480 APPLIED, 480 ManagementEffect STARTED + 480 DeactivationEffect STARTED, 0 CLEARED/lost/duplicates/wrong correlations/occurrence/window mismatches, management/decision cursors=122880/122880 and final pending management/decision/request=0/0/0. Characterize request-pending high-water and decision-pending high-water rather than hardcoding them; a transient pending Decision is acceptable if it later resolves exactly once. Measure Management and Decision input→receipt p50/p95/p99/max separately, batch distributions, mixed-input cycle count, global iteration distribution, WAL bytes/records, drain and pending read_at amplification. durable==materialized and exact final snapshots remain hard gates.</x:v>
      </x:c>
      <x:c r="Q41" s="36" t="str">
        <x:v>PASS/GREEN. Authoritative mixed-stream run completed successfully. Exact 480 DEACTIVATION_REQUEST/PENDING_APPROVAL + 480 durable approval_required requests and 480 DEACTIVATION_DECISION/APPLIED; 480 ManagementEffect STARTED + 480 DeactivationEffect STARTED, 0 CLEARED/lost/duplicates/wrong correlations/occurrence mismatches/window mismatches. Management/Decision cursors=122880/122880; final pending management/decision/request=0/0/0. Fresh Management/Decision records=480/480. Management and Decision pending high-water=0/0 and pending read_at=0/0; pending-request high-water=30, matching the 30 s request→decision lag. Request input→receipt p50/p95/p99/max=3137.55/5190.44/5232.46/5870.52 ms; Decision=3144.07/5195.30/5232.46/5870.52 ms. Both receipt streams use 97 nonempty batches: 1×1 + 95×5 + 1×4. 91 cycles contain receipts from both streams. Global iteration p50/p95/p99/max=1049.87/1106.07/1737.63/3707.64 ms, 0 overruns. Each pair preserves occurrence/effective_until with exact 30 s lag and 870 s remaining. Independent WAL audit: 1250 records / 11,894,761 bytes; 0 duplicate commit IDs, 0 chain mismatches, 100/100 final snapshots equal latest snapshot_after and durable==materialized.</x:v>
      </x:c>
      <x:c r="R41" s="36" t="str">
        <x:v>Completed</x:v>
      </x:c>
      <x:c r="S41" s="36" t="str">
        <x:v>D-009 harness 0.1.0 + ada-alarms-runtime 0.14.2 + atlanticus-job-runtime 0.7.1</x:v>
      </x:c>
      <x:c r="T41" s="36" t="str">
        <x:v>Authoritative run 1cfa0555-b0c9-4674-b249-9dbde1f1d141 on GLONBW11, stage commit 489b7424f5051f7a276dafe8d5f318ccf1368d87. Planned 600 s; actual harness duration 605.426 s; Runtime execution.completed duration=605.307 s, status=success, iterations=121, work=105, empty=16, recovery/tail discarded=0. Runtime confirms 1250 commits / 11,894,761 bytes. Independent WAL geometry: 100 bootstrap records, 475 request-only, 475 decision-only, 190 evidence-only, 5 request+evidence and 5 decision+evidence = 1250. The +300 s evidence wave therefore merges with 10 already-required stream commits; +600 s adds 100 evidence records. WAL grouping reproduces 91 mixed receipt cycles directly: 90 M+D plus one M+D+evidence. All 480 expected targets are unique and follow group-first rotation; every request, ManagementEffect, Decision journey event and DeactivationEffect stays in the expected priority group and original occurrence. requested_at spans 19:09:09Z..19:17:08Z; decision/effective_from spans 19:09:39Z..19:17:38Z, exactly +30 s for all. pending-request high-water independently reconstructs to 30 from those intervals. Mixed iterations 13..103: p50/p95/p99/max≈1063.17/1101.77/1188.01/1783.24 ms. The global max 3707.64 ms occurs in iteration 121 at the final +600 s evidence wave, not during the mixed ingress window. Final snapshots contain 1000 open occurrences, 480 ManagementEffects and 480 DeactivationEffects.</x:v>
      </x:c>
      <x:c r="U41"/>
    </x:row>
    <x:row r="42">
      <x:c r="A42" s="36" t="str">
        <x:v>D-010</x:v>
      </x:c>
      <x:c r="B42" s="36" t="str">
        <x:v>R3.5D</x:v>
      </x:c>
      <x:c r="C42" s="36" t="n">
        <x:v>59</x:v>
      </x:c>
      <x:c r="D42" s="36" t="str">
        <x:v>Late decision after configuration removal — STALE_TARGET burst 100</x:v>
      </x:c>
      <x:c r="E42" s="36" t="str">
        <x:v>Validar que APPROVED Decisions recibidas después de remover de configuración las alarmas objetivo terminen exactamente como STALE_TARGET, limpien sus requests pendientes y nunca creen DeactivationEffect.</x:v>
      </x:c>
      <x:c r="F42" s="36" t="n">
        <x:v>1000</x:v>
      </x:c>
      <x:c r="G42" s="36" t="str">
        <x:v>Local FS</x:v>
      </x:c>
      <x:c r="H42" s="36" t="str">
        <x:v>Latest Narrow / stable 100% ACTIVE</x:v>
      </x:c>
      <x:c r="I42" s="36" t="str">
        <x:v>36 balanced / 100 priority groups × 10 alarms</x:v>
      </x:c>
      <x:c r="J42" s="36" t="str">
        <x:v>100 request setups simultaneous; remove the same 100 alarm identities; then 100 late APPROVED decisions simultaneous</x:v>
      </x:c>
      <x:c r="K42" s="36" t="str">
        <x:v>Source config C3 with 1000 alarms; target revision removes one target from each perf-group-001..100; original request window 600 s</x:v>
      </x:c>
      <x:c r="L42" s="36" t="n">
        <x:v>3</x:v>
      </x:c>
      <x:c r="M42" s="36" t="n">
        <x:v>5</x:v>
      </x:c>
      <x:c r="N42" s="36" t="n">
        <x:v>10</x:v>
      </x:c>
      <x:c r="O42" s="36" t="str">
        <x:v>Correctness / configuration adoption / stale decision</x:v>
      </x:c>
      <x:c r="P42" s="36" t="str">
        <x:v>Candidate single execution 180 s. At +30 s emit 100 canonical ManagementAction+deactivation_intent simultaneously, one target per priority group, and require 100 durable PENDING_APPROVAL requests bound to the original occurrences. At +60 s adopt a target AlarmConfigurationRevision that REMOVES exactly those 100 identities from both definition and execution session. Adoption must close exactly those 100 original occurrences with CONFIGURATION_REMOVED and leave the 100 DeactivationRequests available for later adjudication. At +90 s expose 100 APPROVED Decisions referencing those original requests. Expected: exactly 100 DEACTIVATION_DECISION/STALE_TARGET receipts, 0 APPLIED, 0 DeactivationEffect STARTED, pending requests final=0, decision pending final=0, exact decision cursor=25600 and management cursor=25600. No Decision may migrate to a new/current occurrence or another alarm. Final target revision contains 900 configured/runtime alarms. Preserve request timestamps/window so STALE_TARGET—not EXPIRED—is the only valid outcome. Adoption-specific assignment/journey record counts should be read from the existing adoption contract before implementation rather than guessed in the hard gate.</x:v>
      </x:c>
      <x:c r="Q42" s="36" t="str">
        <x:v>HARNESS READY 0.1.0. D-010 remains a single 180 s execution and uses the real revision/adoption path rather than mutating snapshots. At +30 s StaleTargetDeactivationInputSource exposes one canonical ManagementAction+deactivation_intent per perf-group-001..100, creating exactly 100 approval_required PENDING_APPROVAL requests against their original occurrences. A ScheduledRevisionSource makes PERF-AC-2 visible at +60 s; RuntimeRevisionResolver then resolves the registered 900-alarm target revision and the normal plan_configuration_adoption + AlarmConfigurationAdoptionExecutor path REMOVES those 100 identities. The adoption contract must close exactly 100 original occurrences with CONFIGURATION_REMOVED and clear exactly 100 ManagementEffects that are now outside scope. At +90 s the source exposes the matching 100 APPROVED Decisions against the original requests. Hard outcome: 100 STALE_TARGET, 0 APPLIED, 0 DeactivationEffect STARTED/CLEARED. Exact final cursors=25600/25600; pending management/decision/request=0/0/0; removed targets absent from snapshots; target execution session=900 alarms; fresh records=100/100; pending read_at=0/0; request and decision receipt batches each exactly 100. Request window remains open at decision time (600 s original, 540 s remaining), so EXPIRED is not an acceptable substitute. Expected WAL is exactly 400 records: 100 bootstrap + 100 request + 100 adoption + 100 stale-decision. No assignment-count gate is invented for removal adoption. Four focused regressions added; expected full suite is 290 tests. PACKAGE FIX 0.1.1: the 0.1.0 ZIP payload was correct but its internal paths were rooted at `performance/...` and `tests/...`; when unzipped from `atlanticus-stage` it created stray root-level directories and did not overwrite `scopes/ada/processes/alarms-runtime`. Therefore the observed 286-test gate was the unchanged D-009 suite and is not a D-010 functional result. Version 0.1.1 contains byte-identical payload files under the correct stage-relative `scopes/ada/processes/alarms-runtime/...` paths. CLOCK FIX 0.1.2: the first authoritative workload attempt failed in bootstrap before any iteration completed because PerformanceAlarmDurableInputConsumer.execute() prepared iteration.as_of for Sustained/Inverted/Mixed sources but omitted StaleTargetDeactivationInputSource from that dispatch tuple. The source itself already had the correct prepare_iteration contract. Version 0.1.2 adds only that missing dispatch and a bootstrap regression proving iteration.as_of is injected before the base consumer performs read_after(). ROUTING FIX 0.1.3: after the 0.1.2 clock fix, the authoritative run progressed through real request creation and PERF-AC-2 adoption, but `main()` still selected the generic two-phase runner because D-010 has 100 Decisions and the dispatch condition excluded inverted/mixed scenarios but not stale-target. This caused two executions and then failed while building D-006/D-007 phase metrics. Version 0.1.3 makes the runner contract explicit: multi-decision uses two-phase only when it is not stale-target, not inverted and not mixed. D-010 therefore stays single-execution; D-007 remains two-phase. One routing regression is added. ROUTING TEST FIX 0.1.4: the 0.1.3 routing implementation was not reached by its new regression. The regression constructed D-010 and D-007 BaselineScenario fixtures with Management pressure but omitted `data_profile='latest-narrow'`, so BaselineScenario.__post_init__ correctly rejected the fixture before the routing assertions. Both fixtures are now made canonical with data_refresh=10, latest-narrow, physical_partition_count=36 and balanced layout. No production harness code changes. COVERAGE RESTORE 0.1.5: audit of the actual 0.1.2/0.1.3/0.1.4 test payloads showed why the 0.1.4 gate completed at 291 rather than 292. Version 0.1.2 contained the bootstrap regression `test_stale_target_consumer_prepares_iteration_as_of_before_bootstrap_read`; when 0.1.3 added the new single-run/two-phase routing regression it was built from a stale test-file base and accidentally dropped that bootstrap regression. 0.1.4 correctly fixed the routing fixture and all 291 tests passed, thereby validating the production routing fix, but the suite still lacked the bootstrap coverage from 0.1.2. Version 0.1.5 restores that exact regression on top of 0.1.4. Both tests are now present simultaneously; no production code changes. ADJUDICATION FIX 0.1.6: the first successful single-execution D-010 workload completed its product path with 400 commits and 100 STALE_TARGET receipts but result.json reported FAIL because the metrics builder encoded two assumptions that do not match the durable contract. First, it compared OccurrenceChange.closure_reason to uppercase `CONFIGURATION_REMOVED`, while `as_document()` persisted `configuration_removed`. Second, it attempted to map stale journey events by a serialized `discriminator` field that does not exist; the durable correlation is the DEACTIVATION_DECISION receipt and `deactivation_decision_stale_target` journey emitted in the same engine commit/priority group, then checked against the request's original alarm/occurrence. Version 0.1.6 normalizes the closure value and correlates receipt↔journey by commit. The synthetic metrics regression is updated to the actual durable representation. FINAL CLOSURE: harness 0.1.6 gate passed 292/292. Authoritative clean run 24b97fa3-80b4-4f25-bab1-ca074d05590c returned PASS/GREEN with functional_integrity_ok=true. Independent durable audit matched the adjudicator: exact 400-record WAL geometry, 100 configuration removals, 100 STALE_TARGET, zero APPLIED/DeactivationEffect, exact cursors/pending state and durable==materialized. One 5.499 s overrun occurred on the isolated PERF-AC-2 adoption iteration; performance remains GREEN and the observation is carried into R3.5E configuration-adoption tests.</x:v>
      </x:c>
      <x:c r="R42" s="36" t="str">
        <x:v>Completed</x:v>
      </x:c>
      <x:c r="S42" s="36" t="str">
        <x:v>D-009 PASS/GREEN; D-010 harness 0.1.6 gate 292/292</x:v>
      </x:c>
      <x:c r="T42" s="36" t="str">
        <x:v>PASS / GREEN — run 24b97fa3-80b4-4f25-bab1-ca074d05590c. 100 PENDING_APPROVAL; 100 CLOSED/configuration_removed; 100 ManagementEffect STARTED + 100 CLEARED; 100 STALE_TARGET; 0 APPLIED; 0 DeactivationEffect; cursors=25600/25600; pending=0/0/0; 900 final alarms; request/decision input→receipt=1748.08/2165.09 ms; p95 iteration=1670.58 ms; 1 adoption overrun (5499.03 ms) accepted as secondary characterization; WAL=400 / 4,037,700 B; 0 duplicate commits/chains/snapshot mismatches; durable==materialized. R3.5D CLOSED 10/10.</x:v>
      </x:c>
      <x:c r="U42"/>
    </x:row>
    <x:row r="43">
      <x:c r="A43" s="36" t="str">
        <x:v>E-001</x:v>
      </x:c>
      <x:c r="B43" s="36" t="str">
        <x:v>R3.5E</x:v>
      </x:c>
      <x:c r="C43" s="36" t="n">
        <x:v>70</x:v>
      </x:c>
      <x:c r="D43" s="36" t="str">
        <x:v>Parameter-only adoption</x:v>
      </x:c>
      <x:c r="E43" s="36" t="str">
        <x:v>Validar adopción COMPATIBLE de una revisión que cambia sólo parámetros de evaluación, sin fabricar commits durables por el cambio de configuración.</x:v>
      </x:c>
      <x:c r="F43" s="36" t="n">
        <x:v>1000</x:v>
      </x:c>
      <x:c r="G43" s="36" t="str">
        <x:v>Local FS</x:v>
      </x:c>
      <x:c r="H43" s="36" t="str">
        <x:v>Latest Narrow / stable 100% ACTIVE</x:v>
      </x:c>
      <x:c r="I43" s="36" t="str">
        <x:v>36 balanced / 100 priority groups × 10 alarms</x:v>
      </x:c>
      <x:c r="J43" s="36" t="str">
        <x:v>No external Management/Decision input; ScheduledRevisionSource exposes PERF-AC-2 at +60 s</x:v>
      </x:c>
      <x:c r="K43" s="36" t="str">
        <x:v>PERF-AC-1 threshold=0.50 → PERF-AC-2 threshold=0.75; signal=1.00; Tool revision PERF-TR-1 stable</x:v>
      </x:c>
      <x:c r="L43" s="36" t="n">
        <x:v>3</x:v>
      </x:c>
      <x:c r="M43" s="36" t="n">
        <x:v>5</x:v>
      </x:c>
      <x:c r="N43" s="36" t="n">
        <x:v>10</x:v>
      </x:c>
      <x:c r="O43" s="36" t="str">
        <x:v>Correctness / compatible configuration adoption</x:v>
      </x:c>
      <x:c r="P43" s="36" t="str">
        <x:v>At +60 s the target revision must classify exactly 1000 alarms as COMPATIBLE and zero as UNCHANGED/STRUCTURAL_RESET/DISABLED/REMOVED/REJECTED. Adoption must produce no materialization/commit_result of its own, promote the effective cache to PERF-AC-2, and execute the normal operational cycle with PERF-AC-2 in the same iteration. Because status remains ACTIVE and periodic evidence is due only at +300 s, exact WAL for the 180 s run is 100 bootstrap records, all PERF-AC-1; zero durable records may use PERF-AC-2. Final 100 group snapshots remain state_basis PERF-AC-1 while the effective runtime cache is PERF-AC-2; 1000 occurrences remain open. This is intentional and proves revision promotion without artificial state rewriting.</x:v>
      </x:c>
      <x:c r="Q43" s="36" t="str">
        <x:v>HARNESS READY 0.1.0. New scenario contract fields: parameter_adoption_at_seconds and parameter_target_threshold. Target revision is built with the same 1000 identities and structural contract while changing threshold only. Metrics capture adoption plan dispositions, target session threshold count, effective cache revision, exact adoption iteration and CPU/duration, post-adoption CACHE_CURRENT observations, WAL revision geometry, snapshot state_basis and open occurrences. Hard expected: plan_change_count=1000, compatible=1000, every other disposition=0; target_runtime_alarm_count=1000; target_threshold_alarm_count=1000; one SOURCE_CANDIDATE/ADOPTED sample with cycle_executed=true; at least one later CACHE_CURRENT/not_required; effective cache PERF-AC-2; durable records=100 expected/actual, PERF-AC-1 records=100, PERF-AC-2 records=0; source state_basis snapshots=100, target state_basis snapshots=0; open occurrences=1000. D-010 adoption 5499.03 ms is comparison reference only, not a hard FAIL threshold. Four focused regressions added; expected full suite=296. Patch scope exactly baseline/metrics/run, their commented mirrors and tests. No Core/Runtime/dependency/version/lock change. Local AST production↔commented equivalence PASS; Python 3.13 compile sanity PASS for compatible files. Authoritative Ruff/pytest remains GLONBW11 Python 3.14.2 + UV. TEST FIX 0.1.1: the first GLONBW11 gate reached 295 PASS / 1 FAIL. The only failure occurred inside `test_e001_metrics_require_cache_promotion_without_target_revision_commits` while constructing its synthetic RuntimeManifest: the fixture used `schema_version=1` (int), but RuntimeManifest validates schema_version through `_required_text()` and requires a non-empty string. Version 0.1.1 changes only that fixture to `schema_version='1'`. No production/harness execution code changes; test count remains 296. TEST FIX 0.1.2: the 0.1.1 fixture corrected schema_version from int to string but still used the unsupported literal `'1'`. RuntimeManifest requires the exact public contract value `RUNTIME_MANIFEST_SCHEMA_VERSION`, currently `alarm-runtime-manifest.v1`. Version 0.1.2 imports and uses that constant directly instead of another hardcoded literal, so the regression follows the product contract without duplicating schema knowledge. No harness execution/product code changes; test count remains 296. AUTHORITATIVE CLOSURE: harness 0.1.2 gate passed 296/296. Run `29fdaf99-f789-4401-8866-a1cd9cff2bac` returned PASS/GREEN with integrity_ok=true and parameter_adoption functional_integrity_ok=true. Independent WAL/cache/snapshot audit matched the harness: 1000 COMPATIBLE, every other disposition=0; one SOURCE_CANDIDATE/ADOPTED iteration at #13 with cycle_executed=true; 24 subsequent CACHE_CURRENT/not_required iterations; effective cache PERF-AC-2; exact WAL=100 bootstrap records / 2,030,800 bytes, all PERF-AC-1 and all from the same bootstrap cycle; 0 PERF-AC-2 durable records; 100 snapshots remain state_basis PERF-AC-1; 1000 open occurrences; 0 duplicate commit IDs, 0 chain mismatches, 0 materialized snapshot mismatches; durable==materialized. Adoption iteration=1346.11 ms with 0 overruns, ~75.5% below the D-010 removal-adoption reference of 5499.03 ms.</x:v>
      </x:c>
      <x:c r="R43" s="36" t="str">
        <x:v>Completed</x:v>
      </x:c>
      <x:c r="S43" s="36" t="str">
        <x:v>E-001 harness 0.1.2 gate 296/296</x:v>
      </x:c>
      <x:c r="T43" s="36" t="str">
        <x:v>PASS / GREEN — run 29fdaf99-f789-4401-8866-a1cd9cff2bac. 1000 COMPATIBLE; 0 unchanged/structural reset/disabled/removed/rejected; target runtime=1000; target threshold 0.75 applied to 1000 alarms; adoption iteration #13=1346.11 ms, CPU=95.09%, cycle_executed=true; 24 post-adoption cache-current iterations; cache final PERF-AC-2. WAL exact=100 records / 2,030,800 B, all PERF-AC-1 bootstrap, target durable records=0; 100 snapshots state_basis PERF-AC-1, target state_basis=0; 1000 open occurrences; p50/p95/p99/max=918.55/1038.26/1728.05/1942.89 ms; 0 overruns; durable==materialized. E-001 CLOSED PASS/GREEN.</x:v>
      </x:c>
      <x:c r="U43"/>
    </x:row>
    <x:row r="44">
      <x:c r="A44" s="36" t="str">
        <x:v>E-002</x:v>
      </x:c>
      <x:c r="B44" s="36" t="str">
        <x:v>R3.5E</x:v>
      </x:c>
      <x:c r="C44" s="36" t="n">
        <x:v>71</x:v>
      </x:c>
      <x:c r="D44" s="36" t="str">
        <x:v>C2 routing adoption</x:v>
      </x:c>
      <x:c r="E44" s="36" t="str">
        <x:v>Medir reconciliación C2</x:v>
      </x:c>
      <x:c r="F44" s="36" t="n">
        <x:v>1000</x:v>
      </x:c>
      <x:c r="G44" s="36" t="str">
        <x:v>Local FS</x:v>
      </x:c>
      <x:c r="H44" s="36" t="str">
        <x:v>Operational churn</x:v>
      </x:c>
      <x:c r="I44" s="36" t="str">
        <x:v>C2-heavy</x:v>
      </x:c>
      <x:c r="J44" s="36" t="str">
        <x:v>None</x:v>
      </x:c>
      <x:c r="K44" s="36" t="str">
        <x:v>C2 routing change</x:v>
      </x:c>
      <x:c r="L44" s="36" t="n">
        <x:v>10</x:v>
      </x:c>
      <x:c r="M44" s="36" t="n">
        <x:v>5</x:v>
      </x:c>
      <x:c r="N44" s="36" t="n">
        <x:v>10</x:v>
      </x:c>
      <x:c r="O44" s="36" t="str">
        <x:v>Config adoption</x:v>
      </x:c>
      <x:c r="P44" s="36" t="str">
        <x:v>0 routing corruption</x:v>
      </x:c>
      <x:c r="Q44" s="36" t="str">
        <x:v>Adoption duration</x:v>
      </x:c>
      <x:c r="R44" s="36" t="str">
        <x:v>Planned</x:v>
      </x:c>
      <x:c r="S44" s="36" t="str">
        <x:v>E-001</x:v>
      </x:c>
      <x:c r="T44" s="36" t="str"/>
    </x:row>
    <x:row r="45">
      <x:c r="A45" s="36" t="str">
        <x:v>E-003</x:v>
      </x:c>
      <x:c r="B45" s="36" t="str">
        <x:v>R3.5E</x:v>
      </x:c>
      <x:c r="C45" s="36" t="n">
        <x:v>72</x:v>
      </x:c>
      <x:c r="D45" s="36" t="str">
        <x:v>Disabled 10%</x:v>
      </x:c>
      <x:c r="E45" s="36" t="str">
        <x:v>Medir cierres por config</x:v>
      </x:c>
      <x:c r="F45" s="36" t="n">
        <x:v>1000</x:v>
      </x:c>
      <x:c r="G45" s="36" t="str">
        <x:v>Local FS</x:v>
      </x:c>
      <x:c r="H45" s="36" t="str">
        <x:v>Operational churn</x:v>
      </x:c>
      <x:c r="I45" s="36" t="str">
        <x:v>Balanced</x:v>
      </x:c>
      <x:c r="J45" s="36" t="str">
        <x:v>None</x:v>
      </x:c>
      <x:c r="K45" s="36" t="str">
        <x:v>10% disabled</x:v>
      </x:c>
      <x:c r="L45" s="36" t="n">
        <x:v>10</x:v>
      </x:c>
      <x:c r="M45" s="36" t="n">
        <x:v>5</x:v>
      </x:c>
      <x:c r="N45" s="36" t="n">
        <x:v>10</x:v>
      </x:c>
      <x:c r="O45" s="36" t="str">
        <x:v>Config adoption</x:v>
      </x:c>
      <x:c r="P45" s="36" t="str">
        <x:v>correct closures</x:v>
      </x:c>
      <x:c r="Q45" s="36" t="str">
        <x:v>WAL/snapshot spike</x:v>
      </x:c>
      <x:c r="R45" s="36" t="str">
        <x:v>Planned</x:v>
      </x:c>
      <x:c r="S45" s="36" t="str">
        <x:v>E-001</x:v>
      </x:c>
      <x:c r="T45" s="36" t="str"/>
    </x:row>
    <x:row r="46">
      <x:c r="A46" s="36" t="str">
        <x:v>E-004</x:v>
      </x:c>
      <x:c r="B46" s="36" t="str">
        <x:v>R3.5E</x:v>
      </x:c>
      <x:c r="C46" s="36" t="n">
        <x:v>73</x:v>
      </x:c>
      <x:c r="D46" s="36" t="str">
        <x:v>Removed 10%</x:v>
      </x:c>
      <x:c r="E46" s="36" t="str">
        <x:v>Medir removal + orphan deactivation handling</x:v>
      </x:c>
      <x:c r="F46" s="36" t="n">
        <x:v>1000</x:v>
      </x:c>
      <x:c r="G46" s="36" t="str">
        <x:v>Local FS</x:v>
      </x:c>
      <x:c r="H46" s="36" t="str">
        <x:v>Operational churn</x:v>
      </x:c>
      <x:c r="I46" s="36" t="str">
        <x:v>Balanced</x:v>
      </x:c>
      <x:c r="J46" s="36" t="str">
        <x:v>None</x:v>
      </x:c>
      <x:c r="K46" s="36" t="str">
        <x:v>10% removed</x:v>
      </x:c>
      <x:c r="L46" s="36" t="n">
        <x:v>10</x:v>
      </x:c>
      <x:c r="M46" s="36" t="n">
        <x:v>5</x:v>
      </x:c>
      <x:c r="N46" s="36" t="n">
        <x:v>10</x:v>
      </x:c>
      <x:c r="O46" s="36" t="str">
        <x:v>Config adoption</x:v>
      </x:c>
      <x:c r="P46" s="36" t="str">
        <x:v>correct closures / preserved effects</x:v>
      </x:c>
      <x:c r="Q46" s="36" t="str">
        <x:v>Adoption duration</x:v>
      </x:c>
      <x:c r="R46" s="36" t="str">
        <x:v>Planned</x:v>
      </x:c>
      <x:c r="S46" s="36" t="str">
        <x:v>E-003</x:v>
      </x:c>
      <x:c r="T46" s="36" t="str"/>
    </x:row>
    <x:row r="47">
      <x:c r="A47" s="36" t="str">
        <x:v>E-005</x:v>
      </x:c>
      <x:c r="B47" s="36" t="str">
        <x:v>R3.5E</x:v>
      </x:c>
      <x:c r="C47" s="36" t="n">
        <x:v>74</x:v>
      </x:c>
      <x:c r="D47" s="36" t="str">
        <x:v>Structural reset 5%</x:v>
      </x:c>
      <x:c r="E47" s="36" t="str">
        <x:v>Medir resets y siguiente iteración inmediata</x:v>
      </x:c>
      <x:c r="F47" s="36" t="n">
        <x:v>1000</x:v>
      </x:c>
      <x:c r="G47" s="36" t="str">
        <x:v>Local FS</x:v>
      </x:c>
      <x:c r="H47" s="36" t="str">
        <x:v>Operational churn</x:v>
      </x:c>
      <x:c r="I47" s="36" t="str">
        <x:v>Mixed</x:v>
      </x:c>
      <x:c r="J47" s="36" t="str">
        <x:v>None</x:v>
      </x:c>
      <x:c r="K47" s="36" t="str">
        <x:v>5% structural reset</x:v>
      </x:c>
      <x:c r="L47" s="36" t="n">
        <x:v>10</x:v>
      </x:c>
      <x:c r="M47" s="36" t="n">
        <x:v>5</x:v>
      </x:c>
      <x:c r="N47" s="36" t="n">
        <x:v>10</x:v>
      </x:c>
      <x:c r="O47" s="36" t="str">
        <x:v>Config adoption</x:v>
      </x:c>
      <x:c r="P47" s="36" t="str">
        <x:v>1 durable unit/iteration</x:v>
      </x:c>
      <x:c r="Q47" s="36" t="str">
        <x:v>Bypass 0 delay</x:v>
      </x:c>
      <x:c r="R47" s="36" t="str">
        <x:v>Planned</x:v>
      </x:c>
      <x:c r="S47" s="36" t="str">
        <x:v>E-002</x:v>
      </x:c>
      <x:c r="T47" s="36" t="str"/>
    </x:row>
    <x:row r="48">
      <x:c r="A48" s="36" t="str">
        <x:v>E-006</x:v>
      </x:c>
      <x:c r="B48" s="36" t="str">
        <x:v>R3.5E</x:v>
      </x:c>
      <x:c r="C48" s="36" t="n">
        <x:v>75</x:v>
      </x:c>
      <x:c r="D48" s="36" t="str">
        <x:v>Large mixed revision</x:v>
      </x:c>
      <x:c r="E48" s="36" t="str">
        <x:v>Combinar compatible/disabled/removed/reset</x:v>
      </x:c>
      <x:c r="F48" s="36" t="n">
        <x:v>1000</x:v>
      </x:c>
      <x:c r="G48" s="36" t="str">
        <x:v>Local FS</x:v>
      </x:c>
      <x:c r="H48" s="36" t="str">
        <x:v>Operational churn</x:v>
      </x:c>
      <x:c r="I48" s="36" t="str">
        <x:v>Mixed</x:v>
      </x:c>
      <x:c r="J48" s="36" t="str">
        <x:v>None</x:v>
      </x:c>
      <x:c r="K48" s="36" t="str">
        <x:v>Large mixed revision</x:v>
      </x:c>
      <x:c r="L48" s="36" t="n">
        <x:v>10</x:v>
      </x:c>
      <x:c r="M48" s="36" t="n">
        <x:v>5</x:v>
      </x:c>
      <x:c r="N48" s="36" t="n">
        <x:v>10</x:v>
      </x:c>
      <x:c r="O48" s="36" t="str">
        <x:v>Stress</x:v>
      </x:c>
      <x:c r="P48" s="36" t="str">
        <x:v>0 durable errors</x:v>
      </x:c>
      <x:c r="Q48" s="36" t="str">
        <x:v>Caracterizar adoption peak</x:v>
      </x:c>
      <x:c r="R48" s="36" t="str">
        <x:v>Planned</x:v>
      </x:c>
      <x:c r="S48" s="36" t="str">
        <x:v>E-005</x:v>
      </x:c>
      <x:c r="T48" s="36" t="str"/>
    </x:row>
    <x:row r="49">
      <x:c r="A49" s="36" t="str">
        <x:v>E-007</x:v>
      </x:c>
      <x:c r="B49" s="36" t="str">
        <x:v>R3.5E</x:v>
      </x:c>
      <x:c r="C49" s="36" t="n">
        <x:v>76</x:v>
      </x:c>
      <x:c r="D49" s="36" t="str">
        <x:v>Rejected target</x:v>
      </x:c>
      <x:c r="E49" s="36" t="str">
        <x:v>Validar last-known-good bajo rechazo</x:v>
      </x:c>
      <x:c r="F49" s="36" t="n">
        <x:v>1000</x:v>
      </x:c>
      <x:c r="G49" s="36" t="str">
        <x:v>Local FS</x:v>
      </x:c>
      <x:c r="H49" s="36" t="str">
        <x:v>Steady-state</x:v>
      </x:c>
      <x:c r="I49" s="36" t="str">
        <x:v>Baseline</x:v>
      </x:c>
      <x:c r="J49" s="36" t="str">
        <x:v>None</x:v>
      </x:c>
      <x:c r="K49" s="36" t="str">
        <x:v>Rejected revision</x:v>
      </x:c>
      <x:c r="L49" s="36" t="n">
        <x:v>10</x:v>
      </x:c>
      <x:c r="M49" s="36" t="n">
        <x:v>5</x:v>
      </x:c>
      <x:c r="N49" s="36" t="n">
        <x:v>10</x:v>
      </x:c>
      <x:c r="O49" s="36" t="str">
        <x:v>Failure</x:v>
      </x:c>
      <x:c r="P49" s="36" t="str">
        <x:v>LKG preserved</x:v>
      </x:c>
      <x:c r="Q49" s="36" t="str">
        <x:v>Debe continuar degradado</x:v>
      </x:c>
      <x:c r="R49" s="36" t="str">
        <x:v>Planned</x:v>
      </x:c>
      <x:c r="S49" s="36" t="str">
        <x:v>E-001</x:v>
      </x:c>
      <x:c r="T49" s="36" t="str"/>
    </x:row>
    <x:row r="50">
      <x:c r="A50" s="36" t="str">
        <x:v>E-008</x:v>
      </x:c>
      <x:c r="B50" s="36" t="str">
        <x:v>R3.5E</x:v>
      </x:c>
      <x:c r="C50" s="36" t="n">
        <x:v>77</x:v>
      </x:c>
      <x:c r="D50" s="36" t="str">
        <x:v>Source unavailable</x:v>
      </x:c>
      <x:c r="E50" s="36" t="str">
        <x:v>Validar CACHE_FALLBACK bajo carga</x:v>
      </x:c>
      <x:c r="F50" s="36" t="n">
        <x:v>1000</x:v>
      </x:c>
      <x:c r="G50" s="36" t="str">
        <x:v>Local FS</x:v>
      </x:c>
      <x:c r="H50" s="36" t="str">
        <x:v>Operational churn</x:v>
      </x:c>
      <x:c r="I50" s="36" t="str">
        <x:v>Baseline</x:v>
      </x:c>
      <x:c r="J50" s="36" t="str">
        <x:v>None</x:v>
      </x:c>
      <x:c r="K50" s="36" t="str">
        <x:v>Source unavailable</x:v>
      </x:c>
      <x:c r="L50" s="36" t="n">
        <x:v>10</x:v>
      </x:c>
      <x:c r="M50" s="36" t="n">
        <x:v>5</x:v>
      </x:c>
      <x:c r="N50" s="36" t="n">
        <x:v>10</x:v>
      </x:c>
      <x:c r="O50" s="36" t="str">
        <x:v>Failure</x:v>
      </x:c>
      <x:c r="P50" s="36" t="str">
        <x:v>LKG preserved</x:v>
      </x:c>
      <x:c r="Q50" s="36" t="str">
        <x:v>Continuidad degradada</x:v>
      </x:c>
      <x:c r="R50" s="36" t="str">
        <x:v>Planned</x:v>
      </x:c>
      <x:c r="S50" s="36" t="str">
        <x:v>E-007</x:v>
      </x:c>
      <x:c r="T50" s="36" t="str"/>
    </x:row>
    <x:row r="51">
      <x:c r="A51" s="36" t="str">
        <x:v>E-009</x:v>
      </x:c>
      <x:c r="B51" s="36" t="str">
        <x:v>R3.5E</x:v>
      </x:c>
      <x:c r="C51" s="36" t="n">
        <x:v>78</x:v>
      </x:c>
      <x:c r="D51" s="36" t="str">
        <x:v>Invalid source candidate</x:v>
      </x:c>
      <x:c r="E51" s="36" t="str">
        <x:v>Validar candidate inválido sin reemplazar cache</x:v>
      </x:c>
      <x:c r="F51" s="36" t="n">
        <x:v>1000</x:v>
      </x:c>
      <x:c r="G51" s="36" t="str">
        <x:v>Local FS</x:v>
      </x:c>
      <x:c r="H51" s="36" t="str">
        <x:v>Operational churn</x:v>
      </x:c>
      <x:c r="I51" s="36" t="str">
        <x:v>Baseline</x:v>
      </x:c>
      <x:c r="J51" s="36" t="str">
        <x:v>None</x:v>
      </x:c>
      <x:c r="K51" s="36" t="str">
        <x:v>Invalid candidate</x:v>
      </x:c>
      <x:c r="L51" s="36" t="n">
        <x:v>10</x:v>
      </x:c>
      <x:c r="M51" s="36" t="n">
        <x:v>5</x:v>
      </x:c>
      <x:c r="N51" s="36" t="n">
        <x:v>10</x:v>
      </x:c>
      <x:c r="O51" s="36" t="str">
        <x:v>Failure</x:v>
      </x:c>
      <x:c r="P51" s="36" t="str">
        <x:v>cache unchanged</x:v>
      </x:c>
      <x:c r="Q51" s="36" t="str">
        <x:v>Continuidad degradada</x:v>
      </x:c>
      <x:c r="R51" s="36" t="str">
        <x:v>Planned</x:v>
      </x:c>
      <x:c r="S51" s="36" t="str">
        <x:v>E-008</x:v>
      </x:c>
      <x:c r="T51" s="36" t="str"/>
    </x:row>
    <x:row r="52">
      <x:c r="A52" s="36" t="str">
        <x:v>E-010</x:v>
      </x:c>
      <x:c r="B52" s="36" t="str">
        <x:v>R3.5E</x:v>
      </x:c>
      <x:c r="C52" s="36" t="n">
        <x:v>79</x:v>
      </x:c>
      <x:c r="D52" s="36" t="str">
        <x:v>Lease lost after WAL before cache</x:v>
      </x:c>
      <x:c r="E52" s="36" t="str">
        <x:v>Validar replay idempotente de adopción</x:v>
      </x:c>
      <x:c r="F52" s="36" t="n">
        <x:v>1000</x:v>
      </x:c>
      <x:c r="G52" s="36" t="str">
        <x:v>SMB</x:v>
      </x:c>
      <x:c r="H52" s="36" t="str">
        <x:v>Operational churn</x:v>
      </x:c>
      <x:c r="I52" s="36" t="str">
        <x:v>Baseline</x:v>
      </x:c>
      <x:c r="J52" s="36" t="str">
        <x:v>None</x:v>
      </x:c>
      <x:c r="K52" s="36" t="str">
        <x:v>Lease loss window</x:v>
      </x:c>
      <x:c r="L52" s="36" t="n">
        <x:v>10</x:v>
      </x:c>
      <x:c r="M52" s="36" t="n">
        <x:v>5</x:v>
      </x:c>
      <x:c r="N52" s="36" t="n">
        <x:v>10</x:v>
      </x:c>
      <x:c r="O52" s="36" t="str">
        <x:v>Failure</x:v>
      </x:c>
      <x:c r="P52" s="36" t="str">
        <x:v>no stale cache promotion</x:v>
      </x:c>
      <x:c r="Q52" s="36" t="str">
        <x:v>Recovery/replay correcto</x:v>
      </x:c>
      <x:c r="R52" s="36" t="str">
        <x:v>Conditional</x:v>
      </x:c>
      <x:c r="S52" s="36" t="str">
        <x:v>SMB environment</x:v>
      </x:c>
      <x:c r="T52" s="36" t="str"/>
    </x:row>
    <x:row r="53">
      <x:c r="A53" s="36" t="str">
        <x:v>E-011</x:v>
      </x:c>
      <x:c r="B53" s="36" t="str">
        <x:v>R3.5E</x:v>
      </x:c>
      <x:c r="C53" s="36" t="n">
        <x:v>80</x:v>
      </x:c>
      <x:c r="D53" s="36" t="str">
        <x:v>Cache promotion failure</x:v>
      </x:c>
      <x:c r="E53" s="36" t="str">
        <x:v>Validar fail-closed tras adopción durable</x:v>
      </x:c>
      <x:c r="F53" s="36" t="n">
        <x:v>1000</x:v>
      </x:c>
      <x:c r="G53" s="36" t="str">
        <x:v>Local FS</x:v>
      </x:c>
      <x:c r="H53" s="36" t="str">
        <x:v>Operational churn</x:v>
      </x:c>
      <x:c r="I53" s="36" t="str">
        <x:v>Baseline</x:v>
      </x:c>
      <x:c r="J53" s="36" t="str">
        <x:v>None</x:v>
      </x:c>
      <x:c r="K53" s="36" t="str">
        <x:v>Injected cache write failure</x:v>
      </x:c>
      <x:c r="L53" s="36" t="n">
        <x:v>10</x:v>
      </x:c>
      <x:c r="M53" s="36" t="n">
        <x:v>5</x:v>
      </x:c>
      <x:c r="N53" s="36" t="n">
        <x:v>10</x:v>
      </x:c>
      <x:c r="O53" s="36" t="str">
        <x:v>Failure</x:v>
      </x:c>
      <x:c r="P53" s="36" t="str">
        <x:v>no new operational cycle</x:v>
      </x:c>
      <x:c r="Q53" s="36" t="str">
        <x:v>Debe detener run</x:v>
      </x:c>
      <x:c r="R53" s="36" t="str">
        <x:v>Planned</x:v>
      </x:c>
      <x:c r="S53" s="36" t="str">
        <x:v>E-006</x:v>
      </x:c>
      <x:c r="T53" s="36" t="str"/>
    </x:row>
    <x:row r="54">
      <x:c r="A54" s="36" t="str">
        <x:v>E-012</x:v>
      </x:c>
      <x:c r="B54" s="36" t="str">
        <x:v>R3.5E</x:v>
      </x:c>
      <x:c r="C54" s="36" t="n">
        <x:v>81</x:v>
      </x:c>
      <x:c r="D54" s="36" t="str">
        <x:v>Drain under workload</x:v>
      </x:c>
      <x:c r="E54" s="36" t="str">
        <x:v>Validar no new frozen unit y reconciliación</x:v>
      </x:c>
      <x:c r="F54" s="36" t="n">
        <x:v>1000</x:v>
      </x:c>
      <x:c r="G54" s="36" t="str">
        <x:v>Local FS</x:v>
      </x:c>
      <x:c r="H54" s="36" t="str">
        <x:v>Operational churn</x:v>
      </x:c>
      <x:c r="I54" s="36" t="str">
        <x:v>Mixed</x:v>
      </x:c>
      <x:c r="J54" s="36" t="str">
        <x:v>Mgmt + decisions</x:v>
      </x:c>
      <x:c r="K54" s="36" t="str">
        <x:v>Stop/drain</x:v>
      </x:c>
      <x:c r="L54" s="36" t="n">
        <x:v>10</x:v>
      </x:c>
      <x:c r="M54" s="36" t="n">
        <x:v>5</x:v>
      </x:c>
      <x:c r="N54" s="36" t="n">
        <x:v>10</x:v>
      </x:c>
      <x:c r="O54" s="36" t="str">
        <x:v>Drain</x:v>
      </x:c>
      <x:c r="P54" s="36" t="str">
        <x:v>durable==materialized</x:v>
      </x:c>
      <x:c r="Q54" s="36" t="str">
        <x:v>Drain duration separada</x:v>
      </x:c>
      <x:c r="R54" s="36" t="str">
        <x:v>Planned</x:v>
      </x:c>
      <x:c r="S54" s="36" t="str">
        <x:v>D-009</x:v>
      </x:c>
      <x:c r="T54" s="36" t="str"/>
    </x:row>
    <x:row r="55">
      <x:c r="A55" s="36" t="str">
        <x:v>F-001</x:v>
      </x:c>
      <x:c r="B55" s="36" t="str">
        <x:v>R3.5F</x:v>
      </x:c>
      <x:c r="C55" s="36" t="n">
        <x:v>90</x:v>
      </x:c>
      <x:c r="D55" s="36" t="str">
        <x:v>Soak 500 local 30m</x:v>
      </x:c>
      <x:c r="E55" s="36" t="str">
        <x:v>Observar estabilidad temporal</x:v>
      </x:c>
      <x:c r="F55" s="36" t="n">
        <x:v>500</x:v>
      </x:c>
      <x:c r="G55" s="36" t="str">
        <x:v>Local FS</x:v>
      </x:c>
      <x:c r="H55" s="36" t="str">
        <x:v>Mixed realistic</x:v>
      </x:c>
      <x:c r="I55" s="36" t="str">
        <x:v>Mixed</x:v>
      </x:c>
      <x:c r="J55" s="36" t="str">
        <x:v>Low control-plane</x:v>
      </x:c>
      <x:c r="K55" s="36" t="str">
        <x:v>Stable config</x:v>
      </x:c>
      <x:c r="L55" s="36" t="n">
        <x:v>30</x:v>
      </x:c>
      <x:c r="M55" s="36" t="n">
        <x:v>5</x:v>
      </x:c>
      <x:c r="N55" s="36" t="n">
        <x:v>10</x:v>
      </x:c>
      <x:c r="O55" s="36" t="str">
        <x:v>Soak</x:v>
      </x:c>
      <x:c r="P55" s="36" t="str">
        <x:v>0 integrity errors / bounded memory</x:v>
      </x:c>
      <x:c r="Q55" s="36" t="str">
        <x:v>Trend &gt; absolute threshold</x:v>
      </x:c>
      <x:c r="R55" s="36" t="str">
        <x:v>Planned</x:v>
      </x:c>
      <x:c r="S55" s="36" t="str">
        <x:v>A-003</x:v>
      </x:c>
      <x:c r="T55" s="36" t="str"/>
    </x:row>
    <x:row r="56">
      <x:c r="A56" s="36" t="str">
        <x:v>F-002</x:v>
      </x:c>
      <x:c r="B56" s="36" t="str">
        <x:v>R3.5F</x:v>
      </x:c>
      <x:c r="C56" s="36" t="n">
        <x:v>91</x:v>
      </x:c>
      <x:c r="D56" s="36" t="str">
        <x:v>Soak 1000 local 30m</x:v>
      </x:c>
      <x:c r="E56" s="36" t="str">
        <x:v>Observar estabilidad temporal objetivo</x:v>
      </x:c>
      <x:c r="F56" s="36" t="n">
        <x:v>1000</x:v>
      </x:c>
      <x:c r="G56" s="36" t="str">
        <x:v>Local FS</x:v>
      </x:c>
      <x:c r="H56" s="36" t="str">
        <x:v>Mixed realistic</x:v>
      </x:c>
      <x:c r="I56" s="36" t="str">
        <x:v>Mixed</x:v>
      </x:c>
      <x:c r="J56" s="36" t="str">
        <x:v>Low control-plane</x:v>
      </x:c>
      <x:c r="K56" s="36" t="str">
        <x:v>Stable config</x:v>
      </x:c>
      <x:c r="L56" s="36" t="n">
        <x:v>30</x:v>
      </x:c>
      <x:c r="M56" s="36" t="n">
        <x:v>5</x:v>
      </x:c>
      <x:c r="N56" s="36" t="n">
        <x:v>10</x:v>
      </x:c>
      <x:c r="O56" s="36" t="str">
        <x:v>Soak</x:v>
      </x:c>
      <x:c r="P56" s="36" t="str">
        <x:v>0 integrity errors / bounded memory</x:v>
      </x:c>
      <x:c r="Q56" s="36" t="str">
        <x:v>RSS slope + p95 trend</x:v>
      </x:c>
      <x:c r="R56" s="36" t="str">
        <x:v>Planned</x:v>
      </x:c>
      <x:c r="S56" s="36" t="str">
        <x:v>A-005</x:v>
      </x:c>
      <x:c r="T56" s="36" t="str"/>
    </x:row>
    <x:row r="57">
      <x:c r="A57" s="36" t="str">
        <x:v>F-003</x:v>
      </x:c>
      <x:c r="B57" s="36" t="str">
        <x:v>R3.5F</x:v>
      </x:c>
      <x:c r="C57" s="36" t="n">
        <x:v>92</x:v>
      </x:c>
      <x:c r="D57" s="36" t="str">
        <x:v>Soak 1000 local 60m</x:v>
      </x:c>
      <x:c r="E57" s="36" t="str">
        <x:v>Confirmar estabilidad prolongada</x:v>
      </x:c>
      <x:c r="F57" s="36" t="n">
        <x:v>1000</x:v>
      </x:c>
      <x:c r="G57" s="36" t="str">
        <x:v>Local FS</x:v>
      </x:c>
      <x:c r="H57" s="36" t="str">
        <x:v>Mixed realistic</x:v>
      </x:c>
      <x:c r="I57" s="36" t="str">
        <x:v>Mixed</x:v>
      </x:c>
      <x:c r="J57" s="36" t="str">
        <x:v>Low control-plane</x:v>
      </x:c>
      <x:c r="K57" s="36" t="str">
        <x:v>Stable config</x:v>
      </x:c>
      <x:c r="L57" s="36" t="n">
        <x:v>60</x:v>
      </x:c>
      <x:c r="M57" s="36" t="n">
        <x:v>5</x:v>
      </x:c>
      <x:c r="N57" s="36" t="n">
        <x:v>10</x:v>
      </x:c>
      <x:c r="O57" s="36" t="str">
        <x:v>Soak</x:v>
      </x:c>
      <x:c r="P57" s="36" t="str">
        <x:v>0 integrity errors / bounded memory</x:v>
      </x:c>
      <x:c r="Q57" s="36" t="str">
        <x:v>RSS slope + no degradation</x:v>
      </x:c>
      <x:c r="R57" s="36" t="str">
        <x:v>Conditional</x:v>
      </x:c>
      <x:c r="S57" s="36" t="str">
        <x:v>F-002</x:v>
      </x:c>
      <x:c r="T57" s="36" t="str"/>
    </x:row>
    <x:row r="58">
      <x:c r="A58" s="36" t="str">
        <x:v>F-004</x:v>
      </x:c>
      <x:c r="B58" s="36" t="str">
        <x:v>R3.5F</x:v>
      </x:c>
      <x:c r="C58" s="36" t="n">
        <x:v>93</x:v>
      </x:c>
      <x:c r="D58" s="36" t="str">
        <x:v>Soak 500 SMB 30m</x:v>
      </x:c>
      <x:c r="E58" s="36" t="str">
        <x:v>Separar costo filesystem compartido</x:v>
      </x:c>
      <x:c r="F58" s="36" t="n">
        <x:v>500</x:v>
      </x:c>
      <x:c r="G58" s="36" t="str">
        <x:v>SMB</x:v>
      </x:c>
      <x:c r="H58" s="36" t="str">
        <x:v>Mixed realistic</x:v>
      </x:c>
      <x:c r="I58" s="36" t="str">
        <x:v>Mixed</x:v>
      </x:c>
      <x:c r="J58" s="36" t="str">
        <x:v>Low control-plane</x:v>
      </x:c>
      <x:c r="K58" s="36" t="str">
        <x:v>Stable config</x:v>
      </x:c>
      <x:c r="L58" s="36" t="n">
        <x:v>30</x:v>
      </x:c>
      <x:c r="M58" s="36" t="n">
        <x:v>5</x:v>
      </x:c>
      <x:c r="N58" s="36" t="n">
        <x:v>10</x:v>
      </x:c>
      <x:c r="O58" s="36" t="str">
        <x:v>Soak</x:v>
      </x:c>
      <x:c r="P58" s="36" t="str">
        <x:v>0 integrity errors</x:v>
      </x:c>
      <x:c r="Q58" s="36" t="str">
        <x:v>Comparar local vs SMB</x:v>
      </x:c>
      <x:c r="R58" s="36" t="str">
        <x:v>Conditional</x:v>
      </x:c>
      <x:c r="S58" s="36" t="str">
        <x:v>SMB environment</x:v>
      </x:c>
      <x:c r="T58" s="36" t="str"/>
    </x:row>
    <x:row r="59">
      <x:c r="A59" s="36" t="str">
        <x:v>F-005</x:v>
      </x:c>
      <x:c r="B59" s="36" t="str">
        <x:v>R3.5F</x:v>
      </x:c>
      <x:c r="C59" s="36" t="n">
        <x:v>94</x:v>
      </x:c>
      <x:c r="D59" s="36" t="str">
        <x:v>Soak 1000 SMB 30m</x:v>
      </x:c>
      <x:c r="E59" s="36" t="str">
        <x:v>Caracterizar target sobre SMB</x:v>
      </x:c>
      <x:c r="F59" s="36" t="n">
        <x:v>1000</x:v>
      </x:c>
      <x:c r="G59" s="36" t="str">
        <x:v>SMB</x:v>
      </x:c>
      <x:c r="H59" s="36" t="str">
        <x:v>Mixed realistic</x:v>
      </x:c>
      <x:c r="I59" s="36" t="str">
        <x:v>Mixed</x:v>
      </x:c>
      <x:c r="J59" s="36" t="str">
        <x:v>Low control-plane</x:v>
      </x:c>
      <x:c r="K59" s="36" t="str">
        <x:v>Stable config</x:v>
      </x:c>
      <x:c r="L59" s="36" t="n">
        <x:v>30</x:v>
      </x:c>
      <x:c r="M59" s="36" t="n">
        <x:v>5</x:v>
      </x:c>
      <x:c r="N59" s="36" t="n">
        <x:v>10</x:v>
      </x:c>
      <x:c r="O59" s="36" t="str">
        <x:v>Soak</x:v>
      </x:c>
      <x:c r="P59" s="36" t="str">
        <x:v>0 integrity errors</x:v>
      </x:c>
      <x:c r="Q59" s="36" t="str">
        <x:v>Comparar p95/WAL/snapshot</x:v>
      </x:c>
      <x:c r="R59" s="36" t="str">
        <x:v>Conditional</x:v>
      </x:c>
      <x:c r="S59" s="36" t="str">
        <x:v>F-004</x:v>
      </x:c>
      <x:c r="T59" s="36" t="str"/>
    </x:row>
    <x:row r="60">
      <x:c r="A60" s="36" t="str">
        <x:v>F-006</x:v>
      </x:c>
      <x:c r="B60" s="36" t="str">
        <x:v>R3.5F</x:v>
      </x:c>
      <x:c r="C60" s="36" t="n">
        <x:v>95</x:v>
      </x:c>
      <x:c r="D60" s="36" t="str">
        <x:v>Progressive memory pressure</x:v>
      </x:c>
      <x:c r="E60" s="36" t="str">
        <x:v>Aumentar volumen de datos manteniendo alarmas</x:v>
      </x:c>
      <x:c r="F60" s="36" t="n">
        <x:v>1000</x:v>
      </x:c>
      <x:c r="G60" s="36" t="str">
        <x:v>Local FS</x:v>
      </x:c>
      <x:c r="H60" s="36" t="str">
        <x:v>Increasing dataset volume</x:v>
      </x:c>
      <x:c r="I60" s="36" t="str">
        <x:v>Increasing partitions/sources</x:v>
      </x:c>
      <x:c r="J60" s="36" t="str">
        <x:v>None</x:v>
      </x:c>
      <x:c r="K60" s="36" t="str">
        <x:v>Stable config</x:v>
      </x:c>
      <x:c r="L60" s="36" t="n">
        <x:v>20</x:v>
      </x:c>
      <x:c r="M60" s="36" t="n">
        <x:v>5</x:v>
      </x:c>
      <x:c r="N60" s="36" t="n">
        <x:v>10</x:v>
      </x:c>
      <x:c r="O60" s="36" t="str">
        <x:v>Stress</x:v>
      </x:c>
      <x:c r="P60" s="36" t="str">
        <x:v>no OOM/corruption</x:v>
      </x:c>
      <x:c r="Q60" s="36" t="str">
        <x:v>Registrar peak y slope</x:v>
      </x:c>
      <x:c r="R60" s="36" t="str">
        <x:v>Planned</x:v>
      </x:c>
      <x:c r="S60" s="36" t="str">
        <x:v>B-010</x:v>
      </x:c>
      <x:c r="T60" s="36" t="str"/>
    </x:row>
    <x:row r="61">
      <x:c r="A61" s="36" t="str">
        <x:v>F-007</x:v>
      </x:c>
      <x:c r="B61" s="36" t="str">
        <x:v>R3.5F</x:v>
      </x:c>
      <x:c r="C61" s="36" t="n">
        <x:v>96</x:v>
      </x:c>
      <x:c r="D61" s="36" t="str">
        <x:v>Alarm saturation 1250→2000+</x:v>
      </x:c>
      <x:c r="E61" s="36" t="str">
        <x:v>Encontrar rodilla de capacidad</x:v>
      </x:c>
      <x:c r="F61" s="36" t="n">
        <x:v>1250</x:v>
      </x:c>
      <x:c r="G61" s="36" t="str">
        <x:v>Local FS</x:v>
      </x:c>
      <x:c r="H61" s="36" t="str">
        <x:v>Mixed realistic</x:v>
      </x:c>
      <x:c r="I61" s="36" t="str">
        <x:v>Mixed</x:v>
      </x:c>
      <x:c r="J61" s="36" t="str">
        <x:v>Low control-plane</x:v>
      </x:c>
      <x:c r="K61" s="36" t="str">
        <x:v>Stable config</x:v>
      </x:c>
      <x:c r="L61" s="36" t="n">
        <x:v>10</x:v>
      </x:c>
      <x:c r="M61" s="36" t="n">
        <x:v>5</x:v>
      </x:c>
      <x:c r="N61" s="36" t="n">
        <x:v>10</x:v>
      </x:c>
      <x:c r="O61" s="36" t="str">
        <x:v>Saturation</x:v>
      </x:c>
      <x:c r="P61" s="36" t="str">
        <x:v>0 integrity errors</x:v>
      </x:c>
      <x:c r="Q61" s="36" t="str">
        <x:v>Escalar progresivamente hasta evidencia de límite</x:v>
      </x:c>
      <x:c r="R61" s="36" t="str">
        <x:v>Conditional</x:v>
      </x:c>
      <x:c r="S61" s="36" t="str">
        <x:v>F-002</x:v>
      </x:c>
      <x:c r="T61" s="36" t="str"/>
    </x:row>
    <x:row r="62">
      <x:c r="A62" s="36" t="str">
        <x:v>F-008</x:v>
      </x:c>
      <x:c r="B62" s="36" t="str">
        <x:v>R3.5F</x:v>
      </x:c>
      <x:c r="C62" s="36" t="n">
        <x:v>97</x:v>
      </x:c>
      <x:c r="D62" s="36" t="str">
        <x:v>Partition saturation</x:v>
      </x:c>
      <x:c r="E62" s="36" t="str">
        <x:v>Encontrar límite práctico de particiones</x:v>
      </x:c>
      <x:c r="F62" s="36" t="n">
        <x:v>1000</x:v>
      </x:c>
      <x:c r="G62" s="36" t="str">
        <x:v>Local FS</x:v>
      </x:c>
      <x:c r="H62" s="36" t="str">
        <x:v>Latest + historical</x:v>
      </x:c>
      <x:c r="I62" s="36" t="str">
        <x:v>Progressive partitions</x:v>
      </x:c>
      <x:c r="J62" s="36" t="str">
        <x:v>None</x:v>
      </x:c>
      <x:c r="K62" s="36" t="str">
        <x:v>Stable config</x:v>
      </x:c>
      <x:c r="L62" s="36" t="n">
        <x:v>10</x:v>
      </x:c>
      <x:c r="M62" s="36" t="n">
        <x:v>5</x:v>
      </x:c>
      <x:c r="N62" s="36" t="n">
        <x:v>10</x:v>
      </x:c>
      <x:c r="O62" s="36" t="str">
        <x:v>Saturation</x:v>
      </x:c>
      <x:c r="P62" s="36" t="str">
        <x:v>0 integrity errors</x:v>
      </x:c>
      <x:c r="Q62" s="36" t="str">
        <x:v>Buscar inflexión de data load</x:v>
      </x:c>
      <x:c r="R62" s="36" t="str">
        <x:v>Conditional</x:v>
      </x:c>
      <x:c r="S62" s="36" t="str">
        <x:v>B-006</x:v>
      </x:c>
      <x:c r="T62" s="36" t="str"/>
    </x:row>
    <x:row r="63">
      <x:c r="A63" s="36" t="str">
        <x:v>F-009</x:v>
      </x:c>
      <x:c r="B63" s="36" t="str">
        <x:v>R3.5F</x:v>
      </x:c>
      <x:c r="C63" s="36" t="n">
        <x:v>98</x:v>
      </x:c>
      <x:c r="D63" s="36" t="str">
        <x:v>All-source maximum pressure</x:v>
      </x:c>
      <x:c r="E63" s="36" t="str">
        <x:v>Combinar mayor presión de lectura razonable</x:v>
      </x:c>
      <x:c r="F63" s="36" t="n">
        <x:v>1000</x:v>
      </x:c>
      <x:c r="G63" s="36" t="str">
        <x:v>Local FS</x:v>
      </x:c>
      <x:c r="H63" s="36" t="str">
        <x:v>All available data profiles</x:v>
      </x:c>
      <x:c r="I63" s="36" t="str">
        <x:v>All sources/partitions</x:v>
      </x:c>
      <x:c r="J63" s="36" t="str">
        <x:v>None</x:v>
      </x:c>
      <x:c r="K63" s="36" t="str">
        <x:v>Stable config</x:v>
      </x:c>
      <x:c r="L63" s="36" t="n">
        <x:v>10</x:v>
      </x:c>
      <x:c r="M63" s="36" t="n">
        <x:v>5</x:v>
      </x:c>
      <x:c r="N63" s="36" t="n">
        <x:v>10</x:v>
      </x:c>
      <x:c r="O63" s="36" t="str">
        <x:v>Extreme</x:v>
      </x:c>
      <x:c r="P63" s="36" t="str">
        <x:v>0 integrity errors</x:v>
      </x:c>
      <x:c r="Q63" s="36" t="str">
        <x:v>Caracterizar borde de lectura</x:v>
      </x:c>
      <x:c r="R63" s="36" t="str">
        <x:v>Conditional</x:v>
      </x:c>
      <x:c r="S63" s="36" t="str">
        <x:v>B-012</x:v>
      </x:c>
      <x:c r="T63" s="36" t="str"/>
    </x:row>
    <x:row r="64">
      <x:c r="A64" s="36" t="str">
        <x:v>F-010</x:v>
      </x:c>
      <x:c r="B64" s="36" t="str">
        <x:v>R3.5F</x:v>
      </x:c>
      <x:c r="C64" s="36" t="n">
        <x:v>99</x:v>
      </x:c>
      <x:c r="D64" s="36" t="str">
        <x:v>Full mixed pressure</x:v>
      </x:c>
      <x:c r="E64" s="36" t="str">
        <x:v>Combinar datos + churn + control-plane + adoption</x:v>
      </x:c>
      <x:c r="F64" s="36" t="n">
        <x:v>1000</x:v>
      </x:c>
      <x:c r="G64" s="36" t="str">
        <x:v>SMB</x:v>
      </x:c>
      <x:c r="H64" s="36" t="str">
        <x:v>Heavy mixed</x:v>
      </x:c>
      <x:c r="I64" s="36" t="str">
        <x:v>All available</x:v>
      </x:c>
      <x:c r="J64" s="36" t="str">
        <x:v>Mgmt + decisions</x:v>
      </x:c>
      <x:c r="K64" s="36" t="str">
        <x:v>Mixed adoption</x:v>
      </x:c>
      <x:c r="L64" s="36" t="n">
        <x:v>20</x:v>
      </x:c>
      <x:c r="M64" s="36" t="n">
        <x:v>5</x:v>
      </x:c>
      <x:c r="N64" s="36" t="n">
        <x:v>10</x:v>
      </x:c>
      <x:c r="O64" s="36" t="str">
        <x:v>Extreme</x:v>
      </x:c>
      <x:c r="P64" s="36" t="str">
        <x:v>0 integrity errors</x:v>
      </x:c>
      <x:c r="Q64" s="36" t="str">
        <x:v>Caso final de presión integrada</x:v>
      </x:c>
      <x:c r="R64" s="36" t="str">
        <x:v>Conditional</x:v>
      </x:c>
      <x:c r="S64" s="36" t="str">
        <x:v>E-012 + F-005</x:v>
      </x:c>
      <x:c r="T64" s="36" t="str"/>
    </x:row>
    <x:row r="65">
      <x:c r="A65" s="36" t="str">
        <x:v>F-011</x:v>
      </x:c>
      <x:c r="B65" s="36" t="str">
        <x:v>R3.5F</x:v>
      </x:c>
      <x:c r="C65" s="36" t="n">
        <x:v>100</x:v>
      </x:c>
      <x:c r="D65" s="36" t="str">
        <x:v>Granular profiling trigger</x:v>
      </x:c>
      <x:c r="E65" s="36" t="str">
        <x:v>Perfilar sólo el escenario donde aparezca cuello</x:v>
      </x:c>
      <x:c r="F65" s="36"/>
      <x:c r="G65" s="36" t="str">
        <x:v>As observed</x:v>
      </x:c>
      <x:c r="H65" s="36" t="str">
        <x:v>Reproduce bottleneck</x:v>
      </x:c>
      <x:c r="I65" s="36" t="str">
        <x:v>As observed</x:v>
      </x:c>
      <x:c r="J65" s="36" t="str">
        <x:v>As observed</x:v>
      </x:c>
      <x:c r="K65" s="36" t="str">
        <x:v>As observed</x:v>
      </x:c>
      <x:c r="L65" s="36" t="n">
        <x:v>10</x:v>
      </x:c>
      <x:c r="M65" s="36" t="n">
        <x:v>5</x:v>
      </x:c>
      <x:c r="N65" s="36" t="n">
        <x:v>10</x:v>
      </x:c>
      <x:c r="O65" s="36" t="str">
        <x:v>Profiling</x:v>
      </x:c>
      <x:c r="P65" s="36" t="str">
        <x:v>No cambia semántica</x:v>
      </x:c>
      <x:c r="Q65" s="36" t="str">
        <x:v>Wall/CPU/RSS/bytes por frontera</x:v>
      </x:c>
      <x:c r="R65" s="36" t="str">
        <x:v>Conditional</x:v>
      </x:c>
      <x:c r="S65" s="36" t="str">
        <x:v>Finding de cuello real</x:v>
      </x:c>
      <x:c r="T65" s="36" t="str"/>
    </x:row>
    <x:row r="66">
      <x:c r="A66" s="32" t="str">
        <x:v>B-011-R2</x:v>
      </x:c>
      <x:c r="B66" s="32" t="str">
        <x:v>R3.5B</x:v>
      </x:c>
      <x:c r="C66" s="32" t="n">
        <x:v>22</x:v>
      </x:c>
      <x:c r="D66" s="32" t="str">
        <x:v>Historical Width Reproduction — 6 series/alarm</x:v>
      </x:c>
      <x:c r="E66" s="32" t="str">
        <x:v>Repetir exactamente B-011 para determinar si el único overrun de 6 series es reproducible o ruido transitorio</x:v>
      </x:c>
      <x:c r="F66" s="32" t="n">
        <x:v>1000</x:v>
      </x:c>
      <x:c r="G66" s="32" t="str">
        <x:v>Local FS</x:v>
      </x:c>
      <x:c r="H66" s="32" t="str">
        <x:v>Latest + Historical 3h / 10s</x:v>
      </x:c>
      <x:c r="I66" s="32" t="str">
        <x:v>36 balanced per view / 72 chunks total</x:v>
      </x:c>
      <x:c r="J66" s="32" t="str">
        <x:v>None</x:v>
      </x:c>
      <x:c r="K66" s="32" t="str">
        <x:v>Stable config</x:v>
      </x:c>
      <x:c r="L66" s="32" t="n">
        <x:v>10</x:v>
      </x:c>
      <x:c r="M66" s="32" t="n">
        <x:v>5</x:v>
      </x:c>
      <x:c r="N66" s="32" t="n">
        <x:v>10</x:v>
      </x:c>
      <x:c r="O66" s="32" t="str">
        <x:v>Adaptive reproduction</x:v>
      </x:c>
      <x:c r="P66" s="32" t="str">
        <x:v>0 integrity errors</x:v>
      </x:c>
      <x:c r="Q66" s="32" t="str">
        <x:v>Reproducción limpia permite cerrar R3.5B; conservar advertencia de tail estrecho cerca de 5 s</x:v>
      </x:c>
      <x:c r="R66" s="32" t="str">
        <x:v>Completed</x:v>
      </x:c>
      <x:c r="S66" s="32" t="str">
        <x:v>B-011-R1</x:v>
      </x:c>
      <x:c r="T66" s="32" t="str">
        <x:v>PASS / GREEN — exact 6-series reproduction; 121 iterations; p50 3260.76 ms; p95 4139.16 ms; p99 4865.38 ms; max 4969.75 ms; 0 overruns; avg/peak process CPU 99.55%/100.59%; avg/peak RSS 195.38/198.34 MB; Latest 1000 cols + Historical 6000 cols × 1080 rows = 6,480,000 historical values; source-load p95 13.83 ms; merge p95 0.910 ms; journal aligned; snapshot 1000/1000; 3 durable commits; drain 411.66 ms. 11 iterations &gt;4 s, 4 &gt;4.5 s, 2 &gt;4.9 s, 0 &gt;=5 s. Start-to-start max 5002.21 ms. The original B-011 overrun did not reproduce; 6-series × 3h remains a narrow-tail stress envelope, not a production certification.</x:v>
      </x:c>
    </x:row>
  </x:sheetData>
  <x:mergeCells>
    <x:mergeCell ref="A1:T2"/>
  </x:mergeCells>
  <x:conditionalFormatting sqref="R5:R200">
    <x:cfRule type="expression" dxfId="0" priority="1">
      <x:formula>R5="Completed"</x:formula>
    </x:cfRule>
    <x:cfRule type="expression" dxfId="1" priority="2">
      <x:formula>R5="Running"</x:formula>
    </x:cfRule>
    <x:cfRule type="expression" dxfId="2" priority="3">
      <x:formula>R5="Blocked"</x:formula>
    </x:cfRule>
    <x:cfRule type="expression" dxfId="3" priority="4">
      <x:formula>R5="Ready"</x:formula>
    </x:cfRule>
  </x:conditionalFormatting>
  <x:dataValidations count="1">
    <x:dataValidation type="list" sqref="R5:R200">
      <x:formula1>"Planned,Ready,Running,Completed,Blocked,Skipped,Conditional"</x:formula1>
    </x:dataValidation>
  </x:dataValidations>
  <x:pageMargins left="0.7" right="0.7" top="0.75" bottom="0.75" header="0.3" footer="0.3"/>
  <x:tableParts count="1">
    <x:tablePart xmlns:r="http://schemas.openxmlformats.org/officeDocument/2006/relationships" r:id="R28045962a47b4ef2"/>
  </x:tableParts>
</x:worksheet>
</file>

<file path=xl/worksheets/sheet3.xml><?xml version="1.0" encoding="utf-8"?>
<x:worksheet xmlns:x="http://schemas.openxmlformats.org/spreadsheetml/2006/main">
  <x:sheetFormatPr defaultRowHeight="15"/>
  <x:cols>
    <x:col min="1" max="1" width="14" hidden="0" customWidth="1"/>
    <x:col min="2" max="2"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 min="19" max="19" width="14" hidden="0" customWidth="1"/>
    <x:col min="20" max="20" width="14" hidden="0" customWidth="1"/>
    <x:col min="21" max="21" width="14" hidden="0" customWidth="1"/>
    <x:col min="22" max="22" width="14" hidden="0" customWidth="1"/>
    <x:col min="23" max="23" width="14" hidden="0" customWidth="1"/>
    <x:col min="24" max="24" width="14" hidden="0" customWidth="1"/>
    <x:col min="25" max="25" width="14" hidden="0" customWidth="1"/>
    <x:col min="26" max="26" width="14" hidden="0" customWidth="1"/>
    <x:col min="27" max="27" width="14" hidden="0" customWidth="1"/>
    <x:col min="28" max="28" width="14" hidden="0" customWidth="1"/>
    <x:col min="29" max="29" width="14" hidden="0" customWidth="1"/>
    <x:col min="30" max="30" width="14" hidden="0" customWidth="1"/>
    <x:col min="31" max="31" width="14" hidden="0" customWidth="1"/>
    <x:col min="32" max="32" width="14" hidden="0" customWidth="1"/>
    <x:col min="33" max="33" width="14" hidden="0" customWidth="1"/>
    <x:col min="34" max="34" width="14" hidden="0" customWidth="1"/>
    <x:col min="35" max="35" width="14" hidden="0" customWidth="1"/>
    <x:col min="36" max="36" width="14" hidden="0" customWidth="1"/>
    <x:col min="4" max="4" width="24" hidden="0" customWidth="1"/>
    <x:col min="3" max="3" width="18" hidden="0" customWidth="1"/>
    <x:col min="37" max="37" width="16" hidden="0" customWidth="1"/>
    <x:col min="38" max="38" width="16" hidden="0" customWidth="1"/>
    <x:col min="39" max="39" width="16" hidden="0" customWidth="1"/>
    <x:col min="40" max="40" width="16" hidden="0" customWidth="1"/>
    <x:col min="41" max="41" width="16" hidden="0" customWidth="1"/>
    <x:col min="42" max="42" width="16" hidden="0" customWidth="1"/>
    <x:col min="43" max="43" width="16" hidden="0" customWidth="1"/>
    <x:col min="44" max="44" width="16" hidden="0" customWidth="1"/>
    <x:col min="45" max="45" width="16" hidden="0" customWidth="1"/>
    <x:col min="46" max="46" width="18" hidden="0" customWidth="1"/>
    <x:col min="47" max="47" width="18" hidden="0" customWidth="1"/>
    <x:col min="48" max="48" width="18" hidden="0" customWidth="1"/>
    <x:col min="49" max="49" width="18" hidden="0" customWidth="1"/>
    <x:col min="50" max="50" width="18" hidden="0" customWidth="1"/>
    <x:col min="51" max="51" width="18" hidden="0" customWidth="1"/>
    <x:col min="52" max="52" width="17" hidden="0" customWidth="1"/>
    <x:col min="53" max="53" width="17" hidden="0" customWidth="1"/>
    <x:col min="54" max="54" width="17" hidden="0" customWidth="1"/>
    <x:col min="55" max="55" width="17" hidden="0" customWidth="1"/>
    <x:col min="56" max="56" width="38" hidden="0" customWidth="1"/>
    <x:col min="57" max="57" width="18" hidden="0" customWidth="1"/>
    <x:col min="58" max="58" width="18" hidden="0" customWidth="1"/>
    <x:col min="59" max="59" width="18" hidden="0" customWidth="1"/>
    <x:col min="60" max="60" width="18" hidden="0" customWidth="1"/>
    <x:col min="61" max="61" width="18" hidden="0" customWidth="1"/>
    <x:col min="62" max="62" width="18" hidden="0" customWidth="1"/>
    <x:col min="63" max="63" width="18" hidden="0" customWidth="1"/>
    <x:col min="64" max="64" width="18" hidden="0" customWidth="1"/>
    <x:col min="65" max="65" width="18" hidden="0" customWidth="1"/>
  </x:cols>
  <x:sheetData>
    <x:row r="1">
      <x:c r="A1" s="4" t="str">
        <x:v>Ejecuciones — una fila por corrida autoritativa</x:v>
      </x:c>
      <x:c r="B1" s="4"/>
      <x:c r="C1" s="4"/>
      <x:c r="D1" s="4"/>
      <x:c r="E1" s="4"/>
      <x:c r="F1" s="4"/>
      <x:c r="G1" s="4"/>
      <x:c r="H1" s="4"/>
      <x:c r="I1" s="4"/>
      <x:c r="J1" s="4"/>
      <x:c r="K1" s="4"/>
      <x:c r="L1" s="4"/>
      <x:c r="M1" s="4"/>
      <x:c r="N1" s="4"/>
      <x:c r="O1" s="4"/>
      <x:c r="P1" s="4"/>
      <x:c r="Q1" s="4"/>
      <x:c r="R1" s="4"/>
      <x:c r="S1" s="4"/>
      <x:c r="T1" s="4"/>
      <x:c r="U1" s="4"/>
      <x:c r="V1" s="4"/>
      <x:c r="W1" s="4"/>
      <x:c r="X1" s="4"/>
      <x:c r="Y1" s="4"/>
      <x:c r="Z1" s="4"/>
      <x:c r="AA1" s="4"/>
      <x:c r="AB1" s="4"/>
      <x:c r="AC1" s="4"/>
      <x:c r="AD1" s="4"/>
      <x:c r="AE1" s="4"/>
      <x:c r="AF1" s="4"/>
      <x:c r="AG1" s="4"/>
      <x:c r="AH1" s="4"/>
      <x:c r="AI1" s="4"/>
      <x:c r="AJ1" s="4"/>
    </x:row>
    <x:row r="2">
      <x:c r="A2" s="4"/>
      <x:c r="B2" s="4"/>
      <x:c r="C2" s="4"/>
      <x:c r="D2" s="4"/>
      <x:c r="E2" s="4"/>
      <x:c r="F2" s="4"/>
      <x:c r="G2" s="4"/>
      <x:c r="H2" s="4"/>
      <x:c r="I2" s="4"/>
      <x:c r="J2" s="4"/>
      <x:c r="K2" s="4"/>
      <x:c r="L2" s="4"/>
      <x:c r="M2" s="4"/>
      <x:c r="N2" s="4"/>
      <x:c r="O2" s="4"/>
      <x:c r="P2" s="4"/>
      <x:c r="Q2" s="4"/>
      <x:c r="R2" s="4"/>
      <x:c r="S2" s="4"/>
      <x:c r="T2" s="4"/>
      <x:c r="U2" s="4"/>
      <x:c r="V2" s="4"/>
      <x:c r="W2" s="4"/>
      <x:c r="X2" s="4"/>
      <x:c r="Y2" s="4"/>
      <x:c r="Z2" s="4"/>
      <x:c r="AA2" s="4"/>
      <x:c r="AB2" s="4"/>
      <x:c r="AC2" s="4"/>
      <x:c r="AD2" s="4"/>
      <x:c r="AE2" s="4"/>
      <x:c r="AF2" s="4"/>
      <x:c r="AG2" s="4"/>
      <x:c r="AH2" s="4"/>
      <x:c r="AI2" s="4"/>
      <x:c r="AJ2" s="4"/>
    </x:row>
    <x:row r="4">
      <x:c r="A4" s="12" t="str">
        <x:v>Run ID</x:v>
      </x:c>
      <x:c r="B4" s="12" t="str">
        <x:v>Test ID</x:v>
      </x:c>
      <x:c r="C4" s="12" t="str">
        <x:v>Run Date</x:v>
      </x:c>
      <x:c r="D4" s="12" t="str">
        <x:v>Stage / Commit</x:v>
      </x:c>
      <x:c r="E4" s="12" t="str">
        <x:v>Host</x:v>
      </x:c>
      <x:c r="F4" s="12" t="str">
        <x:v>Backend</x:v>
      </x:c>
      <x:c r="G4" s="12" t="str">
        <x:v>Python</x:v>
      </x:c>
      <x:c r="H4" s="12" t="str">
        <x:v>Seed</x:v>
      </x:c>
      <x:c r="I4" s="12" t="str">
        <x:v>Alarm Count</x:v>
      </x:c>
      <x:c r="J4" s="12" t="str">
        <x:v>Planned Duration (min)</x:v>
      </x:c>
      <x:c r="K4" s="12" t="str">
        <x:v>Actual Duration (min)</x:v>
      </x:c>
      <x:c r="L4" s="12" t="str">
        <x:v>Iterations</x:v>
      </x:c>
      <x:c r="M4" s="12" t="str">
        <x:v>Iteration Period (s)</x:v>
      </x:c>
      <x:c r="N4" s="12" t="str">
        <x:v>Data Refresh (s)</x:v>
      </x:c>
      <x:c r="O4" s="12" t="str">
        <x:v>p50 Iteration (ms)</x:v>
      </x:c>
      <x:c r="P4" s="12" t="str">
        <x:v>p95 Iteration (ms)</x:v>
      </x:c>
      <x:c r="Q4" s="12" t="str">
        <x:v>p99 Iteration (ms)</x:v>
      </x:c>
      <x:c r="R4" s="12" t="str">
        <x:v>Max Iteration (ms)</x:v>
      </x:c>
      <x:c r="S4" s="12" t="str">
        <x:v>Overrun Count</x:v>
      </x:c>
      <x:c r="T4" s="12" t="str">
        <x:v>Overrun Ratio</x:v>
      </x:c>
      <x:c r="U4" s="12" t="str">
        <x:v>Avg CPU %</x:v>
      </x:c>
      <x:c r="V4" s="12" t="str">
        <x:v>Peak CPU %</x:v>
      </x:c>
      <x:c r="W4" s="12" t="str">
        <x:v>Avg RSS MB</x:v>
      </x:c>
      <x:c r="X4" s="12" t="str">
        <x:v>Peak RSS MB</x:v>
      </x:c>
      <x:c r="Y4" s="12" t="str">
        <x:v>WAL p95 (ms)</x:v>
      </x:c>
      <x:c r="Z4" s="12" t="str">
        <x:v>Snapshot p95 (ms)</x:v>
      </x:c>
      <x:c r="AA4" s="12" t="str">
        <x:v>Management p95 (ms)</x:v>
      </x:c>
      <x:c r="AB4" s="12" t="str">
        <x:v>Decision p95 (ms)</x:v>
      </x:c>
      <x:c r="AC4" s="12" t="str">
        <x:v>Durability Errors</x:v>
      </x:c>
      <x:c r="AD4" s="12" t="str">
        <x:v>Duplicate Effects</x:v>
      </x:c>
      <x:c r="AE4" s="12" t="str">
        <x:v>Invalid Snapshots</x:v>
      </x:c>
      <x:c r="AF4" s="12" t="str">
        <x:v>Lost Receipts</x:v>
      </x:c>
      <x:c r="AG4" s="12" t="str">
        <x:v>Stale Writer Mutations</x:v>
      </x:c>
      <x:c r="AH4" s="12" t="str">
        <x:v>Drain (ms)</x:v>
      </x:c>
      <x:c r="AI4" s="12" t="str">
        <x:v>Result</x:v>
      </x:c>
      <x:c r="AJ4" s="12" t="str">
        <x:v>Performance Class</x:v>
      </x:c>
      <x:c r="AK4" s="12" t="str">
        <x:v>Data Profile</x:v>
      </x:c>
      <x:c r="AL4" s="12" t="str">
        <x:v>Columns / Alarm</x:v>
      </x:c>
      <x:c r="AM4" s="12" t="str">
        <x:v>Source Views</x:v>
      </x:c>
      <x:c r="AN4" s="12" t="str">
        <x:v>Source Columns</x:v>
      </x:c>
      <x:c r="AO4" s="12" t="str">
        <x:v>Source Rows</x:v>
      </x:c>
      <x:c r="AP4" s="12" t="str">
        <x:v>Source Frame Bytes</x:v>
      </x:c>
      <x:c r="AQ4" s="12" t="str">
        <x:v>Source Load p50 (ms)</x:v>
      </x:c>
      <x:c r="AR4" s="12" t="str">
        <x:v>Source Load p95 (ms)</x:v>
      </x:c>
      <x:c r="AS4" s="12" t="str">
        <x:v>Source Load p99 (ms)</x:v>
      </x:c>
      <x:c r="AT4" s="12" t="str">
        <x:v>Physical Partition Count</x:v>
      </x:c>
      <x:c r="AU4" s="12" t="str">
        <x:v>Physical Partition Column Counts</x:v>
      </x:c>
      <x:c r="AV4" s="12" t="str">
        <x:v>Source Merge p50 (ms)</x:v>
      </x:c>
      <x:c r="AW4" s="12" t="str">
        <x:v>Source Merge p95 (ms)</x:v>
      </x:c>
      <x:c r="AX4" s="12" t="str">
        <x:v>Source Merge p99 (ms)</x:v>
      </x:c>
      <x:c r="AY4" s="12" t="str">
        <x:v>Physical Partition Layout</x:v>
      </x:c>
      <x:c r="AZ4" s="114" t="str">
        <x:v>Raw Harness Result</x:v>
      </x:c>
      <x:c r="BA4" s="114" t="str">
        <x:v>Expected Snapshot Alarms</x:v>
      </x:c>
      <x:c r="BB4" s="114" t="str">
        <x:v>Neutral Alarm Count</x:v>
      </x:c>
      <x:c r="BC4" s="114" t="str">
        <x:v>Adjudicated Integrity</x:v>
      </x:c>
      <x:c r="BD4" s="114" t="str">
        <x:v>Adjudication Note</x:v>
      </x:c>
      <x:c r="BE4" s="12" t="str">
        <x:v>Historical Series / Alarm</x:v>
      </x:c>
      <x:c r="BF4" s="12" t="str">
        <x:v>Historical Window (min)</x:v>
      </x:c>
      <x:c r="BG4" s="12" t="str">
        <x:v>Historical Step (s)</x:v>
      </x:c>
      <x:c r="BH4" s="12" t="str">
        <x:v>Historical Points / Series</x:v>
      </x:c>
      <x:c r="BI4" s="12" t="str">
        <x:v>Historical Value Count</x:v>
      </x:c>
      <x:c r="BJ4" s="12" t="str">
        <x:v>Source Numeric Value Count</x:v>
      </x:c>
      <x:c r="BK4" s="12" t="str">
        <x:v>Latest Source Columns</x:v>
      </x:c>
      <x:c r="BL4" s="12" t="str">
        <x:v>Historical Source Columns</x:v>
      </x:c>
      <x:c r="BM4" s="12" t="str">
        <x:v>Historical Source Rows</x:v>
      </x:c>
      <x:c r="BN4" s="32" t="str">
        <x:v>Priority Group Count</x:v>
      </x:c>
      <x:c r="BO4" s="32" t="str">
        <x:v>Priority Group Size</x:v>
      </x:c>
      <x:c r="BP4" s="32" t="str">
        <x:v>Operational Churn %</x:v>
      </x:c>
      <x:c r="BQ4" s="32" t="str">
        <x:v>Initial Active %</x:v>
      </x:c>
      <x:c r="BR4" s="32" t="str">
        <x:v>Churn Generations</x:v>
      </x:c>
      <x:c r="BS4" s="32" t="str">
        <x:v>Planned State Transitions</x:v>
      </x:c>
      <x:c r="BT4" s="32" t="str">
        <x:v>Lifecycle Commits</x:v>
      </x:c>
      <x:c r="BU4" s="32" t="str">
        <x:v>Expected Lifecycle Commits</x:v>
      </x:c>
      <x:c r="BV4" s="32" t="str">
        <x:v>Duplicate Lifecycle Commits</x:v>
      </x:c>
      <x:c r="BW4" s="32" t="str">
        <x:v>Occurrence Started</x:v>
      </x:c>
      <x:c r="BX4" s="32" t="str">
        <x:v>Expected Occurrence Started</x:v>
      </x:c>
      <x:c r="BY4" s="32" t="str">
        <x:v>Occurrence Closed</x:v>
      </x:c>
      <x:c r="BZ4" s="32" t="str">
        <x:v>Expected Occurrence Closed</x:v>
      </x:c>
      <x:c r="CA4" s="32" t="str">
        <x:v>Episode Started</x:v>
      </x:c>
      <x:c r="CB4" s="32" t="str">
        <x:v>Expected Episode Started</x:v>
      </x:c>
      <x:c r="CC4" s="32" t="str">
        <x:v>Episode Closed</x:v>
      </x:c>
      <x:c r="CD4" s="32" t="str">
        <x:v>Expected Episode Closed</x:v>
      </x:c>
      <x:c r="CE4" s="32" t="str">
        <x:v>Assignment Changes</x:v>
      </x:c>
      <x:c r="CF4" s="32" t="str">
        <x:v>Journey Events</x:v>
      </x:c>
      <x:c r="CG4" s="32" t="str">
        <x:v>Evidence Records</x:v>
      </x:c>
      <x:c r="CH4" s="32" t="str">
        <x:v>Evidence-only Commits</x:v>
      </x:c>
      <x:c r="CI4" s="32" t="str">
        <x:v>Functional Integrity</x:v>
      </x:c>
      <x:c r="CJ4" s="32" t="str">
        <x:v>Technical Hold Churn %</x:v>
      </x:c>
      <x:c r="CK4" s="32" t="str">
        <x:v>Expected Assignment Changes</x:v>
      </x:c>
      <x:c r="CL4" s="32" t="str">
        <x:v>Technical Hold Started</x:v>
      </x:c>
      <x:c r="CM4" s="32" t="str">
        <x:v>Expected Technical Hold Started</x:v>
      </x:c>
      <x:c r="CN4" s="32" t="str">
        <x:v>Technical Hold Cleared</x:v>
      </x:c>
      <x:c r="CO4" s="32" t="str">
        <x:v>Expected Technical Hold Cleared</x:v>
      </x:c>
      <x:c r="CP4" s="32" t="str">
        <x:v>Technical Hold Expired</x:v>
      </x:c>
      <x:c r="CQ4" s="32" t="str">
        <x:v>Occurrence Identity Mismatches</x:v>
      </x:c>
      <x:c r="CR4" s="32" t="str">
        <x:v>Technical Hold Expiry %</x:v>
      </x:c>
      <x:c r="CS4" s="32" t="str">
        <x:v>Expiry Stagger (s)</x:v>
      </x:c>
      <x:c r="CT4" s="32" t="str">
        <x:v>Error Duration (s)</x:v>
      </x:c>
      <x:c r="CU4" s="32" t="str">
        <x:v>Expected Technical Hold Expired</x:v>
      </x:c>
      <x:c r="CV4" s="32" t="str">
        <x:v>Post-expiry Occurrence Started</x:v>
      </x:c>
      <x:c r="CW4" s="32" t="str">
        <x:v>Expected Post-expiry Occurrence Started</x:v>
      </x:c>
      <x:c r="CX4" s="32" t="str">
        <x:v>Post-expiry Occurrence Identity Reuse</x:v>
      </x:c>
      <x:c r="CY4" s="32" t="str">
        <x:v>Invalid Occurrence Closure Reasons</x:v>
      </x:c>
      <x:c r="CZ4" s="32" t="str">
        <x:v>Invalid Episode Closure Reasons</x:v>
      </x:c>
      <x:c r="DA4" s="32" t="str">
        <x:v>Initial ERROR Activation %</x:v>
      </x:c>
      <x:c r="DB4" s="32" t="str">
        <x:v>Initial ERROR Hold (s)</x:v>
      </x:c>
      <x:c r="DC4" s="32" t="str">
        <x:v>Initial ERROR Activation Stagger (s)</x:v>
      </x:c>
      <x:c r="DD4" s="32" t="str">
        <x:v>Initial ERROR Activations</x:v>
      </x:c>
      <x:c r="DE4" s="32" t="str">
        <x:v>Expected Initial ERROR Activations</x:v>
      </x:c>
      <x:c r="DF4" s="32" t="str">
        <x:v>Pre-activation Lifecycle Commits</x:v>
      </x:c>
      <x:c r="DG4" s="32" t="str">
        <x:v>Fixed Initial ERROR %</x:v>
      </x:c>
      <x:c r="DH4" s="32" t="str">
        <x:v>Durable History Lookup Mode</x:v>
      </x:c>
      <x:c r="DI4" s="32" t="str">
        <x:v>History Lookup Cycles</x:v>
      </x:c>
      <x:c r="DJ4" s="32" t="str">
        <x:v>History Lookup Calls</x:v>
      </x:c>
      <x:c r="DK4" s="32" t="str">
        <x:v>History Lookup Total (ms)</x:v>
      </x:c>
      <x:c r="DL4" s="32" t="str">
        <x:v>Durable Journal Scans</x:v>
      </x:c>
      <x:c r="DM4" s="32" t="str">
        <x:v>Durable Journal Scan Total (ms)</x:v>
      </x:c>
      <x:c r="DN4" s="32" t="str">
        <x:v>Durable Record Entries Seen</x:v>
      </x:c>
      <x:c r="DO4" s="32" t="str">
        <x:v>History Index Builds</x:v>
      </x:c>
      <x:c r="DP4" s="32" t="str">
        <x:v>History Index Build Total (ms)</x:v>
      </x:c>
      <x:c r="DQ4" s="32" t="str">
        <x:v>Routing Criticality</x:v>
      </x:c>
      <x:c r="DR4" s="32" t="str">
        <x:v>C1 Routing Destinations</x:v>
      </x:c>
      <x:c r="DS4" s="32" t="str">
        <x:v>Assignment ASSIGNED</x:v>
      </x:c>
      <x:c r="DT4" s="32" t="str">
        <x:v>Expected Assignment ASSIGNED</x:v>
      </x:c>
      <x:c r="DU4" s="32" t="str">
        <x:v>Assignment SCHEDULED</x:v>
      </x:c>
      <x:c r="DV4" s="32" t="str">
        <x:v>Assignment RESCHEDULED</x:v>
      </x:c>
      <x:c r="DW4" s="32" t="str">
        <x:v>Assignment REMOVED</x:v>
      </x:c>
      <x:c r="DX4" s="32" t="str">
        <x:v>Snapshot Tool Assignments</x:v>
      </x:c>
      <x:c r="DY4" s="32" t="str">
        <x:v>Expected Snapshot Tool Assignments</x:v>
      </x:c>
      <x:c r="DZ4" s="32" t="str">
        <x:v>Snapshot Pending Assignments</x:v>
      </x:c>
      <x:c r="EA4" s="32" t="str">
        <x:v>Expected Snapshot Pending Assignments</x:v>
      </x:c>
      <x:c r="EB4" s="32" t="str">
        <x:v>C2 Routing Delays (s)</x:v>
      </x:c>
      <x:c r="EC4" s="32" t="str">
        <x:v>Expected Assignment SCHEDULED</x:v>
      </x:c>
      <x:c r="ED4" s="32" t="str">
        <x:v>Scheduled Delay Counts</x:v>
      </x:c>
      <x:c r="EE4" s="32" t="str">
        <x:v>Expected Scheduled Delay Counts</x:v>
      </x:c>
      <x:c r="EF4" s="32" t="str">
        <x:v>Routing Wave Assignment Counts</x:v>
      </x:c>
      <x:c r="EG4" s="32" t="str">
        <x:v>Expected Routing Wave Assignment Counts</x:v>
      </x:c>
      <x:c r="EH4" s="32" t="str">
        <x:v>Routing Wave Pending Counts</x:v>
      </x:c>
      <x:c r="EI4" s="32" t="str">
        <x:v>Expected Routing Wave Pending Counts</x:v>
      </x:c>
      <x:c r="EJ4" s="32" t="str">
        <x:v>C2 Reschedule Delays (s)</x:v>
      </x:c>
      <x:c r="EK4" s="32" t="str">
        <x:v>C2 Phase A Seconds</x:v>
      </x:c>
      <x:c r="EL4" s="32" t="str">
        <x:v>Expected Assignment RESCHEDULED</x:v>
      </x:c>
      <x:c r="EM4" s="32" t="str">
        <x:v>Rescheduled Delay Counts</x:v>
      </x:c>
      <x:c r="EN4" s="32" t="str">
        <x:v>Expected Rescheduled Delay Counts</x:v>
      </x:c>
      <x:c r="EO4" s="32" t="str">
        <x:v>Delayed Assignment Delay Counts</x:v>
      </x:c>
      <x:c r="EP4" s="32" t="str">
        <x:v>Expected Delayed Assignment Delay Counts</x:v>
      </x:c>
      <x:c r="EQ4" s="32" t="str">
        <x:v>Reschedule Commits</x:v>
      </x:c>
      <x:c r="ER4" s="32" t="str">
        <x:v>Expected Reschedule Commits</x:v>
      </x:c>
      <x:c r="ES4" s="32" t="str">
        <x:v>Routing Revision Transition OK</x:v>
      </x:c>
      <x:c r="ET4" s="32" t="str">
        <x:v>Phase A Run ID</x:v>
      </x:c>
      <x:c r="EU4" s="32" t="str">
        <x:v>Phase B Run ID</x:v>
      </x:c>
      <x:c r="EV4" s="32" t="str">
        <x:v>C2 Removal Phase A Seconds</x:v>
      </x:c>
      <x:c r="EW4" s="32" t="str">
        <x:v>Expected Assignment REMOVED</x:v>
      </x:c>
      <x:c r="EX4" s="32" t="str">
        <x:v>Removal Tool Counts</x:v>
      </x:c>
      <x:c r="EY4" s="32" t="str">
        <x:v>Expected Removal Tool Counts</x:v>
      </x:c>
      <x:c r="EZ4" s="32" t="str">
        <x:v>Removed Assigned Count</x:v>
      </x:c>
      <x:c r="FA4" s="32" t="str">
        <x:v>Expected Removed Assigned Count</x:v>
      </x:c>
      <x:c r="FB4" s="32" t="str">
        <x:v>Removed Pending Count</x:v>
      </x:c>
      <x:c r="FC4" s="32" t="str">
        <x:v>Expected Removed Pending Count</x:v>
      </x:c>
      <x:c r="FD4" s="32" t="str">
        <x:v>Removal Commits</x:v>
      </x:c>
      <x:c r="FE4" s="32" t="str">
        <x:v>Expected Removal Commits</x:v>
      </x:c>
      <x:c r="FF4" s="32" t="str">
        <x:v>Management Action At (s)</x:v>
      </x:c>
      <x:c r="FG4" s="32" t="str">
        <x:v>Management Input ID</x:v>
      </x:c>
      <x:c r="FH4" s="32" t="str">
        <x:v>Management Input Receipts</x:v>
      </x:c>
      <x:c r="FI4" s="32" t="str">
        <x:v>Expected Management Input Receipts</x:v>
      </x:c>
      <x:c r="FJ4" s="32" t="str">
        <x:v>Management EFFECTIVE Receipts</x:v>
      </x:c>
      <x:c r="FK4" s="32" t="str">
        <x:v>Management Effect STARTED</x:v>
      </x:c>
      <x:c r="FL4" s="32" t="str">
        <x:v>Management Effect CLEARED</x:v>
      </x:c>
      <x:c r="FM4" s="32" t="str">
        <x:v>Management Commits</x:v>
      </x:c>
      <x:c r="FN4" s="32" t="str">
        <x:v>Management Deactivation Requests</x:v>
      </x:c>
      <x:c r="FO4" s="32" t="str">
        <x:v>Target Group Durable Records</x:v>
      </x:c>
      <x:c r="FP4" s="32" t="str">
        <x:v>Total Durable Records</x:v>
      </x:c>
      <x:c r="FQ4" s="32" t="str">
        <x:v>Management Cursor Offset</x:v>
      </x:c>
      <x:c r="FR4" s="32" t="str">
        <x:v>Management Consumer Pending</x:v>
      </x:c>
      <x:c r="FS4" s="32" t="str">
        <x:v>Snapshot Management Effects</x:v>
      </x:c>
      <x:c r="FT4" s="32" t="str">
        <x:v>Receipt Before Cursor</x:v>
      </x:c>
      <x:c r="FU4" s="32" t="str">
        <x:v>Input→Receipt (ms)</x:v>
      </x:c>
      <x:c r="FV4" s="32" t="str">
        <x:v>Management Target Occurrence ID</x:v>
      </x:c>
      <x:c r="FW4" s="32" t="str">
        <x:v>Management Occurrence Identity Mismatches</x:v>
      </x:c>
      <x:c r="FX4" s="32" t="str">
        <x:v>Management Action Count</x:v>
      </x:c>
      <x:c r="FY4" s="32" t="str">
        <x:v>Management Action Interval (s)</x:v>
      </x:c>
      <x:c r="FZ4" s="32" t="str">
        <x:v>Management Lost Inputs</x:v>
      </x:c>
      <x:c r="GA4" s="32" t="str">
        <x:v>Management Duplicate Receipts</x:v>
      </x:c>
      <x:c r="GB4" s="32" t="str">
        <x:v>Management Unique Targets</x:v>
      </x:c>
      <x:c r="GC4" s="32" t="str">
        <x:v>Expected Management Unique Targets</x:v>
      </x:c>
      <x:c r="GD4" s="32" t="str">
        <x:v>Management Pending High Water</x:v>
      </x:c>
      <x:c r="GE4" s="32" t="str">
        <x:v>Management Max Batch</x:v>
      </x:c>
      <x:c r="GF4" s="32" t="str">
        <x:v>Management Nonempty Batches</x:v>
      </x:c>
      <x:c r="GG4" s="32" t="str">
        <x:v>Management Batch Sizes</x:v>
      </x:c>
      <x:c r="GH4" s="32" t="str">
        <x:v>Receipt-before-Cursor Checked</x:v>
      </x:c>
      <x:c r="GI4" s="32" t="str">
        <x:v>Input→Receipt p50 (ms)</x:v>
      </x:c>
      <x:c r="GJ4" s="32" t="str">
        <x:v>Input→Receipt p95 (ms)</x:v>
      </x:c>
      <x:c r="GK4" s="32" t="str">
        <x:v>Input→Receipt p99 (ms)</x:v>
      </x:c>
      <x:c r="GL4" s="32" t="str">
        <x:v>Input→Receipt Max (ms)</x:v>
      </x:c>
      <x:c r="GM4" s="32" t="str">
        <x:v>Management Arrival Mode</x:v>
      </x:c>
      <x:c r="GN4" s="32" t="str">
        <x:v>Management First Nonempty Batch</x:v>
      </x:c>
      <x:c r="GO4" s="32" t="str">
        <x:v>Expected First Nonempty Batch</x:v>
      </x:c>
      <x:c r="GP4" s="32" t="str">
        <x:v>Burst Fully Absorbed First Eligible Iteration</x:v>
      </x:c>
      <x:c r="GQ4" s="32" t="str">
        <x:v>Decision Request At (s)</x:v>
      </x:c>
      <x:c r="GR4" s="32" t="str">
        <x:v>Decision At (s)</x:v>
      </x:c>
      <x:c r="GS4" s="32" t="str">
        <x:v>Deactivation Window (s)</x:v>
      </x:c>
      <x:c r="GT4" s="32" t="str">
        <x:v>Deactivation Request ID</x:v>
      </x:c>
      <x:c r="GU4" s="32" t="str">
        <x:v>Deactivation Decision ID</x:v>
      </x:c>
      <x:c r="GV4" s="32" t="str">
        <x:v>Decision Target Alarm</x:v>
      </x:c>
      <x:c r="GW4" s="32" t="str">
        <x:v>Decision Target Occurrence</x:v>
      </x:c>
      <x:c r="GX4" s="32" t="str">
        <x:v>Request Receipts</x:v>
      </x:c>
      <x:c r="GY4" s="32" t="str">
        <x:v>PENDING_APPROVAL Receipts</x:v>
      </x:c>
      <x:c r="GZ4" s="32" t="str">
        <x:v>Deactivation Request Records</x:v>
      </x:c>
      <x:c r="HA4" s="32" t="str">
        <x:v>Approval-required Requests</x:v>
      </x:c>
      <x:c r="HB4" s="32" t="str">
        <x:v>Decision Receipts</x:v>
      </x:c>
      <x:c r="HC4" s="32" t="str">
        <x:v>APPLIED Decision Receipts</x:v>
      </x:c>
      <x:c r="HD4" s="32" t="str">
        <x:v>Management Effect STARTED (Decision Setup)</x:v>
      </x:c>
      <x:c r="HE4" s="32" t="str">
        <x:v>Deactivation Effect STARTED</x:v>
      </x:c>
      <x:c r="HF4" s="32" t="str">
        <x:v>Deactivation Effect CLEARED</x:v>
      </x:c>
      <x:c r="HG4" s="32" t="str">
        <x:v>Decision Management Cursor Offset</x:v>
      </x:c>
      <x:c r="HH4" s="32" t="str">
        <x:v>Decision Cursor Offset</x:v>
      </x:c>
      <x:c r="HI4" s="32" t="str">
        <x:v>Decision Management Pending</x:v>
      </x:c>
      <x:c r="HJ4" s="32" t="str">
        <x:v>Decision Pending Final</x:v>
      </x:c>
      <x:c r="HK4" s="32" t="str">
        <x:v>Pending Requests Final</x:v>
      </x:c>
      <x:c r="HL4" s="32" t="str">
        <x:v>Pending Request High Water</x:v>
      </x:c>
      <x:c r="HM4" s="32" t="str">
        <x:v>Decision Pending High Water</x:v>
      </x:c>
      <x:c r="HN4" s="32" t="str">
        <x:v>Request Before Decision</x:v>
      </x:c>
      <x:c r="HO4" s="32" t="str">
        <x:v>Target Visible While Pending</x:v>
      </x:c>
      <x:c r="HP4" s="32" t="str">
        <x:v>Request Receipt Before Management Cursor</x:v>
      </x:c>
      <x:c r="HQ4" s="32" t="str">
        <x:v>Decision Receipt Before Decision Cursor</x:v>
      </x:c>
      <x:c r="HR4" s="32" t="str">
        <x:v>Effect Window Preserved</x:v>
      </x:c>
      <x:c r="HS4" s="32" t="str">
        <x:v>Remaining Window (s)</x:v>
      </x:c>
      <x:c r="HT4" s="32" t="str">
        <x:v>Expected Remaining Window (s)</x:v>
      </x:c>
      <x:c r="HU4" s="32" t="str">
        <x:v>Decision Input→Receipt (ms)</x:v>
      </x:c>
      <x:c r="HV4" s="32" t="str">
        <x:v>Decision Target Group Durable Records</x:v>
      </x:c>
      <x:c r="HW4" s="32" t="str">
        <x:v>Expected Decision Target Group Records</x:v>
      </x:c>
      <x:c r="HX4" s="32" t="str">
        <x:v>Expected Decision Total Durable Records</x:v>
      </x:c>
      <x:c r="HY4" s="32" t="str">
        <x:v>Decision Functional Integrity</x:v>
      </x:c>
      <x:c r="JA4" t="str">
        <x:v>Decision Phase A Run ID</x:v>
      </x:c>
      <x:c r="JB4" t="str">
        <x:v>Decision Phase B Run ID</x:v>
      </x:c>
      <x:c r="JC4" t="str">
        <x:v>Phase A Actual Duration (s)</x:v>
      </x:c>
      <x:c r="JD4" t="str">
        <x:v>Phase B Actual Duration (s)</x:v>
      </x:c>
      <x:c r="JE4" t="str">
        <x:v>Phase A Pending Requests</x:v>
      </x:c>
      <x:c r="JF4" t="str">
        <x:v>Request Receipt Before Cursor Checked</x:v>
      </x:c>
      <x:c r="JG4" t="str">
        <x:v>Decision Receipt Before Cursor Checked</x:v>
      </x:c>
      <x:c r="JH4" t="str">
        <x:v>Decision Lost Inputs</x:v>
      </x:c>
      <x:c r="JI4" t="str">
        <x:v>Decision Duplicate Receipts</x:v>
      </x:c>
      <x:c r="JJ4" t="str">
        <x:v>Wrong Decision→Request Correlations</x:v>
      </x:c>
      <x:c r="JK4" t="str">
        <x:v>Request Occurrence Identity Mismatches</x:v>
      </x:c>
      <x:c r="JL4" t="str">
        <x:v>Final Occurrence Identity Mismatches</x:v>
      </x:c>
      <x:c r="JM4" t="str">
        <x:v>Effect Window Mismatches</x:v>
      </x:c>
      <x:c r="JN4" t="str">
        <x:v>Decision Source Max Batch</x:v>
      </x:c>
      <x:c r="JO4" t="str">
        <x:v>Decision Receipt Max Batch</x:v>
      </x:c>
      <x:c r="JP4" t="str">
        <x:v>Decision Nonempty Batch Count</x:v>
      </x:c>
      <x:c r="JQ4" t="str">
        <x:v>Decision Batch Sizes</x:v>
      </x:c>
      <x:c r="JR4" t="str">
        <x:v>Decision Input→Receipt p50 (ms)</x:v>
      </x:c>
      <x:c r="JS4" t="str">
        <x:v>Decision Input→Receipt p95 (ms)</x:v>
      </x:c>
      <x:c r="JT4" t="str">
        <x:v>Decision Input→Receipt p99 (ms)</x:v>
      </x:c>
      <x:c r="JU4" t="str">
        <x:v>Decision Input→Receipt Max (ms)</x:v>
      </x:c>
      <x:c r="JV4" t="str">
        <x:v>Remaining Window Min (s)</x:v>
      </x:c>
      <x:c r="JW4" t="str">
        <x:v>Remaining Window Max (s)</x:v>
      </x:c>
      <x:c r="JX4" t="str">
        <x:v>Snapshot Management Effects (Decision)</x:v>
      </x:c>
      <x:c r="JY4" t="str">
        <x:v>Snapshot Deactivation Effects</x:v>
      </x:c>
      <x:c r="JZ4" t="str">
        <x:v>Decision Functional Integrity (Sustained)</x:v>
      </x:c>
      <x:c r="KA4" t="str">
        <x:v>WAL Durable Records</x:v>
      </x:c>
      <x:c r="KB4" t="str">
        <x:v>WAL Bytes</x:v>
      </x:c>
      <x:c r="KC4" t="str">
        <x:v>WAL Commit ID Duplicates</x:v>
      </x:c>
      <x:c r="KD4" t="str">
        <x:v>Materialized Snapshot Mismatches</x:v>
      </x:c>
      <x:c r="KE4" t="str">
        <x:v>Commit Chain Mismatches</x:v>
      </x:c>
      <x:c r="KF4" t="str">
        <x:v>Durable == Materialized</x:v>
      </x:c>
      <x:c r="KG4" t="str">
        <x:v>Phase A Execution Status</x:v>
      </x:c>
      <x:c r="KH4" t="str">
        <x:v>Phase B Execution Status</x:v>
      </x:c>
      <x:c r="KI4" t="str">
        <x:v>Decision Batch Sum</x:v>
      </x:c>
      <x:c r="KJ4" t="str">
        <x:v>Decision Batch Distribution</x:v>
      </x:c>
      <x:c r="KK4" t="str">
        <x:v>Decision Arrival Mode</x:v>
      </x:c>
      <x:c r="KL4" t="str">
        <x:v>Decision First Nonempty Receipt Batch</x:v>
      </x:c>
      <x:c r="KM4" t="str">
        <x:v>Decision Fully Absorbed First Eligible Iteration</x:v>
      </x:c>
      <x:c r="KN4" t="str">
        <x:v>D008 Early Decision Cursor</x:v>
      </x:c>
      <x:c r="KO4" t="str">
        <x:v>D008 Early Decision Pending</x:v>
      </x:c>
      <x:c r="KP4" t="str">
        <x:v>D008 Early Decision Receipts</x:v>
      </x:c>
      <x:c r="KQ4" t="str">
        <x:v>D008 Post-request Management Cursor</x:v>
      </x:c>
      <x:c r="KR4" t="str">
        <x:v>D008 Post-request Decision Pending</x:v>
      </x:c>
      <x:c r="KS4" t="str">
        <x:v>D008 Post-request Pending Requests</x:v>
      </x:c>
      <x:c r="KT4" t="str">
        <x:v>D008 Post-request Decision Receipts</x:v>
      </x:c>
      <x:c r="KU4" t="str">
        <x:v>D008 Fresh Decision Records</x:v>
      </x:c>
      <x:c r="KV4" t="str">
        <x:v>D008 Pending read_at Count</x:v>
      </x:c>
      <x:c r="KW4" t="str">
        <x:v>D008 Pending read_at / Input</x:v>
      </x:c>
      <x:c r="KX4" t="str">
        <x:v>D008 Delivery→Receipt (ms)</x:v>
      </x:c>
      <x:c r="KY4" t="str">
        <x:v>D008 Early Pending State OK</x:v>
      </x:c>
      <x:c r="KZ4" t="str">
        <x:v>D008 Post-request Pending State OK</x:v>
      </x:c>
      <x:c r="LA4" t="str">
        <x:v>D008 Final Replay State OK</x:v>
      </x:c>
      <x:c r="LB4" t="str">
        <x:v>D009 Request Input→Receipt p50 (ms)</x:v>
      </x:c>
      <x:c r="LC4" t="str">
        <x:v>D009 Request Input→Receipt p95 (ms)</x:v>
      </x:c>
      <x:c r="LD4" t="str">
        <x:v>D009 Request Input→Receipt p99 (ms)</x:v>
      </x:c>
      <x:c r="LE4" t="str">
        <x:v>D009 Request Input→Receipt Max (ms)</x:v>
      </x:c>
      <x:c r="LF4" t="str">
        <x:v>D009 Request Batch Distribution</x:v>
      </x:c>
      <x:c r="LG4" t="str">
        <x:v>D009 Decision Batch Distribution</x:v>
      </x:c>
      <x:c r="LH4" t="str">
        <x:v>D009 Mixed Receipt Cycles</x:v>
      </x:c>
      <x:c r="LI4" t="str">
        <x:v>D009 Management Pending High Water</x:v>
      </x:c>
      <x:c r="LJ4" t="str">
        <x:v>D009 Decision Pending High Water</x:v>
      </x:c>
      <x:c r="LK4" t="str">
        <x:v>D009 Pending Request High Water</x:v>
      </x:c>
      <x:c r="LL4" t="str">
        <x:v>D009 Management pending read_at</x:v>
      </x:c>
      <x:c r="LM4" t="str">
        <x:v>D009 Decision pending read_at</x:v>
      </x:c>
      <x:c r="LN4" t="str">
        <x:v>D009 Fresh Management Records</x:v>
      </x:c>
      <x:c r="LO4" t="str">
        <x:v>D009 Fresh Decision Records</x:v>
      </x:c>
      <x:c r="LP4" t="str">
        <x:v>D009 Mixed Cycle p50 (ms)</x:v>
      </x:c>
      <x:c r="LQ4" t="str">
        <x:v>D009 Mixed Cycle p95 (ms)</x:v>
      </x:c>
      <x:c r="LR4" t="str">
        <x:v>D009 Mixed Cycle p99 (ms)</x:v>
      </x:c>
      <x:c r="LS4" t="str">
        <x:v>D009 Mixed Cycle Max (ms)</x:v>
      </x:c>
      <x:c r="LT4" t="str">
        <x:v>D010 STALE_TARGET Receipts</x:v>
      </x:c>
      <x:c r="LU4" t="str">
        <x:v>D010 Harness Config Removed Count</x:v>
      </x:c>
      <x:c r="LV4" t="str">
        <x:v>D010 Durable Config Removed Count</x:v>
      </x:c>
      <x:c r="LW4" t="str">
        <x:v>D010 Harness Wrong Correlation Count</x:v>
      </x:c>
      <x:c r="LX4" t="str">
        <x:v>D010 Durable Wrong Correlation Count</x:v>
      </x:c>
      <x:c r="LY4" t="str">
        <x:v>D010 ManagementEffect CLEARED</x:v>
      </x:c>
      <x:c r="LZ4" t="str">
        <x:v>D010 Runtime Alarm Count</x:v>
      </x:c>
      <x:c r="MA4" t="str">
        <x:v>D010 Removed Targets Present</x:v>
      </x:c>
      <x:c r="MB4" t="str">
        <x:v>D010 Fresh Management</x:v>
      </x:c>
      <x:c r="MC4" t="str">
        <x:v>D010 Fresh Decisions</x:v>
      </x:c>
      <x:c r="MD4" t="str">
        <x:v>D010 Management pending read_at</x:v>
      </x:c>
      <x:c r="ME4" t="str">
        <x:v>D010 Decision pending read_at</x:v>
      </x:c>
      <x:c r="MF4" t="str">
        <x:v>D010 Request Batch</x:v>
      </x:c>
      <x:c r="MG4" t="str">
        <x:v>D010 Decision Batch</x:v>
      </x:c>
      <x:c r="MH4" t="str">
        <x:v>D010 WAL Expected</x:v>
      </x:c>
      <x:c r="MI4" t="str">
        <x:v>D010 WAL Actual</x:v>
      </x:c>
      <x:c r="MJ4" t="str">
        <x:v>D010 Single Execution</x:v>
      </x:c>
      <x:c r="MK4" t="str">
        <x:v>D010 False Negative Cause</x:v>
      </x:c>
      <x:c r="ML4" t="str">
        <x:v>E001 Plan Change Count</x:v>
      </x:c>
      <x:c r="MM4" t="str">
        <x:v>E001 Compatible</x:v>
      </x:c>
      <x:c r="MN4" t="str">
        <x:v>E001 Unchanged</x:v>
      </x:c>
      <x:c r="MO4" t="str">
        <x:v>E001 Structural Reset</x:v>
      </x:c>
      <x:c r="MP4" t="str">
        <x:v>E001 Disabled</x:v>
      </x:c>
      <x:c r="MQ4" t="str">
        <x:v>E001 Removed</x:v>
      </x:c>
      <x:c r="MR4" t="str">
        <x:v>E001 Rejected</x:v>
      </x:c>
      <x:c r="MS4" t="str">
        <x:v>E001 Source Revision</x:v>
      </x:c>
      <x:c r="MT4" t="str">
        <x:v>E001 Target Revision</x:v>
      </x:c>
      <x:c r="MU4" t="str">
        <x:v>E001 Source Threshold</x:v>
      </x:c>
      <x:c r="MV4" t="str">
        <x:v>E001 Target Threshold</x:v>
      </x:c>
      <x:c r="MW4" t="str">
        <x:v>E001 Target Runtime Alarms</x:v>
      </x:c>
      <x:c r="MX4" t="str">
        <x:v>E001 Target Threshold Alarms</x:v>
      </x:c>
      <x:c r="MY4" t="str">
        <x:v>E001 Adoption Iteration</x:v>
      </x:c>
      <x:c r="MZ4" t="str">
        <x:v>E001 Adoption Iteration (ms)</x:v>
      </x:c>
      <x:c r="NA4" t="str">
        <x:v>E001 Adoption CPU %</x:v>
      </x:c>
      <x:c r="NB4" t="str">
        <x:v>E001 Adoption Cycle Executed</x:v>
      </x:c>
      <x:c r="NC4" t="str">
        <x:v>E001 Post-adoption Cache Current Iterations</x:v>
      </x:c>
      <x:c r="ND4" t="str">
        <x:v>E001 Effective Cache Revision</x:v>
      </x:c>
      <x:c r="NE4" t="str">
        <x:v>E001 Source Revision Durable Records</x:v>
      </x:c>
      <x:c r="NF4" t="str">
        <x:v>E001 Target Revision Durable Records</x:v>
      </x:c>
      <x:c r="NG4" t="str">
        <x:v>E001 Source State Basis Snapshots</x:v>
      </x:c>
      <x:c r="NH4" t="str">
        <x:v>E001 Target State Basis Snapshots</x:v>
      </x:c>
      <x:c r="NI4" t="str">
        <x:v>E001 Open Occurrences</x:v>
      </x:c>
      <x:c r="NJ4" t="str">
        <x:v>E001 Expected Durable Records</x:v>
      </x:c>
      <x:c r="NK4" t="str">
        <x:v>E001 Actual Durable Records</x:v>
      </x:c>
      <x:c r="NL4" t="str">
        <x:v>E001 Adoption vs D010 Reduction %</x:v>
      </x:c>
    </x:row>
    <x:row r="5">
      <x:c r="A5" s="32" t="str">
        <x:v>814c4814-de17-43fc-bc59-d2f2fcda6b92</x:v>
      </x:c>
      <x:c r="B5" s="32" t="str">
        <x:v>A-001</x:v>
      </x:c>
      <x:c r="C5" s="42" t="n">
        <x:v>46259.53097222222</x:v>
      </x:c>
      <x:c r="D5" s="32" t="str">
        <x:v>489b7424f5051f7a276dafe8d5f318ccf1368d87</x:v>
      </x:c>
      <x:c r="E5" s="32" t="str">
        <x:v>GLONBW11</x:v>
      </x:c>
      <x:c r="F5" s="32" t="str">
        <x:v>local-filesystem</x:v>
      </x:c>
      <x:c r="G5" s="32" t="str">
        <x:v>3.14.2</x:v>
      </x:c>
      <x:c r="H5" s="32" t="str">
        <x:v>deterministic</x:v>
      </x:c>
      <x:c r="I5" s="32" t="n">
        <x:v>100</x:v>
      </x:c>
      <x:c r="J5" s="32" t="n">
        <x:v>2</x:v>
      </x:c>
      <x:c r="K5" s="47" t="n">
        <x:v>2.0030225666666666</x:v>
      </x:c>
      <x:c r="L5" s="32" t="n">
        <x:v>25</x:v>
      </x:c>
      <x:c r="M5" s="32" t="n">
        <x:v>5</x:v>
      </x:c>
      <x:c r="N5" s="32" t="n">
        <x:v>10</x:v>
      </x:c>
      <x:c r="O5" s="48" t="n">
        <x:v>99.05531300046277</x:v>
      </x:c>
      <x:c r="P5" s="48" t="n">
        <x:v>141.46000239998102</x:v>
      </x:c>
      <x:c r="Q5" s="48" t="n">
        <x:v>150.42760952004758</x:v>
      </x:c>
      <x:c r="R5" s="48" t="n">
        <x:v>153.10098200006905</x:v>
      </x:c>
      <x:c r="S5" s="32" t="n">
        <x:v>0</x:v>
      </x:c>
      <x:c r="T5" s="43" t="n">
        <x:v>0</x:v>
      </x:c>
      <x:c r="U5" s="48" t="n">
        <x:v>81.68319132736048</x:v>
      </x:c>
      <x:c r="V5" s="48" t="n">
        <x:v>104.84169290975099</x:v>
      </x:c>
      <x:c r="W5" s="48" t="n">
        <x:v>125.051015625</x:v>
      </x:c>
      <x:c r="X5" s="48" t="n">
        <x:v>125.984375</x:v>
      </x:c>
      <x:c r="Y5" s="32"/>
      <x:c r="Z5" s="32"/>
      <x:c r="AA5" s="32"/>
      <x:c r="AB5" s="32"/>
      <x:c r="AC5" s="32" t="n">
        <x:v>0</x:v>
      </x:c>
      <x:c r="AD5" s="32" t="n">
        <x:v>0</x:v>
      </x:c>
      <x:c r="AE5" s="32" t="n">
        <x:v>0</x:v>
      </x:c>
      <x:c r="AF5" s="32"/>
      <x:c r="AG5" s="32"/>
      <x:c r="AH5" s="48" t="n">
        <x:v>27.81820800009882</x:v>
      </x:c>
      <x:c r="AI5" s="32" t="str">
        <x:v>PASS</x:v>
      </x:c>
      <x:c r="AJ5" s="32" t="str">
        <x:v>GREEN</x:v>
      </x:c>
      <x:c r="AK5" s="32" t="str">
        <x:v>shared-latest</x:v>
      </x:c>
      <x:c r="AL5" s="32" t="n">
        <x:v>1</x:v>
      </x:c>
      <x:c r="AM5" s="32" t="n">
        <x:v>1</x:v>
      </x:c>
      <x:c r="AN5" s="32" t="n">
        <x:v>1</x:v>
      </x:c>
      <x:c r="AO5" s="32" t="n">
        <x:v>1</x:v>
      </x:c>
      <x:c r="AP5" s="32"/>
      <x:c r="AQ5" s="32"/>
      <x:c r="AR5" s="32"/>
      <x:c r="AS5" s="32"/>
      <x:c r="AT5" s="32"/>
      <x:c r="AU5" s="32"/>
      <x:c r="AV5" s="32"/>
      <x:c r="AW5" s="32"/>
      <x:c r="AX5" s="32"/>
      <x:c r="AY5" s="32"/>
      <x:c r="AZ5" s="32"/>
      <x:c r="BA5" s="32"/>
      <x:c r="BB5" s="32"/>
      <x:c r="BC5" s="32"/>
      <x:c r="BD5" s="32"/>
      <x:c r="BE5" s="32"/>
      <x:c r="BF5" s="32"/>
      <x:c r="BG5" s="32"/>
      <x:c r="BH5" s="32"/>
      <x:c r="BI5" s="32"/>
      <x:c r="BJ5" s="32"/>
      <x:c r="BK5" s="32"/>
      <x:c r="BL5" s="32"/>
      <x:c r="BM5" s="32"/>
      <x:c r="BN5" s="32"/>
      <x:c r="BO5" s="32"/>
      <x:c r="BP5" s="32"/>
      <x:c r="BQ5" s="32"/>
      <x:c r="BR5" s="32"/>
      <x:c r="BS5" s="32"/>
      <x:c r="BT5" s="32"/>
      <x:c r="BU5" s="32"/>
      <x:c r="BV5" s="32"/>
      <x:c r="BW5" s="32"/>
      <x:c r="BX5" s="32"/>
      <x:c r="BY5" s="32"/>
      <x:c r="BZ5" s="32"/>
      <x:c r="CA5" s="32"/>
      <x:c r="CB5" s="32"/>
      <x:c r="CC5" s="32"/>
      <x:c r="CD5" s="32"/>
      <x:c r="CE5" s="32"/>
      <x:c r="CF5" s="32"/>
      <x:c r="CG5" s="32"/>
      <x:c r="CH5" s="32"/>
      <x:c r="CI5" s="32"/>
      <x:c r="CJ5" s="32"/>
      <x:c r="CK5" s="32"/>
      <x:c r="CL5" s="32"/>
      <x:c r="CM5" s="32"/>
      <x:c r="CN5" s="32"/>
      <x:c r="CO5" s="32"/>
      <x:c r="CP5" s="32"/>
      <x:c r="CQ5" s="32"/>
      <x:c r="CR5" s="32"/>
      <x:c r="CS5" s="32"/>
      <x:c r="CT5" s="32"/>
      <x:c r="CU5" s="32"/>
      <x:c r="CV5" s="32"/>
      <x:c r="CW5" s="32"/>
      <x:c r="CX5" s="32"/>
      <x:c r="CY5" s="32"/>
      <x:c r="CZ5" s="32"/>
      <x:c r="DA5" s="32"/>
      <x:c r="DB5" s="32"/>
      <x:c r="DC5" s="32"/>
      <x:c r="DD5" s="32"/>
      <x:c r="DE5" s="32"/>
      <x:c r="DF5" s="32"/>
      <x:c r="DG5" s="32"/>
      <x:c r="DH5" s="32"/>
      <x:c r="DI5" s="32"/>
      <x:c r="DJ5" s="32"/>
      <x:c r="DK5" s="32"/>
      <x:c r="DL5" s="32"/>
      <x:c r="DM5" s="32"/>
      <x:c r="DN5" s="32"/>
      <x:c r="DO5" s="32"/>
      <x:c r="DP5" s="32"/>
      <x:c r="DQ5" s="32"/>
      <x:c r="DR5" s="32"/>
      <x:c r="DS5" s="32"/>
      <x:c r="DT5" s="32"/>
      <x:c r="DU5" s="32"/>
      <x:c r="DV5" s="32"/>
      <x:c r="DW5" s="32"/>
      <x:c r="DX5" s="32"/>
      <x:c r="DY5" s="32"/>
      <x:c r="DZ5" s="32"/>
      <x:c r="EA5" s="32"/>
      <x:c r="EB5" s="32"/>
      <x:c r="EC5" s="32"/>
      <x:c r="ED5" s="32"/>
      <x:c r="EE5" s="32"/>
      <x:c r="EF5" s="32"/>
      <x:c r="EG5" s="32"/>
      <x:c r="EH5" s="32"/>
      <x:c r="EI5" s="32"/>
      <x:c r="EJ5" s="32"/>
      <x:c r="EK5" s="32"/>
      <x:c r="EL5" s="32"/>
      <x:c r="EM5" s="32"/>
      <x:c r="EN5" s="32"/>
      <x:c r="EO5" s="32"/>
      <x:c r="EP5" s="32"/>
      <x:c r="EQ5" s="32"/>
      <x:c r="ER5" s="32"/>
      <x:c r="ES5" s="32"/>
      <x:c r="ET5" s="32"/>
      <x:c r="EU5" s="32"/>
      <x:c r="EV5" s="32"/>
      <x:c r="EW5" s="32"/>
      <x:c r="EX5" s="32"/>
      <x:c r="EY5" s="32"/>
      <x:c r="EZ5" s="32"/>
      <x:c r="FA5" s="32"/>
      <x:c r="FB5" s="32"/>
      <x:c r="FC5" s="32"/>
      <x:c r="FD5" s="32"/>
      <x:c r="FE5" s="32"/>
      <x:c r="FF5" s="32"/>
      <x:c r="FG5" s="32"/>
      <x:c r="FH5" s="32"/>
      <x:c r="FI5" s="32"/>
      <x:c r="FJ5" s="32"/>
      <x:c r="FK5" s="32"/>
      <x:c r="FL5" s="32"/>
      <x:c r="FM5" s="32"/>
      <x:c r="FN5" s="32"/>
      <x:c r="FO5" s="32"/>
      <x:c r="FP5" s="32"/>
      <x:c r="FQ5" s="32"/>
      <x:c r="FR5" s="32"/>
      <x:c r="FS5" s="32"/>
      <x:c r="FT5" s="32"/>
      <x:c r="FU5" s="32"/>
      <x:c r="FV5" s="32"/>
      <x:c r="FW5" s="32"/>
      <x:c r="FX5" s="32"/>
      <x:c r="FY5" s="32"/>
      <x:c r="FZ5" s="32"/>
      <x:c r="GA5" s="32"/>
      <x:c r="GB5" s="32"/>
      <x:c r="GC5" s="32"/>
      <x:c r="GD5" s="32"/>
      <x:c r="GE5" s="32"/>
      <x:c r="GF5" s="32"/>
      <x:c r="GG5" s="32"/>
      <x:c r="GH5" s="32"/>
      <x:c r="GI5" s="32"/>
      <x:c r="GJ5" s="32"/>
      <x:c r="GK5" s="32"/>
      <x:c r="GL5" s="32"/>
      <x:c r="GM5" s="32"/>
      <x:c r="GN5" s="32"/>
      <x:c r="GO5" s="32"/>
      <x:c r="GP5" s="32"/>
      <x:c r="GQ5" s="32"/>
      <x:c r="GR5" s="32"/>
      <x:c r="GS5" s="32"/>
      <x:c r="GT5" s="32"/>
      <x:c r="GU5" s="32"/>
      <x:c r="GV5" s="32"/>
      <x:c r="GW5" s="32"/>
      <x:c r="GX5" s="32"/>
      <x:c r="GY5" s="32"/>
      <x:c r="GZ5" s="32"/>
      <x:c r="HA5" s="32"/>
      <x:c r="HB5" s="32"/>
      <x:c r="HC5" s="32"/>
      <x:c r="HD5" s="32"/>
      <x:c r="HE5" s="32"/>
      <x:c r="HF5" s="32"/>
      <x:c r="HG5" s="32"/>
      <x:c r="HH5" s="32"/>
      <x:c r="HI5" s="32"/>
      <x:c r="HJ5" s="32"/>
      <x:c r="HK5" s="32"/>
      <x:c r="HL5" s="32"/>
      <x:c r="HM5" s="32"/>
      <x:c r="HN5" s="32"/>
      <x:c r="HO5" s="32"/>
      <x:c r="HP5" s="32"/>
      <x:c r="HQ5" s="32"/>
      <x:c r="HR5" s="32"/>
      <x:c r="HS5" s="32"/>
      <x:c r="HT5" s="32"/>
      <x:c r="HU5" s="32"/>
      <x:c r="HV5" s="32"/>
      <x:c r="HW5" s="32"/>
      <x:c r="HX5" s="32"/>
      <x:c r="HY5" s="32"/>
    </x:row>
    <x:row r="6">
      <x:c r="A6" s="32" t="str">
        <x:v>90ae9223-a513-4643-aa8c-a2658d41bec9</x:v>
      </x:c>
      <x:c r="B6" s="32" t="str">
        <x:v>A-002</x:v>
      </x:c>
      <x:c r="C6" s="42" t="n">
        <x:v>46259.54824074074</x:v>
      </x:c>
      <x:c r="D6" s="32" t="str">
        <x:v>489b7424f5051f7a276dafe8d5f318ccf1368d87</x:v>
      </x:c>
      <x:c r="E6" s="32" t="str">
        <x:v>GLONBW11</x:v>
      </x:c>
      <x:c r="F6" s="32" t="str">
        <x:v>local-filesystem</x:v>
      </x:c>
      <x:c r="G6" s="32" t="str">
        <x:v>3.14.2</x:v>
      </x:c>
      <x:c r="H6" s="32" t="str">
        <x:v>deterministic</x:v>
      </x:c>
      <x:c r="I6" s="32" t="n">
        <x:v>250</x:v>
      </x:c>
      <x:c r="J6" s="32" t="n">
        <x:v>10</x:v>
      </x:c>
      <x:c r="K6" s="47" t="n">
        <x:v>10.010283416666665</x:v>
      </x:c>
      <x:c r="L6" s="32" t="n">
        <x:v>121</x:v>
      </x:c>
      <x:c r="M6" s="32" t="n">
        <x:v>5</x:v>
      </x:c>
      <x:c r="N6" s="32" t="n">
        <x:v>10</x:v>
      </x:c>
      <x:c r="O6" s="48" t="n">
        <x:v>205.6304830002773</x:v>
      </x:c>
      <x:c r="P6" s="48" t="n">
        <x:v>307.31912499959435</x:v>
      </x:c>
      <x:c r="Q6" s="48" t="n">
        <x:v>444.96683280012763</x:v>
      </x:c>
      <x:c r="R6" s="48" t="n">
        <x:v>909.0204719996109</x:v>
      </x:c>
      <x:c r="S6" s="32" t="n">
        <x:v>0</x:v>
      </x:c>
      <x:c r="T6" s="43" t="n">
        <x:v>0</x:v>
      </x:c>
      <x:c r="U6" s="48" t="n">
        <x:v>91.28019166600153</x:v>
      </x:c>
      <x:c r="V6" s="48" t="n">
        <x:v>105.63529435775803</x:v>
      </x:c>
      <x:c r="W6" s="48" t="n">
        <x:v>129.58950477789256</x:v>
      </x:c>
      <x:c r="X6" s="48" t="n">
        <x:v>129.65234375</x:v>
      </x:c>
      <x:c r="Y6" s="32"/>
      <x:c r="Z6" s="32"/>
      <x:c r="AA6" s="32"/>
      <x:c r="AB6" s="32"/>
      <x:c r="AC6" s="32" t="n">
        <x:v>0</x:v>
      </x:c>
      <x:c r="AD6" s="32" t="n">
        <x:v>0</x:v>
      </x:c>
      <x:c r="AE6" s="32" t="n">
        <x:v>0</x:v>
      </x:c>
      <x:c r="AF6" s="32"/>
      <x:c r="AG6" s="32"/>
      <x:c r="AH6" s="48" t="n">
        <x:v>97.70235399992089</x:v>
      </x:c>
      <x:c r="AI6" s="32" t="str">
        <x:v>PASS</x:v>
      </x:c>
      <x:c r="AJ6" s="32" t="str">
        <x:v>GREEN</x:v>
      </x:c>
      <x:c r="AK6" s="32" t="str">
        <x:v>shared-latest</x:v>
      </x:c>
      <x:c r="AL6" s="32" t="n">
        <x:v>1</x:v>
      </x:c>
      <x:c r="AM6" s="32" t="n">
        <x:v>1</x:v>
      </x:c>
      <x:c r="AN6" s="32" t="n">
        <x:v>1</x:v>
      </x:c>
      <x:c r="AO6" s="32" t="n">
        <x:v>1</x:v>
      </x:c>
      <x:c r="AP6" s="32"/>
      <x:c r="AQ6" s="32"/>
      <x:c r="AR6" s="32"/>
      <x:c r="AS6" s="32"/>
      <x:c r="AT6" s="32"/>
      <x:c r="AU6" s="32"/>
      <x:c r="AV6" s="32"/>
      <x:c r="AW6" s="32"/>
      <x:c r="AX6" s="32"/>
      <x:c r="AY6" s="32"/>
      <x:c r="AZ6" s="32"/>
      <x:c r="BA6" s="32"/>
      <x:c r="BB6" s="32"/>
      <x:c r="BC6" s="32"/>
      <x:c r="BD6" s="32"/>
      <x:c r="BE6" s="32"/>
      <x:c r="BF6" s="32"/>
      <x:c r="BG6" s="32"/>
      <x:c r="BH6" s="32"/>
      <x:c r="BI6" s="32"/>
      <x:c r="BJ6" s="32"/>
      <x:c r="BK6" s="32"/>
      <x:c r="BL6" s="32"/>
      <x:c r="BM6" s="32"/>
      <x:c r="BN6" s="32"/>
      <x:c r="BO6" s="32"/>
      <x:c r="BP6" s="32"/>
      <x:c r="BQ6" s="32"/>
      <x:c r="BR6" s="32"/>
      <x:c r="BS6" s="32"/>
      <x:c r="BT6" s="32"/>
      <x:c r="BU6" s="32"/>
      <x:c r="BV6" s="32"/>
      <x:c r="BW6" s="32"/>
      <x:c r="BX6" s="32"/>
      <x:c r="BY6" s="32"/>
      <x:c r="BZ6" s="32"/>
      <x:c r="CA6" s="32"/>
      <x:c r="CB6" s="32"/>
      <x:c r="CC6" s="32"/>
      <x:c r="CD6" s="32"/>
      <x:c r="CE6" s="32"/>
      <x:c r="CF6" s="32"/>
      <x:c r="CG6" s="32"/>
      <x:c r="CH6" s="32"/>
      <x:c r="CI6" s="32"/>
      <x:c r="CJ6" s="32"/>
      <x:c r="CK6" s="32"/>
      <x:c r="CL6" s="32"/>
      <x:c r="CM6" s="32"/>
      <x:c r="CN6" s="32"/>
      <x:c r="CO6" s="32"/>
      <x:c r="CP6" s="32"/>
      <x:c r="CQ6" s="32"/>
      <x:c r="CR6" s="32"/>
      <x:c r="CS6" s="32"/>
      <x:c r="CT6" s="32"/>
      <x:c r="CU6" s="32"/>
      <x:c r="CV6" s="32"/>
      <x:c r="CW6" s="32"/>
      <x:c r="CX6" s="32"/>
      <x:c r="CY6" s="32"/>
      <x:c r="CZ6" s="32"/>
      <x:c r="DA6" s="32"/>
      <x:c r="DB6" s="32"/>
      <x:c r="DC6" s="32"/>
      <x:c r="DD6" s="32"/>
      <x:c r="DE6" s="32"/>
      <x:c r="DF6" s="32"/>
      <x:c r="DG6" s="32"/>
      <x:c r="DH6" s="32"/>
      <x:c r="DI6" s="32"/>
      <x:c r="DJ6" s="32"/>
      <x:c r="DK6" s="32"/>
      <x:c r="DL6" s="32"/>
      <x:c r="DM6" s="32"/>
      <x:c r="DN6" s="32"/>
      <x:c r="DO6" s="32"/>
      <x:c r="DP6" s="32"/>
      <x:c r="DQ6" s="32"/>
      <x:c r="DR6" s="32"/>
      <x:c r="DS6" s="32"/>
      <x:c r="DT6" s="32"/>
      <x:c r="DU6" s="32"/>
      <x:c r="DV6" s="32"/>
      <x:c r="DW6" s="32"/>
      <x:c r="DX6" s="32"/>
      <x:c r="DY6" s="32"/>
      <x:c r="DZ6" s="32"/>
      <x:c r="EA6" s="32"/>
      <x:c r="EB6" s="32"/>
      <x:c r="EC6" s="32"/>
      <x:c r="ED6" s="32"/>
      <x:c r="EE6" s="32"/>
      <x:c r="EF6" s="32"/>
      <x:c r="EG6" s="32"/>
      <x:c r="EH6" s="32"/>
      <x:c r="EI6" s="32"/>
      <x:c r="EJ6" s="32"/>
      <x:c r="EK6" s="32"/>
      <x:c r="EL6" s="32"/>
      <x:c r="EM6" s="32"/>
      <x:c r="EN6" s="32"/>
      <x:c r="EO6" s="32"/>
      <x:c r="EP6" s="32"/>
      <x:c r="EQ6" s="32"/>
      <x:c r="ER6" s="32"/>
      <x:c r="ES6" s="32"/>
      <x:c r="ET6" s="32"/>
      <x:c r="EU6" s="32"/>
      <x:c r="EV6" s="32"/>
      <x:c r="EW6" s="32"/>
      <x:c r="EX6" s="32"/>
      <x:c r="EY6" s="32"/>
      <x:c r="EZ6" s="32"/>
      <x:c r="FA6" s="32"/>
      <x:c r="FB6" s="32"/>
      <x:c r="FC6" s="32"/>
      <x:c r="FD6" s="32"/>
      <x:c r="FE6" s="32"/>
      <x:c r="FF6" s="32"/>
      <x:c r="FG6" s="32"/>
      <x:c r="FH6" s="32"/>
      <x:c r="FI6" s="32"/>
      <x:c r="FJ6" s="32"/>
      <x:c r="FK6" s="32"/>
      <x:c r="FL6" s="32"/>
      <x:c r="FM6" s="32"/>
      <x:c r="FN6" s="32"/>
      <x:c r="FO6" s="32"/>
      <x:c r="FP6" s="32"/>
      <x:c r="FQ6" s="32"/>
      <x:c r="FR6" s="32"/>
      <x:c r="FS6" s="32"/>
      <x:c r="FT6" s="32"/>
      <x:c r="FU6" s="32"/>
      <x:c r="FV6" s="32"/>
      <x:c r="FW6" s="32"/>
      <x:c r="FX6" s="32"/>
      <x:c r="FY6" s="32"/>
      <x:c r="FZ6" s="32"/>
      <x:c r="GA6" s="32"/>
      <x:c r="GB6" s="32"/>
      <x:c r="GC6" s="32"/>
      <x:c r="GD6" s="32"/>
      <x:c r="GE6" s="32"/>
      <x:c r="GF6" s="32"/>
      <x:c r="GG6" s="32"/>
      <x:c r="GH6" s="32"/>
      <x:c r="GI6" s="32"/>
      <x:c r="GJ6" s="32"/>
      <x:c r="GK6" s="32"/>
      <x:c r="GL6" s="32"/>
      <x:c r="GM6" s="32"/>
      <x:c r="GN6" s="32"/>
      <x:c r="GO6" s="32"/>
      <x:c r="GP6" s="32"/>
      <x:c r="GQ6" s="32"/>
      <x:c r="GR6" s="32"/>
      <x:c r="GS6" s="32"/>
      <x:c r="GT6" s="32"/>
      <x:c r="GU6" s="32"/>
      <x:c r="GV6" s="32"/>
      <x:c r="GW6" s="32"/>
      <x:c r="GX6" s="32"/>
      <x:c r="GY6" s="32"/>
      <x:c r="GZ6" s="32"/>
      <x:c r="HA6" s="32"/>
      <x:c r="HB6" s="32"/>
      <x:c r="HC6" s="32"/>
      <x:c r="HD6" s="32"/>
      <x:c r="HE6" s="32"/>
      <x:c r="HF6" s="32"/>
      <x:c r="HG6" s="32"/>
      <x:c r="HH6" s="32"/>
      <x:c r="HI6" s="32"/>
      <x:c r="HJ6" s="32"/>
      <x:c r="HK6" s="32"/>
      <x:c r="HL6" s="32"/>
      <x:c r="HM6" s="32"/>
      <x:c r="HN6" s="32"/>
      <x:c r="HO6" s="32"/>
      <x:c r="HP6" s="32"/>
      <x:c r="HQ6" s="32"/>
      <x:c r="HR6" s="32"/>
      <x:c r="HS6" s="32"/>
      <x:c r="HT6" s="32"/>
      <x:c r="HU6" s="32"/>
      <x:c r="HV6" s="32"/>
      <x:c r="HW6" s="32"/>
      <x:c r="HX6" s="32"/>
      <x:c r="HY6" s="32"/>
    </x:row>
    <x:row r="7">
      <x:c r="A7" s="32" t="str">
        <x:v>a6d0eae4-9bc6-47f7-91e2-7f02741ca635</x:v>
      </x:c>
      <x:c r="B7" s="32" t="str">
        <x:v>A-003</x:v>
      </x:c>
      <x:c r="C7" s="42" t="n">
        <x:v>46259.56309027778</x:v>
      </x:c>
      <x:c r="D7" s="32" t="str">
        <x:v>489b7424f5051f7a276dafe8d5f318ccf1368d87</x:v>
      </x:c>
      <x:c r="E7" s="32" t="str">
        <x:v>GLONBW11</x:v>
      </x:c>
      <x:c r="F7" s="32" t="str">
        <x:v>local-filesystem</x:v>
      </x:c>
      <x:c r="G7" s="32" t="str">
        <x:v>3.14.2</x:v>
      </x:c>
      <x:c r="H7" s="32" t="str">
        <x:v>deterministic</x:v>
      </x:c>
      <x:c r="I7" s="32" t="n">
        <x:v>500</x:v>
      </x:c>
      <x:c r="J7" s="32" t="n">
        <x:v>10</x:v>
      </x:c>
      <x:c r="K7" s="47" t="n">
        <x:v>10.020355599999998</x:v>
      </x:c>
      <x:c r="L7" s="32" t="n">
        <x:v>121</x:v>
      </x:c>
      <x:c r="M7" s="32" t="n">
        <x:v>5</x:v>
      </x:c>
      <x:c r="N7" s="32" t="n">
        <x:v>10</x:v>
      </x:c>
      <x:c r="O7" s="48" t="n">
        <x:v>387.4734989994977</x:v>
      </x:c>
      <x:c r="P7" s="48" t="n">
        <x:v>437.5932749999265</x:v>
      </x:c>
      <x:c r="Q7" s="48" t="n">
        <x:v>618.8205041999024</x:v>
      </x:c>
      <x:c r="R7" s="48" t="n">
        <x:v>728.3200030005901</x:v>
      </x:c>
      <x:c r="S7" s="32" t="n">
        <x:v>0</x:v>
      </x:c>
      <x:c r="T7" s="43" t="n">
        <x:v>0</x:v>
      </x:c>
      <x:c r="U7" s="48" t="n">
        <x:v>96.15783685614771</x:v>
      </x:c>
      <x:c r="V7" s="48" t="n">
        <x:v>102.92344872173985</x:v>
      </x:c>
      <x:c r="W7" s="48" t="n">
        <x:v>130.55139462809916</x:v>
      </x:c>
      <x:c r="X7" s="48" t="n">
        <x:v>131.265625</x:v>
      </x:c>
      <x:c r="Y7" s="32"/>
      <x:c r="Z7" s="32"/>
      <x:c r="AA7" s="32"/>
      <x:c r="AB7" s="32"/>
      <x:c r="AC7" s="32" t="n">
        <x:v>0</x:v>
      </x:c>
      <x:c r="AD7" s="32" t="n">
        <x:v>0</x:v>
      </x:c>
      <x:c r="AE7" s="32" t="n">
        <x:v>0</x:v>
      </x:c>
      <x:c r="AF7" s="32"/>
      <x:c r="AG7" s="32"/>
      <x:c r="AH7" s="48" t="n">
        <x:v>192.9753990007157</x:v>
      </x:c>
      <x:c r="AI7" s="32" t="str">
        <x:v>PASS</x:v>
      </x:c>
      <x:c r="AJ7" s="32" t="str">
        <x:v>GREEN</x:v>
      </x:c>
      <x:c r="AK7" s="32" t="str">
        <x:v>shared-latest</x:v>
      </x:c>
      <x:c r="AL7" s="32" t="n">
        <x:v>1</x:v>
      </x:c>
      <x:c r="AM7" s="32" t="n">
        <x:v>1</x:v>
      </x:c>
      <x:c r="AN7" s="32" t="n">
        <x:v>1</x:v>
      </x:c>
      <x:c r="AO7" s="32" t="n">
        <x:v>1</x:v>
      </x:c>
      <x:c r="AP7" s="32"/>
      <x:c r="AQ7" s="32"/>
      <x:c r="AR7" s="32"/>
      <x:c r="AS7" s="32"/>
      <x:c r="AT7" s="32"/>
      <x:c r="AU7" s="32"/>
      <x:c r="AV7" s="32"/>
      <x:c r="AW7" s="32"/>
      <x:c r="AX7" s="32"/>
      <x:c r="AY7" s="32"/>
      <x:c r="AZ7" s="32"/>
      <x:c r="BA7" s="32"/>
      <x:c r="BB7" s="32"/>
      <x:c r="BC7" s="32"/>
      <x:c r="BD7" s="32"/>
      <x:c r="BE7" s="32"/>
      <x:c r="BF7" s="32"/>
      <x:c r="BG7" s="32"/>
      <x:c r="BH7" s="32"/>
      <x:c r="BI7" s="32"/>
      <x:c r="BJ7" s="32"/>
      <x:c r="BK7" s="32"/>
      <x:c r="BL7" s="32"/>
      <x:c r="BM7" s="32"/>
      <x:c r="BN7" s="32"/>
      <x:c r="BO7" s="32"/>
      <x:c r="BP7" s="32"/>
      <x:c r="BQ7" s="32"/>
      <x:c r="BR7" s="32"/>
      <x:c r="BS7" s="32"/>
      <x:c r="BT7" s="32"/>
      <x:c r="BU7" s="32"/>
      <x:c r="BV7" s="32"/>
      <x:c r="BW7" s="32"/>
      <x:c r="BX7" s="32"/>
      <x:c r="BY7" s="32"/>
      <x:c r="BZ7" s="32"/>
      <x:c r="CA7" s="32"/>
      <x:c r="CB7" s="32"/>
      <x:c r="CC7" s="32"/>
      <x:c r="CD7" s="32"/>
      <x:c r="CE7" s="32"/>
      <x:c r="CF7" s="32"/>
      <x:c r="CG7" s="32"/>
      <x:c r="CH7" s="32"/>
      <x:c r="CI7" s="32"/>
      <x:c r="CJ7" s="32"/>
      <x:c r="CK7" s="32"/>
      <x:c r="CL7" s="32"/>
      <x:c r="CM7" s="32"/>
      <x:c r="CN7" s="32"/>
      <x:c r="CO7" s="32"/>
      <x:c r="CP7" s="32"/>
      <x:c r="CQ7" s="32"/>
      <x:c r="CR7" s="32"/>
      <x:c r="CS7" s="32"/>
      <x:c r="CT7" s="32"/>
      <x:c r="CU7" s="32"/>
      <x:c r="CV7" s="32"/>
      <x:c r="CW7" s="32"/>
      <x:c r="CX7" s="32"/>
      <x:c r="CY7" s="32"/>
      <x:c r="CZ7" s="32"/>
      <x:c r="DA7" s="32"/>
      <x:c r="DB7" s="32"/>
      <x:c r="DC7" s="32"/>
      <x:c r="DD7" s="32"/>
      <x:c r="DE7" s="32"/>
      <x:c r="DF7" s="32"/>
      <x:c r="DG7" s="32"/>
      <x:c r="DH7" s="32"/>
      <x:c r="DI7" s="32"/>
      <x:c r="DJ7" s="32"/>
      <x:c r="DK7" s="32"/>
      <x:c r="DL7" s="32"/>
      <x:c r="DM7" s="32"/>
      <x:c r="DN7" s="32"/>
      <x:c r="DO7" s="32"/>
      <x:c r="DP7" s="32"/>
      <x:c r="DQ7" s="32"/>
      <x:c r="DR7" s="32"/>
      <x:c r="DS7" s="32"/>
      <x:c r="DT7" s="32"/>
      <x:c r="DU7" s="32"/>
      <x:c r="DV7" s="32"/>
      <x:c r="DW7" s="32"/>
      <x:c r="DX7" s="32"/>
      <x:c r="DY7" s="32"/>
      <x:c r="DZ7" s="32"/>
      <x:c r="EA7" s="32"/>
      <x:c r="EB7" s="32"/>
      <x:c r="EC7" s="32"/>
      <x:c r="ED7" s="32"/>
      <x:c r="EE7" s="32"/>
      <x:c r="EF7" s="32"/>
      <x:c r="EG7" s="32"/>
      <x:c r="EH7" s="32"/>
      <x:c r="EI7" s="32"/>
      <x:c r="EJ7" s="32"/>
      <x:c r="EK7" s="32"/>
      <x:c r="EL7" s="32"/>
      <x:c r="EM7" s="32"/>
      <x:c r="EN7" s="32"/>
      <x:c r="EO7" s="32"/>
      <x:c r="EP7" s="32"/>
      <x:c r="EQ7" s="32"/>
      <x:c r="ER7" s="32"/>
      <x:c r="ES7" s="32"/>
      <x:c r="ET7" s="32"/>
      <x:c r="EU7" s="32"/>
      <x:c r="EV7" s="32"/>
      <x:c r="EW7" s="32"/>
      <x:c r="EX7" s="32"/>
      <x:c r="EY7" s="32"/>
      <x:c r="EZ7" s="32"/>
      <x:c r="FA7" s="32"/>
      <x:c r="FB7" s="32"/>
      <x:c r="FC7" s="32"/>
      <x:c r="FD7" s="32"/>
      <x:c r="FE7" s="32"/>
      <x:c r="FF7" s="32"/>
      <x:c r="FG7" s="32"/>
      <x:c r="FH7" s="32"/>
      <x:c r="FI7" s="32"/>
      <x:c r="FJ7" s="32"/>
      <x:c r="FK7" s="32"/>
      <x:c r="FL7" s="32"/>
      <x:c r="FM7" s="32"/>
      <x:c r="FN7" s="32"/>
      <x:c r="FO7" s="32"/>
      <x:c r="FP7" s="32"/>
      <x:c r="FQ7" s="32"/>
      <x:c r="FR7" s="32"/>
      <x:c r="FS7" s="32"/>
      <x:c r="FT7" s="32"/>
      <x:c r="FU7" s="32"/>
      <x:c r="FV7" s="32"/>
      <x:c r="FW7" s="32"/>
      <x:c r="FX7" s="32"/>
      <x:c r="FY7" s="32"/>
      <x:c r="FZ7" s="32"/>
      <x:c r="GA7" s="32"/>
      <x:c r="GB7" s="32"/>
      <x:c r="GC7" s="32"/>
      <x:c r="GD7" s="32"/>
      <x:c r="GE7" s="32"/>
      <x:c r="GF7" s="32"/>
      <x:c r="GG7" s="32"/>
      <x:c r="GH7" s="32"/>
      <x:c r="GI7" s="32"/>
      <x:c r="GJ7" s="32"/>
      <x:c r="GK7" s="32"/>
      <x:c r="GL7" s="32"/>
      <x:c r="GM7" s="32"/>
      <x:c r="GN7" s="32"/>
      <x:c r="GO7" s="32"/>
      <x:c r="GP7" s="32"/>
      <x:c r="GQ7" s="32"/>
      <x:c r="GR7" s="32"/>
      <x:c r="GS7" s="32"/>
      <x:c r="GT7" s="32"/>
      <x:c r="GU7" s="32"/>
      <x:c r="GV7" s="32"/>
      <x:c r="GW7" s="32"/>
      <x:c r="GX7" s="32"/>
      <x:c r="GY7" s="32"/>
      <x:c r="GZ7" s="32"/>
      <x:c r="HA7" s="32"/>
      <x:c r="HB7" s="32"/>
      <x:c r="HC7" s="32"/>
      <x:c r="HD7" s="32"/>
      <x:c r="HE7" s="32"/>
      <x:c r="HF7" s="32"/>
      <x:c r="HG7" s="32"/>
      <x:c r="HH7" s="32"/>
      <x:c r="HI7" s="32"/>
      <x:c r="HJ7" s="32"/>
      <x:c r="HK7" s="32"/>
      <x:c r="HL7" s="32"/>
      <x:c r="HM7" s="32"/>
      <x:c r="HN7" s="32"/>
      <x:c r="HO7" s="32"/>
      <x:c r="HP7" s="32"/>
      <x:c r="HQ7" s="32"/>
      <x:c r="HR7" s="32"/>
      <x:c r="HS7" s="32"/>
      <x:c r="HT7" s="32"/>
      <x:c r="HU7" s="32"/>
      <x:c r="HV7" s="32"/>
      <x:c r="HW7" s="32"/>
      <x:c r="HX7" s="32"/>
      <x:c r="HY7" s="32"/>
    </x:row>
    <x:row r="8">
      <x:c r="A8" s="32" t="str">
        <x:v>79fff64c-2594-4e2d-958f-c32cb7f57d6c</x:v>
      </x:c>
      <x:c r="B8" s="32" t="str">
        <x:v>A-004</x:v>
      </x:c>
      <x:c r="C8" s="42" t="n">
        <x:v>46259.5750462963</x:v>
      </x:c>
      <x:c r="D8" s="32" t="str">
        <x:v>489b7424f5051f7a276dafe8d5f318ccf1368d87</x:v>
      </x:c>
      <x:c r="E8" s="32" t="str">
        <x:v>GLONBW11</x:v>
      </x:c>
      <x:c r="F8" s="32" t="str">
        <x:v>local-filesystem</x:v>
      </x:c>
      <x:c r="G8" s="32" t="str">
        <x:v>3.14.2</x:v>
      </x:c>
      <x:c r="H8" s="32" t="str">
        <x:v>deterministic</x:v>
      </x:c>
      <x:c r="I8" s="32" t="n">
        <x:v>750</x:v>
      </x:c>
      <x:c r="J8" s="32" t="n">
        <x:v>10</x:v>
      </x:c>
      <x:c r="K8" s="47" t="n">
        <x:v>10.02327265</x:v>
      </x:c>
      <x:c r="L8" s="32" t="n">
        <x:v>121</x:v>
      </x:c>
      <x:c r="M8" s="32" t="n">
        <x:v>5</x:v>
      </x:c>
      <x:c r="N8" s="32" t="n">
        <x:v>10</x:v>
      </x:c>
      <x:c r="O8" s="48" t="n">
        <x:v>585.9871780003232</x:v>
      </x:c>
      <x:c r="P8" s="48" t="n">
        <x:v>645.0332279991926</x:v>
      </x:c>
      <x:c r="Q8" s="48" t="n">
        <x:v>888.147127799857</x:v>
      </x:c>
      <x:c r="R8" s="48" t="n">
        <x:v>955.182177000097</x:v>
      </x:c>
      <x:c r="S8" s="32" t="n">
        <x:v>0</x:v>
      </x:c>
      <x:c r="T8" s="43" t="n">
        <x:v>0</x:v>
      </x:c>
      <x:c r="U8" s="48" t="n">
        <x:v>96.90615969732796</x:v>
      </x:c>
      <x:c r="V8" s="48" t="n">
        <x:v>102.23419021095788</x:v>
      </x:c>
      <x:c r="W8" s="48" t="n">
        <x:v>134.60314436983472</x:v>
      </x:c>
      <x:c r="X8" s="48" t="n">
        <x:v>135.6328125</x:v>
      </x:c>
      <x:c r="Y8" s="32"/>
      <x:c r="Z8" s="32"/>
      <x:c r="AA8" s="32"/>
      <x:c r="AB8" s="32"/>
      <x:c r="AC8" s="32" t="n">
        <x:v>0</x:v>
      </x:c>
      <x:c r="AD8" s="32" t="n">
        <x:v>0</x:v>
      </x:c>
      <x:c r="AE8" s="32" t="n">
        <x:v>0</x:v>
      </x:c>
      <x:c r="AF8" s="32"/>
      <x:c r="AG8" s="32"/>
      <x:c r="AH8" s="48" t="n">
        <x:v>310.23053099943354</x:v>
      </x:c>
      <x:c r="AI8" s="32" t="str">
        <x:v>PASS</x:v>
      </x:c>
      <x:c r="AJ8" s="32" t="str">
        <x:v>GREEN</x:v>
      </x:c>
      <x:c r="AK8" s="32" t="str">
        <x:v>shared-latest</x:v>
      </x:c>
      <x:c r="AL8" s="32" t="n">
        <x:v>1</x:v>
      </x:c>
      <x:c r="AM8" s="32" t="n">
        <x:v>1</x:v>
      </x:c>
      <x:c r="AN8" s="32" t="n">
        <x:v>1</x:v>
      </x:c>
      <x:c r="AO8" s="32" t="n">
        <x:v>1</x:v>
      </x:c>
      <x:c r="AP8" s="32"/>
      <x:c r="AQ8" s="32"/>
      <x:c r="AR8" s="32"/>
      <x:c r="AS8" s="32"/>
      <x:c r="AT8" s="32"/>
      <x:c r="AU8" s="32"/>
      <x:c r="AV8" s="32"/>
      <x:c r="AW8" s="32"/>
      <x:c r="AX8" s="32"/>
      <x:c r="AY8" s="32"/>
      <x:c r="AZ8" s="32"/>
      <x:c r="BA8" s="32"/>
      <x:c r="BB8" s="32"/>
      <x:c r="BC8" s="32"/>
      <x:c r="BD8" s="32"/>
      <x:c r="BE8" s="32"/>
      <x:c r="BF8" s="32"/>
      <x:c r="BG8" s="32"/>
      <x:c r="BH8" s="32"/>
      <x:c r="BI8" s="32"/>
      <x:c r="BJ8" s="32"/>
      <x:c r="BK8" s="32"/>
      <x:c r="BL8" s="32"/>
      <x:c r="BM8" s="32"/>
      <x:c r="BN8" s="32"/>
      <x:c r="BO8" s="32"/>
      <x:c r="BP8" s="32"/>
      <x:c r="BQ8" s="32"/>
      <x:c r="BR8" s="32"/>
      <x:c r="BS8" s="32"/>
      <x:c r="BT8" s="32"/>
      <x:c r="BU8" s="32"/>
      <x:c r="BV8" s="32"/>
      <x:c r="BW8" s="32"/>
      <x:c r="BX8" s="32"/>
      <x:c r="BY8" s="32"/>
      <x:c r="BZ8" s="32"/>
      <x:c r="CA8" s="32"/>
      <x:c r="CB8" s="32"/>
      <x:c r="CC8" s="32"/>
      <x:c r="CD8" s="32"/>
      <x:c r="CE8" s="32"/>
      <x:c r="CF8" s="32"/>
      <x:c r="CG8" s="32"/>
      <x:c r="CH8" s="32"/>
      <x:c r="CI8" s="32"/>
      <x:c r="CJ8" s="32"/>
      <x:c r="CK8" s="32"/>
      <x:c r="CL8" s="32"/>
      <x:c r="CM8" s="32"/>
      <x:c r="CN8" s="32"/>
      <x:c r="CO8" s="32"/>
      <x:c r="CP8" s="32"/>
      <x:c r="CQ8" s="32"/>
      <x:c r="CR8" s="32"/>
      <x:c r="CS8" s="32"/>
      <x:c r="CT8" s="32"/>
      <x:c r="CU8" s="32"/>
      <x:c r="CV8" s="32"/>
      <x:c r="CW8" s="32"/>
      <x:c r="CX8" s="32"/>
      <x:c r="CY8" s="32"/>
      <x:c r="CZ8" s="32"/>
      <x:c r="DA8" s="32"/>
      <x:c r="DB8" s="32"/>
      <x:c r="DC8" s="32"/>
      <x:c r="DD8" s="32"/>
      <x:c r="DE8" s="32"/>
      <x:c r="DF8" s="32"/>
      <x:c r="DG8" s="32"/>
      <x:c r="DH8" s="32"/>
      <x:c r="DI8" s="32"/>
      <x:c r="DJ8" s="32"/>
      <x:c r="DK8" s="32"/>
      <x:c r="DL8" s="32"/>
      <x:c r="DM8" s="32"/>
      <x:c r="DN8" s="32"/>
      <x:c r="DO8" s="32"/>
      <x:c r="DP8" s="32"/>
      <x:c r="DQ8" s="32"/>
      <x:c r="DR8" s="32"/>
      <x:c r="DS8" s="32"/>
      <x:c r="DT8" s="32"/>
      <x:c r="DU8" s="32"/>
      <x:c r="DV8" s="32"/>
      <x:c r="DW8" s="32"/>
      <x:c r="DX8" s="32"/>
      <x:c r="DY8" s="32"/>
      <x:c r="DZ8" s="32"/>
      <x:c r="EA8" s="32"/>
      <x:c r="EB8" s="32"/>
      <x:c r="EC8" s="32"/>
      <x:c r="ED8" s="32"/>
      <x:c r="EE8" s="32"/>
      <x:c r="EF8" s="32"/>
      <x:c r="EG8" s="32"/>
      <x:c r="EH8" s="32"/>
      <x:c r="EI8" s="32"/>
      <x:c r="EJ8" s="32"/>
      <x:c r="EK8" s="32"/>
      <x:c r="EL8" s="32"/>
      <x:c r="EM8" s="32"/>
      <x:c r="EN8" s="32"/>
      <x:c r="EO8" s="32"/>
      <x:c r="EP8" s="32"/>
      <x:c r="EQ8" s="32"/>
      <x:c r="ER8" s="32"/>
      <x:c r="ES8" s="32"/>
      <x:c r="ET8" s="32"/>
      <x:c r="EU8" s="32"/>
      <x:c r="EV8" s="32"/>
      <x:c r="EW8" s="32"/>
      <x:c r="EX8" s="32"/>
      <x:c r="EY8" s="32"/>
      <x:c r="EZ8" s="32"/>
      <x:c r="FA8" s="32"/>
      <x:c r="FB8" s="32"/>
      <x:c r="FC8" s="32"/>
      <x:c r="FD8" s="32"/>
      <x:c r="FE8" s="32"/>
      <x:c r="FF8" s="32"/>
      <x:c r="FG8" s="32"/>
      <x:c r="FH8" s="32"/>
      <x:c r="FI8" s="32"/>
      <x:c r="FJ8" s="32"/>
      <x:c r="FK8" s="32"/>
      <x:c r="FL8" s="32"/>
      <x:c r="FM8" s="32"/>
      <x:c r="FN8" s="32"/>
      <x:c r="FO8" s="32"/>
      <x:c r="FP8" s="32"/>
      <x:c r="FQ8" s="32"/>
      <x:c r="FR8" s="32"/>
      <x:c r="FS8" s="32"/>
      <x:c r="FT8" s="32"/>
      <x:c r="FU8" s="32"/>
      <x:c r="FV8" s="32"/>
      <x:c r="FW8" s="32"/>
      <x:c r="FX8" s="32"/>
      <x:c r="FY8" s="32"/>
      <x:c r="FZ8" s="32"/>
      <x:c r="GA8" s="32"/>
      <x:c r="GB8" s="32"/>
      <x:c r="GC8" s="32"/>
      <x:c r="GD8" s="32"/>
      <x:c r="GE8" s="32"/>
      <x:c r="GF8" s="32"/>
      <x:c r="GG8" s="32"/>
      <x:c r="GH8" s="32"/>
      <x:c r="GI8" s="32"/>
      <x:c r="GJ8" s="32"/>
      <x:c r="GK8" s="32"/>
      <x:c r="GL8" s="32"/>
      <x:c r="GM8" s="32"/>
      <x:c r="GN8" s="32"/>
      <x:c r="GO8" s="32"/>
      <x:c r="GP8" s="32"/>
      <x:c r="GQ8" s="32"/>
      <x:c r="GR8" s="32"/>
      <x:c r="GS8" s="32"/>
      <x:c r="GT8" s="32"/>
      <x:c r="GU8" s="32"/>
      <x:c r="GV8" s="32"/>
      <x:c r="GW8" s="32"/>
      <x:c r="GX8" s="32"/>
      <x:c r="GY8" s="32"/>
      <x:c r="GZ8" s="32"/>
      <x:c r="HA8" s="32"/>
      <x:c r="HB8" s="32"/>
      <x:c r="HC8" s="32"/>
      <x:c r="HD8" s="32"/>
      <x:c r="HE8" s="32"/>
      <x:c r="HF8" s="32"/>
      <x:c r="HG8" s="32"/>
      <x:c r="HH8" s="32"/>
      <x:c r="HI8" s="32"/>
      <x:c r="HJ8" s="32"/>
      <x:c r="HK8" s="32"/>
      <x:c r="HL8" s="32"/>
      <x:c r="HM8" s="32"/>
      <x:c r="HN8" s="32"/>
      <x:c r="HO8" s="32"/>
      <x:c r="HP8" s="32"/>
      <x:c r="HQ8" s="32"/>
      <x:c r="HR8" s="32"/>
      <x:c r="HS8" s="32"/>
      <x:c r="HT8" s="32"/>
      <x:c r="HU8" s="32"/>
      <x:c r="HV8" s="32"/>
      <x:c r="HW8" s="32"/>
      <x:c r="HX8" s="32"/>
      <x:c r="HY8" s="32"/>
    </x:row>
    <x:row r="9">
      <x:c r="A9" s="32" t="str">
        <x:v>c4128825-75f6-43a9-8c1d-ec8112d89cf3</x:v>
      </x:c>
      <x:c r="B9" s="32" t="str">
        <x:v>A-005</x:v>
      </x:c>
      <x:c r="C9" s="42" t="n">
        <x:v>46259.587905092594</x:v>
      </x:c>
      <x:c r="D9" s="32" t="str">
        <x:v>489b7424f5051f7a276dafe8d5f318ccf1368d87</x:v>
      </x:c>
      <x:c r="E9" s="32" t="str">
        <x:v>GLONBW11</x:v>
      </x:c>
      <x:c r="F9" s="32" t="str">
        <x:v>local-filesystem</x:v>
      </x:c>
      <x:c r="G9" s="32" t="str">
        <x:v>3.14.2</x:v>
      </x:c>
      <x:c r="H9" s="32" t="str">
        <x:v>deterministic</x:v>
      </x:c>
      <x:c r="I9" s="32" t="n">
        <x:v>1000</x:v>
      </x:c>
      <x:c r="J9" s="32" t="n">
        <x:v>10</x:v>
      </x:c>
      <x:c r="K9" s="47" t="n">
        <x:v>10.030038766666667</x:v>
      </x:c>
      <x:c r="L9" s="32" t="n">
        <x:v>121</x:v>
      </x:c>
      <x:c r="M9" s="32" t="n">
        <x:v>5</x:v>
      </x:c>
      <x:c r="N9" s="32" t="n">
        <x:v>10</x:v>
      </x:c>
      <x:c r="O9" s="48" t="n">
        <x:v>806.6423309992388</x:v>
      </x:c>
      <x:c r="P9" s="48" t="n">
        <x:v>907.3825960003887</x:v>
      </x:c>
      <x:c r="Q9" s="48" t="n">
        <x:v>1230.2396648003196</x:v>
      </x:c>
      <x:c r="R9" s="48" t="n">
        <x:v>1274.5961770015128</x:v>
      </x:c>
      <x:c r="S9" s="32" t="n">
        <x:v>0</x:v>
      </x:c>
      <x:c r="T9" s="43" t="n">
        <x:v>0</x:v>
      </x:c>
      <x:c r="U9" s="48" t="n">
        <x:v>97.9749689443221</x:v>
      </x:c>
      <x:c r="V9" s="48" t="n">
        <x:v>101.39052744181197</x:v>
      </x:c>
      <x:c r="W9" s="48" t="n">
        <x:v>136.5167549070248</x:v>
      </x:c>
      <x:c r="X9" s="48" t="n">
        <x:v>139.6171875</x:v>
      </x:c>
      <x:c r="Y9" s="32"/>
      <x:c r="Z9" s="32"/>
      <x:c r="AA9" s="32"/>
      <x:c r="AB9" s="32"/>
      <x:c r="AC9" s="32" t="n">
        <x:v>0</x:v>
      </x:c>
      <x:c r="AD9" s="32" t="n">
        <x:v>0</x:v>
      </x:c>
      <x:c r="AE9" s="32" t="n">
        <x:v>0</x:v>
      </x:c>
      <x:c r="AF9" s="32"/>
      <x:c r="AG9" s="32"/>
      <x:c r="AH9" s="48" t="n">
        <x:v>401.48390300055325</x:v>
      </x:c>
      <x:c r="AI9" s="32" t="str">
        <x:v>PASS</x:v>
      </x:c>
      <x:c r="AJ9" s="32" t="str">
        <x:v>GREEN</x:v>
      </x:c>
      <x:c r="AK9" s="32" t="str">
        <x:v>shared-latest</x:v>
      </x:c>
      <x:c r="AL9" s="32" t="n">
        <x:v>1</x:v>
      </x:c>
      <x:c r="AM9" s="32" t="n">
        <x:v>1</x:v>
      </x:c>
      <x:c r="AN9" s="32" t="n">
        <x:v>1</x:v>
      </x:c>
      <x:c r="AO9" s="32" t="n">
        <x:v>1</x:v>
      </x:c>
      <x:c r="AP9" s="32"/>
      <x:c r="AQ9" s="32"/>
      <x:c r="AR9" s="32"/>
      <x:c r="AS9" s="32"/>
      <x:c r="AT9" s="32"/>
      <x:c r="AU9" s="32"/>
      <x:c r="AV9" s="32"/>
      <x:c r="AW9" s="32"/>
      <x:c r="AX9" s="32"/>
      <x:c r="AY9" s="32"/>
      <x:c r="AZ9" s="32"/>
      <x:c r="BA9" s="32"/>
      <x:c r="BB9" s="32"/>
      <x:c r="BC9" s="32"/>
      <x:c r="BD9" s="32"/>
      <x:c r="BE9" s="32"/>
      <x:c r="BF9" s="32"/>
      <x:c r="BG9" s="32"/>
      <x:c r="BH9" s="32"/>
      <x:c r="BI9" s="32"/>
      <x:c r="BJ9" s="32"/>
      <x:c r="BK9" s="32"/>
      <x:c r="BL9" s="32"/>
      <x:c r="BM9" s="32"/>
      <x:c r="BN9" s="32"/>
      <x:c r="BO9" s="32"/>
      <x:c r="BP9" s="32"/>
      <x:c r="BQ9" s="32"/>
      <x:c r="BR9" s="32"/>
      <x:c r="BS9" s="32"/>
      <x:c r="BT9" s="32"/>
      <x:c r="BU9" s="32"/>
      <x:c r="BV9" s="32"/>
      <x:c r="BW9" s="32"/>
      <x:c r="BX9" s="32"/>
      <x:c r="BY9" s="32"/>
      <x:c r="BZ9" s="32"/>
      <x:c r="CA9" s="32"/>
      <x:c r="CB9" s="32"/>
      <x:c r="CC9" s="32"/>
      <x:c r="CD9" s="32"/>
      <x:c r="CE9" s="32"/>
      <x:c r="CF9" s="32"/>
      <x:c r="CG9" s="32"/>
      <x:c r="CH9" s="32"/>
      <x:c r="CI9" s="32"/>
      <x:c r="CJ9" s="32"/>
      <x:c r="CK9" s="32"/>
      <x:c r="CL9" s="32"/>
      <x:c r="CM9" s="32"/>
      <x:c r="CN9" s="32"/>
      <x:c r="CO9" s="32"/>
      <x:c r="CP9" s="32"/>
      <x:c r="CQ9" s="32"/>
      <x:c r="CR9" s="32"/>
      <x:c r="CS9" s="32"/>
      <x:c r="CT9" s="32"/>
      <x:c r="CU9" s="32"/>
      <x:c r="CV9" s="32"/>
      <x:c r="CW9" s="32"/>
      <x:c r="CX9" s="32"/>
      <x:c r="CY9" s="32"/>
      <x:c r="CZ9" s="32"/>
      <x:c r="DA9" s="32"/>
      <x:c r="DB9" s="32"/>
      <x:c r="DC9" s="32"/>
      <x:c r="DD9" s="32"/>
      <x:c r="DE9" s="32"/>
      <x:c r="DF9" s="32"/>
      <x:c r="DG9" s="32"/>
      <x:c r="DH9" s="32"/>
      <x:c r="DI9" s="32"/>
      <x:c r="DJ9" s="32"/>
      <x:c r="DK9" s="32"/>
      <x:c r="DL9" s="32"/>
      <x:c r="DM9" s="32"/>
      <x:c r="DN9" s="32"/>
      <x:c r="DO9" s="32"/>
      <x:c r="DP9" s="32"/>
      <x:c r="DQ9" s="32"/>
      <x:c r="DR9" s="32"/>
      <x:c r="DS9" s="32"/>
      <x:c r="DT9" s="32"/>
      <x:c r="DU9" s="32"/>
      <x:c r="DV9" s="32"/>
      <x:c r="DW9" s="32"/>
      <x:c r="DX9" s="32"/>
      <x:c r="DY9" s="32"/>
      <x:c r="DZ9" s="32"/>
      <x:c r="EA9" s="32"/>
      <x:c r="EB9" s="32"/>
      <x:c r="EC9" s="32"/>
      <x:c r="ED9" s="32"/>
      <x:c r="EE9" s="32"/>
      <x:c r="EF9" s="32"/>
      <x:c r="EG9" s="32"/>
      <x:c r="EH9" s="32"/>
      <x:c r="EI9" s="32"/>
      <x:c r="EJ9" s="32"/>
      <x:c r="EK9" s="32"/>
      <x:c r="EL9" s="32"/>
      <x:c r="EM9" s="32"/>
      <x:c r="EN9" s="32"/>
      <x:c r="EO9" s="32"/>
      <x:c r="EP9" s="32"/>
      <x:c r="EQ9" s="32"/>
      <x:c r="ER9" s="32"/>
      <x:c r="ES9" s="32"/>
      <x:c r="ET9" s="32"/>
      <x:c r="EU9" s="32"/>
      <x:c r="EV9" s="32"/>
      <x:c r="EW9" s="32"/>
      <x:c r="EX9" s="32"/>
      <x:c r="EY9" s="32"/>
      <x:c r="EZ9" s="32"/>
      <x:c r="FA9" s="32"/>
      <x:c r="FB9" s="32"/>
      <x:c r="FC9" s="32"/>
      <x:c r="FD9" s="32"/>
      <x:c r="FE9" s="32"/>
      <x:c r="FF9" s="32"/>
      <x:c r="FG9" s="32"/>
      <x:c r="FH9" s="32"/>
      <x:c r="FI9" s="32"/>
      <x:c r="FJ9" s="32"/>
      <x:c r="FK9" s="32"/>
      <x:c r="FL9" s="32"/>
      <x:c r="FM9" s="32"/>
      <x:c r="FN9" s="32"/>
      <x:c r="FO9" s="32"/>
      <x:c r="FP9" s="32"/>
      <x:c r="FQ9" s="32"/>
      <x:c r="FR9" s="32"/>
      <x:c r="FS9" s="32"/>
      <x:c r="FT9" s="32"/>
      <x:c r="FU9" s="32"/>
      <x:c r="FV9" s="32"/>
      <x:c r="FW9" s="32"/>
      <x:c r="FX9" s="32"/>
      <x:c r="FY9" s="32"/>
      <x:c r="FZ9" s="32"/>
      <x:c r="GA9" s="32"/>
      <x:c r="GB9" s="32"/>
      <x:c r="GC9" s="32"/>
      <x:c r="GD9" s="32"/>
      <x:c r="GE9" s="32"/>
      <x:c r="GF9" s="32"/>
      <x:c r="GG9" s="32"/>
      <x:c r="GH9" s="32"/>
      <x:c r="GI9" s="32"/>
      <x:c r="GJ9" s="32"/>
      <x:c r="GK9" s="32"/>
      <x:c r="GL9" s="32"/>
      <x:c r="GM9" s="32"/>
      <x:c r="GN9" s="32"/>
      <x:c r="GO9" s="32"/>
      <x:c r="GP9" s="32"/>
      <x:c r="GQ9" s="32"/>
      <x:c r="GR9" s="32"/>
      <x:c r="GS9" s="32"/>
      <x:c r="GT9" s="32"/>
      <x:c r="GU9" s="32"/>
      <x:c r="GV9" s="32"/>
      <x:c r="GW9" s="32"/>
      <x:c r="GX9" s="32"/>
      <x:c r="GY9" s="32"/>
      <x:c r="GZ9" s="32"/>
      <x:c r="HA9" s="32"/>
      <x:c r="HB9" s="32"/>
      <x:c r="HC9" s="32"/>
      <x:c r="HD9" s="32"/>
      <x:c r="HE9" s="32"/>
      <x:c r="HF9" s="32"/>
      <x:c r="HG9" s="32"/>
      <x:c r="HH9" s="32"/>
      <x:c r="HI9" s="32"/>
      <x:c r="HJ9" s="32"/>
      <x:c r="HK9" s="32"/>
      <x:c r="HL9" s="32"/>
      <x:c r="HM9" s="32"/>
      <x:c r="HN9" s="32"/>
      <x:c r="HO9" s="32"/>
      <x:c r="HP9" s="32"/>
      <x:c r="HQ9" s="32"/>
      <x:c r="HR9" s="32"/>
      <x:c r="HS9" s="32"/>
      <x:c r="HT9" s="32"/>
      <x:c r="HU9" s="32"/>
      <x:c r="HV9" s="32"/>
      <x:c r="HW9" s="32"/>
      <x:c r="HX9" s="32"/>
      <x:c r="HY9" s="32"/>
    </x:row>
    <x:row r="10">
      <x:c r="A10" s="32" t="str">
        <x:v>a6bf1f5d-5664-40ca-bd9f-257d7e022c46</x:v>
      </x:c>
      <x:c r="B10" s="32" t="str">
        <x:v>B-001</x:v>
      </x:c>
      <x:c r="C10" s="42" t="n">
        <x:v>46259.60527777778</x:v>
      </x:c>
      <x:c r="D10" s="32" t="str">
        <x:v>489b7424f5051f7a276dafe8d5f318ccf1368d87</x:v>
      </x:c>
      <x:c r="E10" s="32" t="str">
        <x:v>GLONBW11</x:v>
      </x:c>
      <x:c r="F10" s="32" t="str">
        <x:v>local-filesystem</x:v>
      </x:c>
      <x:c r="G10" s="32" t="str">
        <x:v>3.14.2</x:v>
      </x:c>
      <x:c r="H10" s="32" t="str">
        <x:v>deterministic</x:v>
      </x:c>
      <x:c r="I10" s="32" t="n">
        <x:v>1000</x:v>
      </x:c>
      <x:c r="J10" s="32" t="n">
        <x:v>10</x:v>
      </x:c>
      <x:c r="K10" s="47" t="n">
        <x:v>10.037309749999999</x:v>
      </x:c>
      <x:c r="L10" s="32" t="n">
        <x:v>121</x:v>
      </x:c>
      <x:c r="M10" s="32" t="n">
        <x:v>5</x:v>
      </x:c>
      <x:c r="N10" s="32" t="n">
        <x:v>10</x:v>
      </x:c>
      <x:c r="O10" s="48" t="n">
        <x:v>982.2968089993083</x:v>
      </x:c>
      <x:c r="P10" s="48" t="n">
        <x:v>1285.5415329995594</x:v>
      </x:c>
      <x:c r="Q10" s="48" t="n">
        <x:v>1587.6863376004615</x:v>
      </x:c>
      <x:c r="R10" s="48" t="n">
        <x:v>1633.9424289999442</x:v>
      </x:c>
      <x:c r="S10" s="32" t="n">
        <x:v>0</x:v>
      </x:c>
      <x:c r="T10" s="43" t="n">
        <x:v>0</x:v>
      </x:c>
      <x:c r="U10" s="48" t="n">
        <x:v>98.20538623182864</x:v>
      </x:c>
      <x:c r="V10" s="48" t="n">
        <x:v>100.85503377277843</x:v>
      </x:c>
      <x:c r="W10" s="48" t="n">
        <x:v>138.66231921487602</x:v>
      </x:c>
      <x:c r="X10" s="48" t="n">
        <x:v>142.03125</x:v>
      </x:c>
      <x:c r="Y10" s="32"/>
      <x:c r="Z10" s="32"/>
      <x:c r="AA10" s="32"/>
      <x:c r="AB10" s="32"/>
      <x:c r="AC10" s="32" t="n">
        <x:v>0</x:v>
      </x:c>
      <x:c r="AD10" s="32" t="n">
        <x:v>0</x:v>
      </x:c>
      <x:c r="AE10" s="32" t="n">
        <x:v>0</x:v>
      </x:c>
      <x:c r="AF10" s="32"/>
      <x:c r="AG10" s="32"/>
      <x:c r="AH10" s="48" t="n">
        <x:v>418.60777200054144</x:v>
      </x:c>
      <x:c r="AI10" s="32" t="str">
        <x:v>PASS</x:v>
      </x:c>
      <x:c r="AJ10" s="32" t="str">
        <x:v>GREEN</x:v>
      </x:c>
      <x:c r="AK10" s="32" t="str">
        <x:v>latest-narrow</x:v>
      </x:c>
      <x:c r="AL10" s="32" t="n">
        <x:v>1</x:v>
      </x:c>
      <x:c r="AM10" s="32" t="n">
        <x:v>1</x:v>
      </x:c>
      <x:c r="AN10" s="32" t="n">
        <x:v>1000</x:v>
      </x:c>
      <x:c r="AO10" s="32" t="n">
        <x:v>1</x:v>
      </x:c>
      <x:c r="AP10" s="82" t="n">
        <x:v>8132</x:v>
      </x:c>
      <x:c r="AQ10" s="48" t="n">
        <x:v>5.875147000551806</x:v>
      </x:c>
      <x:c r="AR10" s="48" t="n">
        <x:v>7.693696999922395</x:v>
      </x:c>
      <x:c r="AS10" s="48" t="n">
        <x:v>8.412352200321038</x:v>
      </x:c>
      <x:c r="AT10" s="32" t="n">
        <x:v>1</x:v>
      </x:c>
      <x:c r="AU10" s="32" t="str">
        <x:v>1000</x:v>
      </x:c>
      <x:c r="AV10" s="32"/>
      <x:c r="AW10" s="32"/>
      <x:c r="AX10" s="32"/>
      <x:c r="AY10" s="32" t="str">
        <x:v>single</x:v>
      </x:c>
      <x:c r="AZ10" s="32"/>
      <x:c r="BA10" s="32"/>
      <x:c r="BB10" s="32"/>
      <x:c r="BC10" s="32"/>
      <x:c r="BD10" s="32"/>
      <x:c r="BE10" s="32"/>
      <x:c r="BF10" s="32"/>
      <x:c r="BG10" s="32"/>
      <x:c r="BH10" s="32"/>
      <x:c r="BI10" s="32"/>
      <x:c r="BJ10" s="32"/>
      <x:c r="BK10" s="32"/>
      <x:c r="BL10" s="32"/>
      <x:c r="BM10" s="32"/>
      <x:c r="BN10" s="32"/>
      <x:c r="BO10" s="32"/>
      <x:c r="BP10" s="32"/>
      <x:c r="BQ10" s="32"/>
      <x:c r="BR10" s="32"/>
      <x:c r="BS10" s="32"/>
      <x:c r="BT10" s="32"/>
      <x:c r="BU10" s="32"/>
      <x:c r="BV10" s="32"/>
      <x:c r="BW10" s="32"/>
      <x:c r="BX10" s="32"/>
      <x:c r="BY10" s="32"/>
      <x:c r="BZ10" s="32"/>
      <x:c r="CA10" s="32"/>
      <x:c r="CB10" s="32"/>
      <x:c r="CC10" s="32"/>
      <x:c r="CD10" s="32"/>
      <x:c r="CE10" s="32"/>
      <x:c r="CF10" s="32"/>
      <x:c r="CG10" s="32"/>
      <x:c r="CH10" s="32"/>
      <x:c r="CI10" s="32"/>
      <x:c r="CJ10" s="32"/>
      <x:c r="CK10" s="32"/>
      <x:c r="CL10" s="32"/>
      <x:c r="CM10" s="32"/>
      <x:c r="CN10" s="32"/>
      <x:c r="CO10" s="32"/>
      <x:c r="CP10" s="32"/>
      <x:c r="CQ10" s="32"/>
      <x:c r="CR10" s="32"/>
      <x:c r="CS10" s="32"/>
      <x:c r="CT10" s="32"/>
      <x:c r="CU10" s="32"/>
      <x:c r="CV10" s="32"/>
      <x:c r="CW10" s="32"/>
      <x:c r="CX10" s="32"/>
      <x:c r="CY10" s="32"/>
      <x:c r="CZ10" s="32"/>
      <x:c r="DA10" s="32"/>
      <x:c r="DB10" s="32"/>
      <x:c r="DC10" s="32"/>
      <x:c r="DD10" s="32"/>
      <x:c r="DE10" s="32"/>
      <x:c r="DF10" s="32"/>
      <x:c r="DG10" s="32"/>
      <x:c r="DH10" s="32"/>
      <x:c r="DI10" s="32"/>
      <x:c r="DJ10" s="32"/>
      <x:c r="DK10" s="32"/>
      <x:c r="DL10" s="32"/>
      <x:c r="DM10" s="32"/>
      <x:c r="DN10" s="32"/>
      <x:c r="DO10" s="32"/>
      <x:c r="DP10" s="32"/>
      <x:c r="DQ10" s="32"/>
      <x:c r="DR10" s="32"/>
      <x:c r="DS10" s="32"/>
      <x:c r="DT10" s="32"/>
      <x:c r="DU10" s="32"/>
      <x:c r="DV10" s="32"/>
      <x:c r="DW10" s="32"/>
      <x:c r="DX10" s="32"/>
      <x:c r="DY10" s="32"/>
      <x:c r="DZ10" s="32"/>
      <x:c r="EA10" s="32"/>
      <x:c r="EB10" s="32"/>
      <x:c r="EC10" s="32"/>
      <x:c r="ED10" s="32"/>
      <x:c r="EE10" s="32"/>
      <x:c r="EF10" s="32"/>
      <x:c r="EG10" s="32"/>
      <x:c r="EH10" s="32"/>
      <x:c r="EI10" s="32"/>
      <x:c r="EJ10" s="32"/>
      <x:c r="EK10" s="32"/>
      <x:c r="EL10" s="32"/>
      <x:c r="EM10" s="32"/>
      <x:c r="EN10" s="32"/>
      <x:c r="EO10" s="32"/>
      <x:c r="EP10" s="32"/>
      <x:c r="EQ10" s="32"/>
      <x:c r="ER10" s="32"/>
      <x:c r="ES10" s="32"/>
      <x:c r="ET10" s="32"/>
      <x:c r="EU10" s="32"/>
      <x:c r="EV10" s="32"/>
      <x:c r="EW10" s="32"/>
      <x:c r="EX10" s="32"/>
      <x:c r="EY10" s="32"/>
      <x:c r="EZ10" s="32"/>
      <x:c r="FA10" s="32"/>
      <x:c r="FB10" s="32"/>
      <x:c r="FC10" s="32"/>
      <x:c r="FD10" s="32"/>
      <x:c r="FE10" s="32"/>
      <x:c r="FF10" s="32"/>
      <x:c r="FG10" s="32"/>
      <x:c r="FH10" s="32"/>
      <x:c r="FI10" s="32"/>
      <x:c r="FJ10" s="32"/>
      <x:c r="FK10" s="32"/>
      <x:c r="FL10" s="32"/>
      <x:c r="FM10" s="32"/>
      <x:c r="FN10" s="32"/>
      <x:c r="FO10" s="32"/>
      <x:c r="FP10" s="32"/>
      <x:c r="FQ10" s="32"/>
      <x:c r="FR10" s="32"/>
      <x:c r="FS10" s="32"/>
      <x:c r="FT10" s="32"/>
      <x:c r="FU10" s="32"/>
      <x:c r="FV10" s="32"/>
      <x:c r="FW10" s="32"/>
      <x:c r="FX10" s="32"/>
      <x:c r="FY10" s="32"/>
      <x:c r="FZ10" s="32"/>
      <x:c r="GA10" s="32"/>
      <x:c r="GB10" s="32"/>
      <x:c r="GC10" s="32"/>
      <x:c r="GD10" s="32"/>
      <x:c r="GE10" s="32"/>
      <x:c r="GF10" s="32"/>
      <x:c r="GG10" s="32"/>
      <x:c r="GH10" s="32"/>
      <x:c r="GI10" s="32"/>
      <x:c r="GJ10" s="32"/>
      <x:c r="GK10" s="32"/>
      <x:c r="GL10" s="32"/>
      <x:c r="GM10" s="32"/>
      <x:c r="GN10" s="32"/>
      <x:c r="GO10" s="32"/>
      <x:c r="GP10" s="32"/>
      <x:c r="GQ10" s="32"/>
      <x:c r="GR10" s="32"/>
      <x:c r="GS10" s="32"/>
      <x:c r="GT10" s="32"/>
      <x:c r="GU10" s="32"/>
      <x:c r="GV10" s="32"/>
      <x:c r="GW10" s="32"/>
      <x:c r="GX10" s="32"/>
      <x:c r="GY10" s="32"/>
      <x:c r="GZ10" s="32"/>
      <x:c r="HA10" s="32"/>
      <x:c r="HB10" s="32"/>
      <x:c r="HC10" s="32"/>
      <x:c r="HD10" s="32"/>
      <x:c r="HE10" s="32"/>
      <x:c r="HF10" s="32"/>
      <x:c r="HG10" s="32"/>
      <x:c r="HH10" s="32"/>
      <x:c r="HI10" s="32"/>
      <x:c r="HJ10" s="32"/>
      <x:c r="HK10" s="32"/>
      <x:c r="HL10" s="32"/>
      <x:c r="HM10" s="32"/>
      <x:c r="HN10" s="32"/>
      <x:c r="HO10" s="32"/>
      <x:c r="HP10" s="32"/>
      <x:c r="HQ10" s="32"/>
      <x:c r="HR10" s="32"/>
      <x:c r="HS10" s="32"/>
      <x:c r="HT10" s="32"/>
      <x:c r="HU10" s="32"/>
      <x:c r="HV10" s="32"/>
      <x:c r="HW10" s="32"/>
      <x:c r="HX10" s="32"/>
      <x:c r="HY10" s="32"/>
    </x:row>
    <x:row r="11">
      <x:c r="A11" s="32" t="str">
        <x:v>1d262dd1-8264-4644-8b7c-55968584b09a</x:v>
      </x:c>
      <x:c r="B11" s="32" t="str">
        <x:v>B-002</x:v>
      </x:c>
      <x:c r="C11" s="42" t="n">
        <x:v>46259.616944444446</x:v>
      </x:c>
      <x:c r="D11" s="32" t="str">
        <x:v>489b7424f5051f7a276dafe8d5f318ccf1368d87</x:v>
      </x:c>
      <x:c r="E11" s="32" t="str">
        <x:v>GLONBW11</x:v>
      </x:c>
      <x:c r="F11" s="32" t="str">
        <x:v>local-filesystem</x:v>
      </x:c>
      <x:c r="G11" s="32" t="str">
        <x:v>3.14.2</x:v>
      </x:c>
      <x:c r="H11" s="32" t="str">
        <x:v>deterministic</x:v>
      </x:c>
      <x:c r="I11" s="32" t="n">
        <x:v>1000</x:v>
      </x:c>
      <x:c r="J11" s="32" t="n">
        <x:v>10</x:v>
      </x:c>
      <x:c r="K11" s="47" t="n">
        <x:v>10.034565216666666</x:v>
      </x:c>
      <x:c r="L11" s="32" t="n">
        <x:v>121</x:v>
      </x:c>
      <x:c r="M11" s="32" t="n">
        <x:v>5</x:v>
      </x:c>
      <x:c r="N11" s="32" t="n">
        <x:v>10</x:v>
      </x:c>
      <x:c r="O11" s="48" t="n">
        <x:v>1007.7235590015334</x:v>
      </x:c>
      <x:c r="P11" s="48" t="n">
        <x:v>1084.9532180000097</x:v>
      </x:c>
      <x:c r="Q11" s="48" t="n">
        <x:v>1423.1032609997783</x:v>
      </x:c>
      <x:c r="R11" s="48" t="n">
        <x:v>1436.6099670005497</x:v>
      </x:c>
      <x:c r="S11" s="32" t="n">
        <x:v>0</x:v>
      </x:c>
      <x:c r="T11" s="43" t="n">
        <x:v>0</x:v>
      </x:c>
      <x:c r="U11" s="48" t="n">
        <x:v>98.3048785806633</x:v>
      </x:c>
      <x:c r="V11" s="48" t="n">
        <x:v>100.5421121003539</x:v>
      </x:c>
      <x:c r="W11" s="48" t="n">
        <x:v>140.61294227789256</x:v>
      </x:c>
      <x:c r="X11" s="48" t="n">
        <x:v>144.91015625</x:v>
      </x:c>
      <x:c r="Y11" s="32"/>
      <x:c r="Z11" s="32"/>
      <x:c r="AA11" s="32"/>
      <x:c r="AB11" s="32"/>
      <x:c r="AC11" s="32" t="n">
        <x:v>0</x:v>
      </x:c>
      <x:c r="AD11" s="32" t="n">
        <x:v>0</x:v>
      </x:c>
      <x:c r="AE11" s="32" t="n">
        <x:v>0</x:v>
      </x:c>
      <x:c r="AF11" s="32"/>
      <x:c r="AG11" s="32"/>
      <x:c r="AH11" s="48" t="n">
        <x:v>434.3891660009831</x:v>
      </x:c>
      <x:c r="AI11" s="32" t="str">
        <x:v>PASS</x:v>
      </x:c>
      <x:c r="AJ11" s="32" t="str">
        <x:v>GREEN</x:v>
      </x:c>
      <x:c r="AK11" s="32" t="str">
        <x:v>latest-wide</x:v>
      </x:c>
      <x:c r="AL11" s="32" t="n">
        <x:v>3</x:v>
      </x:c>
      <x:c r="AM11" s="32" t="n">
        <x:v>1</x:v>
      </x:c>
      <x:c r="AN11" s="32" t="n">
        <x:v>3000</x:v>
      </x:c>
      <x:c r="AO11" s="32" t="n">
        <x:v>1</x:v>
      </x:c>
      <x:c r="AP11" s="32" t="n">
        <x:v>24132</x:v>
      </x:c>
      <x:c r="AQ11" s="48" t="n">
        <x:v>14.97714899960556</x:v>
      </x:c>
      <x:c r="AR11" s="48" t="n">
        <x:v>17.446204999941983</x:v>
      </x:c>
      <x:c r="AS11" s="48" t="n">
        <x:v>18.51794359863561</x:v>
      </x:c>
      <x:c r="AT11" s="32" t="n">
        <x:v>1</x:v>
      </x:c>
      <x:c r="AU11" s="32" t="str">
        <x:v>3000</x:v>
      </x:c>
      <x:c r="AV11" s="32"/>
      <x:c r="AW11" s="32"/>
      <x:c r="AX11" s="32"/>
      <x:c r="AY11" s="32" t="str">
        <x:v>single</x:v>
      </x:c>
      <x:c r="AZ11" s="32"/>
      <x:c r="BA11" s="32"/>
      <x:c r="BB11" s="32"/>
      <x:c r="BC11" s="32"/>
      <x:c r="BD11" s="32"/>
      <x:c r="BE11" s="32"/>
      <x:c r="BF11" s="32"/>
      <x:c r="BG11" s="32"/>
      <x:c r="BH11" s="32"/>
      <x:c r="BI11" s="32"/>
      <x:c r="BJ11" s="32"/>
      <x:c r="BK11" s="32"/>
      <x:c r="BL11" s="32"/>
      <x:c r="BM11" s="32"/>
      <x:c r="BN11" s="32"/>
      <x:c r="BO11" s="32"/>
      <x:c r="BP11" s="32"/>
      <x:c r="BQ11" s="32"/>
      <x:c r="BR11" s="32"/>
      <x:c r="BS11" s="32"/>
      <x:c r="BT11" s="32"/>
      <x:c r="BU11" s="32"/>
      <x:c r="BV11" s="32"/>
      <x:c r="BW11" s="32"/>
      <x:c r="BX11" s="32"/>
      <x:c r="BY11" s="32"/>
      <x:c r="BZ11" s="32"/>
      <x:c r="CA11" s="32"/>
      <x:c r="CB11" s="32"/>
      <x:c r="CC11" s="32"/>
      <x:c r="CD11" s="32"/>
      <x:c r="CE11" s="32"/>
      <x:c r="CF11" s="32"/>
      <x:c r="CG11" s="32"/>
      <x:c r="CH11" s="32"/>
      <x:c r="CI11" s="32"/>
      <x:c r="CJ11" s="32"/>
      <x:c r="CK11" s="32"/>
      <x:c r="CL11" s="32"/>
      <x:c r="CM11" s="32"/>
      <x:c r="CN11" s="32"/>
      <x:c r="CO11" s="32"/>
      <x:c r="CP11" s="32"/>
      <x:c r="CQ11" s="32"/>
      <x:c r="CR11" s="32"/>
      <x:c r="CS11" s="32"/>
      <x:c r="CT11" s="32"/>
      <x:c r="CU11" s="32"/>
      <x:c r="CV11" s="32"/>
      <x:c r="CW11" s="32"/>
      <x:c r="CX11" s="32"/>
      <x:c r="CY11" s="32"/>
      <x:c r="CZ11" s="32"/>
      <x:c r="DA11" s="32"/>
      <x:c r="DB11" s="32"/>
      <x:c r="DC11" s="32"/>
      <x:c r="DD11" s="32"/>
      <x:c r="DE11" s="32"/>
      <x:c r="DF11" s="32"/>
      <x:c r="DG11" s="32"/>
      <x:c r="DH11" s="32"/>
      <x:c r="DI11" s="32"/>
      <x:c r="DJ11" s="32"/>
      <x:c r="DK11" s="32"/>
      <x:c r="DL11" s="32"/>
      <x:c r="DM11" s="32"/>
      <x:c r="DN11" s="32"/>
      <x:c r="DO11" s="32"/>
      <x:c r="DP11" s="32"/>
      <x:c r="DQ11" s="32"/>
      <x:c r="DR11" s="32"/>
      <x:c r="DS11" s="32"/>
      <x:c r="DT11" s="32"/>
      <x:c r="DU11" s="32"/>
      <x:c r="DV11" s="32"/>
      <x:c r="DW11" s="32"/>
      <x:c r="DX11" s="32"/>
      <x:c r="DY11" s="32"/>
      <x:c r="DZ11" s="32"/>
      <x:c r="EA11" s="32"/>
      <x:c r="EB11" s="32"/>
      <x:c r="EC11" s="32"/>
      <x:c r="ED11" s="32"/>
      <x:c r="EE11" s="32"/>
      <x:c r="EF11" s="32"/>
      <x:c r="EG11" s="32"/>
      <x:c r="EH11" s="32"/>
      <x:c r="EI11" s="32"/>
      <x:c r="EJ11" s="32"/>
      <x:c r="EK11" s="32"/>
      <x:c r="EL11" s="32"/>
      <x:c r="EM11" s="32"/>
      <x:c r="EN11" s="32"/>
      <x:c r="EO11" s="32"/>
      <x:c r="EP11" s="32"/>
      <x:c r="EQ11" s="32"/>
      <x:c r="ER11" s="32"/>
      <x:c r="ES11" s="32"/>
      <x:c r="ET11" s="32"/>
      <x:c r="EU11" s="32"/>
      <x:c r="EV11" s="32"/>
      <x:c r="EW11" s="32"/>
      <x:c r="EX11" s="32"/>
      <x:c r="EY11" s="32"/>
      <x:c r="EZ11" s="32"/>
      <x:c r="FA11" s="32"/>
      <x:c r="FB11" s="32"/>
      <x:c r="FC11" s="32"/>
      <x:c r="FD11" s="32"/>
      <x:c r="FE11" s="32"/>
      <x:c r="FF11" s="32"/>
      <x:c r="FG11" s="32"/>
      <x:c r="FH11" s="32"/>
      <x:c r="FI11" s="32"/>
      <x:c r="FJ11" s="32"/>
      <x:c r="FK11" s="32"/>
      <x:c r="FL11" s="32"/>
      <x:c r="FM11" s="32"/>
      <x:c r="FN11" s="32"/>
      <x:c r="FO11" s="32"/>
      <x:c r="FP11" s="32"/>
      <x:c r="FQ11" s="32"/>
      <x:c r="FR11" s="32"/>
      <x:c r="FS11" s="32"/>
      <x:c r="FT11" s="32"/>
      <x:c r="FU11" s="32"/>
      <x:c r="FV11" s="32"/>
      <x:c r="FW11" s="32"/>
      <x:c r="FX11" s="32"/>
      <x:c r="FY11" s="32"/>
      <x:c r="FZ11" s="32"/>
      <x:c r="GA11" s="32"/>
      <x:c r="GB11" s="32"/>
      <x:c r="GC11" s="32"/>
      <x:c r="GD11" s="32"/>
      <x:c r="GE11" s="32"/>
      <x:c r="GF11" s="32"/>
      <x:c r="GG11" s="32"/>
      <x:c r="GH11" s="32"/>
      <x:c r="GI11" s="32"/>
      <x:c r="GJ11" s="32"/>
      <x:c r="GK11" s="32"/>
      <x:c r="GL11" s="32"/>
      <x:c r="GM11" s="32"/>
      <x:c r="GN11" s="32"/>
      <x:c r="GO11" s="32"/>
      <x:c r="GP11" s="32"/>
      <x:c r="GQ11" s="32"/>
      <x:c r="GR11" s="32"/>
      <x:c r="GS11" s="32"/>
      <x:c r="GT11" s="32"/>
      <x:c r="GU11" s="32"/>
      <x:c r="GV11" s="32"/>
      <x:c r="GW11" s="32"/>
      <x:c r="GX11" s="32"/>
      <x:c r="GY11" s="32"/>
      <x:c r="GZ11" s="32"/>
      <x:c r="HA11" s="32"/>
      <x:c r="HB11" s="32"/>
      <x:c r="HC11" s="32"/>
      <x:c r="HD11" s="32"/>
      <x:c r="HE11" s="32"/>
      <x:c r="HF11" s="32"/>
      <x:c r="HG11" s="32"/>
      <x:c r="HH11" s="32"/>
      <x:c r="HI11" s="32"/>
      <x:c r="HJ11" s="32"/>
      <x:c r="HK11" s="32"/>
      <x:c r="HL11" s="32"/>
      <x:c r="HM11" s="32"/>
      <x:c r="HN11" s="32"/>
      <x:c r="HO11" s="32"/>
      <x:c r="HP11" s="32"/>
      <x:c r="HQ11" s="32"/>
      <x:c r="HR11" s="32"/>
      <x:c r="HS11" s="32"/>
      <x:c r="HT11" s="32"/>
      <x:c r="HU11" s="32"/>
      <x:c r="HV11" s="32"/>
      <x:c r="HW11" s="32"/>
      <x:c r="HX11" s="32"/>
      <x:c r="HY11" s="32"/>
    </x:row>
    <x:row r="12">
      <x:c r="A12" s="32" t="str">
        <x:v>71c0030e-e5dc-4a33-887c-1399328db030</x:v>
      </x:c>
      <x:c r="B12" s="32" t="str">
        <x:v>B-003</x:v>
      </x:c>
      <x:c r="C12" s="42" t="n">
        <x:v>46259.63543981482</x:v>
      </x:c>
      <x:c r="D12" s="32" t="str">
        <x:v>489b7424f5051f7a276dafe8d5f318ccf1368d87</x:v>
      </x:c>
      <x:c r="E12" s="32" t="str">
        <x:v>GLONBW11</x:v>
      </x:c>
      <x:c r="F12" s="32" t="str">
        <x:v>local-filesystem</x:v>
      </x:c>
      <x:c r="G12" s="32" t="str">
        <x:v>3.14.2</x:v>
      </x:c>
      <x:c r="H12" s="32" t="str">
        <x:v>deterministic</x:v>
      </x:c>
      <x:c r="I12" s="32" t="n">
        <x:v>1000</x:v>
      </x:c>
      <x:c r="J12" s="32" t="n">
        <x:v>10</x:v>
      </x:c>
      <x:c r="K12" s="47" t="n">
        <x:v>10.03332685</x:v>
      </x:c>
      <x:c r="L12" s="32" t="n">
        <x:v>121</x:v>
      </x:c>
      <x:c r="M12" s="32" t="n">
        <x:v>5</x:v>
      </x:c>
      <x:c r="N12" s="32" t="n">
        <x:v>10</x:v>
      </x:c>
      <x:c r="O12" s="48" t="n">
        <x:v>953.8477829992189</x:v>
      </x:c>
      <x:c r="P12" s="48" t="n">
        <x:v>992.8304490003939</x:v>
      </x:c>
      <x:c r="Q12" s="48" t="n">
        <x:v>1352.1661147988198</x:v>
      </x:c>
      <x:c r="R12" s="48" t="n">
        <x:v>1387.5659960012854</x:v>
      </x:c>
      <x:c r="S12" s="32" t="n">
        <x:v>0</x:v>
      </x:c>
      <x:c r="T12" s="43" t="n">
        <x:v>0</x:v>
      </x:c>
      <x:c r="U12" s="48" t="n">
        <x:v>98.01747077248838</x:v>
      </x:c>
      <x:c r="V12" s="48" t="n">
        <x:v>100.68892133688561</x:v>
      </x:c>
      <x:c r="W12" s="48" t="n">
        <x:v>137.48485924586777</x:v>
      </x:c>
      <x:c r="X12" s="48" t="n">
        <x:v>142.14453125</x:v>
      </x:c>
      <x:c r="Y12" s="32"/>
      <x:c r="Z12" s="32"/>
      <x:c r="AA12" s="32"/>
      <x:c r="AB12" s="32"/>
      <x:c r="AC12" s="32" t="n">
        <x:v>0</x:v>
      </x:c>
      <x:c r="AD12" s="32" t="n">
        <x:v>0</x:v>
      </x:c>
      <x:c r="AE12" s="32" t="n">
        <x:v>0</x:v>
      </x:c>
      <x:c r="AF12" s="32"/>
      <x:c r="AG12" s="32"/>
      <x:c r="AH12" s="48" t="n">
        <x:v>395.64447500015376</x:v>
      </x:c>
      <x:c r="AI12" s="32" t="str">
        <x:v>PASS</x:v>
      </x:c>
      <x:c r="AJ12" s="32" t="str">
        <x:v>GREEN</x:v>
      </x:c>
      <x:c r="AK12" s="32" t="str">
        <x:v>latest-narrow</x:v>
      </x:c>
      <x:c r="AL12" s="32" t="n">
        <x:v>1</x:v>
      </x:c>
      <x:c r="AM12" s="32" t="n">
        <x:v>1</x:v>
      </x:c>
      <x:c r="AN12" s="32" t="n">
        <x:v>1000</x:v>
      </x:c>
      <x:c r="AO12" s="32" t="n">
        <x:v>1</x:v>
      </x:c>
      <x:c r="AP12" s="32" t="n">
        <x:v>8132</x:v>
      </x:c>
      <x:c r="AQ12" s="48" t="n">
        <x:v>6.833281000581337</x:v>
      </x:c>
      <x:c r="AR12" s="48" t="n">
        <x:v>8.08684000003268</x:v>
      </x:c>
      <x:c r="AS12" s="48" t="n">
        <x:v>9.10076280051726</x:v>
      </x:c>
      <x:c r="AT12" s="32" t="n">
        <x:v>4</x:v>
      </x:c>
      <x:c r="AU12" s="32" t="str">
        <x:v>250 / 250 / 250 / 250</x:v>
      </x:c>
      <x:c r="AV12" s="47" t="n">
        <x:v>0.13567600035457872</x:v>
      </x:c>
      <x:c r="AW12" s="47" t="n">
        <x:v>0.1754949989845045</x:v>
      </x:c>
      <x:c r="AX12" s="47" t="n">
        <x:v>0.23444040016329365</x:v>
      </x:c>
      <x:c r="AY12" s="32" t="str">
        <x:v>balanced</x:v>
      </x:c>
      <x:c r="AZ12" s="32"/>
      <x:c r="BA12" s="32"/>
      <x:c r="BB12" s="32"/>
      <x:c r="BC12" s="32"/>
      <x:c r="BD12" s="32"/>
      <x:c r="BE12" s="32"/>
      <x:c r="BF12" s="32"/>
      <x:c r="BG12" s="32"/>
      <x:c r="BH12" s="32"/>
      <x:c r="BI12" s="32"/>
      <x:c r="BJ12" s="32"/>
      <x:c r="BK12" s="32"/>
      <x:c r="BL12" s="32"/>
      <x:c r="BM12" s="32"/>
      <x:c r="BN12" s="32"/>
      <x:c r="BO12" s="32"/>
      <x:c r="BP12" s="32"/>
      <x:c r="BQ12" s="32"/>
      <x:c r="BR12" s="32"/>
      <x:c r="BS12" s="32"/>
      <x:c r="BT12" s="32"/>
      <x:c r="BU12" s="32"/>
      <x:c r="BV12" s="32"/>
      <x:c r="BW12" s="32"/>
      <x:c r="BX12" s="32"/>
      <x:c r="BY12" s="32"/>
      <x:c r="BZ12" s="32"/>
      <x:c r="CA12" s="32"/>
      <x:c r="CB12" s="32"/>
      <x:c r="CC12" s="32"/>
      <x:c r="CD12" s="32"/>
      <x:c r="CE12" s="32"/>
      <x:c r="CF12" s="32"/>
      <x:c r="CG12" s="32"/>
      <x:c r="CH12" s="32"/>
      <x:c r="CI12" s="32"/>
      <x:c r="CJ12" s="32"/>
      <x:c r="CK12" s="32"/>
      <x:c r="CL12" s="32"/>
      <x:c r="CM12" s="32"/>
      <x:c r="CN12" s="32"/>
      <x:c r="CO12" s="32"/>
      <x:c r="CP12" s="32"/>
      <x:c r="CQ12" s="32"/>
      <x:c r="CR12" s="32"/>
      <x:c r="CS12" s="32"/>
      <x:c r="CT12" s="32"/>
      <x:c r="CU12" s="32"/>
      <x:c r="CV12" s="32"/>
      <x:c r="CW12" s="32"/>
      <x:c r="CX12" s="32"/>
      <x:c r="CY12" s="32"/>
      <x:c r="CZ12" s="32"/>
      <x:c r="DA12" s="32"/>
      <x:c r="DB12" s="32"/>
      <x:c r="DC12" s="32"/>
      <x:c r="DD12" s="32"/>
      <x:c r="DE12" s="32"/>
      <x:c r="DF12" s="32"/>
      <x:c r="DG12" s="32"/>
      <x:c r="DH12" s="32"/>
      <x:c r="DI12" s="32"/>
      <x:c r="DJ12" s="32"/>
      <x:c r="DK12" s="32"/>
      <x:c r="DL12" s="32"/>
      <x:c r="DM12" s="32"/>
      <x:c r="DN12" s="32"/>
      <x:c r="DO12" s="32"/>
      <x:c r="DP12" s="32"/>
      <x:c r="DQ12" s="32"/>
      <x:c r="DR12" s="32"/>
      <x:c r="DS12" s="32"/>
      <x:c r="DT12" s="32"/>
      <x:c r="DU12" s="32"/>
      <x:c r="DV12" s="32"/>
      <x:c r="DW12" s="32"/>
      <x:c r="DX12" s="32"/>
      <x:c r="DY12" s="32"/>
      <x:c r="DZ12" s="32"/>
      <x:c r="EA12" s="32"/>
      <x:c r="EB12" s="32"/>
      <x:c r="EC12" s="32"/>
      <x:c r="ED12" s="32"/>
      <x:c r="EE12" s="32"/>
      <x:c r="EF12" s="32"/>
      <x:c r="EG12" s="32"/>
      <x:c r="EH12" s="32"/>
      <x:c r="EI12" s="32"/>
      <x:c r="EJ12" s="32"/>
      <x:c r="EK12" s="32"/>
      <x:c r="EL12" s="32"/>
      <x:c r="EM12" s="32"/>
      <x:c r="EN12" s="32"/>
      <x:c r="EO12" s="32"/>
      <x:c r="EP12" s="32"/>
      <x:c r="EQ12" s="32"/>
      <x:c r="ER12" s="32"/>
      <x:c r="ES12" s="32"/>
      <x:c r="ET12" s="32"/>
      <x:c r="EU12" s="32"/>
      <x:c r="EV12" s="32"/>
      <x:c r="EW12" s="32"/>
      <x:c r="EX12" s="32"/>
      <x:c r="EY12" s="32"/>
      <x:c r="EZ12" s="32"/>
      <x:c r="FA12" s="32"/>
      <x:c r="FB12" s="32"/>
      <x:c r="FC12" s="32"/>
      <x:c r="FD12" s="32"/>
      <x:c r="FE12" s="32"/>
      <x:c r="FF12" s="32"/>
      <x:c r="FG12" s="32"/>
      <x:c r="FH12" s="32"/>
      <x:c r="FI12" s="32"/>
      <x:c r="FJ12" s="32"/>
      <x:c r="FK12" s="32"/>
      <x:c r="FL12" s="32"/>
      <x:c r="FM12" s="32"/>
      <x:c r="FN12" s="32"/>
      <x:c r="FO12" s="32"/>
      <x:c r="FP12" s="32"/>
      <x:c r="FQ12" s="32"/>
      <x:c r="FR12" s="32"/>
      <x:c r="FS12" s="32"/>
      <x:c r="FT12" s="32"/>
      <x:c r="FU12" s="32"/>
      <x:c r="FV12" s="32"/>
      <x:c r="FW12" s="32"/>
      <x:c r="FX12" s="32"/>
      <x:c r="FY12" s="32"/>
      <x:c r="FZ12" s="32"/>
      <x:c r="GA12" s="32"/>
      <x:c r="GB12" s="32"/>
      <x:c r="GC12" s="32"/>
      <x:c r="GD12" s="32"/>
      <x:c r="GE12" s="32"/>
      <x:c r="GF12" s="32"/>
      <x:c r="GG12" s="32"/>
      <x:c r="GH12" s="32"/>
      <x:c r="GI12" s="32"/>
      <x:c r="GJ12" s="32"/>
      <x:c r="GK12" s="32"/>
      <x:c r="GL12" s="32"/>
      <x:c r="GM12" s="32"/>
      <x:c r="GN12" s="32"/>
      <x:c r="GO12" s="32"/>
      <x:c r="GP12" s="32"/>
      <x:c r="GQ12" s="32"/>
      <x:c r="GR12" s="32"/>
      <x:c r="GS12" s="32"/>
      <x:c r="GT12" s="32"/>
      <x:c r="GU12" s="32"/>
      <x:c r="GV12" s="32"/>
      <x:c r="GW12" s="32"/>
      <x:c r="GX12" s="32"/>
      <x:c r="GY12" s="32"/>
      <x:c r="GZ12" s="32"/>
      <x:c r="HA12" s="32"/>
      <x:c r="HB12" s="32"/>
      <x:c r="HC12" s="32"/>
      <x:c r="HD12" s="32"/>
      <x:c r="HE12" s="32"/>
      <x:c r="HF12" s="32"/>
      <x:c r="HG12" s="32"/>
      <x:c r="HH12" s="32"/>
      <x:c r="HI12" s="32"/>
      <x:c r="HJ12" s="32"/>
      <x:c r="HK12" s="32"/>
      <x:c r="HL12" s="32"/>
      <x:c r="HM12" s="32"/>
      <x:c r="HN12" s="32"/>
      <x:c r="HO12" s="32"/>
      <x:c r="HP12" s="32"/>
      <x:c r="HQ12" s="32"/>
      <x:c r="HR12" s="32"/>
      <x:c r="HS12" s="32"/>
      <x:c r="HT12" s="32"/>
      <x:c r="HU12" s="32"/>
      <x:c r="HV12" s="32"/>
      <x:c r="HW12" s="32"/>
      <x:c r="HX12" s="32"/>
      <x:c r="HY12" s="32"/>
    </x:row>
    <x:row r="13">
      <x:c r="A13" s="32" t="str">
        <x:v>d613de53-a439-414b-a17a-e4d4d5a0bfe2</x:v>
      </x:c>
      <x:c r="B13" s="32" t="str">
        <x:v>B-004</x:v>
      </x:c>
      <x:c r="C13" s="42" t="n">
        <x:v>46259.65217592593</x:v>
      </x:c>
      <x:c r="D13" s="32" t="str">
        <x:v>489b7424f5051f7a276dafe8d5f318ccf1368d87</x:v>
      </x:c>
      <x:c r="E13" s="32" t="str">
        <x:v>GLONBW11</x:v>
      </x:c>
      <x:c r="F13" s="32" t="str">
        <x:v>local-filesystem</x:v>
      </x:c>
      <x:c r="G13" s="32" t="str">
        <x:v>3.14.2</x:v>
      </x:c>
      <x:c r="H13" s="32" t="str">
        <x:v>deterministic</x:v>
      </x:c>
      <x:c r="I13" s="32" t="n">
        <x:v>1000</x:v>
      </x:c>
      <x:c r="J13" s="32" t="n">
        <x:v>10</x:v>
      </x:c>
      <x:c r="K13" s="47" t="n">
        <x:v>10.055978516666666</x:v>
      </x:c>
      <x:c r="L13" s="32" t="n">
        <x:v>121</x:v>
      </x:c>
      <x:c r="M13" s="32" t="n">
        <x:v>5</x:v>
      </x:c>
      <x:c r="N13" s="32" t="n">
        <x:v>10</x:v>
      </x:c>
      <x:c r="O13" s="48" t="n">
        <x:v>1646.5075479991356</x:v>
      </x:c>
      <x:c r="P13" s="48" t="n">
        <x:v>1805.0333699993644</x:v>
      </x:c>
      <x:c r="Q13" s="48" t="n">
        <x:v>2263.7694310000356</x:v>
      </x:c>
      <x:c r="R13" s="48" t="n">
        <x:v>2412.4516349984333</x:v>
      </x:c>
      <x:c r="S13" s="32" t="n">
        <x:v>0</x:v>
      </x:c>
      <x:c r="T13" s="43" t="n">
        <x:v>0</x:v>
      </x:c>
      <x:c r="U13" s="48" t="n">
        <x:v>98.62687870027804</x:v>
      </x:c>
      <x:c r="V13" s="48" t="n">
        <x:v>100.72952651065177</x:v>
      </x:c>
      <x:c r="W13" s="48" t="n">
        <x:v>138.08072378615702</x:v>
      </x:c>
      <x:c r="X13" s="48" t="n">
        <x:v>141.50390625</x:v>
      </x:c>
      <x:c r="Y13" s="32"/>
      <x:c r="Z13" s="32"/>
      <x:c r="AA13" s="32"/>
      <x:c r="AB13" s="32"/>
      <x:c r="AC13" s="32" t="n">
        <x:v>0</x:v>
      </x:c>
      <x:c r="AD13" s="32" t="n">
        <x:v>0</x:v>
      </x:c>
      <x:c r="AE13" s="32" t="n">
        <x:v>0</x:v>
      </x:c>
      <x:c r="AF13" s="32"/>
      <x:c r="AG13" s="32"/>
      <x:c r="AH13" s="48" t="n">
        <x:v>663.871234999533</x:v>
      </x:c>
      <x:c r="AI13" s="32" t="str">
        <x:v>PASS</x:v>
      </x:c>
      <x:c r="AJ13" s="32" t="str">
        <x:v>GREEN</x:v>
      </x:c>
      <x:c r="AK13" s="32" t="str">
        <x:v>latest-narrow</x:v>
      </x:c>
      <x:c r="AL13" s="32" t="n">
        <x:v>1</x:v>
      </x:c>
      <x:c r="AM13" s="32" t="n">
        <x:v>1</x:v>
      </x:c>
      <x:c r="AN13" s="32" t="n">
        <x:v>1000</x:v>
      </x:c>
      <x:c r="AO13" s="32" t="n">
        <x:v>1</x:v>
      </x:c>
      <x:c r="AP13" s="32" t="n">
        <x:v>8132</x:v>
      </x:c>
      <x:c r="AQ13" s="48" t="n">
        <x:v>17.10492599886493</x:v>
      </x:c>
      <x:c r="AR13" s="48" t="n">
        <x:v>25.373956999828806</x:v>
      </x:c>
      <x:c r="AS13" s="48" t="n">
        <x:v>28.664585199658166</x:v>
      </x:c>
      <x:c r="AT13" s="32" t="n">
        <x:v>36</x:v>
      </x:c>
      <x:c r="AU13" s="32" t="str">
        <x:v>28×28 + 8×27</x:v>
      </x:c>
      <x:c r="AV13" s="47" t="n">
        <x:v>0.4888759995083092</x:v>
      </x:c>
      <x:c r="AW13" s="47" t="n">
        <x:v>1.012687000184087</x:v>
      </x:c>
      <x:c r="AX13" s="47" t="n">
        <x:v>1.1429793998104287</x:v>
      </x:c>
      <x:c r="AY13" s="32" t="str">
        <x:v>balanced</x:v>
      </x:c>
      <x:c r="AZ13" s="32"/>
      <x:c r="BA13" s="32"/>
      <x:c r="BB13" s="32"/>
      <x:c r="BC13" s="32"/>
      <x:c r="BD13" s="32"/>
      <x:c r="BE13" s="32"/>
      <x:c r="BF13" s="32"/>
      <x:c r="BG13" s="32"/>
      <x:c r="BH13" s="32"/>
      <x:c r="BI13" s="32"/>
      <x:c r="BJ13" s="32"/>
      <x:c r="BK13" s="32"/>
      <x:c r="BL13" s="32"/>
      <x:c r="BM13" s="32"/>
      <x:c r="BN13" s="32"/>
      <x:c r="BO13" s="32"/>
      <x:c r="BP13" s="32"/>
      <x:c r="BQ13" s="32"/>
      <x:c r="BR13" s="32"/>
      <x:c r="BS13" s="32"/>
      <x:c r="BT13" s="32"/>
      <x:c r="BU13" s="32"/>
      <x:c r="BV13" s="32"/>
      <x:c r="BW13" s="32"/>
      <x:c r="BX13" s="32"/>
      <x:c r="BY13" s="32"/>
      <x:c r="BZ13" s="32"/>
      <x:c r="CA13" s="32"/>
      <x:c r="CB13" s="32"/>
      <x:c r="CC13" s="32"/>
      <x:c r="CD13" s="32"/>
      <x:c r="CE13" s="32"/>
      <x:c r="CF13" s="32"/>
      <x:c r="CG13" s="32"/>
      <x:c r="CH13" s="32"/>
      <x:c r="CI13" s="32"/>
      <x:c r="CJ13" s="32"/>
      <x:c r="CK13" s="32"/>
      <x:c r="CL13" s="32"/>
      <x:c r="CM13" s="32"/>
      <x:c r="CN13" s="32"/>
      <x:c r="CO13" s="32"/>
      <x:c r="CP13" s="32"/>
      <x:c r="CQ13" s="32"/>
      <x:c r="CR13" s="32"/>
      <x:c r="CS13" s="32"/>
      <x:c r="CT13" s="32"/>
      <x:c r="CU13" s="32"/>
      <x:c r="CV13" s="32"/>
      <x:c r="CW13" s="32"/>
      <x:c r="CX13" s="32"/>
      <x:c r="CY13" s="32"/>
      <x:c r="CZ13" s="32"/>
      <x:c r="DA13" s="32"/>
      <x:c r="DB13" s="32"/>
      <x:c r="DC13" s="32"/>
      <x:c r="DD13" s="32"/>
      <x:c r="DE13" s="32"/>
      <x:c r="DF13" s="32"/>
      <x:c r="DG13" s="32"/>
      <x:c r="DH13" s="32"/>
      <x:c r="DI13" s="32"/>
      <x:c r="DJ13" s="32"/>
      <x:c r="DK13" s="32"/>
      <x:c r="DL13" s="32"/>
      <x:c r="DM13" s="32"/>
      <x:c r="DN13" s="32"/>
      <x:c r="DO13" s="32"/>
      <x:c r="DP13" s="32"/>
      <x:c r="DQ13" s="32"/>
      <x:c r="DR13" s="32"/>
      <x:c r="DS13" s="32"/>
      <x:c r="DT13" s="32"/>
      <x:c r="DU13" s="32"/>
      <x:c r="DV13" s="32"/>
      <x:c r="DW13" s="32"/>
      <x:c r="DX13" s="32"/>
      <x:c r="DY13" s="32"/>
      <x:c r="DZ13" s="32"/>
      <x:c r="EA13" s="32"/>
      <x:c r="EB13" s="32"/>
      <x:c r="EC13" s="32"/>
      <x:c r="ED13" s="32"/>
      <x:c r="EE13" s="32"/>
      <x:c r="EF13" s="32"/>
      <x:c r="EG13" s="32"/>
      <x:c r="EH13" s="32"/>
      <x:c r="EI13" s="32"/>
      <x:c r="EJ13" s="32"/>
      <x:c r="EK13" s="32"/>
      <x:c r="EL13" s="32"/>
      <x:c r="EM13" s="32"/>
      <x:c r="EN13" s="32"/>
      <x:c r="EO13" s="32"/>
      <x:c r="EP13" s="32"/>
      <x:c r="EQ13" s="32"/>
      <x:c r="ER13" s="32"/>
      <x:c r="ES13" s="32"/>
      <x:c r="ET13" s="32"/>
      <x:c r="EU13" s="32"/>
      <x:c r="EV13" s="32"/>
      <x:c r="EW13" s="32"/>
      <x:c r="EX13" s="32"/>
      <x:c r="EY13" s="32"/>
      <x:c r="EZ13" s="32"/>
      <x:c r="FA13" s="32"/>
      <x:c r="FB13" s="32"/>
      <x:c r="FC13" s="32"/>
      <x:c r="FD13" s="32"/>
      <x:c r="FE13" s="32"/>
      <x:c r="FF13" s="32"/>
      <x:c r="FG13" s="32"/>
      <x:c r="FH13" s="32"/>
      <x:c r="FI13" s="32"/>
      <x:c r="FJ13" s="32"/>
      <x:c r="FK13" s="32"/>
      <x:c r="FL13" s="32"/>
      <x:c r="FM13" s="32"/>
      <x:c r="FN13" s="32"/>
      <x:c r="FO13" s="32"/>
      <x:c r="FP13" s="32"/>
      <x:c r="FQ13" s="32"/>
      <x:c r="FR13" s="32"/>
      <x:c r="FS13" s="32"/>
      <x:c r="FT13" s="32"/>
      <x:c r="FU13" s="32"/>
      <x:c r="FV13" s="32"/>
      <x:c r="FW13" s="32"/>
      <x:c r="FX13" s="32"/>
      <x:c r="FY13" s="32"/>
      <x:c r="FZ13" s="32"/>
      <x:c r="GA13" s="32"/>
      <x:c r="GB13" s="32"/>
      <x:c r="GC13" s="32"/>
      <x:c r="GD13" s="32"/>
      <x:c r="GE13" s="32"/>
      <x:c r="GF13" s="32"/>
      <x:c r="GG13" s="32"/>
      <x:c r="GH13" s="32"/>
      <x:c r="GI13" s="32"/>
      <x:c r="GJ13" s="32"/>
      <x:c r="GK13" s="32"/>
      <x:c r="GL13" s="32"/>
      <x:c r="GM13" s="32"/>
      <x:c r="GN13" s="32"/>
      <x:c r="GO13" s="32"/>
      <x:c r="GP13" s="32"/>
      <x:c r="GQ13" s="32"/>
      <x:c r="GR13" s="32"/>
      <x:c r="GS13" s="32"/>
      <x:c r="GT13" s="32"/>
      <x:c r="GU13" s="32"/>
      <x:c r="GV13" s="32"/>
      <x:c r="GW13" s="32"/>
      <x:c r="GX13" s="32"/>
      <x:c r="GY13" s="32"/>
      <x:c r="GZ13" s="32"/>
      <x:c r="HA13" s="32"/>
      <x:c r="HB13" s="32"/>
      <x:c r="HC13" s="32"/>
      <x:c r="HD13" s="32"/>
      <x:c r="HE13" s="32"/>
      <x:c r="HF13" s="32"/>
      <x:c r="HG13" s="32"/>
      <x:c r="HH13" s="32"/>
      <x:c r="HI13" s="32"/>
      <x:c r="HJ13" s="32"/>
      <x:c r="HK13" s="32"/>
      <x:c r="HL13" s="32"/>
      <x:c r="HM13" s="32"/>
      <x:c r="HN13" s="32"/>
      <x:c r="HO13" s="32"/>
      <x:c r="HP13" s="32"/>
      <x:c r="HQ13" s="32"/>
      <x:c r="HR13" s="32"/>
      <x:c r="HS13" s="32"/>
      <x:c r="HT13" s="32"/>
      <x:c r="HU13" s="32"/>
      <x:c r="HV13" s="32"/>
      <x:c r="HW13" s="32"/>
      <x:c r="HX13" s="32"/>
      <x:c r="HY13" s="32"/>
    </x:row>
    <x:row r="14">
      <x:c r="A14" s="32" t="str">
        <x:v>89bc783e-94b8-470b-9f5e-09f4d9d5fa15</x:v>
      </x:c>
      <x:c r="B14" s="32" t="str">
        <x:v>B-007</x:v>
      </x:c>
      <x:c r="C14" s="42" t="n">
        <x:v>46259.670127314814</x:v>
      </x:c>
      <x:c r="D14" s="32" t="str">
        <x:v>489b7424f5051f7a276dafe8d5f318ccf1368d87</x:v>
      </x:c>
      <x:c r="E14" s="32" t="str">
        <x:v>GLONBW11</x:v>
      </x:c>
      <x:c r="F14" s="32" t="str">
        <x:v>local-filesystem</x:v>
      </x:c>
      <x:c r="G14" s="32" t="str">
        <x:v>3.14.2</x:v>
      </x:c>
      <x:c r="H14" s="32" t="str">
        <x:v>deterministic</x:v>
      </x:c>
      <x:c r="I14" s="32" t="n">
        <x:v>1000</x:v>
      </x:c>
      <x:c r="J14" s="32" t="n">
        <x:v>10</x:v>
      </x:c>
      <x:c r="K14" s="47" t="n">
        <x:v>10.0547462</x:v>
      </x:c>
      <x:c r="L14" s="32" t="n">
        <x:v>121</x:v>
      </x:c>
      <x:c r="M14" s="32" t="n">
        <x:v>5</x:v>
      </x:c>
      <x:c r="N14" s="32" t="n">
        <x:v>10</x:v>
      </x:c>
      <x:c r="O14" s="48" t="n">
        <x:v>1708.2552800002304</x:v>
      </x:c>
      <x:c r="P14" s="48" t="n">
        <x:v>1899.9880939991272</x:v>
      </x:c>
      <x:c r="Q14" s="48" t="n">
        <x:v>2337.0125198005553</x:v>
      </x:c>
      <x:c r="R14" s="48" t="n">
        <x:v>2450.4529160003585</x:v>
      </x:c>
      <x:c r="S14" s="32" t="n">
        <x:v>0</x:v>
      </x:c>
      <x:c r="T14" s="43" t="n">
        <x:v>0</x:v>
      </x:c>
      <x:c r="U14" s="48" t="n">
        <x:v>98.98859307278084</x:v>
      </x:c>
      <x:c r="V14" s="48" t="n">
        <x:v>100.34470767472925</x:v>
      </x:c>
      <x:c r="W14" s="48" t="n">
        <x:v>137.21197055785123</x:v>
      </x:c>
      <x:c r="X14" s="48" t="n">
        <x:v>141.70703125</x:v>
      </x:c>
      <x:c r="Y14" s="32"/>
      <x:c r="Z14" s="32"/>
      <x:c r="AA14" s="32"/>
      <x:c r="AB14" s="32"/>
      <x:c r="AC14" s="32" t="n">
        <x:v>0</x:v>
      </x:c>
      <x:c r="AD14" s="32" t="n">
        <x:v>0</x:v>
      </x:c>
      <x:c r="AE14" s="32" t="n">
        <x:v>0</x:v>
      </x:c>
      <x:c r="AF14" s="32"/>
      <x:c r="AG14" s="32"/>
      <x:c r="AH14" s="48" t="n">
        <x:v>652.2388529992895</x:v>
      </x:c>
      <x:c r="AI14" s="32" t="str">
        <x:v>PASS</x:v>
      </x:c>
      <x:c r="AJ14" s="32" t="str">
        <x:v>GREEN</x:v>
      </x:c>
      <x:c r="AK14" s="32" t="str">
        <x:v>latest-narrow</x:v>
      </x:c>
      <x:c r="AL14" s="32" t="n">
        <x:v>1</x:v>
      </x:c>
      <x:c r="AM14" s="32" t="n">
        <x:v>1</x:v>
      </x:c>
      <x:c r="AN14" s="32" t="n">
        <x:v>1000</x:v>
      </x:c>
      <x:c r="AO14" s="32" t="n">
        <x:v>1</x:v>
      </x:c>
      <x:c r="AP14" s="32" t="n">
        <x:v>8132</x:v>
      </x:c>
      <x:c r="AQ14" s="48" t="n">
        <x:v>20.15942999969411</x:v>
      </x:c>
      <x:c r="AR14" s="48" t="n">
        <x:v>26.14674100004777</x:v>
      </x:c>
      <x:c r="AS14" s="48" t="n">
        <x:v>28.747458600628303</x:v>
      </x:c>
      <x:c r="AT14" s="32" t="n">
        <x:v>36</x:v>
      </x:c>
      <x:c r="AU14" s="32" t="str">
        <x:v>8×100 + 4×8 + 24×7</x:v>
      </x:c>
      <x:c r="AV14" s="47" t="n">
        <x:v>0.6032910005160375</x:v>
      </x:c>
      <x:c r="AW14" s="47" t="n">
        <x:v>1.103362999856472</x:v>
      </x:c>
      <x:c r="AX14" s="47" t="n">
        <x:v>1.4093383993895254</x:v>
      </x:c>
      <x:c r="AY14" s="32" t="str">
        <x:v>skewed</x:v>
      </x:c>
      <x:c r="AZ14" s="32"/>
      <x:c r="BA14" s="32"/>
      <x:c r="BB14" s="32"/>
      <x:c r="BC14" s="32"/>
      <x:c r="BD14" s="32"/>
      <x:c r="BE14" s="32"/>
      <x:c r="BF14" s="32"/>
      <x:c r="BG14" s="32"/>
      <x:c r="BH14" s="32"/>
      <x:c r="BI14" s="32"/>
      <x:c r="BJ14" s="32"/>
      <x:c r="BK14" s="32"/>
      <x:c r="BL14" s="32"/>
      <x:c r="BM14" s="32"/>
      <x:c r="BN14" s="32"/>
      <x:c r="BO14" s="32"/>
      <x:c r="BP14" s="32"/>
      <x:c r="BQ14" s="32"/>
      <x:c r="BR14" s="32"/>
      <x:c r="BS14" s="32"/>
      <x:c r="BT14" s="32"/>
      <x:c r="BU14" s="32"/>
      <x:c r="BV14" s="32"/>
      <x:c r="BW14" s="32"/>
      <x:c r="BX14" s="32"/>
      <x:c r="BY14" s="32"/>
      <x:c r="BZ14" s="32"/>
      <x:c r="CA14" s="32"/>
      <x:c r="CB14" s="32"/>
      <x:c r="CC14" s="32"/>
      <x:c r="CD14" s="32"/>
      <x:c r="CE14" s="32"/>
      <x:c r="CF14" s="32"/>
      <x:c r="CG14" s="32"/>
      <x:c r="CH14" s="32"/>
      <x:c r="CI14" s="32"/>
      <x:c r="CJ14" s="32"/>
      <x:c r="CK14" s="32"/>
      <x:c r="CL14" s="32"/>
      <x:c r="CM14" s="32"/>
      <x:c r="CN14" s="32"/>
      <x:c r="CO14" s="32"/>
      <x:c r="CP14" s="32"/>
      <x:c r="CQ14" s="32"/>
      <x:c r="CR14" s="32"/>
      <x:c r="CS14" s="32"/>
      <x:c r="CT14" s="32"/>
      <x:c r="CU14" s="32"/>
      <x:c r="CV14" s="32"/>
      <x:c r="CW14" s="32"/>
      <x:c r="CX14" s="32"/>
      <x:c r="CY14" s="32"/>
      <x:c r="CZ14" s="32"/>
      <x:c r="DA14" s="32"/>
      <x:c r="DB14" s="32"/>
      <x:c r="DC14" s="32"/>
      <x:c r="DD14" s="32"/>
      <x:c r="DE14" s="32"/>
      <x:c r="DF14" s="32"/>
      <x:c r="DG14" s="32"/>
      <x:c r="DH14" s="32"/>
      <x:c r="DI14" s="32"/>
      <x:c r="DJ14" s="32"/>
      <x:c r="DK14" s="32"/>
      <x:c r="DL14" s="32"/>
      <x:c r="DM14" s="32"/>
      <x:c r="DN14" s="32"/>
      <x:c r="DO14" s="32"/>
      <x:c r="DP14" s="32"/>
      <x:c r="DQ14" s="32"/>
      <x:c r="DR14" s="32"/>
      <x:c r="DS14" s="32"/>
      <x:c r="DT14" s="32"/>
      <x:c r="DU14" s="32"/>
      <x:c r="DV14" s="32"/>
      <x:c r="DW14" s="32"/>
      <x:c r="DX14" s="32"/>
      <x:c r="DY14" s="32"/>
      <x:c r="DZ14" s="32"/>
      <x:c r="EA14" s="32"/>
      <x:c r="EB14" s="32"/>
      <x:c r="EC14" s="32"/>
      <x:c r="ED14" s="32"/>
      <x:c r="EE14" s="32"/>
      <x:c r="EF14" s="32"/>
      <x:c r="EG14" s="32"/>
      <x:c r="EH14" s="32"/>
      <x:c r="EI14" s="32"/>
      <x:c r="EJ14" s="32"/>
      <x:c r="EK14" s="32"/>
      <x:c r="EL14" s="32"/>
      <x:c r="EM14" s="32"/>
      <x:c r="EN14" s="32"/>
      <x:c r="EO14" s="32"/>
      <x:c r="EP14" s="32"/>
      <x:c r="EQ14" s="32"/>
      <x:c r="ER14" s="32"/>
      <x:c r="ES14" s="32"/>
      <x:c r="ET14" s="32"/>
      <x:c r="EU14" s="32"/>
      <x:c r="EV14" s="32"/>
      <x:c r="EW14" s="32"/>
      <x:c r="EX14" s="32"/>
      <x:c r="EY14" s="32"/>
      <x:c r="EZ14" s="32"/>
      <x:c r="FA14" s="32"/>
      <x:c r="FB14" s="32"/>
      <x:c r="FC14" s="32"/>
      <x:c r="FD14" s="32"/>
      <x:c r="FE14" s="32"/>
      <x:c r="FF14" s="32"/>
      <x:c r="FG14" s="32"/>
      <x:c r="FH14" s="32"/>
      <x:c r="FI14" s="32"/>
      <x:c r="FJ14" s="32"/>
      <x:c r="FK14" s="32"/>
      <x:c r="FL14" s="32"/>
      <x:c r="FM14" s="32"/>
      <x:c r="FN14" s="32"/>
      <x:c r="FO14" s="32"/>
      <x:c r="FP14" s="32"/>
      <x:c r="FQ14" s="32"/>
      <x:c r="FR14" s="32"/>
      <x:c r="FS14" s="32"/>
      <x:c r="FT14" s="32"/>
      <x:c r="FU14" s="32"/>
      <x:c r="FV14" s="32"/>
      <x:c r="FW14" s="32"/>
      <x:c r="FX14" s="32"/>
      <x:c r="FY14" s="32"/>
      <x:c r="FZ14" s="32"/>
      <x:c r="GA14" s="32"/>
      <x:c r="GB14" s="32"/>
      <x:c r="GC14" s="32"/>
      <x:c r="GD14" s="32"/>
      <x:c r="GE14" s="32"/>
      <x:c r="GF14" s="32"/>
      <x:c r="GG14" s="32"/>
      <x:c r="GH14" s="32"/>
      <x:c r="GI14" s="32"/>
      <x:c r="GJ14" s="32"/>
      <x:c r="GK14" s="32"/>
      <x:c r="GL14" s="32"/>
      <x:c r="GM14" s="32"/>
      <x:c r="GN14" s="32"/>
      <x:c r="GO14" s="32"/>
      <x:c r="GP14" s="32"/>
      <x:c r="GQ14" s="32"/>
      <x:c r="GR14" s="32"/>
      <x:c r="GS14" s="32"/>
      <x:c r="GT14" s="32"/>
      <x:c r="GU14" s="32"/>
      <x:c r="GV14" s="32"/>
      <x:c r="GW14" s="32"/>
      <x:c r="GX14" s="32"/>
      <x:c r="GY14" s="32"/>
      <x:c r="GZ14" s="32"/>
      <x:c r="HA14" s="32"/>
      <x:c r="HB14" s="32"/>
      <x:c r="HC14" s="32"/>
      <x:c r="HD14" s="32"/>
      <x:c r="HE14" s="32"/>
      <x:c r="HF14" s="32"/>
      <x:c r="HG14" s="32"/>
      <x:c r="HH14" s="32"/>
      <x:c r="HI14" s="32"/>
      <x:c r="HJ14" s="32"/>
      <x:c r="HK14" s="32"/>
      <x:c r="HL14" s="32"/>
      <x:c r="HM14" s="32"/>
      <x:c r="HN14" s="32"/>
      <x:c r="HO14" s="32"/>
      <x:c r="HP14" s="32"/>
      <x:c r="HQ14" s="32"/>
      <x:c r="HR14" s="32"/>
      <x:c r="HS14" s="32"/>
      <x:c r="HT14" s="32"/>
      <x:c r="HU14" s="32"/>
      <x:c r="HV14" s="32"/>
      <x:c r="HW14" s="32"/>
      <x:c r="HX14" s="32"/>
      <x:c r="HY14" s="32"/>
    </x:row>
    <x:row r="15">
      <x:c r="A15" s="32" t="str">
        <x:v>6ee6ed1a-e592-4e76-a95b-777f242eb996</x:v>
      </x:c>
      <x:c r="B15" s="32" t="str">
        <x:v>B-008</x:v>
      </x:c>
      <x:c r="C15" s="42" t="n">
        <x:v>46259.684537037036</x:v>
      </x:c>
      <x:c r="D15" s="32" t="str">
        <x:v>489b7424f5051f7a276dafe8d5f318ccf1368d87</x:v>
      </x:c>
      <x:c r="E15" s="32" t="str">
        <x:v>GLONBW11</x:v>
      </x:c>
      <x:c r="F15" s="32" t="str">
        <x:v>local-filesystem</x:v>
      </x:c>
      <x:c r="G15" s="32" t="str">
        <x:v>3.14.2</x:v>
      </x:c>
      <x:c r="H15" s="32" t="str">
        <x:v>deterministic</x:v>
      </x:c>
      <x:c r="I15" s="32" t="n">
        <x:v>1000</x:v>
      </x:c>
      <x:c r="J15" s="32" t="n">
        <x:v>10</x:v>
      </x:c>
      <x:c r="K15" s="47" t="n">
        <x:v>10.032809799999999</x:v>
      </x:c>
      <x:c r="L15" s="32" t="n">
        <x:v>121</x:v>
      </x:c>
      <x:c r="M15" s="32" t="n">
        <x:v>5</x:v>
      </x:c>
      <x:c r="N15" s="32" t="n">
        <x:v>10</x:v>
      </x:c>
      <x:c r="O15" s="48" t="n">
        <x:v>936.5432049999072</x:v>
      </x:c>
      <x:c r="P15" s="48" t="n">
        <x:v>1003.201858002285</x:v>
      </x:c>
      <x:c r="Q15" s="48" t="n">
        <x:v>1333.5118401992074</x:v>
      </x:c>
      <x:c r="R15" s="48" t="n">
        <x:v>1381.550330999744</x:v>
      </x:c>
      <x:c r="S15" s="32" t="n">
        <x:v>0</x:v>
      </x:c>
      <x:c r="T15" s="43" t="n">
        <x:v>0</x:v>
      </x:c>
      <x:c r="U15" s="48" t="n">
        <x:v>98.03874135100051</x:v>
      </x:c>
      <x:c r="V15" s="48" t="n">
        <x:v>101.07678453205288</x:v>
      </x:c>
      <x:c r="W15" s="48" t="n">
        <x:v>136.63321603822314</x:v>
      </x:c>
      <x:c r="X15" s="48" t="n">
        <x:v>140.8671875</x:v>
      </x:c>
      <x:c r="Y15" s="32"/>
      <x:c r="Z15" s="32"/>
      <x:c r="AA15" s="32"/>
      <x:c r="AB15" s="32"/>
      <x:c r="AC15" s="32" t="n">
        <x:v>0</x:v>
      </x:c>
      <x:c r="AD15" s="32" t="n">
        <x:v>0</x:v>
      </x:c>
      <x:c r="AE15" s="32" t="n">
        <x:v>0</x:v>
      </x:c>
      <x:c r="AF15" s="32"/>
      <x:c r="AG15" s="32"/>
      <x:c r="AH15" s="48" t="n">
        <x:v>370.3961600003822</x:v>
      </x:c>
      <x:c r="AI15" s="32" t="str">
        <x:v>PASS-WITH-FINDINGS</x:v>
      </x:c>
      <x:c r="AJ15" s="32" t="str">
        <x:v>GREEN</x:v>
      </x:c>
      <x:c r="AK15" s="32" t="str">
        <x:v>latest-narrow</x:v>
      </x:c>
      <x:c r="AL15" s="32" t="n">
        <x:v>1</x:v>
      </x:c>
      <x:c r="AM15" s="32" t="n">
        <x:v>1</x:v>
      </x:c>
      <x:c r="AN15" s="32" t="n">
        <x:v>1000</x:v>
      </x:c>
      <x:c r="AO15" s="32" t="n">
        <x:v>1</x:v>
      </x:c>
      <x:c r="AP15" s="32" t="n">
        <x:v>8132</x:v>
      </x:c>
      <x:c r="AQ15" s="48" t="n">
        <x:v>8.644762998301303</x:v>
      </x:c>
      <x:c r="AR15" s="48" t="n">
        <x:v>10.821471998497145</x:v>
      </x:c>
      <x:c r="AS15" s="48" t="n">
        <x:v>11.815924198162975</x:v>
      </x:c>
      <x:c r="AT15" s="32" t="n">
        <x:v>36</x:v>
      </x:c>
      <x:c r="AU15" s="32" t="str">
        <x:v>0 / 28 / 28 / 28 / 27 / 28 / 28 / 28 / 27 / 0 / 28 / 28 / 27 / 28 / 28 / 28 / 27 / 28 / 0 / 28 / 27 / 28 / 28 / 28 / 27 / 28 / 28 / 0 / 26 / 27 / 27 / 27 / 26 / 27 / 27 / 27</x:v>
      </x:c>
      <x:c r="AV15" s="47" t="n">
        <x:v>0.7519549981225282</x:v>
      </x:c>
      <x:c r="AW15" s="47" t="n">
        <x:v>1.0019420005846769</x:v>
      </x:c>
      <x:c r="AX15" s="47" t="n">
        <x:v>1.4330117999634238</x:v>
      </x:c>
      <x:c r="AY15" s="32" t="str">
        <x:v>mixed</x:v>
      </x:c>
      <x:c r="AZ15" s="32" t="str">
        <x:v>FAIL</x:v>
      </x:c>
      <x:c r="BA15" s="32" t="n">
        <x:v>880</x:v>
      </x:c>
      <x:c r="BB15" s="32" t="n">
        <x:v>120</x:v>
      </x:c>
      <x:c r="BC15" s="115" t="b">
        <x:v>1</x:v>
      </x:c>
      <x:c r="BD15" s="32" t="str">
        <x:v>Raw FAIL was caused solely by the legacy harness rule snapshot_alarm_count == alarm_count. Core neutral-state semantics intentionally omit the 120 initially INACTIVE alarms; observed 880 == expected 880 and journal is aligned.</x:v>
      </x:c>
      <x:c r="BE15" s="32"/>
      <x:c r="BF15" s="32"/>
      <x:c r="BG15" s="32"/>
      <x:c r="BH15" s="32"/>
      <x:c r="BI15" s="32"/>
      <x:c r="BJ15" s="32"/>
      <x:c r="BK15" s="32"/>
      <x:c r="BL15" s="32"/>
      <x:c r="BM15" s="32"/>
      <x:c r="BN15" s="32"/>
      <x:c r="BO15" s="32"/>
      <x:c r="BP15" s="32"/>
      <x:c r="BQ15" s="32"/>
      <x:c r="BR15" s="32"/>
      <x:c r="BS15" s="32"/>
      <x:c r="BT15" s="32"/>
      <x:c r="BU15" s="32"/>
      <x:c r="BV15" s="32"/>
      <x:c r="BW15" s="32"/>
      <x:c r="BX15" s="32"/>
      <x:c r="BY15" s="32"/>
      <x:c r="BZ15" s="32"/>
      <x:c r="CA15" s="32"/>
      <x:c r="CB15" s="32"/>
      <x:c r="CC15" s="32"/>
      <x:c r="CD15" s="32"/>
      <x:c r="CE15" s="32"/>
      <x:c r="CF15" s="32"/>
      <x:c r="CG15" s="32"/>
      <x:c r="CH15" s="32"/>
      <x:c r="CI15" s="32"/>
      <x:c r="CJ15" s="32"/>
      <x:c r="CK15" s="32"/>
      <x:c r="CL15" s="32"/>
      <x:c r="CM15" s="32"/>
      <x:c r="CN15" s="32"/>
      <x:c r="CO15" s="32"/>
      <x:c r="CP15" s="32"/>
      <x:c r="CQ15" s="32"/>
      <x:c r="CR15" s="32"/>
      <x:c r="CS15" s="32"/>
      <x:c r="CT15" s="32"/>
      <x:c r="CU15" s="32"/>
      <x:c r="CV15" s="32"/>
      <x:c r="CW15" s="32"/>
      <x:c r="CX15" s="32"/>
      <x:c r="CY15" s="32"/>
      <x:c r="CZ15" s="32"/>
      <x:c r="DA15" s="32"/>
      <x:c r="DB15" s="32"/>
      <x:c r="DC15" s="32"/>
      <x:c r="DD15" s="32"/>
      <x:c r="DE15" s="32"/>
      <x:c r="DF15" s="32"/>
      <x:c r="DG15" s="32"/>
      <x:c r="DH15" s="32"/>
      <x:c r="DI15" s="32"/>
      <x:c r="DJ15" s="32"/>
      <x:c r="DK15" s="32"/>
      <x:c r="DL15" s="32"/>
      <x:c r="DM15" s="32"/>
      <x:c r="DN15" s="32"/>
      <x:c r="DO15" s="32"/>
      <x:c r="DP15" s="32"/>
      <x:c r="DQ15" s="32"/>
      <x:c r="DR15" s="32"/>
      <x:c r="DS15" s="32"/>
      <x:c r="DT15" s="32"/>
      <x:c r="DU15" s="32"/>
      <x:c r="DV15" s="32"/>
      <x:c r="DW15" s="32"/>
      <x:c r="DX15" s="32"/>
      <x:c r="DY15" s="32"/>
      <x:c r="DZ15" s="32"/>
      <x:c r="EA15" s="32"/>
      <x:c r="EB15" s="32"/>
      <x:c r="EC15" s="32"/>
      <x:c r="ED15" s="32"/>
      <x:c r="EE15" s="32"/>
      <x:c r="EF15" s="32"/>
      <x:c r="EG15" s="32"/>
      <x:c r="EH15" s="32"/>
      <x:c r="EI15" s="32"/>
      <x:c r="EJ15" s="32"/>
      <x:c r="EK15" s="32"/>
      <x:c r="EL15" s="32"/>
      <x:c r="EM15" s="32"/>
      <x:c r="EN15" s="32"/>
      <x:c r="EO15" s="32"/>
      <x:c r="EP15" s="32"/>
      <x:c r="EQ15" s="32"/>
      <x:c r="ER15" s="32"/>
      <x:c r="ES15" s="32"/>
      <x:c r="ET15" s="32"/>
      <x:c r="EU15" s="32"/>
      <x:c r="EV15" s="32"/>
      <x:c r="EW15" s="32"/>
      <x:c r="EX15" s="32"/>
      <x:c r="EY15" s="32"/>
      <x:c r="EZ15" s="32"/>
      <x:c r="FA15" s="32"/>
      <x:c r="FB15" s="32"/>
      <x:c r="FC15" s="32"/>
      <x:c r="FD15" s="32"/>
      <x:c r="FE15" s="32"/>
      <x:c r="FF15" s="32"/>
      <x:c r="FG15" s="32"/>
      <x:c r="FH15" s="32"/>
      <x:c r="FI15" s="32"/>
      <x:c r="FJ15" s="32"/>
      <x:c r="FK15" s="32"/>
      <x:c r="FL15" s="32"/>
      <x:c r="FM15" s="32"/>
      <x:c r="FN15" s="32"/>
      <x:c r="FO15" s="32"/>
      <x:c r="FP15" s="32"/>
      <x:c r="FQ15" s="32"/>
      <x:c r="FR15" s="32"/>
      <x:c r="FS15" s="32"/>
      <x:c r="FT15" s="32"/>
      <x:c r="FU15" s="32"/>
      <x:c r="FV15" s="32"/>
      <x:c r="FW15" s="32"/>
      <x:c r="FX15" s="32"/>
      <x:c r="FY15" s="32"/>
      <x:c r="FZ15" s="32"/>
      <x:c r="GA15" s="32"/>
      <x:c r="GB15" s="32"/>
      <x:c r="GC15" s="32"/>
      <x:c r="GD15" s="32"/>
      <x:c r="GE15" s="32"/>
      <x:c r="GF15" s="32"/>
      <x:c r="GG15" s="32"/>
      <x:c r="GH15" s="32"/>
      <x:c r="GI15" s="32"/>
      <x:c r="GJ15" s="32"/>
      <x:c r="GK15" s="32"/>
      <x:c r="GL15" s="32"/>
      <x:c r="GM15" s="32"/>
      <x:c r="GN15" s="32"/>
      <x:c r="GO15" s="32"/>
      <x:c r="GP15" s="32"/>
      <x:c r="GQ15" s="32"/>
      <x:c r="GR15" s="32"/>
      <x:c r="GS15" s="32"/>
      <x:c r="GT15" s="32"/>
      <x:c r="GU15" s="32"/>
      <x:c r="GV15" s="32"/>
      <x:c r="GW15" s="32"/>
      <x:c r="GX15" s="32"/>
      <x:c r="GY15" s="32"/>
      <x:c r="GZ15" s="32"/>
      <x:c r="HA15" s="32"/>
      <x:c r="HB15" s="32"/>
      <x:c r="HC15" s="32"/>
      <x:c r="HD15" s="32"/>
      <x:c r="HE15" s="32"/>
      <x:c r="HF15" s="32"/>
      <x:c r="HG15" s="32"/>
      <x:c r="HH15" s="32"/>
      <x:c r="HI15" s="32"/>
      <x:c r="HJ15" s="32"/>
      <x:c r="HK15" s="32"/>
      <x:c r="HL15" s="32"/>
      <x:c r="HM15" s="32"/>
      <x:c r="HN15" s="32"/>
      <x:c r="HO15" s="32"/>
      <x:c r="HP15" s="32"/>
      <x:c r="HQ15" s="32"/>
      <x:c r="HR15" s="32"/>
      <x:c r="HS15" s="32"/>
      <x:c r="HT15" s="32"/>
      <x:c r="HU15" s="32"/>
      <x:c r="HV15" s="32"/>
      <x:c r="HW15" s="32"/>
      <x:c r="HX15" s="32"/>
      <x:c r="HY15" s="32"/>
    </x:row>
    <x:row r="16">
      <x:c r="A16" s="32" t="str">
        <x:v>1cd959ef-3cc6-452d-806c-72f9d3a738ed</x:v>
      </x:c>
      <x:c r="B16" s="32" t="str">
        <x:v>B-008-GATE-SMOKE</x:v>
      </x:c>
      <x:c r="C16" s="42" t="n">
        <x:v>46259.70306712963</x:v>
      </x:c>
      <x:c r="D16" s="32" t="str">
        <x:v>489b7424f5051f7a276dafe8d5f318ccf1368d87</x:v>
      </x:c>
      <x:c r="E16" s="32" t="str">
        <x:v>GLONBW11</x:v>
      </x:c>
      <x:c r="F16" s="32" t="str">
        <x:v>local-filesystem</x:v>
      </x:c>
      <x:c r="G16" s="32" t="str">
        <x:v>3.14.2</x:v>
      </x:c>
      <x:c r="H16" s="32" t="str">
        <x:v>deterministic</x:v>
      </x:c>
      <x:c r="I16" s="32" t="n">
        <x:v>1000</x:v>
      </x:c>
      <x:c r="J16" s="32" t="n">
        <x:v>0.5</x:v>
      </x:c>
      <x:c r="K16" s="47" t="n">
        <x:v>0.5199003</x:v>
      </x:c>
      <x:c r="L16" s="32" t="n">
        <x:v>7</x:v>
      </x:c>
      <x:c r="M16" s="32" t="n">
        <x:v>5</x:v>
      </x:c>
      <x:c r="N16" s="32" t="n">
        <x:v>10</x:v>
      </x:c>
      <x:c r="O16" s="48" t="n">
        <x:v>965.237562002585</x:v>
      </x:c>
      <x:c r="P16" s="48" t="n">
        <x:v>1243.3582018009474</x:v>
      </x:c>
      <x:c r="Q16" s="48" t="n">
        <x:v>1246.9606243602902</x:v>
      </x:c>
      <x:c r="R16" s="48" t="n">
        <x:v>1247.861230000126</x:v>
      </x:c>
      <x:c r="S16" s="32" t="n">
        <x:v>0</x:v>
      </x:c>
      <x:c r="T16" s="43" t="n">
        <x:v>0</x:v>
      </x:c>
      <x:c r="U16" s="48" t="n">
        <x:v>96.16005209628517</x:v>
      </x:c>
      <x:c r="V16" s="48" t="n">
        <x:v>97.87369587201069</x:v>
      </x:c>
      <x:c r="W16" s="48" t="n">
        <x:v>136.267578125</x:v>
      </x:c>
      <x:c r="X16" s="48" t="n">
        <x:v>139.8203125</x:v>
      </x:c>
      <x:c r="Y16" s="32"/>
      <x:c r="Z16" s="32"/>
      <x:c r="AA16" s="32"/>
      <x:c r="AB16" s="32"/>
      <x:c r="AC16" s="32" t="n">
        <x:v>0</x:v>
      </x:c>
      <x:c r="AD16" s="32" t="n">
        <x:v>0</x:v>
      </x:c>
      <x:c r="AE16" s="32" t="n">
        <x:v>0</x:v>
      </x:c>
      <x:c r="AF16" s="32"/>
      <x:c r="AG16" s="32"/>
      <x:c r="AH16" s="48" t="n">
        <x:v>173.16088200095692</x:v>
      </x:c>
      <x:c r="AI16" s="32" t="str">
        <x:v>PASS</x:v>
      </x:c>
      <x:c r="AJ16" s="32" t="str">
        <x:v>GREEN</x:v>
      </x:c>
      <x:c r="AK16" s="32" t="str">
        <x:v>latest-narrow</x:v>
      </x:c>
      <x:c r="AL16" s="32" t="n">
        <x:v>1</x:v>
      </x:c>
      <x:c r="AM16" s="32" t="n">
        <x:v>1</x:v>
      </x:c>
      <x:c r="AN16" s="32" t="n">
        <x:v>1000</x:v>
      </x:c>
      <x:c r="AO16" s="32" t="n">
        <x:v>1</x:v>
      </x:c>
      <x:c r="AP16" s="32" t="n">
        <x:v>8132</x:v>
      </x:c>
      <x:c r="AQ16" s="48" t="n">
        <x:v>8.742680998693686</x:v>
      </x:c>
      <x:c r="AR16" s="48" t="n">
        <x:v>11.538740298419725</x:v>
      </x:c>
      <x:c r="AS16" s="48" t="n">
        <x:v>11.630292858171742</x:v>
      </x:c>
      <x:c r="AT16" s="32" t="n">
        <x:v>36</x:v>
      </x:c>
      <x:c r="AU16" s="32" t="str">
        <x:v>0 / 28 / 28 / 28 / 27 / 28 / 28 / 28 / 27 / 0 / 28 / 28 / 27 / 28 / 28 / 28 / 27 / 28 / 0 / 28 / 27 / 28 / 28 / 28 / 27 / 28 / 28 / 0 / 26 / 27 / 27 / 27 / 26 / 27 / 27 / 27</x:v>
      </x:c>
      <x:c r="AV16" s="47" t="n">
        <x:v>0.7805310015100986</x:v>
      </x:c>
      <x:c r="AW16" s="47" t="n">
        <x:v>0.9657956008595647</x:v>
      </x:c>
      <x:c r="AX16" s="47" t="n">
        <x:v>0.9733263208909193</x:v>
      </x:c>
      <x:c r="AY16" s="32" t="str">
        <x:v>mixed</x:v>
      </x:c>
      <x:c r="AZ16" s="32" t="str">
        <x:v>PASS</x:v>
      </x:c>
      <x:c r="BA16" s="32" t="n">
        <x:v>880</x:v>
      </x:c>
      <x:c r="BB16" s="32" t="n">
        <x:v>120</x:v>
      </x:c>
      <x:c r="BC16" s="115" t="b">
        <x:v>1</x:v>
      </x:c>
      <x:c r="BD16" s="32" t="str">
        <x:v>R3.5B.3.1 validation smoke: corrected neutral-snapshot integrity gate passed. Observed snapshot 880 equals expected 880; 120 configured alarms are neutral INACTIVE; journal durable==materialized.</x:v>
      </x:c>
      <x:c r="BE16" s="32"/>
      <x:c r="BF16" s="32"/>
      <x:c r="BG16" s="32"/>
      <x:c r="BH16" s="32"/>
      <x:c r="BI16" s="32"/>
      <x:c r="BJ16" s="32"/>
      <x:c r="BK16" s="32"/>
      <x:c r="BL16" s="32"/>
      <x:c r="BM16" s="32"/>
      <x:c r="BN16" s="32"/>
      <x:c r="BO16" s="32"/>
      <x:c r="BP16" s="32"/>
      <x:c r="BQ16" s="32"/>
      <x:c r="BR16" s="32"/>
      <x:c r="BS16" s="32"/>
      <x:c r="BT16" s="32"/>
      <x:c r="BU16" s="32"/>
      <x:c r="BV16" s="32"/>
      <x:c r="BW16" s="32"/>
      <x:c r="BX16" s="32"/>
      <x:c r="BY16" s="32"/>
      <x:c r="BZ16" s="32"/>
      <x:c r="CA16" s="32"/>
      <x:c r="CB16" s="32"/>
      <x:c r="CC16" s="32"/>
      <x:c r="CD16" s="32"/>
      <x:c r="CE16" s="32"/>
      <x:c r="CF16" s="32"/>
      <x:c r="CG16" s="32"/>
      <x:c r="CH16" s="32"/>
      <x:c r="CI16" s="32"/>
      <x:c r="CJ16" s="32"/>
      <x:c r="CK16" s="32"/>
      <x:c r="CL16" s="32"/>
      <x:c r="CM16" s="32"/>
      <x:c r="CN16" s="32"/>
      <x:c r="CO16" s="32"/>
      <x:c r="CP16" s="32"/>
      <x:c r="CQ16" s="32"/>
      <x:c r="CR16" s="32"/>
      <x:c r="CS16" s="32"/>
      <x:c r="CT16" s="32"/>
      <x:c r="CU16" s="32"/>
      <x:c r="CV16" s="32"/>
      <x:c r="CW16" s="32"/>
      <x:c r="CX16" s="32"/>
      <x:c r="CY16" s="32"/>
      <x:c r="CZ16" s="32"/>
      <x:c r="DA16" s="32"/>
      <x:c r="DB16" s="32"/>
      <x:c r="DC16" s="32"/>
      <x:c r="DD16" s="32"/>
      <x:c r="DE16" s="32"/>
      <x:c r="DF16" s="32"/>
      <x:c r="DG16" s="32"/>
      <x:c r="DH16" s="32"/>
      <x:c r="DI16" s="32"/>
      <x:c r="DJ16" s="32"/>
      <x:c r="DK16" s="32"/>
      <x:c r="DL16" s="32"/>
      <x:c r="DM16" s="32"/>
      <x:c r="DN16" s="32"/>
      <x:c r="DO16" s="32"/>
      <x:c r="DP16" s="32"/>
      <x:c r="DQ16" s="32"/>
      <x:c r="DR16" s="32"/>
      <x:c r="DS16" s="32"/>
      <x:c r="DT16" s="32"/>
      <x:c r="DU16" s="32"/>
      <x:c r="DV16" s="32"/>
      <x:c r="DW16" s="32"/>
      <x:c r="DX16" s="32"/>
      <x:c r="DY16" s="32"/>
      <x:c r="DZ16" s="32"/>
      <x:c r="EA16" s="32"/>
      <x:c r="EB16" s="32"/>
      <x:c r="EC16" s="32"/>
      <x:c r="ED16" s="32"/>
      <x:c r="EE16" s="32"/>
      <x:c r="EF16" s="32"/>
      <x:c r="EG16" s="32"/>
      <x:c r="EH16" s="32"/>
      <x:c r="EI16" s="32"/>
      <x:c r="EJ16" s="32"/>
      <x:c r="EK16" s="32"/>
      <x:c r="EL16" s="32"/>
      <x:c r="EM16" s="32"/>
      <x:c r="EN16" s="32"/>
      <x:c r="EO16" s="32"/>
      <x:c r="EP16" s="32"/>
      <x:c r="EQ16" s="32"/>
      <x:c r="ER16" s="32"/>
      <x:c r="ES16" s="32"/>
      <x:c r="ET16" s="32"/>
      <x:c r="EU16" s="32"/>
      <x:c r="EV16" s="32"/>
      <x:c r="EW16" s="32"/>
      <x:c r="EX16" s="32"/>
      <x:c r="EY16" s="32"/>
      <x:c r="EZ16" s="32"/>
      <x:c r="FA16" s="32"/>
      <x:c r="FB16" s="32"/>
      <x:c r="FC16" s="32"/>
      <x:c r="FD16" s="32"/>
      <x:c r="FE16" s="32"/>
      <x:c r="FF16" s="32"/>
      <x:c r="FG16" s="32"/>
      <x:c r="FH16" s="32"/>
      <x:c r="FI16" s="32"/>
      <x:c r="FJ16" s="32"/>
      <x:c r="FK16" s="32"/>
      <x:c r="FL16" s="32"/>
      <x:c r="FM16" s="32"/>
      <x:c r="FN16" s="32"/>
      <x:c r="FO16" s="32"/>
      <x:c r="FP16" s="32"/>
      <x:c r="FQ16" s="32"/>
      <x:c r="FR16" s="32"/>
      <x:c r="FS16" s="32"/>
      <x:c r="FT16" s="32"/>
      <x:c r="FU16" s="32"/>
      <x:c r="FV16" s="32"/>
      <x:c r="FW16" s="32"/>
      <x:c r="FX16" s="32"/>
      <x:c r="FY16" s="32"/>
      <x:c r="FZ16" s="32"/>
      <x:c r="GA16" s="32"/>
      <x:c r="GB16" s="32"/>
      <x:c r="GC16" s="32"/>
      <x:c r="GD16" s="32"/>
      <x:c r="GE16" s="32"/>
      <x:c r="GF16" s="32"/>
      <x:c r="GG16" s="32"/>
      <x:c r="GH16" s="32"/>
      <x:c r="GI16" s="32"/>
      <x:c r="GJ16" s="32"/>
      <x:c r="GK16" s="32"/>
      <x:c r="GL16" s="32"/>
      <x:c r="GM16" s="32"/>
      <x:c r="GN16" s="32"/>
      <x:c r="GO16" s="32"/>
      <x:c r="GP16" s="32"/>
      <x:c r="GQ16" s="32"/>
      <x:c r="GR16" s="32"/>
      <x:c r="GS16" s="32"/>
      <x:c r="GT16" s="32"/>
      <x:c r="GU16" s="32"/>
      <x:c r="GV16" s="32"/>
      <x:c r="GW16" s="32"/>
      <x:c r="GX16" s="32"/>
      <x:c r="GY16" s="32"/>
      <x:c r="GZ16" s="32"/>
      <x:c r="HA16" s="32"/>
      <x:c r="HB16" s="32"/>
      <x:c r="HC16" s="32"/>
      <x:c r="HD16" s="32"/>
      <x:c r="HE16" s="32"/>
      <x:c r="HF16" s="32"/>
      <x:c r="HG16" s="32"/>
      <x:c r="HH16" s="32"/>
      <x:c r="HI16" s="32"/>
      <x:c r="HJ16" s="32"/>
      <x:c r="HK16" s="32"/>
      <x:c r="HL16" s="32"/>
      <x:c r="HM16" s="32"/>
      <x:c r="HN16" s="32"/>
      <x:c r="HO16" s="32"/>
      <x:c r="HP16" s="32"/>
      <x:c r="HQ16" s="32"/>
      <x:c r="HR16" s="32"/>
      <x:c r="HS16" s="32"/>
      <x:c r="HT16" s="32"/>
      <x:c r="HU16" s="32"/>
      <x:c r="HV16" s="32"/>
      <x:c r="HW16" s="32"/>
      <x:c r="HX16" s="32"/>
      <x:c r="HY16" s="32"/>
    </x:row>
    <x:row r="17">
      <x:c r="A17" s="32" t="str">
        <x:v>804265bb-f165-4deb-96ef-e062d0ee8117</x:v>
      </x:c>
      <x:c r="B17" s="32" t="str">
        <x:v>B-009</x:v>
      </x:c>
      <x:c r="C17" s="42" t="n">
        <x:v>46259.77888888889</x:v>
      </x:c>
      <x:c r="D17" s="32" t="str">
        <x:v>489b7424f5051f7a276dafe8d5f318ccf1368d87</x:v>
      </x:c>
      <x:c r="E17" s="32" t="str">
        <x:v>GLONBW11</x:v>
      </x:c>
      <x:c r="F17" s="32" t="str">
        <x:v>local-filesystem</x:v>
      </x:c>
      <x:c r="G17" s="32" t="str">
        <x:v>3.14.2</x:v>
      </x:c>
      <x:c r="H17" s="32" t="str">
        <x:v>deterministic</x:v>
      </x:c>
      <x:c r="I17" s="32" t="n">
        <x:v>1000</x:v>
      </x:c>
      <x:c r="J17" s="32" t="n">
        <x:v>10</x:v>
      </x:c>
      <x:c r="K17" s="32" t="n">
        <x:v>10.06078955</x:v>
      </x:c>
      <x:c r="L17" s="32" t="n">
        <x:v>121</x:v>
      </x:c>
      <x:c r="M17" s="32" t="n">
        <x:v>5</x:v>
      </x:c>
      <x:c r="N17" s="32" t="n">
        <x:v>10</x:v>
      </x:c>
      <x:c r="O17" s="32" t="n">
        <x:v>2625.4629639988707</x:v>
      </x:c>
      <x:c r="P17" s="32" t="n">
        <x:v>2997.0099490019493</x:v>
      </x:c>
      <x:c r="Q17" s="32" t="n">
        <x:v>3284.828467398619</x:v>
      </x:c>
      <x:c r="R17" s="32" t="n">
        <x:v>3600.3161820008245</x:v>
      </x:c>
      <x:c r="S17" s="32" t="n">
        <x:v>0</x:v>
      </x:c>
      <x:c r="T17" s="43" t="n">
        <x:v>0</x:v>
      </x:c>
      <x:c r="U17" s="32" t="n">
        <x:v>99.43374501428755</x:v>
      </x:c>
      <x:c r="V17" s="32" t="n">
        <x:v>100.42710705927536</x:v>
      </x:c>
      <x:c r="W17" s="32" t="n">
        <x:v>153.65913933367767</x:v>
      </x:c>
      <x:c r="X17" s="32" t="n">
        <x:v>156.65625</x:v>
      </x:c>
      <x:c r="Y17" s="32"/>
      <x:c r="Z17" s="32"/>
      <x:c r="AA17" s="32"/>
      <x:c r="AB17" s="32"/>
      <x:c r="AC17" s="32" t="n">
        <x:v>0</x:v>
      </x:c>
      <x:c r="AD17" s="32" t="n">
        <x:v>0</x:v>
      </x:c>
      <x:c r="AE17" s="32" t="n">
        <x:v>0</x:v>
      </x:c>
      <x:c r="AF17" s="32"/>
      <x:c r="AG17" s="32"/>
      <x:c r="AH17" s="32" t="n">
        <x:v>407.94410099988454</x:v>
      </x:c>
      <x:c r="AI17" s="32" t="str">
        <x:v>PASS</x:v>
      </x:c>
      <x:c r="AJ17" s="32" t="str">
        <x:v>GREEN</x:v>
      </x:c>
      <x:c r="AK17" s="32" t="str">
        <x:v>latest-historical</x:v>
      </x:c>
      <x:c r="AL17" s="32" t="n">
        <x:v>1</x:v>
      </x:c>
      <x:c r="AM17" s="32" t="n">
        <x:v>2</x:v>
      </x:c>
      <x:c r="AN17" s="32" t="n">
        <x:v>4000</x:v>
      </x:c>
      <x:c r="AO17" s="32" t="n">
        <x:v>361</x:v>
      </x:c>
      <x:c r="AP17" s="32" t="n">
        <x:v>8651144</x:v>
      </x:c>
      <x:c r="AQ17" s="32" t="n">
        <x:v>6.742584999301471</x:v>
      </x:c>
      <x:c r="AR17" s="32" t="n">
        <x:v>8.271439000964165</x:v>
      </x:c>
      <x:c r="AS17" s="32" t="n">
        <x:v>10.227766801835969</x:v>
      </x:c>
      <x:c r="AT17" s="32" t="n">
        <x:v>36</x:v>
      </x:c>
      <x:c r="AU17" s="32" t="str">
        <x:v>Latest: 28×28 + 8×27 / Historical: 12×84 + 24×83</x:v>
      </x:c>
      <x:c r="AV17" s="32" t="n">
        <x:v>0.6785780024074484</x:v>
      </x:c>
      <x:c r="AW17" s="32" t="n">
        <x:v>0.8204669975384604</x:v>
      </x:c>
      <x:c r="AX17" s="32" t="n">
        <x:v>1.044928599731065</x:v>
      </x:c>
      <x:c r="AY17" s="32" t="str">
        <x:v>balanced</x:v>
      </x:c>
      <x:c r="AZ17" s="32" t="str">
        <x:v>PASS</x:v>
      </x:c>
      <x:c r="BA17" s="32" t="n">
        <x:v>1000</x:v>
      </x:c>
      <x:c r="BB17" s="32" t="n">
        <x:v>0</x:v>
      </x:c>
      <x:c r="BC17" s="115" t="b">
        <x:v>1</x:v>
      </x:c>
      <x:c r="BD17" s="32" t="str">
        <x:v>Raw PASS; journal aligned; snapshot observed/expected 1000/1000.</x:v>
      </x:c>
      <x:c r="BE17" s="32" t="n">
        <x:v>3</x:v>
      </x:c>
      <x:c r="BF17" s="32" t="n">
        <x:v>60</x:v>
      </x:c>
      <x:c r="BG17" s="32" t="n">
        <x:v>10</x:v>
      </x:c>
      <x:c r="BH17" s="32" t="n">
        <x:v>360</x:v>
      </x:c>
      <x:c r="BI17" s="32" t="n">
        <x:v>1080000</x:v>
      </x:c>
      <x:c r="BJ17" s="32" t="n">
        <x:v>1081000</x:v>
      </x:c>
      <x:c r="BK17" s="32" t="n">
        <x:v>1000</x:v>
      </x:c>
      <x:c r="BL17" s="32" t="n">
        <x:v>3000</x:v>
      </x:c>
      <x:c r="BM17" s="32" t="n">
        <x:v>360</x:v>
      </x:c>
      <x:c r="BN17" s="32"/>
      <x:c r="BO17" s="32"/>
      <x:c r="BP17" s="32"/>
      <x:c r="BQ17" s="32"/>
      <x:c r="BR17" s="32"/>
      <x:c r="BS17" s="32"/>
      <x:c r="BT17" s="32"/>
      <x:c r="BU17" s="32"/>
      <x:c r="BV17" s="32"/>
      <x:c r="BW17" s="32"/>
      <x:c r="BX17" s="32"/>
      <x:c r="BY17" s="32"/>
      <x:c r="BZ17" s="32"/>
      <x:c r="CA17" s="32"/>
      <x:c r="CB17" s="32"/>
      <x:c r="CC17" s="32"/>
      <x:c r="CD17" s="32"/>
      <x:c r="CE17" s="32"/>
      <x:c r="CF17" s="32"/>
      <x:c r="CG17" s="32"/>
      <x:c r="CH17" s="32"/>
      <x:c r="CI17" s="32"/>
      <x:c r="CJ17" s="32"/>
      <x:c r="CK17" s="32"/>
      <x:c r="CL17" s="32"/>
      <x:c r="CM17" s="32"/>
      <x:c r="CN17" s="32"/>
      <x:c r="CO17" s="32"/>
      <x:c r="CP17" s="32"/>
      <x:c r="CQ17" s="32"/>
      <x:c r="CR17" s="32"/>
      <x:c r="CS17" s="32"/>
      <x:c r="CT17" s="32"/>
      <x:c r="CU17" s="32"/>
      <x:c r="CV17" s="32"/>
      <x:c r="CW17" s="32"/>
      <x:c r="CX17" s="32"/>
      <x:c r="CY17" s="32"/>
      <x:c r="CZ17" s="32"/>
      <x:c r="DA17" s="32"/>
      <x:c r="DB17" s="32"/>
      <x:c r="DC17" s="32"/>
      <x:c r="DD17" s="32"/>
      <x:c r="DE17" s="32"/>
      <x:c r="DF17" s="32"/>
      <x:c r="DG17" s="32"/>
      <x:c r="DH17" s="32"/>
      <x:c r="DI17" s="32"/>
      <x:c r="DJ17" s="32"/>
      <x:c r="DK17" s="32"/>
      <x:c r="DL17" s="32"/>
      <x:c r="DM17" s="32"/>
      <x:c r="DN17" s="32"/>
      <x:c r="DO17" s="32"/>
      <x:c r="DP17" s="32"/>
      <x:c r="DQ17" s="32"/>
      <x:c r="DR17" s="32"/>
      <x:c r="DS17" s="32"/>
      <x:c r="DT17" s="32"/>
      <x:c r="DU17" s="32"/>
      <x:c r="DV17" s="32"/>
      <x:c r="DW17" s="32"/>
      <x:c r="DX17" s="32"/>
      <x:c r="DY17" s="32"/>
      <x:c r="DZ17" s="32"/>
      <x:c r="EA17" s="32"/>
      <x:c r="EB17" s="32"/>
      <x:c r="EC17" s="32"/>
      <x:c r="ED17" s="32"/>
      <x:c r="EE17" s="32"/>
      <x:c r="EF17" s="32"/>
      <x:c r="EG17" s="32"/>
      <x:c r="EH17" s="32"/>
      <x:c r="EI17" s="32"/>
      <x:c r="EJ17" s="32"/>
      <x:c r="EK17" s="32"/>
      <x:c r="EL17" s="32"/>
      <x:c r="EM17" s="32"/>
      <x:c r="EN17" s="32"/>
      <x:c r="EO17" s="32"/>
      <x:c r="EP17" s="32"/>
      <x:c r="EQ17" s="32"/>
      <x:c r="ER17" s="32"/>
      <x:c r="ES17" s="32"/>
      <x:c r="ET17" s="32"/>
      <x:c r="EU17" s="32"/>
      <x:c r="EV17" s="32"/>
      <x:c r="EW17" s="32"/>
      <x:c r="EX17" s="32"/>
      <x:c r="EY17" s="32"/>
      <x:c r="EZ17" s="32"/>
      <x:c r="FA17" s="32"/>
      <x:c r="FB17" s="32"/>
      <x:c r="FC17" s="32"/>
      <x:c r="FD17" s="32"/>
      <x:c r="FE17" s="32"/>
      <x:c r="FF17" s="32"/>
      <x:c r="FG17" s="32"/>
      <x:c r="FH17" s="32"/>
      <x:c r="FI17" s="32"/>
      <x:c r="FJ17" s="32"/>
      <x:c r="FK17" s="32"/>
      <x:c r="FL17" s="32"/>
      <x:c r="FM17" s="32"/>
      <x:c r="FN17" s="32"/>
      <x:c r="FO17" s="32"/>
      <x:c r="FP17" s="32"/>
      <x:c r="FQ17" s="32"/>
      <x:c r="FR17" s="32"/>
      <x:c r="FS17" s="32"/>
      <x:c r="FT17" s="32"/>
      <x:c r="FU17" s="32"/>
      <x:c r="FV17" s="32"/>
      <x:c r="FW17" s="32"/>
      <x:c r="FX17" s="32"/>
      <x:c r="FY17" s="32"/>
      <x:c r="FZ17" s="32"/>
      <x:c r="GA17" s="32"/>
      <x:c r="GB17" s="32"/>
      <x:c r="GC17" s="32"/>
      <x:c r="GD17" s="32"/>
      <x:c r="GE17" s="32"/>
      <x:c r="GF17" s="32"/>
      <x:c r="GG17" s="32"/>
      <x:c r="GH17" s="32"/>
      <x:c r="GI17" s="32"/>
      <x:c r="GJ17" s="32"/>
      <x:c r="GK17" s="32"/>
      <x:c r="GL17" s="32"/>
      <x:c r="GM17" s="32"/>
      <x:c r="GN17" s="32"/>
      <x:c r="GO17" s="32"/>
      <x:c r="GP17" s="32"/>
      <x:c r="GQ17" s="32"/>
      <x:c r="GR17" s="32"/>
      <x:c r="GS17" s="32"/>
      <x:c r="GT17" s="32"/>
      <x:c r="GU17" s="32"/>
      <x:c r="GV17" s="32"/>
      <x:c r="GW17" s="32"/>
      <x:c r="GX17" s="32"/>
      <x:c r="GY17" s="32"/>
      <x:c r="GZ17" s="32"/>
      <x:c r="HA17" s="32"/>
      <x:c r="HB17" s="32"/>
      <x:c r="HC17" s="32"/>
      <x:c r="HD17" s="32"/>
      <x:c r="HE17" s="32"/>
      <x:c r="HF17" s="32"/>
      <x:c r="HG17" s="32"/>
      <x:c r="HH17" s="32"/>
      <x:c r="HI17" s="32"/>
      <x:c r="HJ17" s="32"/>
      <x:c r="HK17" s="32"/>
      <x:c r="HL17" s="32"/>
      <x:c r="HM17" s="32"/>
      <x:c r="HN17" s="32"/>
      <x:c r="HO17" s="32"/>
      <x:c r="HP17" s="32"/>
      <x:c r="HQ17" s="32"/>
      <x:c r="HR17" s="32"/>
      <x:c r="HS17" s="32"/>
      <x:c r="HT17" s="32"/>
      <x:c r="HU17" s="32"/>
      <x:c r="HV17" s="32"/>
      <x:c r="HW17" s="32"/>
      <x:c r="HX17" s="32"/>
      <x:c r="HY17" s="32"/>
    </x:row>
    <x:row r="18">
      <x:c r="A18" s="32" t="str">
        <x:v>013ab1e8-bc67-48af-92c2-44098a440a66</x:v>
      </x:c>
      <x:c r="B18" s="32" t="str">
        <x:v>B-010</x:v>
      </x:c>
      <x:c r="C18" s="42" t="n">
        <x:v>46259.79849537037</x:v>
      </x:c>
      <x:c r="D18" s="32" t="str">
        <x:v>489b7424f5051f7a276dafe8d5f318ccf1368d87</x:v>
      </x:c>
      <x:c r="E18" s="32" t="str">
        <x:v>GLONBW11</x:v>
      </x:c>
      <x:c r="F18" s="32" t="str">
        <x:v>local-filesystem</x:v>
      </x:c>
      <x:c r="G18" s="32" t="str">
        <x:v>3.14.2</x:v>
      </x:c>
      <x:c r="H18" s="32" t="str">
        <x:v>deterministic</x:v>
      </x:c>
      <x:c r="I18" s="32" t="n">
        <x:v>1000</x:v>
      </x:c>
      <x:c r="J18" s="32" t="n">
        <x:v>10</x:v>
      </x:c>
      <x:c r="K18" s="32" t="n">
        <x:v>10.0677096</x:v>
      </x:c>
      <x:c r="L18" s="32" t="n">
        <x:v>121</x:v>
      </x:c>
      <x:c r="M18" s="32" t="n">
        <x:v>5</x:v>
      </x:c>
      <x:c r="N18" s="32" t="n">
        <x:v>10</x:v>
      </x:c>
      <x:c r="O18" s="32" t="n">
        <x:v>3141.7221509982483</x:v>
      </x:c>
      <x:c r="P18" s="32" t="n">
        <x:v>3796.3347690019873</x:v>
      </x:c>
      <x:c r="Q18" s="32" t="n">
        <x:v>3999.5934671991563</x:v>
      </x:c>
      <x:c r="R18" s="32" t="n">
        <x:v>4465.373349001311</x:v>
      </x:c>
      <x:c r="S18" s="32" t="n">
        <x:v>0</x:v>
      </x:c>
      <x:c r="T18" s="43" t="n">
        <x:v>0</x:v>
      </x:c>
      <x:c r="U18" s="32" t="n">
        <x:v>99.46154522414015</x:v>
      </x:c>
      <x:c r="V18" s="32" t="n">
        <x:v>99.99689898859454</x:v>
      </x:c>
      <x:c r="W18" s="32" t="n">
        <x:v>178.271048553719</x:v>
      </x:c>
      <x:c r="X18" s="32" t="n">
        <x:v>179.765625</x:v>
      </x:c>
      <x:c r="Y18" s="32"/>
      <x:c r="Z18" s="32"/>
      <x:c r="AA18" s="32"/>
      <x:c r="AB18" s="32"/>
      <x:c r="AC18" s="32" t="n">
        <x:v>0</x:v>
      </x:c>
      <x:c r="AD18" s="32" t="n">
        <x:v>0</x:v>
      </x:c>
      <x:c r="AE18" s="32" t="n">
        <x:v>0</x:v>
      </x:c>
      <x:c r="AF18" s="32"/>
      <x:c r="AG18" s="32"/>
      <x:c r="AH18" s="32" t="n">
        <x:v>407.98311999969883</x:v>
      </x:c>
      <x:c r="AI18" s="32" t="str">
        <x:v>PASS</x:v>
      </x:c>
      <x:c r="AJ18" s="32" t="str">
        <x:v>GREEN</x:v>
      </x:c>
      <x:c r="AK18" s="32" t="str">
        <x:v>latest-historical</x:v>
      </x:c>
      <x:c r="AL18" s="32" t="n">
        <x:v>1</x:v>
      </x:c>
      <x:c r="AM18" s="32" t="n">
        <x:v>2</x:v>
      </x:c>
      <x:c r="AN18" s="32" t="n">
        <x:v>4000</x:v>
      </x:c>
      <x:c r="AO18" s="32" t="n">
        <x:v>1081</x:v>
      </x:c>
      <x:c r="AP18" s="32" t="n">
        <x:v>25936904</x:v>
      </x:c>
      <x:c r="AQ18" s="32" t="n">
        <x:v>9.144100000412436</x:v>
      </x:c>
      <x:c r="AR18" s="32" t="n">
        <x:v>10.801136999361916</x:v>
      </x:c>
      <x:c r="AS18" s="32" t="n">
        <x:v>14.170088397804642</x:v>
      </x:c>
      <x:c r="AT18" s="32" t="n">
        <x:v>36</x:v>
      </x:c>
      <x:c r="AU18" s="32" t="str">
        <x:v>Latest: 28×28 + 8×27 / Historical: 12×84 + 24×83</x:v>
      </x:c>
      <x:c r="AV18" s="32" t="n">
        <x:v>0.7525460023316555</x:v>
      </x:c>
      <x:c r="AW18" s="32" t="n">
        <x:v>0.9243810018233489</x:v>
      </x:c>
      <x:c r="AX18" s="32" t="n">
        <x:v>1.0689966038626153</x:v>
      </x:c>
      <x:c r="AY18" s="32" t="str">
        <x:v>balanced</x:v>
      </x:c>
      <x:c r="AZ18" s="32" t="str">
        <x:v>PASS</x:v>
      </x:c>
      <x:c r="BA18" s="32" t="n">
        <x:v>1000</x:v>
      </x:c>
      <x:c r="BB18" s="32" t="n">
        <x:v>0</x:v>
      </x:c>
      <x:c r="BC18" s="115" t="b">
        <x:v>1</x:v>
      </x:c>
      <x:c r="BD18" s="32" t="str">
        <x:v>Raw PASS; journal durable==materialized; snapshot observed/expected 1000/1000; 3 durable commits; 0 resource pressure events.</x:v>
      </x:c>
      <x:c r="BE18" s="32" t="n">
        <x:v>3</x:v>
      </x:c>
      <x:c r="BF18" s="32" t="n">
        <x:v>180</x:v>
      </x:c>
      <x:c r="BG18" s="32" t="n">
        <x:v>10</x:v>
      </x:c>
      <x:c r="BH18" s="32" t="n">
        <x:v>1080</x:v>
      </x:c>
      <x:c r="BI18" s="32" t="n">
        <x:v>3240000</x:v>
      </x:c>
      <x:c r="BJ18" s="32" t="n">
        <x:v>3241000</x:v>
      </x:c>
      <x:c r="BK18" s="32" t="n">
        <x:v>1000</x:v>
      </x:c>
      <x:c r="BL18" s="32" t="n">
        <x:v>3000</x:v>
      </x:c>
      <x:c r="BM18" s="32" t="n">
        <x:v>1080</x:v>
      </x:c>
      <x:c r="BN18" s="32"/>
      <x:c r="BO18" s="32"/>
      <x:c r="BP18" s="32"/>
      <x:c r="BQ18" s="32"/>
      <x:c r="BR18" s="32"/>
      <x:c r="BS18" s="32"/>
      <x:c r="BT18" s="32"/>
      <x:c r="BU18" s="32"/>
      <x:c r="BV18" s="32"/>
      <x:c r="BW18" s="32"/>
      <x:c r="BX18" s="32"/>
      <x:c r="BY18" s="32"/>
      <x:c r="BZ18" s="32"/>
      <x:c r="CA18" s="32"/>
      <x:c r="CB18" s="32"/>
      <x:c r="CC18" s="32"/>
      <x:c r="CD18" s="32"/>
      <x:c r="CE18" s="32"/>
      <x:c r="CF18" s="32"/>
      <x:c r="CG18" s="32"/>
      <x:c r="CH18" s="32"/>
      <x:c r="CI18" s="32"/>
      <x:c r="CJ18" s="32"/>
      <x:c r="CK18" s="32"/>
      <x:c r="CL18" s="32"/>
      <x:c r="CM18" s="32"/>
      <x:c r="CN18" s="32"/>
      <x:c r="CO18" s="32"/>
      <x:c r="CP18" s="32"/>
      <x:c r="CQ18" s="32"/>
      <x:c r="CR18" s="32"/>
      <x:c r="CS18" s="32"/>
      <x:c r="CT18" s="32"/>
      <x:c r="CU18" s="32"/>
      <x:c r="CV18" s="32"/>
      <x:c r="CW18" s="32"/>
      <x:c r="CX18" s="32"/>
      <x:c r="CY18" s="32"/>
      <x:c r="CZ18" s="32"/>
      <x:c r="DA18" s="32"/>
      <x:c r="DB18" s="32"/>
      <x:c r="DC18" s="32"/>
      <x:c r="DD18" s="32"/>
      <x:c r="DE18" s="32"/>
      <x:c r="DF18" s="32"/>
      <x:c r="DG18" s="32"/>
      <x:c r="DH18" s="32"/>
      <x:c r="DI18" s="32"/>
      <x:c r="DJ18" s="32"/>
      <x:c r="DK18" s="32"/>
      <x:c r="DL18" s="32"/>
      <x:c r="DM18" s="32"/>
      <x:c r="DN18" s="32"/>
      <x:c r="DO18" s="32"/>
      <x:c r="DP18" s="32"/>
      <x:c r="DQ18" s="32"/>
      <x:c r="DR18" s="32"/>
      <x:c r="DS18" s="32"/>
      <x:c r="DT18" s="32"/>
      <x:c r="DU18" s="32"/>
      <x:c r="DV18" s="32"/>
      <x:c r="DW18" s="32"/>
      <x:c r="DX18" s="32"/>
      <x:c r="DY18" s="32"/>
      <x:c r="DZ18" s="32"/>
      <x:c r="EA18" s="32"/>
      <x:c r="EB18" s="32"/>
      <x:c r="EC18" s="32"/>
      <x:c r="ED18" s="32"/>
      <x:c r="EE18" s="32"/>
      <x:c r="EF18" s="32"/>
      <x:c r="EG18" s="32"/>
      <x:c r="EH18" s="32"/>
      <x:c r="EI18" s="32"/>
      <x:c r="EJ18" s="32"/>
      <x:c r="EK18" s="32"/>
      <x:c r="EL18" s="32"/>
      <x:c r="EM18" s="32"/>
      <x:c r="EN18" s="32"/>
      <x:c r="EO18" s="32"/>
      <x:c r="EP18" s="32"/>
      <x:c r="EQ18" s="32"/>
      <x:c r="ER18" s="32"/>
      <x:c r="ES18" s="32"/>
      <x:c r="ET18" s="32"/>
      <x:c r="EU18" s="32"/>
      <x:c r="EV18" s="32"/>
      <x:c r="EW18" s="32"/>
      <x:c r="EX18" s="32"/>
      <x:c r="EY18" s="32"/>
      <x:c r="EZ18" s="32"/>
      <x:c r="FA18" s="32"/>
      <x:c r="FB18" s="32"/>
      <x:c r="FC18" s="32"/>
      <x:c r="FD18" s="32"/>
      <x:c r="FE18" s="32"/>
      <x:c r="FF18" s="32"/>
      <x:c r="FG18" s="32"/>
      <x:c r="FH18" s="32"/>
      <x:c r="FI18" s="32"/>
      <x:c r="FJ18" s="32"/>
      <x:c r="FK18" s="32"/>
      <x:c r="FL18" s="32"/>
      <x:c r="FM18" s="32"/>
      <x:c r="FN18" s="32"/>
      <x:c r="FO18" s="32"/>
      <x:c r="FP18" s="32"/>
      <x:c r="FQ18" s="32"/>
      <x:c r="FR18" s="32"/>
      <x:c r="FS18" s="32"/>
      <x:c r="FT18" s="32"/>
      <x:c r="FU18" s="32"/>
      <x:c r="FV18" s="32"/>
      <x:c r="FW18" s="32"/>
      <x:c r="FX18" s="32"/>
      <x:c r="FY18" s="32"/>
      <x:c r="FZ18" s="32"/>
      <x:c r="GA18" s="32"/>
      <x:c r="GB18" s="32"/>
      <x:c r="GC18" s="32"/>
      <x:c r="GD18" s="32"/>
      <x:c r="GE18" s="32"/>
      <x:c r="GF18" s="32"/>
      <x:c r="GG18" s="32"/>
      <x:c r="GH18" s="32"/>
      <x:c r="GI18" s="32"/>
      <x:c r="GJ18" s="32"/>
      <x:c r="GK18" s="32"/>
      <x:c r="GL18" s="32"/>
      <x:c r="GM18" s="32"/>
      <x:c r="GN18" s="32"/>
      <x:c r="GO18" s="32"/>
      <x:c r="GP18" s="32"/>
      <x:c r="GQ18" s="32"/>
      <x:c r="GR18" s="32"/>
      <x:c r="GS18" s="32"/>
      <x:c r="GT18" s="32"/>
      <x:c r="GU18" s="32"/>
      <x:c r="GV18" s="32"/>
      <x:c r="GW18" s="32"/>
      <x:c r="GX18" s="32"/>
      <x:c r="GY18" s="32"/>
      <x:c r="GZ18" s="32"/>
      <x:c r="HA18" s="32"/>
      <x:c r="HB18" s="32"/>
      <x:c r="HC18" s="32"/>
      <x:c r="HD18" s="32"/>
      <x:c r="HE18" s="32"/>
      <x:c r="HF18" s="32"/>
      <x:c r="HG18" s="32"/>
      <x:c r="HH18" s="32"/>
      <x:c r="HI18" s="32"/>
      <x:c r="HJ18" s="32"/>
      <x:c r="HK18" s="32"/>
      <x:c r="HL18" s="32"/>
      <x:c r="HM18" s="32"/>
      <x:c r="HN18" s="32"/>
      <x:c r="HO18" s="32"/>
      <x:c r="HP18" s="32"/>
      <x:c r="HQ18" s="32"/>
      <x:c r="HR18" s="32"/>
      <x:c r="HS18" s="32"/>
      <x:c r="HT18" s="32"/>
      <x:c r="HU18" s="32"/>
      <x:c r="HV18" s="32"/>
      <x:c r="HW18" s="32"/>
      <x:c r="HX18" s="32"/>
      <x:c r="HY18" s="32"/>
    </x:row>
    <x:row r="19">
      <x:c r="A19" s="32" t="str">
        <x:v>46865e37-d816-4710-8215-9c567a0edd2e</x:v>
      </x:c>
      <x:c r="B19" s="32" t="str">
        <x:v>B-011</x:v>
      </x:c>
      <x:c r="C19" s="42" t="n">
        <x:v>46259.8090625</x:v>
      </x:c>
      <x:c r="D19" s="32" t="str">
        <x:v>489b7424f5051f7a276dafe8d5f318ccf1368d87</x:v>
      </x:c>
      <x:c r="E19" s="32" t="str">
        <x:v>GLONBW11</x:v>
      </x:c>
      <x:c r="F19" s="32" t="str">
        <x:v>local-filesystem</x:v>
      </x:c>
      <x:c r="G19" s="32" t="str">
        <x:v>3.14.2</x:v>
      </x:c>
      <x:c r="H19" s="32" t="str">
        <x:v>deterministic</x:v>
      </x:c>
      <x:c r="I19" s="32" t="n">
        <x:v>1000</x:v>
      </x:c>
      <x:c r="J19" s="32" t="n">
        <x:v>10</x:v>
      </x:c>
      <x:c r="K19" s="32" t="n">
        <x:v>10.086324</x:v>
      </x:c>
      <x:c r="L19" s="32" t="n">
        <x:v>121</x:v>
      </x:c>
      <x:c r="M19" s="32" t="n">
        <x:v>5</x:v>
      </x:c>
      <x:c r="N19" s="32" t="n">
        <x:v>10</x:v>
      </x:c>
      <x:c r="O19" s="32" t="n">
        <x:v>3185.627838000073</x:v>
      </x:c>
      <x:c r="P19" s="32" t="n">
        <x:v>3814.4916070014006</x:v>
      </x:c>
      <x:c r="Q19" s="32" t="n">
        <x:v>4033.2132215989986</x:v>
      </x:c>
      <x:c r="R19" s="32" t="n">
        <x:v>5636.61798999965</x:v>
      </x:c>
      <x:c r="S19" s="32" t="n">
        <x:v>1</x:v>
      </x:c>
      <x:c r="T19" s="43" t="n">
        <x:v>0.008264462809917356</x:v>
      </x:c>
      <x:c r="U19" s="32" t="n">
        <x:v>99.553215014123</x:v>
      </x:c>
      <x:c r="V19" s="32" t="n">
        <x:v>100.17706770898329</x:v>
      </x:c>
      <x:c r="W19" s="32" t="n">
        <x:v>193.35600142045453</x:v>
      </x:c>
      <x:c r="X19" s="32" t="n">
        <x:v>197.48828125</x:v>
      </x:c>
      <x:c r="Y19" s="32"/>
      <x:c r="Z19" s="32"/>
      <x:c r="AA19" s="32"/>
      <x:c r="AB19" s="32"/>
      <x:c r="AC19" s="32" t="n">
        <x:v>0</x:v>
      </x:c>
      <x:c r="AD19" s="32" t="n">
        <x:v>0</x:v>
      </x:c>
      <x:c r="AE19" s="32" t="n">
        <x:v>0</x:v>
      </x:c>
      <x:c r="AF19" s="32"/>
      <x:c r="AG19" s="32"/>
      <x:c r="AH19" s="32" t="n">
        <x:v>490.2902380017622</x:v>
      </x:c>
      <x:c r="AI19" s="32" t="str">
        <x:v>PASS-WITH-FINDINGS</x:v>
      </x:c>
      <x:c r="AJ19" s="32" t="str">
        <x:v>GREEN</x:v>
      </x:c>
      <x:c r="AK19" s="32" t="str">
        <x:v>latest-historical</x:v>
      </x:c>
      <x:c r="AL19" s="32" t="n">
        <x:v>1</x:v>
      </x:c>
      <x:c r="AM19" s="32" t="n">
        <x:v>2</x:v>
      </x:c>
      <x:c r="AN19" s="32" t="n">
        <x:v>7000</x:v>
      </x:c>
      <x:c r="AO19" s="32" t="n">
        <x:v>1081</x:v>
      </x:c>
      <x:c r="AP19" s="32" t="n">
        <x:v>51856904</x:v>
      </x:c>
      <x:c r="AQ19" s="32" t="n">
        <x:v>11.321050998958526</x:v>
      </x:c>
      <x:c r="AR19" s="32" t="n">
        <x:v>12.670534000790212</x:v>
      </x:c>
      <x:c r="AS19" s="32" t="n">
        <x:v>21.717288802028623</x:v>
      </x:c>
      <x:c r="AT19" s="32" t="n">
        <x:v>36</x:v>
      </x:c>
      <x:c r="AU19" s="32" t="str">
        <x:v>Latest: 28×28 + 8×27 / Historical: 24×167 + 12×166</x:v>
      </x:c>
      <x:c r="AV19" s="32" t="n">
        <x:v>0.712333003320964</x:v>
      </x:c>
      <x:c r="AW19" s="32" t="n">
        <x:v>0.8636550010123756</x:v>
      </x:c>
      <x:c r="AX19" s="32" t="n">
        <x:v>1.2384057983581431</x:v>
      </x:c>
      <x:c r="AY19" s="32" t="str">
        <x:v>balanced</x:v>
      </x:c>
      <x:c r="AZ19" s="32" t="str">
        <x:v>PASS</x:v>
      </x:c>
      <x:c r="BA19" s="32" t="n">
        <x:v>1000</x:v>
      </x:c>
      <x:c r="BB19" s="32" t="n">
        <x:v>0</x:v>
      </x:c>
      <x:c r="BC19" s="115" t="b">
        <x:v>1</x:v>
      </x:c>
      <x:c r="BD19" s="32" t="str">
        <x:v>Raw PASS and integrity clean. One timing overrun at iteration 72 (5636.62 ms) triggered the pre-agreed adaptive regression rule; journal durable==materialized; snapshot 1000/1000.</x:v>
      </x:c>
      <x:c r="BE19" s="32" t="n">
        <x:v>6</x:v>
      </x:c>
      <x:c r="BF19" s="32" t="n">
        <x:v>180</x:v>
      </x:c>
      <x:c r="BG19" s="32" t="n">
        <x:v>10</x:v>
      </x:c>
      <x:c r="BH19" s="32" t="n">
        <x:v>1080</x:v>
      </x:c>
      <x:c r="BI19" s="32" t="n">
        <x:v>6480000</x:v>
      </x:c>
      <x:c r="BJ19" s="32" t="n">
        <x:v>6481000</x:v>
      </x:c>
      <x:c r="BK19" s="32" t="n">
        <x:v>1000</x:v>
      </x:c>
      <x:c r="BL19" s="32" t="n">
        <x:v>6000</x:v>
      </x:c>
      <x:c r="BM19" s="32" t="n">
        <x:v>1080</x:v>
      </x:c>
      <x:c r="BN19" s="32"/>
      <x:c r="BO19" s="32"/>
      <x:c r="BP19" s="32"/>
      <x:c r="BQ19" s="32"/>
      <x:c r="BR19" s="32"/>
      <x:c r="BS19" s="32"/>
      <x:c r="BT19" s="32"/>
      <x:c r="BU19" s="32"/>
      <x:c r="BV19" s="32"/>
      <x:c r="BW19" s="32"/>
      <x:c r="BX19" s="32"/>
      <x:c r="BY19" s="32"/>
      <x:c r="BZ19" s="32"/>
      <x:c r="CA19" s="32"/>
      <x:c r="CB19" s="32"/>
      <x:c r="CC19" s="32"/>
      <x:c r="CD19" s="32"/>
      <x:c r="CE19" s="32"/>
      <x:c r="CF19" s="32"/>
      <x:c r="CG19" s="32"/>
      <x:c r="CH19" s="32"/>
      <x:c r="CI19" s="32"/>
      <x:c r="CJ19" s="32"/>
      <x:c r="CK19" s="32"/>
      <x:c r="CL19" s="32"/>
      <x:c r="CM19" s="32"/>
      <x:c r="CN19" s="32"/>
      <x:c r="CO19" s="32"/>
      <x:c r="CP19" s="32"/>
      <x:c r="CQ19" s="32"/>
      <x:c r="CR19" s="32"/>
      <x:c r="CS19" s="32"/>
      <x:c r="CT19" s="32"/>
      <x:c r="CU19" s="32"/>
      <x:c r="CV19" s="32"/>
      <x:c r="CW19" s="32"/>
      <x:c r="CX19" s="32"/>
      <x:c r="CY19" s="32"/>
      <x:c r="CZ19" s="32"/>
      <x:c r="DA19" s="32"/>
      <x:c r="DB19" s="32"/>
      <x:c r="DC19" s="32"/>
      <x:c r="DD19" s="32"/>
      <x:c r="DE19" s="32"/>
      <x:c r="DF19" s="32"/>
      <x:c r="DG19" s="32"/>
      <x:c r="DH19" s="32"/>
      <x:c r="DI19" s="32"/>
      <x:c r="DJ19" s="32"/>
      <x:c r="DK19" s="32"/>
      <x:c r="DL19" s="32"/>
      <x:c r="DM19" s="32"/>
      <x:c r="DN19" s="32"/>
      <x:c r="DO19" s="32"/>
      <x:c r="DP19" s="32"/>
      <x:c r="DQ19" s="32"/>
      <x:c r="DR19" s="32"/>
      <x:c r="DS19" s="32"/>
      <x:c r="DT19" s="32"/>
      <x:c r="DU19" s="32"/>
      <x:c r="DV19" s="32"/>
      <x:c r="DW19" s="32"/>
      <x:c r="DX19" s="32"/>
      <x:c r="DY19" s="32"/>
      <x:c r="DZ19" s="32"/>
      <x:c r="EA19" s="32"/>
      <x:c r="EB19" s="32"/>
      <x:c r="EC19" s="32"/>
      <x:c r="ED19" s="32"/>
      <x:c r="EE19" s="32"/>
      <x:c r="EF19" s="32"/>
      <x:c r="EG19" s="32"/>
      <x:c r="EH19" s="32"/>
      <x:c r="EI19" s="32"/>
      <x:c r="EJ19" s="32"/>
      <x:c r="EK19" s="32"/>
      <x:c r="EL19" s="32"/>
      <x:c r="EM19" s="32"/>
      <x:c r="EN19" s="32"/>
      <x:c r="EO19" s="32"/>
      <x:c r="EP19" s="32"/>
      <x:c r="EQ19" s="32"/>
      <x:c r="ER19" s="32"/>
      <x:c r="ES19" s="32"/>
      <x:c r="ET19" s="32"/>
      <x:c r="EU19" s="32"/>
      <x:c r="EV19" s="32"/>
      <x:c r="EW19" s="32"/>
      <x:c r="EX19" s="32"/>
      <x:c r="EY19" s="32"/>
      <x:c r="EZ19" s="32"/>
      <x:c r="FA19" s="32"/>
      <x:c r="FB19" s="32"/>
      <x:c r="FC19" s="32"/>
      <x:c r="FD19" s="32"/>
      <x:c r="FE19" s="32"/>
      <x:c r="FF19" s="32"/>
      <x:c r="FG19" s="32"/>
      <x:c r="FH19" s="32"/>
      <x:c r="FI19" s="32"/>
      <x:c r="FJ19" s="32"/>
      <x:c r="FK19" s="32"/>
      <x:c r="FL19" s="32"/>
      <x:c r="FM19" s="32"/>
      <x:c r="FN19" s="32"/>
      <x:c r="FO19" s="32"/>
      <x:c r="FP19" s="32"/>
      <x:c r="FQ19" s="32"/>
      <x:c r="FR19" s="32"/>
      <x:c r="FS19" s="32"/>
      <x:c r="FT19" s="32"/>
      <x:c r="FU19" s="32"/>
      <x:c r="FV19" s="32"/>
      <x:c r="FW19" s="32"/>
      <x:c r="FX19" s="32"/>
      <x:c r="FY19" s="32"/>
      <x:c r="FZ19" s="32"/>
      <x:c r="GA19" s="32"/>
      <x:c r="GB19" s="32"/>
      <x:c r="GC19" s="32"/>
      <x:c r="GD19" s="32"/>
      <x:c r="GE19" s="32"/>
      <x:c r="GF19" s="32"/>
      <x:c r="GG19" s="32"/>
      <x:c r="GH19" s="32"/>
      <x:c r="GI19" s="32"/>
      <x:c r="GJ19" s="32"/>
      <x:c r="GK19" s="32"/>
      <x:c r="GL19" s="32"/>
      <x:c r="GM19" s="32"/>
      <x:c r="GN19" s="32"/>
      <x:c r="GO19" s="32"/>
      <x:c r="GP19" s="32"/>
      <x:c r="GQ19" s="32"/>
      <x:c r="GR19" s="32"/>
      <x:c r="GS19" s="32"/>
      <x:c r="GT19" s="32"/>
      <x:c r="GU19" s="32"/>
      <x:c r="GV19" s="32"/>
      <x:c r="GW19" s="32"/>
      <x:c r="GX19" s="32"/>
      <x:c r="GY19" s="32"/>
      <x:c r="GZ19" s="32"/>
      <x:c r="HA19" s="32"/>
      <x:c r="HB19" s="32"/>
      <x:c r="HC19" s="32"/>
      <x:c r="HD19" s="32"/>
      <x:c r="HE19" s="32"/>
      <x:c r="HF19" s="32"/>
      <x:c r="HG19" s="32"/>
      <x:c r="HH19" s="32"/>
      <x:c r="HI19" s="32"/>
      <x:c r="HJ19" s="32"/>
      <x:c r="HK19" s="32"/>
      <x:c r="HL19" s="32"/>
      <x:c r="HM19" s="32"/>
      <x:c r="HN19" s="32"/>
      <x:c r="HO19" s="32"/>
      <x:c r="HP19" s="32"/>
      <x:c r="HQ19" s="32"/>
      <x:c r="HR19" s="32"/>
      <x:c r="HS19" s="32"/>
      <x:c r="HT19" s="32"/>
      <x:c r="HU19" s="32"/>
      <x:c r="HV19" s="32"/>
      <x:c r="HW19" s="32"/>
      <x:c r="HX19" s="32"/>
      <x:c r="HY19" s="32"/>
    </x:row>
    <x:row r="20">
      <x:c r="A20" s="32" t="str">
        <x:v>ff67b804-d996-487a-93c7-766070fee7ec</x:v>
      </x:c>
      <x:c r="B20" s="32" t="str">
        <x:v>B-011-R1</x:v>
      </x:c>
      <x:c r="C20" s="42" t="n">
        <x:v>46259.82061342592</x:v>
      </x:c>
      <x:c r="D20" s="32" t="str">
        <x:v>489b7424f5051f7a276dafe8d5f318ccf1368d87</x:v>
      </x:c>
      <x:c r="E20" s="32" t="str">
        <x:v>GLONBW11</x:v>
      </x:c>
      <x:c r="F20" s="32" t="str">
        <x:v>local-filesystem</x:v>
      </x:c>
      <x:c r="G20" s="32" t="str">
        <x:v>3.14.2</x:v>
      </x:c>
      <x:c r="H20" s="32" t="str">
        <x:v>deterministic</x:v>
      </x:c>
      <x:c r="I20" s="32" t="n">
        <x:v>1000</x:v>
      </x:c>
      <x:c r="J20" s="32" t="n">
        <x:v>10</x:v>
      </x:c>
      <x:c r="K20" s="32" t="n">
        <x:v>10.070203566666667</x:v>
      </x:c>
      <x:c r="L20" s="32" t="n">
        <x:v>121</x:v>
      </x:c>
      <x:c r="M20" s="32" t="n">
        <x:v>5</x:v>
      </x:c>
      <x:c r="N20" s="32" t="n">
        <x:v>10</x:v>
      </x:c>
      <x:c r="O20" s="32" t="n">
        <x:v>3076.5154030013946</x:v>
      </x:c>
      <x:c r="P20" s="32" t="n">
        <x:v>3467.220237998845</x:v>
      </x:c>
      <x:c r="Q20" s="32" t="n">
        <x:v>4269.629101601457</x:v>
      </x:c>
      <x:c r="R20" s="32" t="n">
        <x:v>4921.435602998827</x:v>
      </x:c>
      <x:c r="S20" s="32" t="n">
        <x:v>0</x:v>
      </x:c>
      <x:c r="T20" s="43" t="n">
        <x:v>0</x:v>
      </x:c>
      <x:c r="U20" s="32" t="n">
        <x:v>99.49334050628323</x:v>
      </x:c>
      <x:c r="V20" s="32" t="n">
        <x:v>100.25011076244299</x:v>
      </x:c>
      <x:c r="W20" s="32" t="n">
        <x:v>176.69791128615702</x:v>
      </x:c>
      <x:c r="X20" s="32" t="n">
        <x:v>180.16015625</x:v>
      </x:c>
      <x:c r="Y20" s="32"/>
      <x:c r="Z20" s="32"/>
      <x:c r="AA20" s="32"/>
      <x:c r="AB20" s="32"/>
      <x:c r="AC20" s="32" t="n">
        <x:v>0</x:v>
      </x:c>
      <x:c r="AD20" s="32" t="n">
        <x:v>0</x:v>
      </x:c>
      <x:c r="AE20" s="32" t="n">
        <x:v>0</x:v>
      </x:c>
      <x:c r="AF20" s="32"/>
      <x:c r="AG20" s="32"/>
      <x:c r="AH20" s="32" t="n">
        <x:v>429.75233199831564</x:v>
      </x:c>
      <x:c r="AI20" s="32" t="str">
        <x:v>PASS</x:v>
      </x:c>
      <x:c r="AJ20" s="32" t="str">
        <x:v>GREEN</x:v>
      </x:c>
      <x:c r="AK20" s="32" t="str">
        <x:v>latest-historical</x:v>
      </x:c>
      <x:c r="AL20" s="32" t="n">
        <x:v>1</x:v>
      </x:c>
      <x:c r="AM20" s="32" t="n">
        <x:v>2</x:v>
      </x:c>
      <x:c r="AN20" s="32" t="n">
        <x:v>5000</x:v>
      </x:c>
      <x:c r="AO20" s="32" t="n">
        <x:v>1081</x:v>
      </x:c>
      <x:c r="AP20" s="32" t="n">
        <x:v>34576904</x:v>
      </x:c>
      <x:c r="AQ20" s="32" t="n">
        <x:v>9.794887999305502</x:v>
      </x:c>
      <x:c r="AR20" s="32" t="n">
        <x:v>11.741795999114402</x:v>
      </x:c>
      <x:c r="AS20" s="32" t="n">
        <x:v>18.752869799936878</x:v>
      </x:c>
      <x:c r="AT20" s="32" t="n">
        <x:v>36</x:v>
      </x:c>
      <x:c r="AU20" s="32" t="str">
        <x:v>Latest: 28×28 + 8×27 / Historical: 4×112 + 32×111</x:v>
      </x:c>
      <x:c r="AV20" s="32" t="n">
        <x:v>0.7220070001494605</x:v>
      </x:c>
      <x:c r="AW20" s="32" t="n">
        <x:v>0.8572499973524828</x:v>
      </x:c>
      <x:c r="AX20" s="32" t="n">
        <x:v>1.2167050001153255</x:v>
      </x:c>
      <x:c r="AY20" s="32" t="str">
        <x:v>balanced</x:v>
      </x:c>
      <x:c r="AZ20" s="32" t="str">
        <x:v>PASS</x:v>
      </x:c>
      <x:c r="BA20" s="32" t="n">
        <x:v>1000</x:v>
      </x:c>
      <x:c r="BB20" s="32" t="n">
        <x:v>0</x:v>
      </x:c>
      <x:c r="BC20" s="115" t="b">
        <x:v>1</x:v>
      </x:c>
      <x:c r="BD20" s="32" t="str">
        <x:v>Raw PASS; 0 overruns; journal durable==materialized; snapshot observed/expected 1000/1000; 3 durable commits; no resource pressure events. The 4-series regression is clean.</x:v>
      </x:c>
      <x:c r="BE20" s="32" t="n">
        <x:v>4</x:v>
      </x:c>
      <x:c r="BF20" s="32" t="n">
        <x:v>180</x:v>
      </x:c>
      <x:c r="BG20" s="32" t="n">
        <x:v>10</x:v>
      </x:c>
      <x:c r="BH20" s="32" t="n">
        <x:v>1080</x:v>
      </x:c>
      <x:c r="BI20" s="32" t="n">
        <x:v>4320000</x:v>
      </x:c>
      <x:c r="BJ20" s="32" t="n">
        <x:v>4321000</x:v>
      </x:c>
      <x:c r="BK20" s="32" t="n">
        <x:v>1000</x:v>
      </x:c>
      <x:c r="BL20" s="32" t="n">
        <x:v>4000</x:v>
      </x:c>
      <x:c r="BM20" s="32" t="n">
        <x:v>1080</x:v>
      </x:c>
      <x:c r="BN20" s="32"/>
      <x:c r="BO20" s="32"/>
      <x:c r="BP20" s="32"/>
      <x:c r="BQ20" s="32"/>
      <x:c r="BR20" s="32"/>
      <x:c r="BS20" s="32"/>
      <x:c r="BT20" s="32"/>
      <x:c r="BU20" s="32"/>
      <x:c r="BV20" s="32"/>
      <x:c r="BW20" s="32"/>
      <x:c r="BX20" s="32"/>
      <x:c r="BY20" s="32"/>
      <x:c r="BZ20" s="32"/>
      <x:c r="CA20" s="32"/>
      <x:c r="CB20" s="32"/>
      <x:c r="CC20" s="32"/>
      <x:c r="CD20" s="32"/>
      <x:c r="CE20" s="32"/>
      <x:c r="CF20" s="32"/>
      <x:c r="CG20" s="32"/>
      <x:c r="CH20" s="32"/>
      <x:c r="CI20" s="32"/>
      <x:c r="CJ20" s="32"/>
      <x:c r="CK20" s="32"/>
      <x:c r="CL20" s="32"/>
      <x:c r="CM20" s="32"/>
      <x:c r="CN20" s="32"/>
      <x:c r="CO20" s="32"/>
      <x:c r="CP20" s="32"/>
      <x:c r="CQ20" s="32"/>
      <x:c r="CR20" s="32"/>
      <x:c r="CS20" s="32"/>
      <x:c r="CT20" s="32"/>
      <x:c r="CU20" s="32"/>
      <x:c r="CV20" s="32"/>
      <x:c r="CW20" s="32"/>
      <x:c r="CX20" s="32"/>
      <x:c r="CY20" s="32"/>
      <x:c r="CZ20" s="32"/>
      <x:c r="DA20" s="32"/>
      <x:c r="DB20" s="32"/>
      <x:c r="DC20" s="32"/>
      <x:c r="DD20" s="32"/>
      <x:c r="DE20" s="32"/>
      <x:c r="DF20" s="32"/>
      <x:c r="DG20" s="32"/>
      <x:c r="DH20" s="32"/>
      <x:c r="DI20" s="32"/>
      <x:c r="DJ20" s="32"/>
      <x:c r="DK20" s="32"/>
      <x:c r="DL20" s="32"/>
      <x:c r="DM20" s="32"/>
      <x:c r="DN20" s="32"/>
      <x:c r="DO20" s="32"/>
      <x:c r="DP20" s="32"/>
      <x:c r="DQ20" s="32"/>
      <x:c r="DR20" s="32"/>
      <x:c r="DS20" s="32"/>
      <x:c r="DT20" s="32"/>
      <x:c r="DU20" s="32"/>
      <x:c r="DV20" s="32"/>
      <x:c r="DW20" s="32"/>
      <x:c r="DX20" s="32"/>
      <x:c r="DY20" s="32"/>
      <x:c r="DZ20" s="32"/>
      <x:c r="EA20" s="32"/>
      <x:c r="EB20" s="32"/>
      <x:c r="EC20" s="32"/>
      <x:c r="ED20" s="32"/>
      <x:c r="EE20" s="32"/>
      <x:c r="EF20" s="32"/>
      <x:c r="EG20" s="32"/>
      <x:c r="EH20" s="32"/>
      <x:c r="EI20" s="32"/>
      <x:c r="EJ20" s="32"/>
      <x:c r="EK20" s="32"/>
      <x:c r="EL20" s="32"/>
      <x:c r="EM20" s="32"/>
      <x:c r="EN20" s="32"/>
      <x:c r="EO20" s="32"/>
      <x:c r="EP20" s="32"/>
      <x:c r="EQ20" s="32"/>
      <x:c r="ER20" s="32"/>
      <x:c r="ES20" s="32"/>
      <x:c r="ET20" s="32"/>
      <x:c r="EU20" s="32"/>
      <x:c r="EV20" s="32"/>
      <x:c r="EW20" s="32"/>
      <x:c r="EX20" s="32"/>
      <x:c r="EY20" s="32"/>
      <x:c r="EZ20" s="32"/>
      <x:c r="FA20" s="32"/>
      <x:c r="FB20" s="32"/>
      <x:c r="FC20" s="32"/>
      <x:c r="FD20" s="32"/>
      <x:c r="FE20" s="32"/>
      <x:c r="FF20" s="32"/>
      <x:c r="FG20" s="32"/>
      <x:c r="FH20" s="32"/>
      <x:c r="FI20" s="32"/>
      <x:c r="FJ20" s="32"/>
      <x:c r="FK20" s="32"/>
      <x:c r="FL20" s="32"/>
      <x:c r="FM20" s="32"/>
      <x:c r="FN20" s="32"/>
      <x:c r="FO20" s="32"/>
      <x:c r="FP20" s="32"/>
      <x:c r="FQ20" s="32"/>
      <x:c r="FR20" s="32"/>
      <x:c r="FS20" s="32"/>
      <x:c r="FT20" s="32"/>
      <x:c r="FU20" s="32"/>
      <x:c r="FV20" s="32"/>
      <x:c r="FW20" s="32"/>
      <x:c r="FX20" s="32"/>
      <x:c r="FY20" s="32"/>
      <x:c r="FZ20" s="32"/>
      <x:c r="GA20" s="32"/>
      <x:c r="GB20" s="32"/>
      <x:c r="GC20" s="32"/>
      <x:c r="GD20" s="32"/>
      <x:c r="GE20" s="32"/>
      <x:c r="GF20" s="32"/>
      <x:c r="GG20" s="32"/>
      <x:c r="GH20" s="32"/>
      <x:c r="GI20" s="32"/>
      <x:c r="GJ20" s="32"/>
      <x:c r="GK20" s="32"/>
      <x:c r="GL20" s="32"/>
      <x:c r="GM20" s="32"/>
      <x:c r="GN20" s="32"/>
      <x:c r="GO20" s="32"/>
      <x:c r="GP20" s="32"/>
      <x:c r="GQ20" s="32"/>
      <x:c r="GR20" s="32"/>
      <x:c r="GS20" s="32"/>
      <x:c r="GT20" s="32"/>
      <x:c r="GU20" s="32"/>
      <x:c r="GV20" s="32"/>
      <x:c r="GW20" s="32"/>
      <x:c r="GX20" s="32"/>
      <x:c r="GY20" s="32"/>
      <x:c r="GZ20" s="32"/>
      <x:c r="HA20" s="32"/>
      <x:c r="HB20" s="32"/>
      <x:c r="HC20" s="32"/>
      <x:c r="HD20" s="32"/>
      <x:c r="HE20" s="32"/>
      <x:c r="HF20" s="32"/>
      <x:c r="HG20" s="32"/>
      <x:c r="HH20" s="32"/>
      <x:c r="HI20" s="32"/>
      <x:c r="HJ20" s="32"/>
      <x:c r="HK20" s="32"/>
      <x:c r="HL20" s="32"/>
      <x:c r="HM20" s="32"/>
      <x:c r="HN20" s="32"/>
      <x:c r="HO20" s="32"/>
      <x:c r="HP20" s="32"/>
      <x:c r="HQ20" s="32"/>
      <x:c r="HR20" s="32"/>
      <x:c r="HS20" s="32"/>
      <x:c r="HT20" s="32"/>
      <x:c r="HU20" s="32"/>
      <x:c r="HV20" s="32"/>
      <x:c r="HW20" s="32"/>
      <x:c r="HX20" s="32"/>
      <x:c r="HY20" s="32"/>
    </x:row>
    <x:row r="21">
      <x:c r="A21" s="32" t="str">
        <x:v>d0375b0c-7cd0-4082-8b7e-aef300c8c392</x:v>
      </x:c>
      <x:c r="B21" s="32" t="str">
        <x:v>B-011-R2</x:v>
      </x:c>
      <x:c r="C21" s="42" t="n">
        <x:v>46259.83627314815</x:v>
      </x:c>
      <x:c r="D21" s="32" t="str">
        <x:v>489b7424f5051f7a276dafe8d5f318ccf1368d87</x:v>
      </x:c>
      <x:c r="E21" s="32" t="str">
        <x:v>GLONBW11</x:v>
      </x:c>
      <x:c r="F21" s="32" t="str">
        <x:v>local-filesystem</x:v>
      </x:c>
      <x:c r="G21" s="32" t="str">
        <x:v>3.14.2</x:v>
      </x:c>
      <x:c r="H21" s="32" t="str">
        <x:v>deterministic</x:v>
      </x:c>
      <x:c r="I21" s="32" t="n">
        <x:v>1000</x:v>
      </x:c>
      <x:c r="J21" s="32" t="n">
        <x:v>10</x:v>
      </x:c>
      <x:c r="K21" s="32" t="n">
        <x:v>10.068313216666667</x:v>
      </x:c>
      <x:c r="L21" s="32" t="n">
        <x:v>121</x:v>
      </x:c>
      <x:c r="M21" s="32" t="n">
        <x:v>5</x:v>
      </x:c>
      <x:c r="N21" s="32" t="n">
        <x:v>10</x:v>
      </x:c>
      <x:c r="O21" s="32" t="n">
        <x:v>3260.7563929996104</x:v>
      </x:c>
      <x:c r="P21" s="32" t="n">
        <x:v>4139.162118000968</x:v>
      </x:c>
      <x:c r="Q21" s="32" t="n">
        <x:v>4865.3839519982275</x:v>
      </x:c>
      <x:c r="R21" s="32" t="n">
        <x:v>4969.753776000289</x:v>
      </x:c>
      <x:c r="S21" s="32" t="n">
        <x:v>0</x:v>
      </x:c>
      <x:c r="T21" s="43" t="n">
        <x:v>0</x:v>
      </x:c>
      <x:c r="U21" s="32" t="n">
        <x:v>99.5544649383149</x:v>
      </x:c>
      <x:c r="V21" s="32" t="n">
        <x:v>100.58889897650414</x:v>
      </x:c>
      <x:c r="W21" s="32" t="n">
        <x:v>195.38158574380165</x:v>
      </x:c>
      <x:c r="X21" s="32" t="n">
        <x:v>198.3359375</x:v>
      </x:c>
      <x:c r="Y21" s="32"/>
      <x:c r="Z21" s="32"/>
      <x:c r="AA21" s="32"/>
      <x:c r="AB21" s="32"/>
      <x:c r="AC21" s="32" t="n">
        <x:v>0</x:v>
      </x:c>
      <x:c r="AD21" s="32" t="n">
        <x:v>0</x:v>
      </x:c>
      <x:c r="AE21" s="32" t="n">
        <x:v>0</x:v>
      </x:c>
      <x:c r="AF21" s="32"/>
      <x:c r="AG21" s="32"/>
      <x:c r="AH21" s="32" t="n">
        <x:v>411.661025002104</x:v>
      </x:c>
      <x:c r="AI21" s="32" t="str">
        <x:v>PASS</x:v>
      </x:c>
      <x:c r="AJ21" s="32" t="str">
        <x:v>GREEN</x:v>
      </x:c>
      <x:c r="AK21" s="32" t="str">
        <x:v>latest-historical</x:v>
      </x:c>
      <x:c r="AL21" s="32" t="n">
        <x:v>1</x:v>
      </x:c>
      <x:c r="AM21" s="32" t="n">
        <x:v>2</x:v>
      </x:c>
      <x:c r="AN21" s="32" t="n">
        <x:v>7000</x:v>
      </x:c>
      <x:c r="AO21" s="32" t="n">
        <x:v>1081</x:v>
      </x:c>
      <x:c r="AP21" s="32" t="n">
        <x:v>51856904</x:v>
      </x:c>
      <x:c r="AQ21" s="32" t="n">
        <x:v>11.17911700202967</x:v>
      </x:c>
      <x:c r="AR21" s="32" t="n">
        <x:v>13.82596400071634</x:v>
      </x:c>
      <x:c r="AS21" s="32" t="n">
        <x:v>21.842322399606918</x:v>
      </x:c>
      <x:c r="AT21" s="32" t="n">
        <x:v>36</x:v>
      </x:c>
      <x:c r="AU21" s="32" t="str">
        <x:v>Latest: 28×28 + 8×27 / Historical: 24×167 + 12×166</x:v>
      </x:c>
      <x:c r="AV21" s="32" t="n">
        <x:v>0.7139890039979946</x:v>
      </x:c>
      <x:c r="AW21" s="32" t="n">
        <x:v>0.9098509981413372</x:v>
      </x:c>
      <x:c r="AX21" s="32" t="n">
        <x:v>1.2882192007964475</x:v>
      </x:c>
      <x:c r="AY21" s="32" t="str">
        <x:v>balanced</x:v>
      </x:c>
      <x:c r="AZ21" s="32" t="str">
        <x:v>PASS</x:v>
      </x:c>
      <x:c r="BA21" s="32" t="n">
        <x:v>1000</x:v>
      </x:c>
      <x:c r="BB21" s="32" t="n">
        <x:v>0</x:v>
      </x:c>
      <x:c r="BC21" s="115" t="b">
        <x:v>1</x:v>
      </x:c>
      <x:c r="BD21" s="32" t="str">
        <x:v>Exact B-011 reproduction PASS; 0 overruns; no iteration &gt;=5 s; start-to-start max 5002.21 ms; journal durable==materialized; snapshot 1000/1000; 3 durable commits; resource_pressure_events=0. Original isolated B-011 overrun was not reproduced.</x:v>
      </x:c>
      <x:c r="BE21" s="32" t="n">
        <x:v>6</x:v>
      </x:c>
      <x:c r="BF21" s="32" t="n">
        <x:v>180</x:v>
      </x:c>
      <x:c r="BG21" s="32" t="n">
        <x:v>10</x:v>
      </x:c>
      <x:c r="BH21" s="32" t="n">
        <x:v>1080</x:v>
      </x:c>
      <x:c r="BI21" s="32" t="n">
        <x:v>6480000</x:v>
      </x:c>
      <x:c r="BJ21" s="32" t="n">
        <x:v>6481000</x:v>
      </x:c>
      <x:c r="BK21" s="32" t="n">
        <x:v>1000</x:v>
      </x:c>
      <x:c r="BL21" s="32" t="n">
        <x:v>6000</x:v>
      </x:c>
      <x:c r="BM21" s="32" t="n">
        <x:v>1080</x:v>
      </x:c>
      <x:c r="BN21" s="32"/>
      <x:c r="BO21" s="32"/>
      <x:c r="BP21" s="32"/>
      <x:c r="BQ21" s="32"/>
      <x:c r="BR21" s="32"/>
      <x:c r="BS21" s="32"/>
      <x:c r="BT21" s="32"/>
      <x:c r="BU21" s="32"/>
      <x:c r="BV21" s="32"/>
      <x:c r="BW21" s="32"/>
      <x:c r="BX21" s="32"/>
      <x:c r="BY21" s="32"/>
      <x:c r="BZ21" s="32"/>
      <x:c r="CA21" s="32"/>
      <x:c r="CB21" s="32"/>
      <x:c r="CC21" s="32"/>
      <x:c r="CD21" s="32"/>
      <x:c r="CE21" s="32"/>
      <x:c r="CF21" s="32"/>
      <x:c r="CG21" s="32"/>
      <x:c r="CH21" s="32"/>
      <x:c r="CI21" s="32"/>
      <x:c r="CJ21" s="32"/>
      <x:c r="CK21" s="32"/>
      <x:c r="CL21" s="32"/>
      <x:c r="CM21" s="32"/>
      <x:c r="CN21" s="32"/>
      <x:c r="CO21" s="32"/>
      <x:c r="CP21" s="32"/>
      <x:c r="CQ21" s="32"/>
      <x:c r="CR21" s="32"/>
      <x:c r="CS21" s="32"/>
      <x:c r="CT21" s="32"/>
      <x:c r="CU21" s="32"/>
      <x:c r="CV21" s="32"/>
      <x:c r="CW21" s="32"/>
      <x:c r="CX21" s="32"/>
      <x:c r="CY21" s="32"/>
      <x:c r="CZ21" s="32"/>
      <x:c r="DA21" s="32"/>
      <x:c r="DB21" s="32"/>
      <x:c r="DC21" s="32"/>
      <x:c r="DD21" s="32"/>
      <x:c r="DE21" s="32"/>
      <x:c r="DF21" s="32"/>
      <x:c r="DG21" s="32"/>
      <x:c r="DH21" s="32"/>
      <x:c r="DI21" s="32"/>
      <x:c r="DJ21" s="32"/>
      <x:c r="DK21" s="32"/>
      <x:c r="DL21" s="32"/>
      <x:c r="DM21" s="32"/>
      <x:c r="DN21" s="32"/>
      <x:c r="DO21" s="32"/>
      <x:c r="DP21" s="32"/>
      <x:c r="DQ21" s="32"/>
      <x:c r="DR21" s="32"/>
      <x:c r="DS21" s="32"/>
      <x:c r="DT21" s="32"/>
      <x:c r="DU21" s="32"/>
      <x:c r="DV21" s="32"/>
      <x:c r="DW21" s="32"/>
      <x:c r="DX21" s="32"/>
      <x:c r="DY21" s="32"/>
      <x:c r="DZ21" s="32"/>
      <x:c r="EA21" s="32"/>
      <x:c r="EB21" s="32"/>
      <x:c r="EC21" s="32"/>
      <x:c r="ED21" s="32"/>
      <x:c r="EE21" s="32"/>
      <x:c r="EF21" s="32"/>
      <x:c r="EG21" s="32"/>
      <x:c r="EH21" s="32"/>
      <x:c r="EI21" s="32"/>
      <x:c r="EJ21" s="32"/>
      <x:c r="EK21" s="32"/>
      <x:c r="EL21" s="32"/>
      <x:c r="EM21" s="32"/>
      <x:c r="EN21" s="32"/>
      <x:c r="EO21" s="32"/>
      <x:c r="EP21" s="32"/>
      <x:c r="EQ21" s="32"/>
      <x:c r="ER21" s="32"/>
      <x:c r="ES21" s="32"/>
      <x:c r="ET21" s="32"/>
      <x:c r="EU21" s="32"/>
      <x:c r="EV21" s="32"/>
      <x:c r="EW21" s="32"/>
      <x:c r="EX21" s="32"/>
      <x:c r="EY21" s="32"/>
      <x:c r="EZ21" s="32"/>
      <x:c r="FA21" s="32"/>
      <x:c r="FB21" s="32"/>
      <x:c r="FC21" s="32"/>
      <x:c r="FD21" s="32"/>
      <x:c r="FE21" s="32"/>
      <x:c r="FF21" s="32"/>
      <x:c r="FG21" s="32"/>
      <x:c r="FH21" s="32"/>
      <x:c r="FI21" s="32"/>
      <x:c r="FJ21" s="32"/>
      <x:c r="FK21" s="32"/>
      <x:c r="FL21" s="32"/>
      <x:c r="FM21" s="32"/>
      <x:c r="FN21" s="32"/>
      <x:c r="FO21" s="32"/>
      <x:c r="FP21" s="32"/>
      <x:c r="FQ21" s="32"/>
      <x:c r="FR21" s="32"/>
      <x:c r="FS21" s="32"/>
      <x:c r="FT21" s="32"/>
      <x:c r="FU21" s="32"/>
      <x:c r="FV21" s="32"/>
      <x:c r="FW21" s="32"/>
      <x:c r="FX21" s="32"/>
      <x:c r="FY21" s="32"/>
      <x:c r="FZ21" s="32"/>
      <x:c r="GA21" s="32"/>
      <x:c r="GB21" s="32"/>
      <x:c r="GC21" s="32"/>
      <x:c r="GD21" s="32"/>
      <x:c r="GE21" s="32"/>
      <x:c r="GF21" s="32"/>
      <x:c r="GG21" s="32"/>
      <x:c r="GH21" s="32"/>
      <x:c r="GI21" s="32"/>
      <x:c r="GJ21" s="32"/>
      <x:c r="GK21" s="32"/>
      <x:c r="GL21" s="32"/>
      <x:c r="GM21" s="32"/>
      <x:c r="GN21" s="32"/>
      <x:c r="GO21" s="32"/>
      <x:c r="GP21" s="32"/>
      <x:c r="GQ21" s="32"/>
      <x:c r="GR21" s="32"/>
      <x:c r="GS21" s="32"/>
      <x:c r="GT21" s="32"/>
      <x:c r="GU21" s="32"/>
      <x:c r="GV21" s="32"/>
      <x:c r="GW21" s="32"/>
      <x:c r="GX21" s="32"/>
      <x:c r="GY21" s="32"/>
      <x:c r="GZ21" s="32"/>
      <x:c r="HA21" s="32"/>
      <x:c r="HB21" s="32"/>
      <x:c r="HC21" s="32"/>
      <x:c r="HD21" s="32"/>
      <x:c r="HE21" s="32"/>
      <x:c r="HF21" s="32"/>
      <x:c r="HG21" s="32"/>
      <x:c r="HH21" s="32"/>
      <x:c r="HI21" s="32"/>
      <x:c r="HJ21" s="32"/>
      <x:c r="HK21" s="32"/>
      <x:c r="HL21" s="32"/>
      <x:c r="HM21" s="32"/>
      <x:c r="HN21" s="32"/>
      <x:c r="HO21" s="32"/>
      <x:c r="HP21" s="32"/>
      <x:c r="HQ21" s="32"/>
      <x:c r="HR21" s="32"/>
      <x:c r="HS21" s="32"/>
      <x:c r="HT21" s="32"/>
      <x:c r="HU21" s="32"/>
      <x:c r="HV21" s="32"/>
      <x:c r="HW21" s="32"/>
      <x:c r="HX21" s="32"/>
      <x:c r="HY21" s="32"/>
    </x:row>
    <x:row r="22">
      <x:c r="A22" s="32" t="str">
        <x:v>950633d5-157a-4d94-9b5b-a1cf48c4914b</x:v>
      </x:c>
      <x:c r="B22" s="32" t="str">
        <x:v>C-001</x:v>
      </x:c>
      <x:c r="C22" s="42" t="n">
        <x:v>46259.88398148148</x:v>
      </x:c>
      <x:c r="D22" s="32" t="str">
        <x:v>489b7424f5051f7a276dafe8d5f318ccf1368d87</x:v>
      </x:c>
      <x:c r="E22" s="32" t="str">
        <x:v>GLONBW11</x:v>
      </x:c>
      <x:c r="F22" s="32" t="str">
        <x:v>local-filesystem</x:v>
      </x:c>
      <x:c r="G22" s="32" t="str">
        <x:v>3.14.2</x:v>
      </x:c>
      <x:c r="H22" s="32" t="str">
        <x:v>deterministic</x:v>
      </x:c>
      <x:c r="I22" s="32" t="n">
        <x:v>1000</x:v>
      </x:c>
      <x:c r="J22" s="32" t="n">
        <x:v>10</x:v>
      </x:c>
      <x:c r="K22" s="32" t="n">
        <x:v>10.038534316666667</x:v>
      </x:c>
      <x:c r="L22" s="32" t="n">
        <x:v>121</x:v>
      </x:c>
      <x:c r="M22" s="32" t="n">
        <x:v>5</x:v>
      </x:c>
      <x:c r="N22" s="32" t="n">
        <x:v>10</x:v>
      </x:c>
      <x:c r="O22" s="32" t="n">
        <x:v>1009.884859995509</x:v>
      </x:c>
      <x:c r="P22" s="32" t="n">
        <x:v>1237.5873399942066</x:v>
      </x:c>
      <x:c r="Q22" s="32" t="n">
        <x:v>1565.7915012037847</x:v>
      </x:c>
      <x:c r="R22" s="32" t="n">
        <x:v>1597.7153240019106</x:v>
      </x:c>
      <x:c r="S22" s="32" t="n">
        <x:v>0</x:v>
      </x:c>
      <x:c r="T22" s="43" t="n">
        <x:v>0</x:v>
      </x:c>
      <x:c r="U22" s="32" t="n">
        <x:v>94.01959568306425</x:v>
      </x:c>
      <x:c r="V22" s="32" t="n">
        <x:v>99.85726633585483</x:v>
      </x:c>
      <x:c r="W22" s="32" t="n">
        <x:v>132.8514979338843</x:v>
      </x:c>
      <x:c r="X22" s="32" t="n">
        <x:v>133.12109375</x:v>
      </x:c>
      <x:c r="Y22" s="32"/>
      <x:c r="Z22" s="32"/>
      <x:c r="AA22" s="32"/>
      <x:c r="AB22" s="32"/>
      <x:c r="AC22" s="32" t="n">
        <x:v>0</x:v>
      </x:c>
      <x:c r="AD22" s="32" t="n">
        <x:v>0</x:v>
      </x:c>
      <x:c r="AE22" s="32" t="n">
        <x:v>0</x:v>
      </x:c>
      <x:c r="AF22" s="32"/>
      <x:c r="AG22" s="32"/>
      <x:c r="AH22" s="32" t="n">
        <x:v>1104.9793269994552</x:v>
      </x:c>
      <x:c r="AI22" s="32" t="str">
        <x:v>PASS</x:v>
      </x:c>
      <x:c r="AJ22" s="32" t="str">
        <x:v>GREEN</x:v>
      </x:c>
      <x:c r="AK22" s="32" t="str">
        <x:v>latest-narrow</x:v>
      </x:c>
      <x:c r="AL22" s="32" t="n">
        <x:v>1</x:v>
      </x:c>
      <x:c r="AM22" s="32" t="n">
        <x:v>1</x:v>
      </x:c>
      <x:c r="AN22" s="32" t="n">
        <x:v>1000</x:v>
      </x:c>
      <x:c r="AO22" s="32" t="n">
        <x:v>1</x:v>
      </x:c>
      <x:c r="AP22" s="32" t="n">
        <x:v>8132</x:v>
      </x:c>
      <x:c r="AQ22" s="32" t="n">
        <x:v>8.640901993203443</x:v>
      </x:c>
      <x:c r="AR22" s="32" t="n">
        <x:v>10.664496003300883</x:v>
      </x:c>
      <x:c r="AS22" s="32" t="n">
        <x:v>11.491267599922137</x:v>
      </x:c>
      <x:c r="AT22" s="32" t="n">
        <x:v>36</x:v>
      </x:c>
      <x:c r="AU22" s="32" t="str">
        <x:v>28×28 + 8×27</x:v>
      </x:c>
      <x:c r="AV22" s="32" t="n">
        <x:v>0.3478149956208654</x:v>
      </x:c>
      <x:c r="AW22" s="32" t="n">
        <x:v>0.4540899972198531</x:v>
      </x:c>
      <x:c r="AX22" s="32" t="n">
        <x:v>0.77690840116702</x:v>
      </x:c>
      <x:c r="AY22" s="32" t="str">
        <x:v>balanced</x:v>
      </x:c>
      <x:c r="AZ22" s="32" t="str">
        <x:v>PASS</x:v>
      </x:c>
      <x:c r="BA22" s="32" t="n">
        <x:v>500</x:v>
      </x:c>
      <x:c r="BB22" s="32" t="n">
        <x:v>500</x:v>
      </x:c>
      <x:c r="BC22" s="115" t="b">
        <x:v>1</x:v>
      </x:c>
      <x:c r="BD22" s="32" t="str">
        <x:v>Raw PASS; functional_integrity_ok=true; 700/700 lifecycle commits; 0 duplicate lifecycle commits; occurrence/episode counters exact; journal durable==materialized; final snapshots 100 groups × 5 ACTIVE; WAL bytes=10,253,900.</x:v>
      </x:c>
      <x:c r="BE22" s="32" t="n">
        <x:v>0</x:v>
      </x:c>
      <x:c r="BF22" s="32" t="n">
        <x:v>0</x:v>
      </x:c>
      <x:c r="BG22" s="32" t="n">
        <x:v>0</x:v>
      </x:c>
      <x:c r="BH22" s="32" t="n">
        <x:v>0</x:v>
      </x:c>
      <x:c r="BI22" s="32" t="n">
        <x:v>0</x:v>
      </x:c>
      <x:c r="BJ22" s="32" t="n">
        <x:v>1000</x:v>
      </x:c>
      <x:c r="BK22" s="32" t="n">
        <x:v>1000</x:v>
      </x:c>
      <x:c r="BL22" s="32" t="n">
        <x:v>0</x:v>
      </x:c>
      <x:c r="BM22" s="32" t="n">
        <x:v>0</x:v>
      </x:c>
      <x:c r="BN22" s="32" t="n">
        <x:v>100</x:v>
      </x:c>
      <x:c r="BO22" s="32" t="n">
        <x:v>10</x:v>
      </x:c>
      <x:c r="BP22" s="32" t="n">
        <x:v>10</x:v>
      </x:c>
      <x:c r="BQ22" s="32" t="n">
        <x:v>50</x:v>
      </x:c>
      <x:c r="BR22" s="32" t="n">
        <x:v>60</x:v>
      </x:c>
      <x:c r="BS22" s="32" t="n">
        <x:v>6000</x:v>
      </x:c>
      <x:c r="BT22" s="32" t="n">
        <x:v>700</x:v>
      </x:c>
      <x:c r="BU22" s="32" t="n">
        <x:v>700</x:v>
      </x:c>
      <x:c r="BV22" s="32" t="n">
        <x:v>0</x:v>
      </x:c>
      <x:c r="BW22" s="32" t="n">
        <x:v>3500</x:v>
      </x:c>
      <x:c r="BX22" s="32" t="n">
        <x:v>3500</x:v>
      </x:c>
      <x:c r="BY22" s="32" t="n">
        <x:v>3000</x:v>
      </x:c>
      <x:c r="BZ22" s="32" t="n">
        <x:v>3000</x:v>
      </x:c>
      <x:c r="CA22" s="32" t="n">
        <x:v>100</x:v>
      </x:c>
      <x:c r="CB22" s="32" t="n">
        <x:v>100</x:v>
      </x:c>
      <x:c r="CC22" s="32" t="n">
        <x:v>0</x:v>
      </x:c>
      <x:c r="CD22" s="32" t="n">
        <x:v>0</x:v>
      </x:c>
      <x:c r="CE22" s="32" t="n">
        <x:v>3500</x:v>
      </x:c>
      <x:c r="CF22" s="32" t="n">
        <x:v>10000</x:v>
      </x:c>
      <x:c r="CG22" s="32" t="n">
        <x:v>6500</x:v>
      </x:c>
      <x:c r="CH22" s="32" t="n">
        <x:v>0</x:v>
      </x:c>
      <x:c r="CI22" s="115" t="b">
        <x:v>1</x:v>
      </x:c>
      <x:c r="CJ22" s="32" t="n">
        <x:v>0</x:v>
      </x:c>
      <x:c r="CK22" s="32" t="n">
        <x:v>3500</x:v>
      </x:c>
      <x:c r="CL22" s="32" t="n">
        <x:v>0</x:v>
      </x:c>
      <x:c r="CM22" s="32" t="n">
        <x:v>0</x:v>
      </x:c>
      <x:c r="CN22" s="32" t="n">
        <x:v>0</x:v>
      </x:c>
      <x:c r="CO22" s="32" t="n">
        <x:v>0</x:v>
      </x:c>
      <x:c r="CP22" s="32" t="n">
        <x:v>0</x:v>
      </x:c>
      <x:c r="CQ22" s="32" t="n">
        <x:v>0</x:v>
      </x:c>
      <x:c r="CR22" s="32" t="n">
        <x:v>0</x:v>
      </x:c>
      <x:c r="CS22" s="32" t="n">
        <x:v>0</x:v>
      </x:c>
      <x:c r="CT22" s="32" t="n">
        <x:v>0</x:v>
      </x:c>
      <x:c r="CU22" s="32" t="n">
        <x:v>0</x:v>
      </x:c>
      <x:c r="CV22" s="32" t="n">
        <x:v>0</x:v>
      </x:c>
      <x:c r="CW22" s="32" t="n">
        <x:v>0</x:v>
      </x:c>
      <x:c r="CX22" s="32" t="n">
        <x:v>0</x:v>
      </x:c>
      <x:c r="CY22" s="32" t="n">
        <x:v>0</x:v>
      </x:c>
      <x:c r="CZ22" s="32" t="n">
        <x:v>0</x:v>
      </x:c>
      <x:c r="DA22" s="32" t="n">
        <x:v>0</x:v>
      </x:c>
      <x:c r="DB22" s="32" t="n">
        <x:v>0</x:v>
      </x:c>
      <x:c r="DC22" s="32" t="n">
        <x:v>0</x:v>
      </x:c>
      <x:c r="DD22" s="32" t="n">
        <x:v>0</x:v>
      </x:c>
      <x:c r="DE22" s="32" t="n">
        <x:v>0</x:v>
      </x:c>
      <x:c r="DF22" s="32" t="n">
        <x:v>0</x:v>
      </x:c>
      <x:c r="DG22" s="32" t="n">
        <x:v>0</x:v>
      </x:c>
      <x:c r="DH22" s="32"/>
      <x:c r="DI22" s="32"/>
      <x:c r="DJ22" s="32"/>
      <x:c r="DK22" s="32"/>
      <x:c r="DL22" s="32"/>
      <x:c r="DM22" s="32"/>
      <x:c r="DN22" s="32"/>
      <x:c r="DO22" s="32"/>
      <x:c r="DP22" s="32"/>
      <x:c r="DQ22" s="32"/>
      <x:c r="DR22" s="32"/>
      <x:c r="DS22" s="32"/>
      <x:c r="DT22" s="32"/>
      <x:c r="DU22" s="32"/>
      <x:c r="DV22" s="32"/>
      <x:c r="DW22" s="32"/>
      <x:c r="DX22" s="32"/>
      <x:c r="DY22" s="32"/>
      <x:c r="DZ22" s="32"/>
      <x:c r="EA22" s="32"/>
      <x:c r="EB22" s="32"/>
      <x:c r="EC22" s="32"/>
      <x:c r="ED22" s="32"/>
      <x:c r="EE22" s="32"/>
      <x:c r="EF22" s="32"/>
      <x:c r="EG22" s="32"/>
      <x:c r="EH22" s="32"/>
      <x:c r="EI22" s="32"/>
      <x:c r="EJ22" s="32"/>
      <x:c r="EK22" s="32"/>
      <x:c r="EL22" s="32"/>
      <x:c r="EM22" s="32"/>
      <x:c r="EN22" s="32"/>
      <x:c r="EO22" s="32"/>
      <x:c r="EP22" s="32"/>
      <x:c r="EQ22" s="32"/>
      <x:c r="ER22" s="32"/>
      <x:c r="ES22" s="32"/>
      <x:c r="ET22" s="32"/>
      <x:c r="EU22" s="32"/>
      <x:c r="EV22" s="32"/>
      <x:c r="EW22" s="32"/>
      <x:c r="EX22" s="32"/>
      <x:c r="EY22" s="32"/>
      <x:c r="EZ22" s="32"/>
      <x:c r="FA22" s="32"/>
      <x:c r="FB22" s="32"/>
      <x:c r="FC22" s="32"/>
      <x:c r="FD22" s="32"/>
      <x:c r="FE22" s="32"/>
      <x:c r="FF22" s="32"/>
      <x:c r="FG22" s="32"/>
      <x:c r="FH22" s="32"/>
      <x:c r="FI22" s="32"/>
      <x:c r="FJ22" s="32"/>
      <x:c r="FK22" s="32"/>
      <x:c r="FL22" s="32"/>
      <x:c r="FM22" s="32"/>
      <x:c r="FN22" s="32"/>
      <x:c r="FO22" s="32"/>
      <x:c r="FP22" s="32"/>
      <x:c r="FQ22" s="32"/>
      <x:c r="FR22" s="32"/>
      <x:c r="FS22" s="32"/>
      <x:c r="FT22" s="32"/>
      <x:c r="FU22" s="32"/>
      <x:c r="FV22" s="32"/>
      <x:c r="FW22" s="32"/>
      <x:c r="FX22" s="32"/>
      <x:c r="FY22" s="32"/>
      <x:c r="FZ22" s="32"/>
      <x:c r="GA22" s="32"/>
      <x:c r="GB22" s="32"/>
      <x:c r="GC22" s="32"/>
      <x:c r="GD22" s="32"/>
      <x:c r="GE22" s="32"/>
      <x:c r="GF22" s="32"/>
      <x:c r="GG22" s="32"/>
      <x:c r="GH22" s="32"/>
      <x:c r="GI22" s="32"/>
      <x:c r="GJ22" s="32"/>
      <x:c r="GK22" s="32"/>
      <x:c r="GL22" s="32"/>
      <x:c r="GM22" s="32"/>
      <x:c r="GN22" s="32"/>
      <x:c r="GO22" s="32"/>
      <x:c r="GP22" s="32"/>
      <x:c r="GQ22" s="32"/>
      <x:c r="GR22" s="32"/>
      <x:c r="GS22" s="32"/>
      <x:c r="GT22" s="32"/>
      <x:c r="GU22" s="32"/>
      <x:c r="GV22" s="32"/>
      <x:c r="GW22" s="32"/>
      <x:c r="GX22" s="32"/>
      <x:c r="GY22" s="32"/>
      <x:c r="GZ22" s="32"/>
      <x:c r="HA22" s="32"/>
      <x:c r="HB22" s="32"/>
      <x:c r="HC22" s="32"/>
      <x:c r="HD22" s="32"/>
      <x:c r="HE22" s="32"/>
      <x:c r="HF22" s="32"/>
      <x:c r="HG22" s="32"/>
      <x:c r="HH22" s="32"/>
      <x:c r="HI22" s="32"/>
      <x:c r="HJ22" s="32"/>
      <x:c r="HK22" s="32"/>
      <x:c r="HL22" s="32"/>
      <x:c r="HM22" s="32"/>
      <x:c r="HN22" s="32"/>
      <x:c r="HO22" s="32"/>
      <x:c r="HP22" s="32"/>
      <x:c r="HQ22" s="32"/>
      <x:c r="HR22" s="32"/>
      <x:c r="HS22" s="32"/>
      <x:c r="HT22" s="32"/>
      <x:c r="HU22" s="32"/>
      <x:c r="HV22" s="32"/>
      <x:c r="HW22" s="32"/>
      <x:c r="HX22" s="32"/>
      <x:c r="HY22" s="32"/>
    </x:row>
    <x:row r="23">
      <x:c r="A23" s="32" t="str">
        <x:v>23009c7e-3c7f-4c41-a045-cbfa1a648318</x:v>
      </x:c>
      <x:c r="B23" s="32" t="str">
        <x:v>C-002</x:v>
      </x:c>
      <x:c r="C23" s="42" t="n">
        <x:v>46259.909583333334</x:v>
      </x:c>
      <x:c r="D23" s="32" t="str">
        <x:v>489b7424f5051f7a276dafe8d5f318ccf1368d87</x:v>
      </x:c>
      <x:c r="E23" s="32" t="str">
        <x:v>GLONBW11</x:v>
      </x:c>
      <x:c r="F23" s="32" t="str">
        <x:v>local-filesystem</x:v>
      </x:c>
      <x:c r="G23" s="32" t="str">
        <x:v>3.14.2</x:v>
      </x:c>
      <x:c r="H23" s="32" t="str">
        <x:v>deterministic</x:v>
      </x:c>
      <x:c r="I23" s="32" t="n">
        <x:v>1000</x:v>
      </x:c>
      <x:c r="J23" s="32" t="n">
        <x:v>10</x:v>
      </x:c>
      <x:c r="K23" s="32" t="n">
        <x:v>10.039298883333334</x:v>
      </x:c>
      <x:c r="L23" s="32" t="n">
        <x:v>121</x:v>
      </x:c>
      <x:c r="M23" s="32" t="n">
        <x:v>5</x:v>
      </x:c>
      <x:c r="N23" s="32" t="n">
        <x:v>10</x:v>
      </x:c>
      <x:c r="O23" s="32" t="n">
        <x:v>1052.1387150001829</x:v>
      </x:c>
      <x:c r="P23" s="32" t="n">
        <x:v>1170.533610995335</x:v>
      </x:c>
      <x:c r="Q23" s="32" t="n">
        <x:v>1677.6212167998883</x:v>
      </x:c>
      <x:c r="R23" s="32" t="n">
        <x:v>1771.4492270024493</x:v>
      </x:c>
      <x:c r="S23" s="32" t="n">
        <x:v>0</x:v>
      </x:c>
      <x:c r="T23" s="43" t="n">
        <x:v>0</x:v>
      </x:c>
      <x:c r="U23" s="32" t="n">
        <x:v>94.27454141135841</x:v>
      </x:c>
      <x:c r="V23" s="32" t="n">
        <x:v>100.52733424762981</x:v>
      </x:c>
      <x:c r="W23" s="32" t="n">
        <x:v>136.10690534607437</x:v>
      </x:c>
      <x:c r="X23" s="32" t="n">
        <x:v>136.19921875</x:v>
      </x:c>
      <x:c r="Y23" s="32"/>
      <x:c r="Z23" s="32"/>
      <x:c r="AA23" s="32"/>
      <x:c r="AB23" s="32"/>
      <x:c r="AC23" s="32" t="n">
        <x:v>0</x:v>
      </x:c>
      <x:c r="AD23" s="32" t="n">
        <x:v>0</x:v>
      </x:c>
      <x:c r="AE23" s="32" t="n">
        <x:v>0</x:v>
      </x:c>
      <x:c r="AF23" s="32"/>
      <x:c r="AG23" s="32"/>
      <x:c r="AH23" s="32" t="n">
        <x:v>1156.1545850054245</x:v>
      </x:c>
      <x:c r="AI23" s="32" t="str">
        <x:v>PASS</x:v>
      </x:c>
      <x:c r="AJ23" s="32" t="str">
        <x:v>GREEN</x:v>
      </x:c>
      <x:c r="AK23" s="32" t="str">
        <x:v>latest-narrow</x:v>
      </x:c>
      <x:c r="AL23" s="32" t="n">
        <x:v>1</x:v>
      </x:c>
      <x:c r="AM23" s="32" t="n">
        <x:v>1</x:v>
      </x:c>
      <x:c r="AN23" s="32" t="n">
        <x:v>1000</x:v>
      </x:c>
      <x:c r="AO23" s="32" t="n">
        <x:v>1</x:v>
      </x:c>
      <x:c r="AP23" s="32" t="n">
        <x:v>8132</x:v>
      </x:c>
      <x:c r="AQ23" s="32" t="n">
        <x:v>8.473030000459403</x:v>
      </x:c>
      <x:c r="AR23" s="32" t="n">
        <x:v>11.766153998905793</x:v>
      </x:c>
      <x:c r="AS23" s="32" t="n">
        <x:v>16.96318120229989</x:v>
      </x:c>
      <x:c r="AT23" s="32" t="n">
        <x:v>36</x:v>
      </x:c>
      <x:c r="AU23" s="32" t="str">
        <x:v>28×28 + 8×27</x:v>
      </x:c>
      <x:c r="AV23" s="32" t="n">
        <x:v>0.3415020037209615</x:v>
      </x:c>
      <x:c r="AW23" s="32" t="n">
        <x:v>0.5052109991083853</x:v>
      </x:c>
      <x:c r="AX23" s="32" t="n">
        <x:v>0.7383650023257359</x:v>
      </x:c>
      <x:c r="AY23" s="32" t="str">
        <x:v>balanced</x:v>
      </x:c>
      <x:c r="AZ23" s="32" t="str">
        <x:v>PASS</x:v>
      </x:c>
      <x:c r="BA23" s="32" t="n">
        <x:v>1000</x:v>
      </x:c>
      <x:c r="BB23" s="32" t="n">
        <x:v>0</x:v>
      </x:c>
      <x:c r="BC23" s="115" t="b">
        <x:v>1</x:v>
      </x:c>
      <x:c r="BD23" s="32" t="str">
        <x:v>Raw PASS; functional_integrity_ok=true; 700/700 lifecycle commits; 3000/3000 TechnicalHold STARTED; 3000/3000 RECOVERED; 0 EXPIRED; 0 Occurrence/Episode closes; 0 occurrence identity mismatches; journal durable==materialized; final snapshots 1000 ACTIVE with no pending holds.</x:v>
      </x:c>
      <x:c r="BE23" s="32" t="n">
        <x:v>0</x:v>
      </x:c>
      <x:c r="BF23" s="32" t="n">
        <x:v>0</x:v>
      </x:c>
      <x:c r="BG23" s="32" t="n">
        <x:v>0</x:v>
      </x:c>
      <x:c r="BH23" s="32" t="n">
        <x:v>0</x:v>
      </x:c>
      <x:c r="BI23" s="32" t="n">
        <x:v>0</x:v>
      </x:c>
      <x:c r="BJ23" s="32" t="n">
        <x:v>1000</x:v>
      </x:c>
      <x:c r="BK23" s="32" t="n">
        <x:v>1000</x:v>
      </x:c>
      <x:c r="BL23" s="32" t="n">
        <x:v>0</x:v>
      </x:c>
      <x:c r="BM23" s="32" t="n">
        <x:v>0</x:v>
      </x:c>
      <x:c r="BN23" s="32" t="n">
        <x:v>100</x:v>
      </x:c>
      <x:c r="BO23" s="32" t="n">
        <x:v>10</x:v>
      </x:c>
      <x:c r="BP23" s="32" t="n">
        <x:v>0</x:v>
      </x:c>
      <x:c r="BQ23" s="32" t="n">
        <x:v>100</x:v>
      </x:c>
      <x:c r="BR23" s="32" t="n">
        <x:v>60</x:v>
      </x:c>
      <x:c r="BS23" s="32" t="n">
        <x:v>6000</x:v>
      </x:c>
      <x:c r="BT23" s="32" t="n">
        <x:v>700</x:v>
      </x:c>
      <x:c r="BU23" s="32" t="n">
        <x:v>700</x:v>
      </x:c>
      <x:c r="BV23" s="32" t="n">
        <x:v>0</x:v>
      </x:c>
      <x:c r="BW23" s="32" t="n">
        <x:v>1000</x:v>
      </x:c>
      <x:c r="BX23" s="32" t="n">
        <x:v>1000</x:v>
      </x:c>
      <x:c r="BY23" s="32" t="n">
        <x:v>0</x:v>
      </x:c>
      <x:c r="BZ23" s="32" t="n">
        <x:v>0</x:v>
      </x:c>
      <x:c r="CA23" s="32" t="n">
        <x:v>100</x:v>
      </x:c>
      <x:c r="CB23" s="32" t="n">
        <x:v>100</x:v>
      </x:c>
      <x:c r="CC23" s="32" t="n">
        <x:v>0</x:v>
      </x:c>
      <x:c r="CD23" s="32" t="n">
        <x:v>0</x:v>
      </x:c>
      <x:c r="CE23" s="32" t="n">
        <x:v>1000</x:v>
      </x:c>
      <x:c r="CF23" s="32" t="n">
        <x:v>8000</x:v>
      </x:c>
      <x:c r="CG23" s="32" t="n">
        <x:v>7000</x:v>
      </x:c>
      <x:c r="CH23" s="32" t="n">
        <x:v>0</x:v>
      </x:c>
      <x:c r="CI23" s="115" t="b">
        <x:v>1</x:v>
      </x:c>
      <x:c r="CJ23" s="32" t="n">
        <x:v>10</x:v>
      </x:c>
      <x:c r="CK23" s="32" t="n">
        <x:v>1000</x:v>
      </x:c>
      <x:c r="CL23" s="32" t="n">
        <x:v>3000</x:v>
      </x:c>
      <x:c r="CM23" s="32" t="n">
        <x:v>3000</x:v>
      </x:c>
      <x:c r="CN23" s="32" t="n">
        <x:v>3000</x:v>
      </x:c>
      <x:c r="CO23" s="32" t="n">
        <x:v>3000</x:v>
      </x:c>
      <x:c r="CP23" s="32" t="n">
        <x:v>0</x:v>
      </x:c>
      <x:c r="CQ23" s="32" t="n">
        <x:v>0</x:v>
      </x:c>
      <x:c r="CR23" s="32" t="n">
        <x:v>0</x:v>
      </x:c>
      <x:c r="CS23" s="32" t="n">
        <x:v>0</x:v>
      </x:c>
      <x:c r="CT23" s="32" t="n">
        <x:v>0</x:v>
      </x:c>
      <x:c r="CU23" s="32" t="n">
        <x:v>0</x:v>
      </x:c>
      <x:c r="CV23" s="32" t="n">
        <x:v>0</x:v>
      </x:c>
      <x:c r="CW23" s="32" t="n">
        <x:v>0</x:v>
      </x:c>
      <x:c r="CX23" s="32" t="n">
        <x:v>0</x:v>
      </x:c>
      <x:c r="CY23" s="32" t="n">
        <x:v>0</x:v>
      </x:c>
      <x:c r="CZ23" s="32" t="n">
        <x:v>0</x:v>
      </x:c>
      <x:c r="DA23" s="32" t="n">
        <x:v>0</x:v>
      </x:c>
      <x:c r="DB23" s="32" t="n">
        <x:v>0</x:v>
      </x:c>
      <x:c r="DC23" s="32" t="n">
        <x:v>0</x:v>
      </x:c>
      <x:c r="DD23" s="32" t="n">
        <x:v>0</x:v>
      </x:c>
      <x:c r="DE23" s="32" t="n">
        <x:v>0</x:v>
      </x:c>
      <x:c r="DF23" s="32" t="n">
        <x:v>0</x:v>
      </x:c>
      <x:c r="DG23" s="32" t="n">
        <x:v>0</x:v>
      </x:c>
      <x:c r="DH23" s="32"/>
      <x:c r="DI23" s="32"/>
      <x:c r="DJ23" s="32"/>
      <x:c r="DK23" s="32"/>
      <x:c r="DL23" s="32"/>
      <x:c r="DM23" s="32"/>
      <x:c r="DN23" s="32"/>
      <x:c r="DO23" s="32"/>
      <x:c r="DP23" s="32"/>
      <x:c r="DQ23" s="32"/>
      <x:c r="DR23" s="32"/>
      <x:c r="DS23" s="32"/>
      <x:c r="DT23" s="32"/>
      <x:c r="DU23" s="32"/>
      <x:c r="DV23" s="32"/>
      <x:c r="DW23" s="32"/>
      <x:c r="DX23" s="32"/>
      <x:c r="DY23" s="32"/>
      <x:c r="DZ23" s="32"/>
      <x:c r="EA23" s="32"/>
      <x:c r="EB23" s="32"/>
      <x:c r="EC23" s="32"/>
      <x:c r="ED23" s="32"/>
      <x:c r="EE23" s="32"/>
      <x:c r="EF23" s="32"/>
      <x:c r="EG23" s="32"/>
      <x:c r="EH23" s="32"/>
      <x:c r="EI23" s="32"/>
      <x:c r="EJ23" s="32"/>
      <x:c r="EK23" s="32"/>
      <x:c r="EL23" s="32"/>
      <x:c r="EM23" s="32"/>
      <x:c r="EN23" s="32"/>
      <x:c r="EO23" s="32"/>
      <x:c r="EP23" s="32"/>
      <x:c r="EQ23" s="32"/>
      <x:c r="ER23" s="32"/>
      <x:c r="ES23" s="32"/>
      <x:c r="ET23" s="32"/>
      <x:c r="EU23" s="32"/>
      <x:c r="EV23" s="32"/>
      <x:c r="EW23" s="32"/>
      <x:c r="EX23" s="32"/>
      <x:c r="EY23" s="32"/>
      <x:c r="EZ23" s="32"/>
      <x:c r="FA23" s="32"/>
      <x:c r="FB23" s="32"/>
      <x:c r="FC23" s="32"/>
      <x:c r="FD23" s="32"/>
      <x:c r="FE23" s="32"/>
      <x:c r="FF23" s="32"/>
      <x:c r="FG23" s="32"/>
      <x:c r="FH23" s="32"/>
      <x:c r="FI23" s="32"/>
      <x:c r="FJ23" s="32"/>
      <x:c r="FK23" s="32"/>
      <x:c r="FL23" s="32"/>
      <x:c r="FM23" s="32"/>
      <x:c r="FN23" s="32"/>
      <x:c r="FO23" s="32"/>
      <x:c r="FP23" s="32"/>
      <x:c r="FQ23" s="32"/>
      <x:c r="FR23" s="32"/>
      <x:c r="FS23" s="32"/>
      <x:c r="FT23" s="32"/>
      <x:c r="FU23" s="32"/>
      <x:c r="FV23" s="32"/>
      <x:c r="FW23" s="32"/>
      <x:c r="FX23" s="32"/>
      <x:c r="FY23" s="32"/>
      <x:c r="FZ23" s="32"/>
      <x:c r="GA23" s="32"/>
      <x:c r="GB23" s="32"/>
      <x:c r="GC23" s="32"/>
      <x:c r="GD23" s="32"/>
      <x:c r="GE23" s="32"/>
      <x:c r="GF23" s="32"/>
      <x:c r="GG23" s="32"/>
      <x:c r="GH23" s="32"/>
      <x:c r="GI23" s="32"/>
      <x:c r="GJ23" s="32"/>
      <x:c r="GK23" s="32"/>
      <x:c r="GL23" s="32"/>
      <x:c r="GM23" s="32"/>
      <x:c r="GN23" s="32"/>
      <x:c r="GO23" s="32"/>
      <x:c r="GP23" s="32"/>
      <x:c r="GQ23" s="32"/>
      <x:c r="GR23" s="32"/>
      <x:c r="GS23" s="32"/>
      <x:c r="GT23" s="32"/>
      <x:c r="GU23" s="32"/>
      <x:c r="GV23" s="32"/>
      <x:c r="GW23" s="32"/>
      <x:c r="GX23" s="32"/>
      <x:c r="GY23" s="32"/>
      <x:c r="GZ23" s="32"/>
      <x:c r="HA23" s="32"/>
      <x:c r="HB23" s="32"/>
      <x:c r="HC23" s="32"/>
      <x:c r="HD23" s="32"/>
      <x:c r="HE23" s="32"/>
      <x:c r="HF23" s="32"/>
      <x:c r="HG23" s="32"/>
      <x:c r="HH23" s="32"/>
      <x:c r="HI23" s="32"/>
      <x:c r="HJ23" s="32"/>
      <x:c r="HK23" s="32"/>
      <x:c r="HL23" s="32"/>
      <x:c r="HM23" s="32"/>
      <x:c r="HN23" s="32"/>
      <x:c r="HO23" s="32"/>
      <x:c r="HP23" s="32"/>
      <x:c r="HQ23" s="32"/>
      <x:c r="HR23" s="32"/>
      <x:c r="HS23" s="32"/>
      <x:c r="HT23" s="32"/>
      <x:c r="HU23" s="32"/>
      <x:c r="HV23" s="32"/>
      <x:c r="HW23" s="32"/>
      <x:c r="HX23" s="32"/>
      <x:c r="HY23" s="32"/>
    </x:row>
    <x:row r="24">
      <x:c r="A24" s="32" t="str">
        <x:v>9db89add-7ec1-4a7c-b21d-995145c3d0c4</x:v>
      </x:c>
      <x:c r="B24" s="32" t="str">
        <x:v>C-003</x:v>
      </x:c>
      <x:c r="C24" s="42" t="n">
        <x:v>46259.940405092595</x:v>
      </x:c>
      <x:c r="D24" s="32" t="str">
        <x:v>489b7424f5051f7a276dafe8d5f318ccf1368d87</x:v>
      </x:c>
      <x:c r="E24" s="32" t="str">
        <x:v>GLONBW11</x:v>
      </x:c>
      <x:c r="F24" s="32" t="str">
        <x:v>local-filesystem</x:v>
      </x:c>
      <x:c r="G24" s="32" t="str">
        <x:v>3.14.2</x:v>
      </x:c>
      <x:c r="H24" s="32" t="str">
        <x:v>deterministic</x:v>
      </x:c>
      <x:c r="I24" s="32" t="n">
        <x:v>1000</x:v>
      </x:c>
      <x:c r="J24" s="32" t="n">
        <x:v>10</x:v>
      </x:c>
      <x:c r="K24" s="32" t="n">
        <x:v>10.03279835</x:v>
      </x:c>
      <x:c r="L24" s="32" t="n">
        <x:v>121</x:v>
      </x:c>
      <x:c r="M24" s="32" t="n">
        <x:v>5</x:v>
      </x:c>
      <x:c r="N24" s="32" t="n">
        <x:v>10</x:v>
      </x:c>
      <x:c r="O24" s="32" t="n">
        <x:v>988.5205129976384</x:v>
      </x:c>
      <x:c r="P24" s="32" t="n">
        <x:v>1162.8398059983738</x:v>
      </x:c>
      <x:c r="Q24" s="32" t="n">
        <x:v>1274.6078095995472</x:v>
      </x:c>
      <x:c r="R24" s="32" t="n">
        <x:v>1820.4837090015644</x:v>
      </x:c>
      <x:c r="S24" s="32" t="n">
        <x:v>0</x:v>
      </x:c>
      <x:c r="T24" s="43" t="n">
        <x:v>0</x:v>
      </x:c>
      <x:c r="U24" s="32" t="n">
        <x:v>96.26457080423799</x:v>
      </x:c>
      <x:c r="V24" s="32" t="n">
        <x:v>100.52947881567358</x:v>
      </x:c>
      <x:c r="W24" s="32" t="n">
        <x:v>136.25911996384298</x:v>
      </x:c>
      <x:c r="X24" s="32" t="n">
        <x:v>136.33984375</x:v>
      </x:c>
      <x:c r="Y24" s="32"/>
      <x:c r="Z24" s="32"/>
      <x:c r="AA24" s="32"/>
      <x:c r="AB24" s="32"/>
      <x:c r="AC24" s="32" t="n">
        <x:v>0</x:v>
      </x:c>
      <x:c r="AD24" s="32" t="n">
        <x:v>0</x:v>
      </x:c>
      <x:c r="AE24" s="32" t="n">
        <x:v>0</x:v>
      </x:c>
      <x:c r="AF24" s="32"/>
      <x:c r="AG24" s="32"/>
      <x:c r="AH24" s="32" t="n">
        <x:v>771.7711160003091</x:v>
      </x:c>
      <x:c r="AI24" s="32" t="str">
        <x:v>PASS</x:v>
      </x:c>
      <x:c r="AJ24" s="32" t="str">
        <x:v>GREEN</x:v>
      </x:c>
      <x:c r="AK24" s="32" t="str">
        <x:v>latest-narrow</x:v>
      </x:c>
      <x:c r="AL24" s="32" t="n">
        <x:v>1</x:v>
      </x:c>
      <x:c r="AM24" s="32" t="n">
        <x:v>1</x:v>
      </x:c>
      <x:c r="AN24" s="32" t="n">
        <x:v>1000</x:v>
      </x:c>
      <x:c r="AO24" s="32" t="n">
        <x:v>1</x:v>
      </x:c>
      <x:c r="AP24" s="32" t="n">
        <x:v>8132</x:v>
      </x:c>
      <x:c r="AQ24" s="32" t="n">
        <x:v>8.802221003861632</x:v>
      </x:c>
      <x:c r="AR24" s="32" t="n">
        <x:v>11.073863002820872</x:v>
      </x:c>
      <x:c r="AS24" s="32" t="n">
        <x:v>12.0759032011847</x:v>
      </x:c>
      <x:c r="AT24" s="32" t="n">
        <x:v>36</x:v>
      </x:c>
      <x:c r="AU24" s="32" t="str">
        <x:v>28×28 + 8×27</x:v>
      </x:c>
      <x:c r="AV24" s="32" t="n">
        <x:v>0.34132099972339347</x:v>
      </x:c>
      <x:c r="AW24" s="32" t="n">
        <x:v>0.4428829997777939</x:v>
      </x:c>
      <x:c r="AX24" s="32" t="n">
        <x:v>0.5808937959955073</x:v>
      </x:c>
      <x:c r="AY24" s="32" t="str">
        <x:v>balanced</x:v>
      </x:c>
      <x:c r="AZ24" s="32" t="str">
        <x:v>PASS</x:v>
      </x:c>
      <x:c r="BA24" s="32" t="n">
        <x:v>1000</x:v>
      </x:c>
      <x:c r="BB24" s="32" t="n">
        <x:v>0</x:v>
      </x:c>
      <x:c r="BC24" s="115" t="b">
        <x:v>1</x:v>
      </x:c>
      <x:c r="BD24" s="32" t="str">
        <x:v>Raw PASS; exact expiry/reappearance semantics independently confirmed from WAL and final snapshots. 400 unique commits; 0 duplicate lifecycle commits; 1000 technical_hold_expired; 1000 occurrence closures with technical_hold_expired; 100 episode closures with technical_uncertainty; 1000 new post-expiry Occurrences with 0 identity reuse; journal durable==materialized.</x:v>
      </x:c>
      <x:c r="BE24" s="32" t="n">
        <x:v>0</x:v>
      </x:c>
      <x:c r="BF24" s="32" t="n">
        <x:v>0</x:v>
      </x:c>
      <x:c r="BG24" s="32" t="n">
        <x:v>0</x:v>
      </x:c>
      <x:c r="BH24" s="32" t="n">
        <x:v>0</x:v>
      </x:c>
      <x:c r="BI24" s="32" t="n">
        <x:v>0</x:v>
      </x:c>
      <x:c r="BJ24" s="32" t="n">
        <x:v>1000</x:v>
      </x:c>
      <x:c r="BK24" s="32" t="n">
        <x:v>1000</x:v>
      </x:c>
      <x:c r="BL24" s="32" t="n">
        <x:v>0</x:v>
      </x:c>
      <x:c r="BM24" s="32" t="n">
        <x:v>0</x:v>
      </x:c>
      <x:c r="BN24" s="32" t="n">
        <x:v>100</x:v>
      </x:c>
      <x:c r="BO24" s="32" t="n">
        <x:v>10</x:v>
      </x:c>
      <x:c r="BP24" s="32" t="n">
        <x:v>0</x:v>
      </x:c>
      <x:c r="BQ24" s="32" t="n">
        <x:v>100</x:v>
      </x:c>
      <x:c r="BR24" s="32" t="n">
        <x:v>60</x:v>
      </x:c>
      <x:c r="BS24" s="32" t="n">
        <x:v>2000</x:v>
      </x:c>
      <x:c r="BT24" s="32" t="n">
        <x:v>400</x:v>
      </x:c>
      <x:c r="BU24" s="32" t="n">
        <x:v>400</x:v>
      </x:c>
      <x:c r="BV24" s="32" t="n">
        <x:v>0</x:v>
      </x:c>
      <x:c r="BW24" s="32" t="n">
        <x:v>2000</x:v>
      </x:c>
      <x:c r="BX24" s="32" t="n">
        <x:v>2000</x:v>
      </x:c>
      <x:c r="BY24" s="32" t="n">
        <x:v>1000</x:v>
      </x:c>
      <x:c r="BZ24" s="32" t="n">
        <x:v>1000</x:v>
      </x:c>
      <x:c r="CA24" s="32" t="n">
        <x:v>200</x:v>
      </x:c>
      <x:c r="CB24" s="32" t="n">
        <x:v>200</x:v>
      </x:c>
      <x:c r="CC24" s="32" t="n">
        <x:v>100</x:v>
      </x:c>
      <x:c r="CD24" s="32" t="n">
        <x:v>100</x:v>
      </x:c>
      <x:c r="CE24" s="32" t="n">
        <x:v>2000</x:v>
      </x:c>
      <x:c r="CF24" s="32" t="n">
        <x:v>7000</x:v>
      </x:c>
      <x:c r="CG24" s="32" t="n">
        <x:v>4000</x:v>
      </x:c>
      <x:c r="CH24" s="32" t="n">
        <x:v>0</x:v>
      </x:c>
      <x:c r="CI24" s="115" t="b">
        <x:v>1</x:v>
      </x:c>
      <x:c r="CJ24" s="32" t="n">
        <x:v>0</x:v>
      </x:c>
      <x:c r="CK24" s="32" t="n">
        <x:v>2000</x:v>
      </x:c>
      <x:c r="CL24" s="32" t="n">
        <x:v>1000</x:v>
      </x:c>
      <x:c r="CM24" s="32" t="n">
        <x:v>1000</x:v>
      </x:c>
      <x:c r="CN24" s="32" t="n">
        <x:v>0</x:v>
      </x:c>
      <x:c r="CO24" s="32" t="n">
        <x:v>0</x:v>
      </x:c>
      <x:c r="CP24" s="32" t="n">
        <x:v>1000</x:v>
      </x:c>
      <x:c r="CQ24" s="32" t="n">
        <x:v>0</x:v>
      </x:c>
      <x:c r="CR24" s="32" t="n">
        <x:v>10</x:v>
      </x:c>
      <x:c r="CS24" s="32" t="n">
        <x:v>30</x:v>
      </x:c>
      <x:c r="CT24" s="32" t="n">
        <x:v>320</x:v>
      </x:c>
      <x:c r="CU24" s="32" t="n">
        <x:v>1000</x:v>
      </x:c>
      <x:c r="CV24" s="32" t="n">
        <x:v>1000</x:v>
      </x:c>
      <x:c r="CW24" s="32" t="n">
        <x:v>1000</x:v>
      </x:c>
      <x:c r="CX24" s="32" t="n">
        <x:v>0</x:v>
      </x:c>
      <x:c r="CY24" s="32" t="n">
        <x:v>0</x:v>
      </x:c>
      <x:c r="CZ24" s="32" t="n">
        <x:v>0</x:v>
      </x:c>
      <x:c r="DA24" s="32" t="n">
        <x:v>0</x:v>
      </x:c>
      <x:c r="DB24" s="32" t="n">
        <x:v>0</x:v>
      </x:c>
      <x:c r="DC24" s="32" t="n">
        <x:v>0</x:v>
      </x:c>
      <x:c r="DD24" s="32" t="n">
        <x:v>0</x:v>
      </x:c>
      <x:c r="DE24" s="32" t="n">
        <x:v>0</x:v>
      </x:c>
      <x:c r="DF24" s="32" t="n">
        <x:v>0</x:v>
      </x:c>
      <x:c r="DG24" s="32" t="n">
        <x:v>0</x:v>
      </x:c>
      <x:c r="DH24" s="32"/>
      <x:c r="DI24" s="32"/>
      <x:c r="DJ24" s="32"/>
      <x:c r="DK24" s="32"/>
      <x:c r="DL24" s="32"/>
      <x:c r="DM24" s="32"/>
      <x:c r="DN24" s="32"/>
      <x:c r="DO24" s="32"/>
      <x:c r="DP24" s="32"/>
      <x:c r="DQ24" s="32"/>
      <x:c r="DR24" s="32"/>
      <x:c r="DS24" s="32"/>
      <x:c r="DT24" s="32"/>
      <x:c r="DU24" s="32"/>
      <x:c r="DV24" s="32"/>
      <x:c r="DW24" s="32"/>
      <x:c r="DX24" s="32"/>
      <x:c r="DY24" s="32"/>
      <x:c r="DZ24" s="32"/>
      <x:c r="EA24" s="32"/>
      <x:c r="EB24" s="32"/>
      <x:c r="EC24" s="32"/>
      <x:c r="ED24" s="32"/>
      <x:c r="EE24" s="32"/>
      <x:c r="EF24" s="32"/>
      <x:c r="EG24" s="32"/>
      <x:c r="EH24" s="32"/>
      <x:c r="EI24" s="32"/>
      <x:c r="EJ24" s="32"/>
      <x:c r="EK24" s="32"/>
      <x:c r="EL24" s="32"/>
      <x:c r="EM24" s="32"/>
      <x:c r="EN24" s="32"/>
      <x:c r="EO24" s="32"/>
      <x:c r="EP24" s="32"/>
      <x:c r="EQ24" s="32"/>
      <x:c r="ER24" s="32"/>
      <x:c r="ES24" s="32"/>
      <x:c r="ET24" s="32"/>
      <x:c r="EU24" s="32"/>
      <x:c r="EV24" s="32"/>
      <x:c r="EW24" s="32"/>
      <x:c r="EX24" s="32"/>
      <x:c r="EY24" s="32"/>
      <x:c r="EZ24" s="32"/>
      <x:c r="FA24" s="32"/>
      <x:c r="FB24" s="32"/>
      <x:c r="FC24" s="32"/>
      <x:c r="FD24" s="32"/>
      <x:c r="FE24" s="32"/>
      <x:c r="FF24" s="32"/>
      <x:c r="FG24" s="32"/>
      <x:c r="FH24" s="32"/>
      <x:c r="FI24" s="32"/>
      <x:c r="FJ24" s="32"/>
      <x:c r="FK24" s="32"/>
      <x:c r="FL24" s="32"/>
      <x:c r="FM24" s="32"/>
      <x:c r="FN24" s="32"/>
      <x:c r="FO24" s="32"/>
      <x:c r="FP24" s="32"/>
      <x:c r="FQ24" s="32"/>
      <x:c r="FR24" s="32"/>
      <x:c r="FS24" s="32"/>
      <x:c r="FT24" s="32"/>
      <x:c r="FU24" s="32"/>
      <x:c r="FV24" s="32"/>
      <x:c r="FW24" s="32"/>
      <x:c r="FX24" s="32"/>
      <x:c r="FY24" s="32"/>
      <x:c r="FZ24" s="32"/>
      <x:c r="GA24" s="32"/>
      <x:c r="GB24" s="32"/>
      <x:c r="GC24" s="32"/>
      <x:c r="GD24" s="32"/>
      <x:c r="GE24" s="32"/>
      <x:c r="GF24" s="32"/>
      <x:c r="GG24" s="32"/>
      <x:c r="GH24" s="32"/>
      <x:c r="GI24" s="32"/>
      <x:c r="GJ24" s="32"/>
      <x:c r="GK24" s="32"/>
      <x:c r="GL24" s="32"/>
      <x:c r="GM24" s="32"/>
      <x:c r="GN24" s="32"/>
      <x:c r="GO24" s="32"/>
      <x:c r="GP24" s="32"/>
      <x:c r="GQ24" s="32"/>
      <x:c r="GR24" s="32"/>
      <x:c r="GS24" s="32"/>
      <x:c r="GT24" s="32"/>
      <x:c r="GU24" s="32"/>
      <x:c r="GV24" s="32"/>
      <x:c r="GW24" s="32"/>
      <x:c r="GX24" s="32"/>
      <x:c r="GY24" s="32"/>
      <x:c r="GZ24" s="32"/>
      <x:c r="HA24" s="32"/>
      <x:c r="HB24" s="32"/>
      <x:c r="HC24" s="32"/>
      <x:c r="HD24" s="32"/>
      <x:c r="HE24" s="32"/>
      <x:c r="HF24" s="32"/>
      <x:c r="HG24" s="32"/>
      <x:c r="HH24" s="32"/>
      <x:c r="HI24" s="32"/>
      <x:c r="HJ24" s="32"/>
      <x:c r="HK24" s="32"/>
      <x:c r="HL24" s="32"/>
      <x:c r="HM24" s="32"/>
      <x:c r="HN24" s="32"/>
      <x:c r="HO24" s="32"/>
      <x:c r="HP24" s="32"/>
      <x:c r="HQ24" s="32"/>
      <x:c r="HR24" s="32"/>
      <x:c r="HS24" s="32"/>
      <x:c r="HT24" s="32"/>
      <x:c r="HU24" s="32"/>
      <x:c r="HV24" s="32"/>
      <x:c r="HW24" s="32"/>
      <x:c r="HX24" s="32"/>
      <x:c r="HY24" s="32"/>
    </x:row>
    <x:row r="25">
      <x:c r="A25" s="32" t="str">
        <x:v>f86db606-7094-4da9-b488-8fd58d9dac80</x:v>
      </x:c>
      <x:c r="B25" s="32" t="str">
        <x:v>C-004</x:v>
      </x:c>
      <x:c r="C25" s="42" t="n">
        <x:v>46259.961875</x:v>
      </x:c>
      <x:c r="D25" s="32" t="str">
        <x:v>489b7424f5051f7a276dafe8d5f318ccf1368d87</x:v>
      </x:c>
      <x:c r="E25" s="32" t="str">
        <x:v>GLONBW11</x:v>
      </x:c>
      <x:c r="F25" s="32" t="str">
        <x:v>local-filesystem</x:v>
      </x:c>
      <x:c r="G25" s="32" t="str">
        <x:v>3.14.2</x:v>
      </x:c>
      <x:c r="H25" s="32" t="str">
        <x:v>deterministic</x:v>
      </x:c>
      <x:c r="I25" s="32" t="n">
        <x:v>1000</x:v>
      </x:c>
      <x:c r="J25" s="32" t="n">
        <x:v>10</x:v>
      </x:c>
      <x:c r="K25" s="32" t="n">
        <x:v>10.015706716666667</x:v>
      </x:c>
      <x:c r="L25" s="32" t="n">
        <x:v>116</x:v>
      </x:c>
      <x:c r="M25" s="32" t="n">
        <x:v>5</x:v>
      </x:c>
      <x:c r="N25" s="32" t="n">
        <x:v>10</x:v>
      </x:c>
      <x:c r="O25" s="32" t="n">
        <x:v>988.8912450005591</x:v>
      </x:c>
      <x:c r="P25" s="32" t="n">
        <x:v>6627.984523251143</x:v>
      </x:c>
      <x:c r="Q25" s="32" t="n">
        <x:v>7178.8501033985085</x:v>
      </x:c>
      <x:c r="R25" s="32" t="n">
        <x:v>7662.903220996668</x:v>
      </x:c>
      <x:c r="S25" s="32" t="n">
        <x:v>18</x:v>
      </x:c>
      <x:c r="T25" s="43" t="n">
        <x:v>0.15517241379310345</x:v>
      </x:c>
      <x:c r="U25" s="32" t="n">
        <x:v>97.83019288170814</x:v>
      </x:c>
      <x:c r="V25" s="32" t="n">
        <x:v>100.58137153822024</x:v>
      </x:c>
      <x:c r="W25" s="32" t="n">
        <x:v>134.11941002155172</x:v>
      </x:c>
      <x:c r="X25" s="32" t="n">
        <x:v>135.41796875</x:v>
      </x:c>
      <x:c r="Y25" s="32"/>
      <x:c r="Z25" s="32"/>
      <x:c r="AA25" s="32"/>
      <x:c r="AB25" s="32"/>
      <x:c r="AC25" s="32" t="n">
        <x:v>0</x:v>
      </x:c>
      <x:c r="AD25" s="32" t="n">
        <x:v>0</x:v>
      </x:c>
      <x:c r="AE25" s="32" t="n">
        <x:v>0</x:v>
      </x:c>
      <x:c r="AF25" s="32"/>
      <x:c r="AG25" s="32"/>
      <x:c r="AH25" s="32" t="n">
        <x:v>353.09240900096484</x:v>
      </x:c>
      <x:c r="AI25" s="32" t="str">
        <x:v>PASS-WITH-FINDINGS</x:v>
      </x:c>
      <x:c r="AJ25" s="32" t="str">
        <x:v>ACCEPTABLE/REVIEW</x:v>
      </x:c>
      <x:c r="AK25" s="32" t="str">
        <x:v>latest-narrow</x:v>
      </x:c>
      <x:c r="AL25" s="32" t="n">
        <x:v>1</x:v>
      </x:c>
      <x:c r="AM25" s="32" t="n">
        <x:v>1</x:v>
      </x:c>
      <x:c r="AN25" s="32" t="n">
        <x:v>1000</x:v>
      </x:c>
      <x:c r="AO25" s="32" t="n">
        <x:v>1</x:v>
      </x:c>
      <x:c r="AP25" s="32" t="n">
        <x:v>8132</x:v>
      </x:c>
      <x:c r="AQ25" s="32" t="n">
        <x:v>8.001094502105843</x:v>
      </x:c>
      <x:c r="AR25" s="32" t="n">
        <x:v>10.116117000507074</x:v>
      </x:c>
      <x:c r="AS25" s="32" t="n">
        <x:v>14.069742901119735</x:v>
      </x:c>
      <x:c r="AT25" s="32" t="n">
        <x:v>36</x:v>
      </x:c>
      <x:c r="AU25" s="32" t="str">
        <x:v>28×28 + 8×27</x:v>
      </x:c>
      <x:c r="AV25" s="32" t="n">
        <x:v>0.3315015055704862</x:v>
      </x:c>
      <x:c r="AW25" s="32" t="n">
        <x:v>0.4297499981475994</x:v>
      </x:c>
      <x:c r="AX25" s="32" t="n">
        <x:v>0.785717998587641</x:v>
      </x:c>
      <x:c r="AY25" s="32" t="str">
        <x:v>balanced</x:v>
      </x:c>
      <x:c r="AZ25" s="32" t="str">
        <x:v>PASS</x:v>
      </x:c>
      <x:c r="BA25" s="32" t="n">
        <x:v>1000</x:v>
      </x:c>
      <x:c r="BB25" s="32" t="n">
        <x:v>0</x:v>
      </x:c>
      <x:c r="BC25" s="115" t="b">
        <x:v>1</x:v>
      </x:c>
      <x:c r="BD25" s="32" t="str">
        <x:v>Functional PASS; independent WAL/snapshot audit exact. Performance ACCEPTABLE/REVIEW: 18 overruns and p95 6.63 s are concentrated in mixed ERROR-without-continuity + ACTIVE composition. At 100% ACTIVE, steady cycles return to ~1 s. Requires fixed 50/50 reproduction before proceeding.</x:v>
      </x:c>
      <x:c r="BE25" s="32" t="n">
        <x:v>0</x:v>
      </x:c>
      <x:c r="BF25" s="32" t="n">
        <x:v>0</x:v>
      </x:c>
      <x:c r="BG25" s="32" t="n">
        <x:v>0</x:v>
      </x:c>
      <x:c r="BH25" s="32" t="n">
        <x:v>0</x:v>
      </x:c>
      <x:c r="BI25" s="32" t="n">
        <x:v>0</x:v>
      </x:c>
      <x:c r="BJ25" s="32" t="n">
        <x:v>1000</x:v>
      </x:c>
      <x:c r="BK25" s="32" t="n">
        <x:v>1000</x:v>
      </x:c>
      <x:c r="BL25" s="32" t="n">
        <x:v>0</x:v>
      </x:c>
      <x:c r="BM25" s="32" t="n">
        <x:v>0</x:v>
      </x:c>
      <x:c r="BN25" s="32" t="n">
        <x:v>100</x:v>
      </x:c>
      <x:c r="BO25" s="32" t="n">
        <x:v>10</x:v>
      </x:c>
      <x:c r="BP25" s="32" t="n">
        <x:v>0</x:v>
      </x:c>
      <x:c r="BQ25" s="32" t="n">
        <x:v>0</x:v>
      </x:c>
      <x:c r="BR25" s="32" t="n">
        <x:v>60</x:v>
      </x:c>
      <x:c r="BS25" s="32" t="n">
        <x:v>1000</x:v>
      </x:c>
      <x:c r="BT25" s="32" t="n">
        <x:v>100</x:v>
      </x:c>
      <x:c r="BU25" s="32" t="n">
        <x:v>100</x:v>
      </x:c>
      <x:c r="BV25" s="32" t="n">
        <x:v>0</x:v>
      </x:c>
      <x:c r="BW25" s="32" t="n">
        <x:v>1000</x:v>
      </x:c>
      <x:c r="BX25" s="32" t="n">
        <x:v>1000</x:v>
      </x:c>
      <x:c r="BY25" s="32" t="n">
        <x:v>0</x:v>
      </x:c>
      <x:c r="BZ25" s="32" t="n">
        <x:v>0</x:v>
      </x:c>
      <x:c r="CA25" s="32" t="n">
        <x:v>100</x:v>
      </x:c>
      <x:c r="CB25" s="32" t="n">
        <x:v>100</x:v>
      </x:c>
      <x:c r="CC25" s="32" t="n">
        <x:v>0</x:v>
      </x:c>
      <x:c r="CD25" s="32" t="n">
        <x:v>0</x:v>
      </x:c>
      <x:c r="CE25" s="32" t="n">
        <x:v>1000</x:v>
      </x:c>
      <x:c r="CF25" s="32" t="n">
        <x:v>2000</x:v>
      </x:c>
      <x:c r="CG25" s="32" t="n">
        <x:v>2000</x:v>
      </x:c>
      <x:c r="CH25" s="32" t="n">
        <x:v>100</x:v>
      </x:c>
      <x:c r="CI25" s="115" t="b">
        <x:v>1</x:v>
      </x:c>
      <x:c r="CJ25" s="32" t="n">
        <x:v>0</x:v>
      </x:c>
      <x:c r="CK25" s="32" t="n">
        <x:v>1000</x:v>
      </x:c>
      <x:c r="CL25" s="32" t="n">
        <x:v>0</x:v>
      </x:c>
      <x:c r="CM25" s="32" t="n">
        <x:v>0</x:v>
      </x:c>
      <x:c r="CN25" s="32" t="n">
        <x:v>0</x:v>
      </x:c>
      <x:c r="CO25" s="32" t="n">
        <x:v>0</x:v>
      </x:c>
      <x:c r="CP25" s="32" t="n">
        <x:v>0</x:v>
      </x:c>
      <x:c r="CQ25" s="32" t="n">
        <x:v>0</x:v>
      </x:c>
      <x:c r="CR25" s="32" t="n">
        <x:v>0</x:v>
      </x:c>
      <x:c r="CS25" s="32" t="n">
        <x:v>0</x:v>
      </x:c>
      <x:c r="CT25" s="32" t="n">
        <x:v>0</x:v>
      </x:c>
      <x:c r="CU25" s="32" t="n">
        <x:v>0</x:v>
      </x:c>
      <x:c r="CV25" s="32" t="n">
        <x:v>0</x:v>
      </x:c>
      <x:c r="CW25" s="32" t="n">
        <x:v>0</x:v>
      </x:c>
      <x:c r="CX25" s="32" t="n">
        <x:v>0</x:v>
      </x:c>
      <x:c r="CY25" s="32" t="n">
        <x:v>0</x:v>
      </x:c>
      <x:c r="CZ25" s="32" t="n">
        <x:v>0</x:v>
      </x:c>
      <x:c r="DA25" s="32" t="n">
        <x:v>10</x:v>
      </x:c>
      <x:c r="DB25" s="32" t="n">
        <x:v>20</x:v>
      </x:c>
      <x:c r="DC25" s="32" t="n">
        <x:v>20</x:v>
      </x:c>
      <x:c r="DD25" s="32" t="n">
        <x:v>1000</x:v>
      </x:c>
      <x:c r="DE25" s="32" t="n">
        <x:v>1000</x:v>
      </x:c>
      <x:c r="DF25" s="32" t="n">
        <x:v>0</x:v>
      </x:c>
      <x:c r="DG25" s="32" t="n">
        <x:v>0</x:v>
      </x:c>
      <x:c r="DH25" s="32"/>
      <x:c r="DI25" s="32"/>
      <x:c r="DJ25" s="32"/>
      <x:c r="DK25" s="32"/>
      <x:c r="DL25" s="32"/>
      <x:c r="DM25" s="32"/>
      <x:c r="DN25" s="32"/>
      <x:c r="DO25" s="32"/>
      <x:c r="DP25" s="32"/>
      <x:c r="DQ25" s="32"/>
      <x:c r="DR25" s="32"/>
      <x:c r="DS25" s="32"/>
      <x:c r="DT25" s="32"/>
      <x:c r="DU25" s="32"/>
      <x:c r="DV25" s="32"/>
      <x:c r="DW25" s="32"/>
      <x:c r="DX25" s="32"/>
      <x:c r="DY25" s="32"/>
      <x:c r="DZ25" s="32"/>
      <x:c r="EA25" s="32"/>
      <x:c r="EB25" s="32"/>
      <x:c r="EC25" s="32"/>
      <x:c r="ED25" s="32"/>
      <x:c r="EE25" s="32"/>
      <x:c r="EF25" s="32"/>
      <x:c r="EG25" s="32"/>
      <x:c r="EH25" s="32"/>
      <x:c r="EI25" s="32"/>
      <x:c r="EJ25" s="32"/>
      <x:c r="EK25" s="32"/>
      <x:c r="EL25" s="32"/>
      <x:c r="EM25" s="32"/>
      <x:c r="EN25" s="32"/>
      <x:c r="EO25" s="32"/>
      <x:c r="EP25" s="32"/>
      <x:c r="EQ25" s="32"/>
      <x:c r="ER25" s="32"/>
      <x:c r="ES25" s="32"/>
      <x:c r="ET25" s="32"/>
      <x:c r="EU25" s="32"/>
      <x:c r="EV25" s="32"/>
      <x:c r="EW25" s="32"/>
      <x:c r="EX25" s="32"/>
      <x:c r="EY25" s="32"/>
      <x:c r="EZ25" s="32"/>
      <x:c r="FA25" s="32"/>
      <x:c r="FB25" s="32"/>
      <x:c r="FC25" s="32"/>
      <x:c r="FD25" s="32"/>
      <x:c r="FE25" s="32"/>
      <x:c r="FF25" s="32"/>
      <x:c r="FG25" s="32"/>
      <x:c r="FH25" s="32"/>
      <x:c r="FI25" s="32"/>
      <x:c r="FJ25" s="32"/>
      <x:c r="FK25" s="32"/>
      <x:c r="FL25" s="32"/>
      <x:c r="FM25" s="32"/>
      <x:c r="FN25" s="32"/>
      <x:c r="FO25" s="32"/>
      <x:c r="FP25" s="32"/>
      <x:c r="FQ25" s="32"/>
      <x:c r="FR25" s="32"/>
      <x:c r="FS25" s="32"/>
      <x:c r="FT25" s="32"/>
      <x:c r="FU25" s="32"/>
      <x:c r="FV25" s="32"/>
      <x:c r="FW25" s="32"/>
      <x:c r="FX25" s="32"/>
      <x:c r="FY25" s="32"/>
      <x:c r="FZ25" s="32"/>
      <x:c r="GA25" s="32"/>
      <x:c r="GB25" s="32"/>
      <x:c r="GC25" s="32"/>
      <x:c r="GD25" s="32"/>
      <x:c r="GE25" s="32"/>
      <x:c r="GF25" s="32"/>
      <x:c r="GG25" s="32"/>
      <x:c r="GH25" s="32"/>
      <x:c r="GI25" s="32"/>
      <x:c r="GJ25" s="32"/>
      <x:c r="GK25" s="32"/>
      <x:c r="GL25" s="32"/>
      <x:c r="GM25" s="32"/>
      <x:c r="GN25" s="32"/>
      <x:c r="GO25" s="32"/>
      <x:c r="GP25" s="32"/>
      <x:c r="GQ25" s="32"/>
      <x:c r="GR25" s="32"/>
      <x:c r="GS25" s="32"/>
      <x:c r="GT25" s="32"/>
      <x:c r="GU25" s="32"/>
      <x:c r="GV25" s="32"/>
      <x:c r="GW25" s="32"/>
      <x:c r="GX25" s="32"/>
      <x:c r="GY25" s="32"/>
      <x:c r="GZ25" s="32"/>
      <x:c r="HA25" s="32"/>
      <x:c r="HB25" s="32"/>
      <x:c r="HC25" s="32"/>
      <x:c r="HD25" s="32"/>
      <x:c r="HE25" s="32"/>
      <x:c r="HF25" s="32"/>
      <x:c r="HG25" s="32"/>
      <x:c r="HH25" s="32"/>
      <x:c r="HI25" s="32"/>
      <x:c r="HJ25" s="32"/>
      <x:c r="HK25" s="32"/>
      <x:c r="HL25" s="32"/>
      <x:c r="HM25" s="32"/>
      <x:c r="HN25" s="32"/>
      <x:c r="HO25" s="32"/>
      <x:c r="HP25" s="32"/>
      <x:c r="HQ25" s="32"/>
      <x:c r="HR25" s="32"/>
      <x:c r="HS25" s="32"/>
      <x:c r="HT25" s="32"/>
      <x:c r="HU25" s="32"/>
      <x:c r="HV25" s="32"/>
      <x:c r="HW25" s="32"/>
      <x:c r="HX25" s="32"/>
      <x:c r="HY25" s="32"/>
    </x:row>
    <x:row r="26">
      <x:c r="A26" s="32" t="str">
        <x:v>fdc14ae0-9854-41c3-9ab8-a0b05ad3915c</x:v>
      </x:c>
      <x:c r="B26" s="32" t="str">
        <x:v>C-004-R1</x:v>
      </x:c>
      <x:c r="C26" s="42" t="n">
        <x:v>46259.99119212963</x:v>
      </x:c>
      <x:c r="D26" s="32" t="str">
        <x:v>489b7424f5051f7a276dafe8d5f318ccf1368d87</x:v>
      </x:c>
      <x:c r="E26" s="32" t="str">
        <x:v>GLONBW11</x:v>
      </x:c>
      <x:c r="F26" s="32" t="str">
        <x:v>local-filesystem</x:v>
      </x:c>
      <x:c r="G26" s="32" t="str">
        <x:v>3.14.2</x:v>
      </x:c>
      <x:c r="H26" s="32" t="str">
        <x:v>deterministic</x:v>
      </x:c>
      <x:c r="I26" s="32" t="n">
        <x:v>1000</x:v>
      </x:c>
      <x:c r="J26" s="32" t="n">
        <x:v>5</x:v>
      </x:c>
      <x:c r="K26" s="32" t="n">
        <x:v>5.0283423166666665</x:v>
      </x:c>
      <x:c r="L26" s="32" t="n">
        <x:v>47</x:v>
      </x:c>
      <x:c r="M26" s="32" t="n">
        <x:v>5</x:v>
      </x:c>
      <x:c r="N26" s="32" t="n">
        <x:v>10</x:v>
      </x:c>
      <x:c r="O26" s="32" t="n">
        <x:v>6423.878863999562</x:v>
      </x:c>
      <x:c r="P26" s="32" t="n">
        <x:v>6569.580884602328</x:v>
      </x:c>
      <x:c r="Q26" s="32" t="n">
        <x:v>6787.358309877018</x:v>
      </x:c>
      <x:c r="R26" s="32" t="n">
        <x:v>6902.757530995586</x:v>
      </x:c>
      <x:c r="S26" s="32" t="n">
        <x:v>46</x:v>
      </x:c>
      <x:c r="T26" s="43" t="n">
        <x:v>0.9787234042553191</x:v>
      </x:c>
      <x:c r="U26" s="32" t="n">
        <x:v>99.5845050462266</x:v>
      </x:c>
      <x:c r="V26" s="32" t="n">
        <x:v>100.19195553592888</x:v>
      </x:c>
      <x:c r="W26" s="32" t="n">
        <x:v>132.5581366356383</x:v>
      </x:c>
      <x:c r="X26" s="32" t="n">
        <x:v>132.71875</x:v>
      </x:c>
      <x:c r="Y26" s="32"/>
      <x:c r="Z26" s="32"/>
      <x:c r="AA26" s="32"/>
      <x:c r="AB26" s="32"/>
      <x:c r="AC26" s="32" t="n">
        <x:v>0</x:v>
      </x:c>
      <x:c r="AD26" s="32" t="n">
        <x:v>0</x:v>
      </x:c>
      <x:c r="AE26" s="32" t="n">
        <x:v>0</x:v>
      </x:c>
      <x:c r="AF26" s="32"/>
      <x:c r="AG26" s="32"/>
      <x:c r="AH26" s="32" t="n">
        <x:v>109.38201899989508</x:v>
      </x:c>
      <x:c r="AI26" s="32" t="str">
        <x:v>PASS-WITH-FINDINGS</x:v>
      </x:c>
      <x:c r="AJ26" s="32" t="str">
        <x:v>ACCEPTABLE/REVIEW</x:v>
      </x:c>
      <x:c r="AK26" s="32" t="str">
        <x:v>latest-narrow</x:v>
      </x:c>
      <x:c r="AL26" s="32" t="n">
        <x:v>1</x:v>
      </x:c>
      <x:c r="AM26" s="32" t="n">
        <x:v>1</x:v>
      </x:c>
      <x:c r="AN26" s="32" t="n">
        <x:v>1000</x:v>
      </x:c>
      <x:c r="AO26" s="32" t="n">
        <x:v>1</x:v>
      </x:c>
      <x:c r="AP26" s="32" t="n">
        <x:v>8132</x:v>
      </x:c>
      <x:c r="AQ26" s="32" t="n">
        <x:v>7.405337993986905</x:v>
      </x:c>
      <x:c r="AR26" s="32" t="n">
        <x:v>8.464744199591223</x:v>
      </x:c>
      <x:c r="AS26" s="32" t="n">
        <x:v>9.952708881755823</x:v>
      </x:c>
      <x:c r="AT26" s="32" t="n">
        <x:v>36</x:v>
      </x:c>
      <x:c r="AU26" s="32" t="str">
        <x:v>28×28 + 8×27</x:v>
      </x:c>
      <x:c r="AV26" s="32" t="n">
        <x:v>0.32956700306385756</x:v>
      </x:c>
      <x:c r="AW26" s="32" t="n">
        <x:v>0.435680500959279</x:v>
      </x:c>
      <x:c r="AX26" s="32" t="n">
        <x:v>1.1882679010159327</x:v>
      </x:c>
      <x:c r="AY26" s="32" t="str">
        <x:v>balanced</x:v>
      </x:c>
      <x:c r="AZ26" s="32" t="str">
        <x:v>PASS</x:v>
      </x:c>
      <x:c r="BA26" s="32" t="n">
        <x:v>500</x:v>
      </x:c>
      <x:c r="BB26" s="32" t="n">
        <x:v>500</x:v>
      </x:c>
      <x:c r="BC26" s="115" t="b">
        <x:v>1</x:v>
      </x:c>
      <x:c r="BD26" s="32" t="str">
        <x:v>Functional PASS; fixed 50/50 hotspot reproduced independently. 46/47 overruns and steady p50≈6.43 s despite zero writes after bootstrap. Root-cause candidate: repeated full durable-journal scans for missing-snapshot groups; C-004 latency correlation with active_groups×neutral_groups ≈0.9974.</x:v>
      </x:c>
      <x:c r="BE26" s="32" t="n">
        <x:v>0</x:v>
      </x:c>
      <x:c r="BF26" s="32" t="n">
        <x:v>0</x:v>
      </x:c>
      <x:c r="BG26" s="32" t="n">
        <x:v>0</x:v>
      </x:c>
      <x:c r="BH26" s="32" t="n">
        <x:v>0</x:v>
      </x:c>
      <x:c r="BI26" s="32" t="n">
        <x:v>0</x:v>
      </x:c>
      <x:c r="BJ26" s="32" t="n">
        <x:v>1000</x:v>
      </x:c>
      <x:c r="BK26" s="32" t="n">
        <x:v>1000</x:v>
      </x:c>
      <x:c r="BL26" s="32" t="n">
        <x:v>0</x:v>
      </x:c>
      <x:c r="BM26" s="32" t="n">
        <x:v>0</x:v>
      </x:c>
      <x:c r="BN26" s="32" t="n">
        <x:v>100</x:v>
      </x:c>
      <x:c r="BO26" s="32" t="n">
        <x:v>10</x:v>
      </x:c>
      <x:c r="BP26" s="32" t="n">
        <x:v>0</x:v>
      </x:c>
      <x:c r="BQ26" s="32" t="n">
        <x:v>50</x:v>
      </x:c>
      <x:c r="BR26" s="32" t="n">
        <x:v>30</x:v>
      </x:c>
      <x:c r="BS26" s="32" t="n">
        <x:v>0</x:v>
      </x:c>
      <x:c r="BT26" s="32" t="n">
        <x:v>50</x:v>
      </x:c>
      <x:c r="BU26" s="32" t="n">
        <x:v>50</x:v>
      </x:c>
      <x:c r="BV26" s="32" t="n">
        <x:v>0</x:v>
      </x:c>
      <x:c r="BW26" s="32" t="n">
        <x:v>500</x:v>
      </x:c>
      <x:c r="BX26" s="32" t="n">
        <x:v>500</x:v>
      </x:c>
      <x:c r="BY26" s="32" t="n">
        <x:v>0</x:v>
      </x:c>
      <x:c r="BZ26" s="32" t="n">
        <x:v>0</x:v>
      </x:c>
      <x:c r="CA26" s="32" t="n">
        <x:v>50</x:v>
      </x:c>
      <x:c r="CB26" s="32" t="n">
        <x:v>50</x:v>
      </x:c>
      <x:c r="CC26" s="32" t="n">
        <x:v>0</x:v>
      </x:c>
      <x:c r="CD26" s="32" t="n">
        <x:v>0</x:v>
      </x:c>
      <x:c r="CE26" s="32" t="n">
        <x:v>500</x:v>
      </x:c>
      <x:c r="CF26" s="32" t="n">
        <x:v>1000</x:v>
      </x:c>
      <x:c r="CG26" s="32" t="n">
        <x:v>500</x:v>
      </x:c>
      <x:c r="CH26" s="32" t="n">
        <x:v>0</x:v>
      </x:c>
      <x:c r="CI26" s="115" t="b">
        <x:v>1</x:v>
      </x:c>
      <x:c r="CJ26" s="32" t="n">
        <x:v>0</x:v>
      </x:c>
      <x:c r="CK26" s="32" t="n">
        <x:v>500</x:v>
      </x:c>
      <x:c r="CL26" s="32" t="n">
        <x:v>0</x:v>
      </x:c>
      <x:c r="CM26" s="32" t="n">
        <x:v>0</x:v>
      </x:c>
      <x:c r="CN26" s="32" t="n">
        <x:v>0</x:v>
      </x:c>
      <x:c r="CO26" s="32" t="n">
        <x:v>0</x:v>
      </x:c>
      <x:c r="CP26" s="32" t="n">
        <x:v>0</x:v>
      </x:c>
      <x:c r="CQ26" s="32" t="n">
        <x:v>0</x:v>
      </x:c>
      <x:c r="CR26" s="32" t="n">
        <x:v>0</x:v>
      </x:c>
      <x:c r="CS26" s="32" t="n">
        <x:v>0</x:v>
      </x:c>
      <x:c r="CT26" s="32" t="n">
        <x:v>0</x:v>
      </x:c>
      <x:c r="CU26" s="32" t="n">
        <x:v>0</x:v>
      </x:c>
      <x:c r="CV26" s="32" t="n">
        <x:v>0</x:v>
      </x:c>
      <x:c r="CW26" s="32" t="n">
        <x:v>0</x:v>
      </x:c>
      <x:c r="CX26" s="32" t="n">
        <x:v>0</x:v>
      </x:c>
      <x:c r="CY26" s="32" t="n">
        <x:v>0</x:v>
      </x:c>
      <x:c r="CZ26" s="32" t="n">
        <x:v>0</x:v>
      </x:c>
      <x:c r="DA26" s="32" t="n">
        <x:v>0</x:v>
      </x:c>
      <x:c r="DB26" s="32" t="n">
        <x:v>0</x:v>
      </x:c>
      <x:c r="DC26" s="32" t="n">
        <x:v>0</x:v>
      </x:c>
      <x:c r="DD26" s="32" t="n">
        <x:v>0</x:v>
      </x:c>
      <x:c r="DE26" s="32" t="n">
        <x:v>0</x:v>
      </x:c>
      <x:c r="DF26" s="32" t="n">
        <x:v>0</x:v>
      </x:c>
      <x:c r="DG26" s="32" t="n">
        <x:v>50</x:v>
      </x:c>
      <x:c r="DH26" s="32"/>
      <x:c r="DI26" s="32"/>
      <x:c r="DJ26" s="32"/>
      <x:c r="DK26" s="32"/>
      <x:c r="DL26" s="32"/>
      <x:c r="DM26" s="32"/>
      <x:c r="DN26" s="32"/>
      <x:c r="DO26" s="32"/>
      <x:c r="DP26" s="32"/>
      <x:c r="DQ26" s="32"/>
      <x:c r="DR26" s="32"/>
      <x:c r="DS26" s="32"/>
      <x:c r="DT26" s="32"/>
      <x:c r="DU26" s="32"/>
      <x:c r="DV26" s="32"/>
      <x:c r="DW26" s="32"/>
      <x:c r="DX26" s="32"/>
      <x:c r="DY26" s="32"/>
      <x:c r="DZ26" s="32"/>
      <x:c r="EA26" s="32"/>
      <x:c r="EB26" s="32"/>
      <x:c r="EC26" s="32"/>
      <x:c r="ED26" s="32"/>
      <x:c r="EE26" s="32"/>
      <x:c r="EF26" s="32"/>
      <x:c r="EG26" s="32"/>
      <x:c r="EH26" s="32"/>
      <x:c r="EI26" s="32"/>
      <x:c r="EJ26" s="32"/>
      <x:c r="EK26" s="32"/>
      <x:c r="EL26" s="32"/>
      <x:c r="EM26" s="32"/>
      <x:c r="EN26" s="32"/>
      <x:c r="EO26" s="32"/>
      <x:c r="EP26" s="32"/>
      <x:c r="EQ26" s="32"/>
      <x:c r="ER26" s="32"/>
      <x:c r="ES26" s="32"/>
      <x:c r="ET26" s="32"/>
      <x:c r="EU26" s="32"/>
      <x:c r="EV26" s="32"/>
      <x:c r="EW26" s="32"/>
      <x:c r="EX26" s="32"/>
      <x:c r="EY26" s="32"/>
      <x:c r="EZ26" s="32"/>
      <x:c r="FA26" s="32"/>
      <x:c r="FB26" s="32"/>
      <x:c r="FC26" s="32"/>
      <x:c r="FD26" s="32"/>
      <x:c r="FE26" s="32"/>
      <x:c r="FF26" s="32"/>
      <x:c r="FG26" s="32"/>
      <x:c r="FH26" s="32"/>
      <x:c r="FI26" s="32"/>
      <x:c r="FJ26" s="32"/>
      <x:c r="FK26" s="32"/>
      <x:c r="FL26" s="32"/>
      <x:c r="FM26" s="32"/>
      <x:c r="FN26" s="32"/>
      <x:c r="FO26" s="32"/>
      <x:c r="FP26" s="32"/>
      <x:c r="FQ26" s="32"/>
      <x:c r="FR26" s="32"/>
      <x:c r="FS26" s="32"/>
      <x:c r="FT26" s="32"/>
      <x:c r="FU26" s="32"/>
      <x:c r="FV26" s="32"/>
      <x:c r="FW26" s="32"/>
      <x:c r="FX26" s="32"/>
      <x:c r="FY26" s="32"/>
      <x:c r="FZ26" s="32"/>
      <x:c r="GA26" s="32"/>
      <x:c r="GB26" s="32"/>
      <x:c r="GC26" s="32"/>
      <x:c r="GD26" s="32"/>
      <x:c r="GE26" s="32"/>
      <x:c r="GF26" s="32"/>
      <x:c r="GG26" s="32"/>
      <x:c r="GH26" s="32"/>
      <x:c r="GI26" s="32"/>
      <x:c r="GJ26" s="32"/>
      <x:c r="GK26" s="32"/>
      <x:c r="GL26" s="32"/>
      <x:c r="GM26" s="32"/>
      <x:c r="GN26" s="32"/>
      <x:c r="GO26" s="32"/>
      <x:c r="GP26" s="32"/>
      <x:c r="GQ26" s="32"/>
      <x:c r="GR26" s="32"/>
      <x:c r="GS26" s="32"/>
      <x:c r="GT26" s="32"/>
      <x:c r="GU26" s="32"/>
      <x:c r="GV26" s="32"/>
      <x:c r="GW26" s="32"/>
      <x:c r="GX26" s="32"/>
      <x:c r="GY26" s="32"/>
      <x:c r="GZ26" s="32"/>
      <x:c r="HA26" s="32"/>
      <x:c r="HB26" s="32"/>
      <x:c r="HC26" s="32"/>
      <x:c r="HD26" s="32"/>
      <x:c r="HE26" s="32"/>
      <x:c r="HF26" s="32"/>
      <x:c r="HG26" s="32"/>
      <x:c r="HH26" s="32"/>
      <x:c r="HI26" s="32"/>
      <x:c r="HJ26" s="32"/>
      <x:c r="HK26" s="32"/>
      <x:c r="HL26" s="32"/>
      <x:c r="HM26" s="32"/>
      <x:c r="HN26" s="32"/>
      <x:c r="HO26" s="32"/>
      <x:c r="HP26" s="32"/>
      <x:c r="HQ26" s="32"/>
      <x:c r="HR26" s="32"/>
      <x:c r="HS26" s="32"/>
      <x:c r="HT26" s="32"/>
      <x:c r="HU26" s="32"/>
      <x:c r="HV26" s="32"/>
      <x:c r="HW26" s="32"/>
      <x:c r="HX26" s="32"/>
      <x:c r="HY26" s="32"/>
    </x:row>
    <x:row r="27">
      <x:c r="A27" s="32" t="str">
        <x:v>5669a356-5857-440d-941e-17cc8f6f5251</x:v>
      </x:c>
      <x:c r="B27" s="32" t="str">
        <x:v>C-004-R2</x:v>
      </x:c>
      <x:c r="C27" s="42" t="n">
        <x:v>46260.810752314814</x:v>
      </x:c>
      <x:c r="D27" s="32" t="str">
        <x:v>489b7424f5051f7a276dafe8d5f318ccf1368d87</x:v>
      </x:c>
      <x:c r="E27" s="32" t="str">
        <x:v>GLONBW11</x:v>
      </x:c>
      <x:c r="F27" s="32" t="str">
        <x:v>local-filesystem</x:v>
      </x:c>
      <x:c r="G27" s="32" t="str">
        <x:v>3.14.2</x:v>
      </x:c>
      <x:c r="H27" s="32" t="str">
        <x:v>deterministic</x:v>
      </x:c>
      <x:c r="I27" s="32" t="n">
        <x:v>1000</x:v>
      </x:c>
      <x:c r="J27" s="32" t="n">
        <x:v>3</x:v>
      </x:c>
      <x:c r="K27" s="32" t="n">
        <x:v>3.0191474499999997</x:v>
      </x:c>
      <x:c r="L27" s="32" t="n">
        <x:v>37</x:v>
      </x:c>
      <x:c r="M27" s="32" t="n">
        <x:v>5</x:v>
      </x:c>
      <x:c r="N27" s="32" t="n">
        <x:v>10</x:v>
      </x:c>
      <x:c r="O27" s="32" t="n">
        <x:v>954.3446420000237</x:v>
      </x:c>
      <x:c r="P27" s="32" t="n">
        <x:v>992.8814136000256</x:v>
      </x:c>
      <x:c r="Q27" s="32" t="n">
        <x:v>1210.0901812800478</x:v>
      </x:c>
      <x:c r="R27" s="32" t="n">
        <x:v>1331.1897090000002</x:v>
      </x:c>
      <x:c r="S27" s="32" t="n">
        <x:v>0</x:v>
      </x:c>
      <x:c r="T27" s="43" t="n">
        <x:v>0</x:v>
      </x:c>
      <x:c r="U27" s="32" t="n">
        <x:v>97.0001149295107</x:v>
      </x:c>
      <x:c r="V27" s="32" t="n">
        <x:v>98.9630751078527</x:v>
      </x:c>
      <x:c r="W27" s="32" t="n">
        <x:v>132.4359691722973</x:v>
      </x:c>
      <x:c r="X27" s="32" t="n">
        <x:v>132.7265625</x:v>
      </x:c>
      <x:c r="Y27" s="32"/>
      <x:c r="Z27" s="32"/>
      <x:c r="AA27" s="32"/>
      <x:c r="AB27" s="32"/>
      <x:c r="AC27" s="32" t="n">
        <x:v>0</x:v>
      </x:c>
      <x:c r="AD27" s="32" t="n">
        <x:v>0</x:v>
      </x:c>
      <x:c r="AE27" s="32" t="n">
        <x:v>0</x:v>
      </x:c>
      <x:c r="AF27" s="32"/>
      <x:c r="AG27" s="32"/>
      <x:c r="AH27" s="32" t="n">
        <x:v>104.1123959998913</x:v>
      </x:c>
      <x:c r="AI27" s="32" t="str">
        <x:v>PASS</x:v>
      </x:c>
      <x:c r="AJ27" s="32" t="str">
        <x:v>GREEN</x:v>
      </x:c>
      <x:c r="AK27" s="32" t="str">
        <x:v>latest-narrow</x:v>
      </x:c>
      <x:c r="AL27" s="32" t="n">
        <x:v>1</x:v>
      </x:c>
      <x:c r="AM27" s="32" t="n">
        <x:v>1</x:v>
      </x:c>
      <x:c r="AN27" s="32" t="n">
        <x:v>1000</x:v>
      </x:c>
      <x:c r="AO27" s="32" t="n">
        <x:v>1</x:v>
      </x:c>
      <x:c r="AP27" s="32" t="n">
        <x:v>8132</x:v>
      </x:c>
      <x:c r="AQ27" s="32" t="n">
        <x:v>9.561186999917481</x:v>
      </x:c>
      <x:c r="AR27" s="32" t="n">
        <x:v>11.284082399924959</x:v>
      </x:c>
      <x:c r="AS27" s="32" t="n">
        <x:v>12.245356799885485</x:v>
      </x:c>
      <x:c r="AT27" s="32" t="n">
        <x:v>36</x:v>
      </x:c>
      <x:c r="AU27" s="32" t="str">
        <x:v>28×28 + 8×27</x:v>
      </x:c>
      <x:c r="AV27" s="32" t="n">
        <x:v>0.3249769999911223</x:v>
      </x:c>
      <x:c r="AW27" s="32" t="n">
        <x:v>0.4067979999035743</x:v>
      </x:c>
      <x:c r="AX27" s="32" t="n">
        <x:v>0.558329679997769</x:v>
      </x:c>
      <x:c r="AY27" s="32" t="str">
        <x:v>balanced</x:v>
      </x:c>
      <x:c r="AZ27" s="32" t="str">
        <x:v>PASS</x:v>
      </x:c>
      <x:c r="BA27" s="32" t="n">
        <x:v>500</x:v>
      </x:c>
      <x:c r="BB27" s="32" t="n">
        <x:v>500</x:v>
      </x:c>
      <x:c r="BC27" s="115" t="b">
        <x:v>1</x:v>
      </x:c>
      <x:c r="BD27" s="32" t="str">
        <x:v>PASS/GREEN. Indexed end-to-end run preserves R1 functional state while eliminating the hotspot. p95 0.993 s, 0 overruns; 1900 lookups with only 36 full durable-journal scans. Root cause confirmed: repeated journal rereads per missing-snapshot group.</x:v>
      </x:c>
      <x:c r="BE27" s="32" t="n">
        <x:v>0</x:v>
      </x:c>
      <x:c r="BF27" s="32" t="n">
        <x:v>0</x:v>
      </x:c>
      <x:c r="BG27" s="32" t="n">
        <x:v>0</x:v>
      </x:c>
      <x:c r="BH27" s="32" t="n">
        <x:v>0</x:v>
      </x:c>
      <x:c r="BI27" s="32" t="n">
        <x:v>0</x:v>
      </x:c>
      <x:c r="BJ27" s="32" t="n">
        <x:v>1000</x:v>
      </x:c>
      <x:c r="BK27" s="32" t="n">
        <x:v>1000</x:v>
      </x:c>
      <x:c r="BL27" s="32" t="n">
        <x:v>0</x:v>
      </x:c>
      <x:c r="BM27" s="32" t="n">
        <x:v>0</x:v>
      </x:c>
      <x:c r="BN27" s="32" t="n">
        <x:v>100</x:v>
      </x:c>
      <x:c r="BO27" s="32" t="n">
        <x:v>10</x:v>
      </x:c>
      <x:c r="BP27" s="32" t="n">
        <x:v>0</x:v>
      </x:c>
      <x:c r="BQ27" s="32" t="n">
        <x:v>50</x:v>
      </x:c>
      <x:c r="BR27" s="32" t="n">
        <x:v>18</x:v>
      </x:c>
      <x:c r="BS27" s="32" t="n">
        <x:v>0</x:v>
      </x:c>
      <x:c r="BT27" s="32" t="n">
        <x:v>50</x:v>
      </x:c>
      <x:c r="BU27" s="32" t="n">
        <x:v>50</x:v>
      </x:c>
      <x:c r="BV27" s="32" t="n">
        <x:v>0</x:v>
      </x:c>
      <x:c r="BW27" s="32" t="n">
        <x:v>500</x:v>
      </x:c>
      <x:c r="BX27" s="32" t="n">
        <x:v>500</x:v>
      </x:c>
      <x:c r="BY27" s="32" t="n">
        <x:v>0</x:v>
      </x:c>
      <x:c r="BZ27" s="32" t="n">
        <x:v>0</x:v>
      </x:c>
      <x:c r="CA27" s="32" t="n">
        <x:v>50</x:v>
      </x:c>
      <x:c r="CB27" s="32" t="n">
        <x:v>50</x:v>
      </x:c>
      <x:c r="CC27" s="32" t="n">
        <x:v>0</x:v>
      </x:c>
      <x:c r="CD27" s="32" t="n">
        <x:v>0</x:v>
      </x:c>
      <x:c r="CE27" s="32" t="n">
        <x:v>500</x:v>
      </x:c>
      <x:c r="CF27" s="32" t="n">
        <x:v>1000</x:v>
      </x:c>
      <x:c r="CG27" s="32" t="n">
        <x:v>500</x:v>
      </x:c>
      <x:c r="CH27" s="32" t="n">
        <x:v>0</x:v>
      </x:c>
      <x:c r="CI27" s="115" t="b">
        <x:v>1</x:v>
      </x:c>
      <x:c r="CJ27" s="32" t="n">
        <x:v>0</x:v>
      </x:c>
      <x:c r="CK27" s="32" t="n">
        <x:v>500</x:v>
      </x:c>
      <x:c r="CL27" s="32" t="n">
        <x:v>0</x:v>
      </x:c>
      <x:c r="CM27" s="32" t="n">
        <x:v>0</x:v>
      </x:c>
      <x:c r="CN27" s="32" t="n">
        <x:v>0</x:v>
      </x:c>
      <x:c r="CO27" s="32" t="n">
        <x:v>0</x:v>
      </x:c>
      <x:c r="CP27" s="32" t="n">
        <x:v>0</x:v>
      </x:c>
      <x:c r="CQ27" s="32" t="n">
        <x:v>0</x:v>
      </x:c>
      <x:c r="CR27" s="32" t="n">
        <x:v>0</x:v>
      </x:c>
      <x:c r="CS27" s="32" t="n">
        <x:v>0</x:v>
      </x:c>
      <x:c r="CT27" s="32" t="n">
        <x:v>0</x:v>
      </x:c>
      <x:c r="CU27" s="32" t="n">
        <x:v>0</x:v>
      </x:c>
      <x:c r="CV27" s="32" t="n">
        <x:v>0</x:v>
      </x:c>
      <x:c r="CW27" s="32" t="n">
        <x:v>0</x:v>
      </x:c>
      <x:c r="CX27" s="32" t="n">
        <x:v>0</x:v>
      </x:c>
      <x:c r="CY27" s="32" t="n">
        <x:v>0</x:v>
      </x:c>
      <x:c r="CZ27" s="32" t="n">
        <x:v>0</x:v>
      </x:c>
      <x:c r="DA27" s="32" t="n">
        <x:v>0</x:v>
      </x:c>
      <x:c r="DB27" s="32" t="n">
        <x:v>0</x:v>
      </x:c>
      <x:c r="DC27" s="32" t="n">
        <x:v>0</x:v>
      </x:c>
      <x:c r="DD27" s="32" t="n">
        <x:v>0</x:v>
      </x:c>
      <x:c r="DE27" s="32" t="n">
        <x:v>0</x:v>
      </x:c>
      <x:c r="DF27" s="32" t="n">
        <x:v>0</x:v>
      </x:c>
      <x:c r="DG27" s="32" t="n">
        <x:v>50</x:v>
      </x:c>
      <x:c r="DH27" s="32" t="str">
        <x:v>indexed</x:v>
      </x:c>
      <x:c r="DI27" s="32" t="n">
        <x:v>37</x:v>
      </x:c>
      <x:c r="DJ27" s="32" t="n">
        <x:v>1900</x:v>
      </x:c>
      <x:c r="DK27" s="32" t="n">
        <x:v>3934.3675330021597</x:v>
      </x:c>
      <x:c r="DL27" s="32" t="n">
        <x:v>36</x:v>
      </x:c>
      <x:c r="DM27" s="32" t="n">
        <x:v>3815.646829000343</x:v>
      </x:c>
      <x:c r="DN27" s="32" t="n">
        <x:v>1800</x:v>
      </x:c>
      <x:c r="DO27" s="32" t="n">
        <x:v>36</x:v>
      </x:c>
      <x:c r="DP27" s="32" t="n">
        <x:v>0.32189000012294855</x:v>
      </x:c>
      <x:c r="DQ27" s="32"/>
      <x:c r="DR27" s="32"/>
      <x:c r="DS27" s="32"/>
      <x:c r="DT27" s="32"/>
      <x:c r="DU27" s="32"/>
      <x:c r="DV27" s="32"/>
      <x:c r="DW27" s="32"/>
      <x:c r="DX27" s="32"/>
      <x:c r="DY27" s="32"/>
      <x:c r="DZ27" s="32"/>
      <x:c r="EA27" s="32"/>
      <x:c r="EB27" s="32"/>
      <x:c r="EC27" s="32"/>
      <x:c r="ED27" s="32"/>
      <x:c r="EE27" s="32"/>
      <x:c r="EF27" s="32"/>
      <x:c r="EG27" s="32"/>
      <x:c r="EH27" s="32"/>
      <x:c r="EI27" s="32"/>
      <x:c r="EJ27" s="32"/>
      <x:c r="EK27" s="32"/>
      <x:c r="EL27" s="32"/>
      <x:c r="EM27" s="32"/>
      <x:c r="EN27" s="32"/>
      <x:c r="EO27" s="32"/>
      <x:c r="EP27" s="32"/>
      <x:c r="EQ27" s="32"/>
      <x:c r="ER27" s="32"/>
      <x:c r="ES27" s="32"/>
      <x:c r="ET27" s="32"/>
      <x:c r="EU27" s="32"/>
      <x:c r="EV27" s="32"/>
      <x:c r="EW27" s="32"/>
      <x:c r="EX27" s="32"/>
      <x:c r="EY27" s="32"/>
      <x:c r="EZ27" s="32"/>
      <x:c r="FA27" s="32"/>
      <x:c r="FB27" s="32"/>
      <x:c r="FC27" s="32"/>
      <x:c r="FD27" s="32"/>
      <x:c r="FE27" s="32"/>
      <x:c r="FF27" s="32"/>
      <x:c r="FG27" s="32"/>
      <x:c r="FH27" s="32"/>
      <x:c r="FI27" s="32"/>
      <x:c r="FJ27" s="32"/>
      <x:c r="FK27" s="32"/>
      <x:c r="FL27" s="32"/>
      <x:c r="FM27" s="32"/>
      <x:c r="FN27" s="32"/>
      <x:c r="FO27" s="32"/>
      <x:c r="FP27" s="32"/>
      <x:c r="FQ27" s="32"/>
      <x:c r="FR27" s="32"/>
      <x:c r="FS27" s="32"/>
      <x:c r="FT27" s="32"/>
      <x:c r="FU27" s="32"/>
      <x:c r="FV27" s="32"/>
      <x:c r="FW27" s="32"/>
      <x:c r="FX27" s="32"/>
      <x:c r="FY27" s="32"/>
      <x:c r="FZ27" s="32"/>
      <x:c r="GA27" s="32"/>
      <x:c r="GB27" s="32"/>
      <x:c r="GC27" s="32"/>
      <x:c r="GD27" s="32"/>
      <x:c r="GE27" s="32"/>
      <x:c r="GF27" s="32"/>
      <x:c r="GG27" s="32"/>
      <x:c r="GH27" s="32"/>
      <x:c r="GI27" s="32"/>
      <x:c r="GJ27" s="32"/>
      <x:c r="GK27" s="32"/>
      <x:c r="GL27" s="32"/>
      <x:c r="GM27" s="32"/>
      <x:c r="GN27" s="32"/>
      <x:c r="GO27" s="32"/>
      <x:c r="GP27" s="32"/>
      <x:c r="GQ27" s="32"/>
      <x:c r="GR27" s="32"/>
      <x:c r="GS27" s="32"/>
      <x:c r="GT27" s="32"/>
      <x:c r="GU27" s="32"/>
      <x:c r="GV27" s="32"/>
      <x:c r="GW27" s="32"/>
      <x:c r="GX27" s="32"/>
      <x:c r="GY27" s="32"/>
      <x:c r="GZ27" s="32"/>
      <x:c r="HA27" s="32"/>
      <x:c r="HB27" s="32"/>
      <x:c r="HC27" s="32"/>
      <x:c r="HD27" s="32"/>
      <x:c r="HE27" s="32"/>
      <x:c r="HF27" s="32"/>
      <x:c r="HG27" s="32"/>
      <x:c r="HH27" s="32"/>
      <x:c r="HI27" s="32"/>
      <x:c r="HJ27" s="32"/>
      <x:c r="HK27" s="32"/>
      <x:c r="HL27" s="32"/>
      <x:c r="HM27" s="32"/>
      <x:c r="HN27" s="32"/>
      <x:c r="HO27" s="32"/>
      <x:c r="HP27" s="32"/>
      <x:c r="HQ27" s="32"/>
      <x:c r="HR27" s="32"/>
      <x:c r="HS27" s="32"/>
      <x:c r="HT27" s="32"/>
      <x:c r="HU27" s="32"/>
      <x:c r="HV27" s="32"/>
      <x:c r="HW27" s="32"/>
      <x:c r="HX27" s="32"/>
      <x:c r="HY27" s="32"/>
    </x:row>
    <x:row r="28">
      <x:c r="A28" s="32" t="str">
        <x:v>aaa915fa-41f3-4bac-8778-35c764634764</x:v>
      </x:c>
      <x:c r="B28" s="32" t="str">
        <x:v>C-004-R3</x:v>
      </x:c>
      <x:c r="C28" s="42" t="n">
        <x:v>46260.85099537037</x:v>
      </x:c>
      <x:c r="D28" s="32" t="str">
        <x:v>489b7424f5051f7a276dafe8d5f318ccf1368d87</x:v>
      </x:c>
      <x:c r="E28" s="32" t="str">
        <x:v>GLONBW11</x:v>
      </x:c>
      <x:c r="F28" s="32" t="str">
        <x:v>local-filesystem</x:v>
      </x:c>
      <x:c r="G28" s="32" t="str">
        <x:v>3.14.2</x:v>
      </x:c>
      <x:c r="H28" s="32" t="str">
        <x:v>deterministic</x:v>
      </x:c>
      <x:c r="I28" s="32" t="n">
        <x:v>1000</x:v>
      </x:c>
      <x:c r="J28" s="32" t="n">
        <x:v>5</x:v>
      </x:c>
      <x:c r="K28" s="32" t="n">
        <x:v>5.02777835</x:v>
      </x:c>
      <x:c r="L28" s="32" t="n">
        <x:v>61</x:v>
      </x:c>
      <x:c r="M28" s="32" t="n">
        <x:v>5</x:v>
      </x:c>
      <x:c r="N28" s="32" t="n">
        <x:v>10</x:v>
      </x:c>
      <x:c r="O28" s="32" t="n">
        <x:v>956.8564029996196</x:v>
      </x:c>
      <x:c r="P28" s="32" t="n">
        <x:v>987.9732889994557</x:v>
      </x:c>
      <x:c r="Q28" s="32" t="n">
        <x:v>1335.7436707996383</x:v>
      </x:c>
      <x:c r="R28" s="32" t="n">
        <x:v>1392.9694789994755</x:v>
      </x:c>
      <x:c r="S28" s="32" t="n">
        <x:v>0</x:v>
      </x:c>
      <x:c r="T28" s="43" t="n">
        <x:v>0</x:v>
      </x:c>
      <x:c r="U28" s="32" t="n">
        <x:v>97.85326978719431</x:v>
      </x:c>
      <x:c r="V28" s="32" t="n">
        <x:v>100.51743954885852</x:v>
      </x:c>
      <x:c r="W28" s="32" t="n">
        <x:v>132.76837858606558</x:v>
      </x:c>
      <x:c r="X28" s="32" t="n">
        <x:v>132.89453125</x:v>
      </x:c>
      <x:c r="Y28" s="32"/>
      <x:c r="Z28" s="32"/>
      <x:c r="AA28" s="32"/>
      <x:c r="AB28" s="32"/>
      <x:c r="AC28" s="32" t="n">
        <x:v>0</x:v>
      </x:c>
      <x:c r="AD28" s="32" t="n">
        <x:v>0</x:v>
      </x:c>
      <x:c r="AE28" s="32" t="n">
        <x:v>0</x:v>
      </x:c>
      <x:c r="AF28" s="32"/>
      <x:c r="AG28" s="32"/>
      <x:c r="AH28" s="32" t="n">
        <x:v>166.16460900058883</x:v>
      </x:c>
      <x:c r="AI28" s="32" t="str">
        <x:v>PASS</x:v>
      </x:c>
      <x:c r="AJ28" s="32" t="str">
        <x:v>GREEN</x:v>
      </x:c>
      <x:c r="AK28" s="32" t="str">
        <x:v>latest-narrow</x:v>
      </x:c>
      <x:c r="AL28" s="32" t="n">
        <x:v>1</x:v>
      </x:c>
      <x:c r="AM28" s="32" t="n">
        <x:v>1</x:v>
      </x:c>
      <x:c r="AN28" s="32" t="n">
        <x:v>1000</x:v>
      </x:c>
      <x:c r="AO28" s="32" t="n">
        <x:v>1</x:v>
      </x:c>
      <x:c r="AP28" s="32" t="n">
        <x:v>8132</x:v>
      </x:c>
      <x:c r="AQ28" s="32" t="n">
        <x:v>9.445153000342543</x:v>
      </x:c>
      <x:c r="AR28" s="32" t="n">
        <x:v>11.46678300028725</x:v>
      </x:c>
      <x:c r="AS28" s="32" t="n">
        <x:v>11.854974999914702</x:v>
      </x:c>
      <x:c r="AT28" s="32" t="n">
        <x:v>36</x:v>
      </x:c>
      <x:c r="AU28" s="32" t="str">
        <x:v>28×28 + 8×27</x:v>
      </x:c>
      <x:c r="AV28" s="32" t="n">
        <x:v>0.3229359999750159</x:v>
      </x:c>
      <x:c r="AW28" s="32" t="n">
        <x:v>0.38186100027814973</x:v>
      </x:c>
      <x:c r="AX28" s="32" t="n">
        <x:v>0.5087100002128861</x:v>
      </x:c>
      <x:c r="AY28" s="32" t="str">
        <x:v>balanced</x:v>
      </x:c>
      <x:c r="AZ28" s="32" t="str">
        <x:v>PASS</x:v>
      </x:c>
      <x:c r="BA28" s="32" t="n">
        <x:v>500</x:v>
      </x:c>
      <x:c r="BB28" s="32" t="n">
        <x:v>500</x:v>
      </x:c>
      <x:c r="BC28" s="115" t="b">
        <x:v>1</x:v>
      </x:c>
      <x:c r="BD28" s="32" t="str">
        <x:v>PASS/GREEN on product runtime 0.14.2 with harness lookup mode=baseline. p95 0.988 s and 0 overruns; exact 50/50 functional state. WAL independently confirms 50 lifecycle bootstrap + 50 evidence-only commits at t≈300 s.</x:v>
      </x:c>
      <x:c r="BE28" s="32" t="n">
        <x:v>0</x:v>
      </x:c>
      <x:c r="BF28" s="32" t="n">
        <x:v>0</x:v>
      </x:c>
      <x:c r="BG28" s="32" t="n">
        <x:v>0</x:v>
      </x:c>
      <x:c r="BH28" s="32" t="n">
        <x:v>0</x:v>
      </x:c>
      <x:c r="BI28" s="32" t="n">
        <x:v>0</x:v>
      </x:c>
      <x:c r="BJ28" s="32" t="n">
        <x:v>1000</x:v>
      </x:c>
      <x:c r="BK28" s="32" t="n">
        <x:v>1000</x:v>
      </x:c>
      <x:c r="BL28" s="32" t="n">
        <x:v>0</x:v>
      </x:c>
      <x:c r="BM28" s="32" t="n">
        <x:v>0</x:v>
      </x:c>
      <x:c r="BN28" s="32" t="n">
        <x:v>100</x:v>
      </x:c>
      <x:c r="BO28" s="32" t="n">
        <x:v>10</x:v>
      </x:c>
      <x:c r="BP28" s="32" t="n">
        <x:v>0</x:v>
      </x:c>
      <x:c r="BQ28" s="32" t="n">
        <x:v>50</x:v>
      </x:c>
      <x:c r="BR28" s="32" t="n">
        <x:v>30</x:v>
      </x:c>
      <x:c r="BS28" s="32" t="n">
        <x:v>0</x:v>
      </x:c>
      <x:c r="BT28" s="32" t="n">
        <x:v>50</x:v>
      </x:c>
      <x:c r="BU28" s="32" t="n">
        <x:v>50</x:v>
      </x:c>
      <x:c r="BV28" s="32" t="n">
        <x:v>0</x:v>
      </x:c>
      <x:c r="BW28" s="32" t="n">
        <x:v>500</x:v>
      </x:c>
      <x:c r="BX28" s="32" t="n">
        <x:v>500</x:v>
      </x:c>
      <x:c r="BY28" s="32" t="n">
        <x:v>0</x:v>
      </x:c>
      <x:c r="BZ28" s="32" t="n">
        <x:v>0</x:v>
      </x:c>
      <x:c r="CA28" s="32" t="n">
        <x:v>50</x:v>
      </x:c>
      <x:c r="CB28" s="32" t="n">
        <x:v>50</x:v>
      </x:c>
      <x:c r="CC28" s="32" t="n">
        <x:v>0</x:v>
      </x:c>
      <x:c r="CD28" s="32" t="n">
        <x:v>0</x:v>
      </x:c>
      <x:c r="CE28" s="32" t="n">
        <x:v>500</x:v>
      </x:c>
      <x:c r="CF28" s="32" t="n">
        <x:v>1000</x:v>
      </x:c>
      <x:c r="CG28" s="32" t="n">
        <x:v>1000</x:v>
      </x:c>
      <x:c r="CH28" s="32" t="n">
        <x:v>50</x:v>
      </x:c>
      <x:c r="CI28" s="115" t="b">
        <x:v>1</x:v>
      </x:c>
      <x:c r="CJ28" s="32" t="n">
        <x:v>0</x:v>
      </x:c>
      <x:c r="CK28" s="32" t="n">
        <x:v>500</x:v>
      </x:c>
      <x:c r="CL28" s="32" t="n">
        <x:v>0</x:v>
      </x:c>
      <x:c r="CM28" s="32" t="n">
        <x:v>0</x:v>
      </x:c>
      <x:c r="CN28" s="32" t="n">
        <x:v>0</x:v>
      </x:c>
      <x:c r="CO28" s="32" t="n">
        <x:v>0</x:v>
      </x:c>
      <x:c r="CP28" s="32" t="n">
        <x:v>0</x:v>
      </x:c>
      <x:c r="CQ28" s="32" t="n">
        <x:v>0</x:v>
      </x:c>
      <x:c r="CR28" s="32" t="n">
        <x:v>0</x:v>
      </x:c>
      <x:c r="CS28" s="32" t="n">
        <x:v>0</x:v>
      </x:c>
      <x:c r="CT28" s="32" t="n">
        <x:v>0</x:v>
      </x:c>
      <x:c r="CU28" s="32" t="n">
        <x:v>0</x:v>
      </x:c>
      <x:c r="CV28" s="32" t="n">
        <x:v>0</x:v>
      </x:c>
      <x:c r="CW28" s="32" t="n">
        <x:v>0</x:v>
      </x:c>
      <x:c r="CX28" s="32" t="n">
        <x:v>0</x:v>
      </x:c>
      <x:c r="CY28" s="32" t="n">
        <x:v>0</x:v>
      </x:c>
      <x:c r="CZ28" s="32" t="n">
        <x:v>0</x:v>
      </x:c>
      <x:c r="DA28" s="32" t="n">
        <x:v>0</x:v>
      </x:c>
      <x:c r="DB28" s="32" t="n">
        <x:v>0</x:v>
      </x:c>
      <x:c r="DC28" s="32" t="n">
        <x:v>0</x:v>
      </x:c>
      <x:c r="DD28" s="32" t="n">
        <x:v>0</x:v>
      </x:c>
      <x:c r="DE28" s="32" t="n">
        <x:v>0</x:v>
      </x:c>
      <x:c r="DF28" s="32" t="n">
        <x:v>0</x:v>
      </x:c>
      <x:c r="DG28" s="32" t="n">
        <x:v>50</x:v>
      </x:c>
      <x:c r="DH28" s="32" t="str">
        <x:v>baseline</x:v>
      </x:c>
      <x:c r="DI28" s="32" t="n">
        <x:v>61</x:v>
      </x:c>
      <x:c r="DJ28" s="32" t="n">
        <x:v>0</x:v>
      </x:c>
      <x:c r="DK28" s="32" t="n">
        <x:v>0</x:v>
      </x:c>
      <x:c r="DL28" s="32" t="n">
        <x:v>0</x:v>
      </x:c>
      <x:c r="DM28" s="32" t="n">
        <x:v>0</x:v>
      </x:c>
      <x:c r="DN28" s="32" t="n">
        <x:v>0</x:v>
      </x:c>
      <x:c r="DO28" s="32" t="n">
        <x:v>0</x:v>
      </x:c>
      <x:c r="DP28" s="32" t="n">
        <x:v>0</x:v>
      </x:c>
      <x:c r="DQ28" s="32"/>
      <x:c r="DR28" s="32"/>
      <x:c r="DS28" s="32"/>
      <x:c r="DT28" s="32"/>
      <x:c r="DU28" s="32"/>
      <x:c r="DV28" s="32"/>
      <x:c r="DW28" s="32"/>
      <x:c r="DX28" s="32"/>
      <x:c r="DY28" s="32"/>
      <x:c r="DZ28" s="32"/>
      <x:c r="EA28" s="32"/>
      <x:c r="EB28" s="32"/>
      <x:c r="EC28" s="32"/>
      <x:c r="ED28" s="32"/>
      <x:c r="EE28" s="32"/>
      <x:c r="EF28" s="32"/>
      <x:c r="EG28" s="32"/>
      <x:c r="EH28" s="32"/>
      <x:c r="EI28" s="32"/>
      <x:c r="EJ28" s="32"/>
      <x:c r="EK28" s="32"/>
      <x:c r="EL28" s="32"/>
      <x:c r="EM28" s="32"/>
      <x:c r="EN28" s="32"/>
      <x:c r="EO28" s="32"/>
      <x:c r="EP28" s="32"/>
      <x:c r="EQ28" s="32"/>
      <x:c r="ER28" s="32"/>
      <x:c r="ES28" s="32"/>
      <x:c r="ET28" s="32"/>
      <x:c r="EU28" s="32"/>
      <x:c r="EV28" s="32"/>
      <x:c r="EW28" s="32"/>
      <x:c r="EX28" s="32"/>
      <x:c r="EY28" s="32"/>
      <x:c r="EZ28" s="32"/>
      <x:c r="FA28" s="32"/>
      <x:c r="FB28" s="32"/>
      <x:c r="FC28" s="32"/>
      <x:c r="FD28" s="32"/>
      <x:c r="FE28" s="32"/>
      <x:c r="FF28" s="32"/>
      <x:c r="FG28" s="32"/>
      <x:c r="FH28" s="32"/>
      <x:c r="FI28" s="32"/>
      <x:c r="FJ28" s="32"/>
      <x:c r="FK28" s="32"/>
      <x:c r="FL28" s="32"/>
      <x:c r="FM28" s="32"/>
      <x:c r="FN28" s="32"/>
      <x:c r="FO28" s="32"/>
      <x:c r="FP28" s="32"/>
      <x:c r="FQ28" s="32"/>
      <x:c r="FR28" s="32"/>
      <x:c r="FS28" s="32"/>
      <x:c r="FT28" s="32"/>
      <x:c r="FU28" s="32"/>
      <x:c r="FV28" s="32"/>
      <x:c r="FW28" s="32"/>
      <x:c r="FX28" s="32"/>
      <x:c r="FY28" s="32"/>
      <x:c r="FZ28" s="32"/>
      <x:c r="GA28" s="32"/>
      <x:c r="GB28" s="32"/>
      <x:c r="GC28" s="32"/>
      <x:c r="GD28" s="32"/>
      <x:c r="GE28" s="32"/>
      <x:c r="GF28" s="32"/>
      <x:c r="GG28" s="32"/>
      <x:c r="GH28" s="32"/>
      <x:c r="GI28" s="32"/>
      <x:c r="GJ28" s="32"/>
      <x:c r="GK28" s="32"/>
      <x:c r="GL28" s="32"/>
      <x:c r="GM28" s="32"/>
      <x:c r="GN28" s="32"/>
      <x:c r="GO28" s="32"/>
      <x:c r="GP28" s="32"/>
      <x:c r="GQ28" s="32"/>
      <x:c r="GR28" s="32"/>
      <x:c r="GS28" s="32"/>
      <x:c r="GT28" s="32"/>
      <x:c r="GU28" s="32"/>
      <x:c r="GV28" s="32"/>
      <x:c r="GW28" s="32"/>
      <x:c r="GX28" s="32"/>
      <x:c r="GY28" s="32"/>
      <x:c r="GZ28" s="32"/>
      <x:c r="HA28" s="32"/>
      <x:c r="HB28" s="32"/>
      <x:c r="HC28" s="32"/>
      <x:c r="HD28" s="32"/>
      <x:c r="HE28" s="32"/>
      <x:c r="HF28" s="32"/>
      <x:c r="HG28" s="32"/>
      <x:c r="HH28" s="32"/>
      <x:c r="HI28" s="32"/>
      <x:c r="HJ28" s="32"/>
      <x:c r="HK28" s="32"/>
      <x:c r="HL28" s="32"/>
      <x:c r="HM28" s="32"/>
      <x:c r="HN28" s="32"/>
      <x:c r="HO28" s="32"/>
      <x:c r="HP28" s="32"/>
      <x:c r="HQ28" s="32"/>
      <x:c r="HR28" s="32"/>
      <x:c r="HS28" s="32"/>
      <x:c r="HT28" s="32"/>
      <x:c r="HU28" s="32"/>
      <x:c r="HV28" s="32"/>
      <x:c r="HW28" s="32"/>
      <x:c r="HX28" s="32"/>
      <x:c r="HY28" s="32"/>
    </x:row>
    <x:row r="29">
      <x:c r="A29" s="32" t="str">
        <x:v>c3547859-d2f4-4280-8359-e9913eb80e75</x:v>
      </x:c>
      <x:c r="B29" s="32" t="str">
        <x:v>C-005</x:v>
      </x:c>
      <x:c r="C29" s="42" t="n">
        <x:v>46260.87045138889</x:v>
      </x:c>
      <x:c r="D29" s="32" t="str">
        <x:v>489b7424f5051f7a276dafe8d5f318ccf1368d87</x:v>
      </x:c>
      <x:c r="E29" s="32" t="str">
        <x:v>GLONBW11</x:v>
      </x:c>
      <x:c r="F29" s="32" t="str">
        <x:v>local-filesystem</x:v>
      </x:c>
      <x:c r="G29" s="32" t="str">
        <x:v>3.14.2</x:v>
      </x:c>
      <x:c r="H29" s="32" t="str">
        <x:v>deterministic</x:v>
      </x:c>
      <x:c r="I29" s="32" t="n">
        <x:v>1000</x:v>
      </x:c>
      <x:c r="J29" s="32" t="n">
        <x:v>5</x:v>
      </x:c>
      <x:c r="K29" s="32" t="n">
        <x:v>5.042782</x:v>
      </x:c>
      <x:c r="L29" s="32" t="n">
        <x:v>61</x:v>
      </x:c>
      <x:c r="M29" s="32" t="n">
        <x:v>5</x:v>
      </x:c>
      <x:c r="N29" s="32" t="n">
        <x:v>10</x:v>
      </x:c>
      <x:c r="O29" s="32" t="n">
        <x:v>956.0526260002007</x:v>
      </x:c>
      <x:c r="P29" s="32" t="n">
        <x:v>978.1102820006708</x:v>
      </x:c>
      <x:c r="Q29" s="32" t="n">
        <x:v>1985.744534600053</x:v>
      </x:c>
      <x:c r="R29" s="32" t="n">
        <x:v>2057.6445739998235</x:v>
      </x:c>
      <x:c r="S29" s="32" t="n">
        <x:v>0</x:v>
      </x:c>
      <x:c r="T29" s="43" t="n">
        <x:v>0</x:v>
      </x:c>
      <x:c r="U29" s="32" t="n">
        <x:v>97.4690542691785</x:v>
      </x:c>
      <x:c r="V29" s="32" t="n">
        <x:v>100.24174125855447</x:v>
      </x:c>
      <x:c r="W29" s="32" t="n">
        <x:v>143.24910348360655</x:v>
      </x:c>
      <x:c r="X29" s="32" t="n">
        <x:v>144.15234375</x:v>
      </x:c>
      <x:c r="Y29" s="32"/>
      <x:c r="Z29" s="32"/>
      <x:c r="AA29" s="32"/>
      <x:c r="AB29" s="32"/>
      <x:c r="AC29" s="32" t="n">
        <x:v>0</x:v>
      </x:c>
      <x:c r="AD29" s="32" t="n">
        <x:v>0</x:v>
      </x:c>
      <x:c r="AE29" s="32" t="n">
        <x:v>0</x:v>
      </x:c>
      <x:c r="AF29" s="32"/>
      <x:c r="AG29" s="32"/>
      <x:c r="AH29" s="32" t="n">
        <x:v>520.5612589998054</x:v>
      </x:c>
      <x:c r="AI29" s="32" t="str">
        <x:v>PASS</x:v>
      </x:c>
      <x:c r="AJ29" s="32" t="str">
        <x:v>GREEN</x:v>
      </x:c>
      <x:c r="AK29" s="32" t="str">
        <x:v>latest-narrow</x:v>
      </x:c>
      <x:c r="AL29" s="32" t="n">
        <x:v>1</x:v>
      </x:c>
      <x:c r="AM29" s="32" t="n">
        <x:v>1</x:v>
      </x:c>
      <x:c r="AN29" s="32" t="n">
        <x:v>1000</x:v>
      </x:c>
      <x:c r="AO29" s="32" t="n">
        <x:v>1</x:v>
      </x:c>
      <x:c r="AP29" s="32" t="n">
        <x:v>8132</x:v>
      </x:c>
      <x:c r="AQ29" s="32" t="n">
        <x:v>4.231708999213879</x:v>
      </x:c>
      <x:c r="AR29" s="32" t="n">
        <x:v>5.303578999701131</x:v>
      </x:c>
      <x:c r="AS29" s="32" t="n">
        <x:v>7.52145480000763</x:v>
      </x:c>
      <x:c r="AT29" s="32" t="n">
        <x:v>36</x:v>
      </x:c>
      <x:c r="AU29" s="32" t="str">
        <x:v>28×28 + 8×27</x:v>
      </x:c>
      <x:c r="AV29" s="32" t="n">
        <x:v>0.38880299962329445</x:v>
      </x:c>
      <x:c r="AW29" s="32" t="n">
        <x:v>0.5046900005254429</x:v>
      </x:c>
      <x:c r="AX29" s="32" t="n">
        <x:v>0.8458459999019391</x:v>
      </x:c>
      <x:c r="AY29" s="32" t="str">
        <x:v>balanced</x:v>
      </x:c>
      <x:c r="AZ29" s="32" t="str">
        <x:v>PASS</x:v>
      </x:c>
      <x:c r="BA29" s="32" t="n">
        <x:v>1000</x:v>
      </x:c>
      <x:c r="BB29" s="32" t="n">
        <x:v>0</x:v>
      </x:c>
      <x:c r="BC29" s="115" t="b">
        <x:v>1</x:v>
      </x:c>
      <x:c r="BD29" s="32" t="str">
        <x:v>PASS/GREEN. Real C1 origin+3 fan-out produced 4000 ASSIGNED and zero delayed/pending changes. Steady p95≈0.975 s with 0 overruns; increased WAL/RSS is bounded and attributable to larger routing state.</x:v>
      </x:c>
      <x:c r="BE29" s="32" t="n">
        <x:v>0</x:v>
      </x:c>
      <x:c r="BF29" s="32" t="n">
        <x:v>0</x:v>
      </x:c>
      <x:c r="BG29" s="32" t="n">
        <x:v>0</x:v>
      </x:c>
      <x:c r="BH29" s="32" t="n">
        <x:v>0</x:v>
      </x:c>
      <x:c r="BI29" s="32" t="n">
        <x:v>0</x:v>
      </x:c>
      <x:c r="BJ29" s="32" t="n">
        <x:v>1000</x:v>
      </x:c>
      <x:c r="BK29" s="32" t="n">
        <x:v>1000</x:v>
      </x:c>
      <x:c r="BL29" s="32" t="n">
        <x:v>0</x:v>
      </x:c>
      <x:c r="BM29" s="32" t="n">
        <x:v>0</x:v>
      </x:c>
      <x:c r="BN29" s="32" t="n">
        <x:v>100</x:v>
      </x:c>
      <x:c r="BO29" s="32" t="n">
        <x:v>10</x:v>
      </x:c>
      <x:c r="BP29" s="32" t="n">
        <x:v>0</x:v>
      </x:c>
      <x:c r="BQ29" s="32" t="n">
        <x:v>100</x:v>
      </x:c>
      <x:c r="BR29" s="32" t="n">
        <x:v>0</x:v>
      </x:c>
      <x:c r="BS29" s="32" t="n">
        <x:v>0</x:v>
      </x:c>
      <x:c r="BT29" s="32" t="n">
        <x:v>100</x:v>
      </x:c>
      <x:c r="BU29" s="32" t="n">
        <x:v>100</x:v>
      </x:c>
      <x:c r="BV29" s="32" t="n">
        <x:v>0</x:v>
      </x:c>
      <x:c r="BW29" s="32" t="n">
        <x:v>1000</x:v>
      </x:c>
      <x:c r="BX29" s="32" t="n">
        <x:v>1000</x:v>
      </x:c>
      <x:c r="BY29" s="32" t="n">
        <x:v>0</x:v>
      </x:c>
      <x:c r="BZ29" s="32" t="n">
        <x:v>0</x:v>
      </x:c>
      <x:c r="CA29" s="32" t="n">
        <x:v>100</x:v>
      </x:c>
      <x:c r="CB29" s="32" t="n">
        <x:v>100</x:v>
      </x:c>
      <x:c r="CC29" s="32" t="n">
        <x:v>0</x:v>
      </x:c>
      <x:c r="CD29" s="32" t="n">
        <x:v>0</x:v>
      </x:c>
      <x:c r="CE29" s="32" t="n">
        <x:v>4000</x:v>
      </x:c>
      <x:c r="CF29" s="32" t="n">
        <x:v>5000</x:v>
      </x:c>
      <x:c r="CG29" s="32" t="n">
        <x:v>2000</x:v>
      </x:c>
      <x:c r="CH29" s="32" t="n">
        <x:v>100</x:v>
      </x:c>
      <x:c r="CI29" s="115" t="b">
        <x:v>1</x:v>
      </x:c>
      <x:c r="CJ29" s="32" t="n">
        <x:v>0</x:v>
      </x:c>
      <x:c r="CK29" s="32" t="n">
        <x:v>4000</x:v>
      </x:c>
      <x:c r="CL29" s="32" t="n">
        <x:v>0</x:v>
      </x:c>
      <x:c r="CM29" s="32" t="n">
        <x:v>0</x:v>
      </x:c>
      <x:c r="CN29" s="32" t="n">
        <x:v>0</x:v>
      </x:c>
      <x:c r="CO29" s="32" t="n">
        <x:v>0</x:v>
      </x:c>
      <x:c r="CP29" s="32" t="n">
        <x:v>0</x:v>
      </x:c>
      <x:c r="CQ29" s="32" t="n">
        <x:v>0</x:v>
      </x:c>
      <x:c r="CR29" s="32" t="n">
        <x:v>0</x:v>
      </x:c>
      <x:c r="CS29" s="32" t="n">
        <x:v>0</x:v>
      </x:c>
      <x:c r="CT29" s="32" t="n">
        <x:v>0</x:v>
      </x:c>
      <x:c r="CU29" s="32" t="n">
        <x:v>0</x:v>
      </x:c>
      <x:c r="CV29" s="32" t="n">
        <x:v>0</x:v>
      </x:c>
      <x:c r="CW29" s="32" t="n">
        <x:v>0</x:v>
      </x:c>
      <x:c r="CX29" s="32" t="n">
        <x:v>0</x:v>
      </x:c>
      <x:c r="CY29" s="32" t="n">
        <x:v>0</x:v>
      </x:c>
      <x:c r="CZ29" s="32" t="n">
        <x:v>0</x:v>
      </x:c>
      <x:c r="DA29" s="32" t="n">
        <x:v>0</x:v>
      </x:c>
      <x:c r="DB29" s="32" t="n">
        <x:v>0</x:v>
      </x:c>
      <x:c r="DC29" s="32" t="n">
        <x:v>0</x:v>
      </x:c>
      <x:c r="DD29" s="32" t="n">
        <x:v>0</x:v>
      </x:c>
      <x:c r="DE29" s="32" t="n">
        <x:v>0</x:v>
      </x:c>
      <x:c r="DF29" s="32" t="n">
        <x:v>0</x:v>
      </x:c>
      <x:c r="DG29" s="32" t="n">
        <x:v>0</x:v>
      </x:c>
      <x:c r="DH29" s="32" t="str">
        <x:v>baseline</x:v>
      </x:c>
      <x:c r="DI29" s="32" t="n">
        <x:v>61</x:v>
      </x:c>
      <x:c r="DJ29" s="32" t="n">
        <x:v>0</x:v>
      </x:c>
      <x:c r="DK29" s="32" t="n">
        <x:v>0</x:v>
      </x:c>
      <x:c r="DL29" s="32" t="n">
        <x:v>0</x:v>
      </x:c>
      <x:c r="DM29" s="32" t="n">
        <x:v>0</x:v>
      </x:c>
      <x:c r="DN29" s="32" t="n">
        <x:v>0</x:v>
      </x:c>
      <x:c r="DO29" s="32" t="n">
        <x:v>0</x:v>
      </x:c>
      <x:c r="DP29" s="32" t="n">
        <x:v>0</x:v>
      </x:c>
      <x:c r="DQ29" s="32" t="str">
        <x:v>C1</x:v>
      </x:c>
      <x:c r="DR29" s="32" t="n">
        <x:v>3</x:v>
      </x:c>
      <x:c r="DS29" s="32" t="n">
        <x:v>4000</x:v>
      </x:c>
      <x:c r="DT29" s="32" t="n">
        <x:v>4000</x:v>
      </x:c>
      <x:c r="DU29" s="32" t="n">
        <x:v>0</x:v>
      </x:c>
      <x:c r="DV29" s="32" t="n">
        <x:v>0</x:v>
      </x:c>
      <x:c r="DW29" s="32" t="n">
        <x:v>0</x:v>
      </x:c>
      <x:c r="DX29" s="32" t="n">
        <x:v>4000</x:v>
      </x:c>
      <x:c r="DY29" s="32" t="n">
        <x:v>4000</x:v>
      </x:c>
      <x:c r="DZ29" s="32" t="n">
        <x:v>0</x:v>
      </x:c>
      <x:c r="EA29" s="32" t="n">
        <x:v>0</x:v>
      </x:c>
      <x:c r="EB29" s="32"/>
      <x:c r="EC29" s="32"/>
      <x:c r="ED29" s="32"/>
      <x:c r="EE29" s="32"/>
      <x:c r="EF29" s="32"/>
      <x:c r="EG29" s="32"/>
      <x:c r="EH29" s="32"/>
      <x:c r="EI29" s="32"/>
      <x:c r="EJ29" s="32"/>
      <x:c r="EK29" s="32"/>
      <x:c r="EL29" s="32"/>
      <x:c r="EM29" s="32"/>
      <x:c r="EN29" s="32"/>
      <x:c r="EO29" s="32"/>
      <x:c r="EP29" s="32"/>
      <x:c r="EQ29" s="32"/>
      <x:c r="ER29" s="32"/>
      <x:c r="ES29" s="32"/>
      <x:c r="ET29" s="32"/>
      <x:c r="EU29" s="32"/>
      <x:c r="EV29" s="32"/>
      <x:c r="EW29" s="32"/>
      <x:c r="EX29" s="32"/>
      <x:c r="EY29" s="32"/>
      <x:c r="EZ29" s="32"/>
      <x:c r="FA29" s="32"/>
      <x:c r="FB29" s="32"/>
      <x:c r="FC29" s="32"/>
      <x:c r="FD29" s="32"/>
      <x:c r="FE29" s="32"/>
      <x:c r="FF29" s="32"/>
      <x:c r="FG29" s="32"/>
      <x:c r="FH29" s="32"/>
      <x:c r="FI29" s="32"/>
      <x:c r="FJ29" s="32"/>
      <x:c r="FK29" s="32"/>
      <x:c r="FL29" s="32"/>
      <x:c r="FM29" s="32"/>
      <x:c r="FN29" s="32"/>
      <x:c r="FO29" s="32"/>
      <x:c r="FP29" s="32"/>
      <x:c r="FQ29" s="32"/>
      <x:c r="FR29" s="32"/>
      <x:c r="FS29" s="32"/>
      <x:c r="FT29" s="32"/>
      <x:c r="FU29" s="32"/>
      <x:c r="FV29" s="32"/>
      <x:c r="FW29" s="32"/>
      <x:c r="FX29" s="32"/>
      <x:c r="FY29" s="32"/>
      <x:c r="FZ29" s="32"/>
      <x:c r="GA29" s="32"/>
      <x:c r="GB29" s="32"/>
      <x:c r="GC29" s="32"/>
      <x:c r="GD29" s="32"/>
      <x:c r="GE29" s="32"/>
      <x:c r="GF29" s="32"/>
      <x:c r="GG29" s="32"/>
      <x:c r="GH29" s="32"/>
      <x:c r="GI29" s="32"/>
      <x:c r="GJ29" s="32"/>
      <x:c r="GK29" s="32"/>
      <x:c r="GL29" s="32"/>
      <x:c r="GM29" s="32"/>
      <x:c r="GN29" s="32"/>
      <x:c r="GO29" s="32"/>
      <x:c r="GP29" s="32"/>
      <x:c r="GQ29" s="32"/>
      <x:c r="GR29" s="32"/>
      <x:c r="GS29" s="32"/>
      <x:c r="GT29" s="32"/>
      <x:c r="GU29" s="32"/>
      <x:c r="GV29" s="32"/>
      <x:c r="GW29" s="32"/>
      <x:c r="GX29" s="32"/>
      <x:c r="GY29" s="32"/>
      <x:c r="GZ29" s="32"/>
      <x:c r="HA29" s="32"/>
      <x:c r="HB29" s="32"/>
      <x:c r="HC29" s="32"/>
      <x:c r="HD29" s="32"/>
      <x:c r="HE29" s="32"/>
      <x:c r="HF29" s="32"/>
      <x:c r="HG29" s="32"/>
      <x:c r="HH29" s="32"/>
      <x:c r="HI29" s="32"/>
      <x:c r="HJ29" s="32"/>
      <x:c r="HK29" s="32"/>
      <x:c r="HL29" s="32"/>
      <x:c r="HM29" s="32"/>
      <x:c r="HN29" s="32"/>
      <x:c r="HO29" s="32"/>
      <x:c r="HP29" s="32"/>
      <x:c r="HQ29" s="32"/>
      <x:c r="HR29" s="32"/>
      <x:c r="HS29" s="32"/>
      <x:c r="HT29" s="32"/>
      <x:c r="HU29" s="32"/>
      <x:c r="HV29" s="32"/>
      <x:c r="HW29" s="32"/>
      <x:c r="HX29" s="32"/>
      <x:c r="HY29" s="32"/>
    </x:row>
    <x:row r="30">
      <x:c r="A30" s="32" t="str">
        <x:v>bccad405-b4a3-4d37-aced-d232a39dec33</x:v>
      </x:c>
      <x:c r="B30" s="32" t="str">
        <x:v>C-006</x:v>
      </x:c>
      <x:c r="C30" s="42" t="n">
        <x:v>46260.94861111111</x:v>
      </x:c>
      <x:c r="D30" s="32" t="str">
        <x:v>489b7424f5051f7a276dafe8d5f318ccf1368d87</x:v>
      </x:c>
      <x:c r="E30" s="32" t="str">
        <x:v>GLONBW11</x:v>
      </x:c>
      <x:c r="F30" s="32" t="str">
        <x:v>local-filesystem</x:v>
      </x:c>
      <x:c r="G30" s="32" t="str">
        <x:v>3.14.2</x:v>
      </x:c>
      <x:c r="H30" s="32" t="str">
        <x:v>deterministic</x:v>
      </x:c>
      <x:c r="I30" s="32" t="n">
        <x:v>1000</x:v>
      </x:c>
      <x:c r="J30" s="32" t="n">
        <x:v>5</x:v>
      </x:c>
      <x:c r="K30" s="32" t="n">
        <x:v>5.050342766666666</x:v>
      </x:c>
      <x:c r="L30" s="32" t="n">
        <x:v>61</x:v>
      </x:c>
      <x:c r="M30" s="32" t="n">
        <x:v>5</x:v>
      </x:c>
      <x:c r="N30" s="32" t="n">
        <x:v>10</x:v>
      </x:c>
      <x:c r="O30" s="32" t="n">
        <x:v>965.2971899995464</x:v>
      </x:c>
      <x:c r="P30" s="32" t="n">
        <x:v>1950.3512510000292</x:v>
      </x:c>
      <x:c r="Q30" s="32" t="n">
        <x:v>2012.1568012000353</x:v>
      </x:c>
      <x:c r="R30" s="32" t="n">
        <x:v>2060.5235590010125</x:v>
      </x:c>
      <x:c r="S30" s="32" t="n">
        <x:v>0</x:v>
      </x:c>
      <x:c r="T30" s="43" t="n">
        <x:v>0</x:v>
      </x:c>
      <x:c r="U30" s="32" t="n">
        <x:v>96.49131440446122</x:v>
      </x:c>
      <x:c r="V30" s="32" t="n">
        <x:v>100.99688331930071</x:v>
      </x:c>
      <x:c r="W30" s="32" t="n">
        <x:v>145.38412525614754</x:v>
      </x:c>
      <x:c r="X30" s="32" t="n">
        <x:v>145.765625</x:v>
      </x:c>
      <x:c r="Y30" s="32"/>
      <x:c r="Z30" s="32"/>
      <x:c r="AA30" s="32"/>
      <x:c r="AB30" s="32"/>
      <x:c r="AC30" s="32" t="n">
        <x:v>0</x:v>
      </x:c>
      <x:c r="AD30" s="32" t="n">
        <x:v>0</x:v>
      </x:c>
      <x:c r="AE30" s="32" t="n">
        <x:v>0</x:v>
      </x:c>
      <x:c r="AF30" s="32"/>
      <x:c r="AG30" s="32"/>
      <x:c r="AH30" s="32" t="n">
        <x:v>981.0064880002756</x:v>
      </x:c>
      <x:c r="AI30" s="32" t="str">
        <x:v>PASS</x:v>
      </x:c>
      <x:c r="AJ30" s="32" t="str">
        <x:v>GREEN</x:v>
      </x:c>
      <x:c r="AK30" s="32" t="str">
        <x:v>latest-narrow</x:v>
      </x:c>
      <x:c r="AL30" s="32" t="n">
        <x:v>1</x:v>
      </x:c>
      <x:c r="AM30" s="32" t="n">
        <x:v>1</x:v>
      </x:c>
      <x:c r="AN30" s="32" t="n">
        <x:v>1000</x:v>
      </x:c>
      <x:c r="AO30" s="32" t="n">
        <x:v>1</x:v>
      </x:c>
      <x:c r="AP30" s="32" t="n">
        <x:v>8132</x:v>
      </x:c>
      <x:c r="AQ30" s="32" t="n">
        <x:v>4.657436000343296</x:v>
      </x:c>
      <x:c r="AR30" s="32" t="n">
        <x:v>6.052681999790366</x:v>
      </x:c>
      <x:c r="AS30" s="32" t="n">
        <x:v>6.977388999439427</x:v>
      </x:c>
      <x:c r="AT30" s="32" t="n">
        <x:v>36</x:v>
      </x:c>
      <x:c r="AU30" s="32" t="str">
        <x:v>28×28 + 8×27</x:v>
      </x:c>
      <x:c r="AV30" s="32" t="n">
        <x:v>0.38054200012993533</x:v>
      </x:c>
      <x:c r="AW30" s="32" t="n">
        <x:v>0.5164660014997935</x:v>
      </x:c>
      <x:c r="AX30" s="32" t="n">
        <x:v>0.6071023999538737</x:v>
      </x:c>
      <x:c r="AY30" s="32" t="str">
        <x:v>balanced</x:v>
      </x:c>
      <x:c r="AZ30" s="32" t="str">
        <x:v>PASS</x:v>
      </x:c>
      <x:c r="BA30" s="32" t="n">
        <x:v>1000</x:v>
      </x:c>
      <x:c r="BB30" s="32" t="n">
        <x:v>0</x:v>
      </x:c>
      <x:c r="BC30" s="115" t="b">
        <x:v>1</x:v>
      </x:c>
      <x:c r="BD30" s="32" t="str">
        <x:v>PASS/GREEN. C2 delayed routing progresses exactly at +60/+120/+180 s with materialized assigned/pending waves 1000/3000→2000/2000→3000/1000→4000/0. p95 1.950 s, 0 overruns; steady p95≈0.985 s.</x:v>
      </x:c>
      <x:c r="BE30" s="32" t="n">
        <x:v>0</x:v>
      </x:c>
      <x:c r="BF30" s="32" t="n">
        <x:v>0</x:v>
      </x:c>
      <x:c r="BG30" s="32" t="n">
        <x:v>0</x:v>
      </x:c>
      <x:c r="BH30" s="32" t="n">
        <x:v>0</x:v>
      </x:c>
      <x:c r="BI30" s="32" t="n">
        <x:v>0</x:v>
      </x:c>
      <x:c r="BJ30" s="32" t="n">
        <x:v>1000</x:v>
      </x:c>
      <x:c r="BK30" s="32" t="n">
        <x:v>1000</x:v>
      </x:c>
      <x:c r="BL30" s="32" t="n">
        <x:v>0</x:v>
      </x:c>
      <x:c r="BM30" s="32" t="n">
        <x:v>0</x:v>
      </x:c>
      <x:c r="BN30" s="32" t="n">
        <x:v>100</x:v>
      </x:c>
      <x:c r="BO30" s="32" t="n">
        <x:v>10</x:v>
      </x:c>
      <x:c r="BP30" s="32" t="n">
        <x:v>0</x:v>
      </x:c>
      <x:c r="BQ30" s="32" t="n">
        <x:v>100</x:v>
      </x:c>
      <x:c r="BR30" s="32" t="n">
        <x:v>0</x:v>
      </x:c>
      <x:c r="BS30" s="32" t="n">
        <x:v>0</x:v>
      </x:c>
      <x:c r="BT30" s="32" t="n">
        <x:v>400</x:v>
      </x:c>
      <x:c r="BU30" s="32" t="n">
        <x:v>400</x:v>
      </x:c>
      <x:c r="BV30" s="32" t="n">
        <x:v>0</x:v>
      </x:c>
      <x:c r="BW30" s="32" t="n">
        <x:v>1000</x:v>
      </x:c>
      <x:c r="BX30" s="32" t="n">
        <x:v>1000</x:v>
      </x:c>
      <x:c r="BY30" s="32" t="n">
        <x:v>0</x:v>
      </x:c>
      <x:c r="BZ30" s="32" t="n">
        <x:v>0</x:v>
      </x:c>
      <x:c r="CA30" s="32" t="n">
        <x:v>100</x:v>
      </x:c>
      <x:c r="CB30" s="32" t="n">
        <x:v>100</x:v>
      </x:c>
      <x:c r="CC30" s="32" t="n">
        <x:v>0</x:v>
      </x:c>
      <x:c r="CD30" s="32" t="n">
        <x:v>0</x:v>
      </x:c>
      <x:c r="CE30" s="32" t="n">
        <x:v>7000</x:v>
      </x:c>
      <x:c r="CF30" s="32" t="n">
        <x:v>8000</x:v>
      </x:c>
      <x:c r="CG30" s="32" t="n">
        <x:v>2000</x:v>
      </x:c>
      <x:c r="CH30" s="32" t="n">
        <x:v>100</x:v>
      </x:c>
      <x:c r="CI30" s="115" t="b">
        <x:v>1</x:v>
      </x:c>
      <x:c r="CJ30" s="32" t="n">
        <x:v>0</x:v>
      </x:c>
      <x:c r="CK30" s="32" t="n">
        <x:v>7000</x:v>
      </x:c>
      <x:c r="CL30" s="32" t="n">
        <x:v>0</x:v>
      </x:c>
      <x:c r="CM30" s="32" t="n">
        <x:v>0</x:v>
      </x:c>
      <x:c r="CN30" s="32" t="n">
        <x:v>0</x:v>
      </x:c>
      <x:c r="CO30" s="32" t="n">
        <x:v>0</x:v>
      </x:c>
      <x:c r="CP30" s="32" t="n">
        <x:v>0</x:v>
      </x:c>
      <x:c r="CQ30" s="32" t="n">
        <x:v>0</x:v>
      </x:c>
      <x:c r="CR30" s="32" t="n">
        <x:v>0</x:v>
      </x:c>
      <x:c r="CS30" s="32" t="n">
        <x:v>0</x:v>
      </x:c>
      <x:c r="CT30" s="32" t="n">
        <x:v>0</x:v>
      </x:c>
      <x:c r="CU30" s="32" t="n">
        <x:v>0</x:v>
      </x:c>
      <x:c r="CV30" s="32" t="n">
        <x:v>0</x:v>
      </x:c>
      <x:c r="CW30" s="32" t="n">
        <x:v>0</x:v>
      </x:c>
      <x:c r="CX30" s="32" t="n">
        <x:v>0</x:v>
      </x:c>
      <x:c r="CY30" s="32" t="n">
        <x:v>0</x:v>
      </x:c>
      <x:c r="CZ30" s="32" t="n">
        <x:v>0</x:v>
      </x:c>
      <x:c r="DA30" s="32" t="n">
        <x:v>0</x:v>
      </x:c>
      <x:c r="DB30" s="32" t="n">
        <x:v>0</x:v>
      </x:c>
      <x:c r="DC30" s="32" t="n">
        <x:v>0</x:v>
      </x:c>
      <x:c r="DD30" s="32" t="n">
        <x:v>0</x:v>
      </x:c>
      <x:c r="DE30" s="32" t="n">
        <x:v>0</x:v>
      </x:c>
      <x:c r="DF30" s="32" t="n">
        <x:v>0</x:v>
      </x:c>
      <x:c r="DG30" s="32" t="n">
        <x:v>0</x:v>
      </x:c>
      <x:c r="DH30" s="32" t="str">
        <x:v>baseline</x:v>
      </x:c>
      <x:c r="DI30" s="32" t="n">
        <x:v>61</x:v>
      </x:c>
      <x:c r="DJ30" s="32" t="n">
        <x:v>0</x:v>
      </x:c>
      <x:c r="DK30" s="32" t="n">
        <x:v>0</x:v>
      </x:c>
      <x:c r="DL30" s="32" t="n">
        <x:v>0</x:v>
      </x:c>
      <x:c r="DM30" s="32" t="n">
        <x:v>0</x:v>
      </x:c>
      <x:c r="DN30" s="32" t="n">
        <x:v>0</x:v>
      </x:c>
      <x:c r="DO30" s="32" t="n">
        <x:v>0</x:v>
      </x:c>
      <x:c r="DP30" s="32" t="n">
        <x:v>0</x:v>
      </x:c>
      <x:c r="DQ30" s="32" t="str">
        <x:v>C2</x:v>
      </x:c>
      <x:c r="DR30" s="32" t="n">
        <x:v>0</x:v>
      </x:c>
      <x:c r="DS30" s="32" t="n">
        <x:v>4000</x:v>
      </x:c>
      <x:c r="DT30" s="32" t="n">
        <x:v>4000</x:v>
      </x:c>
      <x:c r="DU30" s="32" t="n">
        <x:v>3000</x:v>
      </x:c>
      <x:c r="DV30" s="32" t="n">
        <x:v>0</x:v>
      </x:c>
      <x:c r="DW30" s="32" t="n">
        <x:v>0</x:v>
      </x:c>
      <x:c r="DX30" s="32" t="n">
        <x:v>4000</x:v>
      </x:c>
      <x:c r="DY30" s="32" t="n">
        <x:v>4000</x:v>
      </x:c>
      <x:c r="DZ30" s="32" t="n">
        <x:v>0</x:v>
      </x:c>
      <x:c r="EA30" s="32" t="n">
        <x:v>0</x:v>
      </x:c>
      <x:c r="EB30" s="32" t="str">
        <x:v>60,120,180</x:v>
      </x:c>
      <x:c r="EC30" s="32" t="n">
        <x:v>3000</x:v>
      </x:c>
      <x:c r="ED30" s="32" t="str">
        <x:v>1000,1000,1000</x:v>
      </x:c>
      <x:c r="EE30" s="32" t="str">
        <x:v>1000,1000,1000</x:v>
      </x:c>
      <x:c r="EF30" s="32" t="str">
        <x:v>1000,2000,3000,4000</x:v>
      </x:c>
      <x:c r="EG30" s="32" t="str">
        <x:v>1000,2000,3000,4000</x:v>
      </x:c>
      <x:c r="EH30" s="32" t="str">
        <x:v>3000,2000,1000,0</x:v>
      </x:c>
      <x:c r="EI30" s="32" t="str">
        <x:v>3000,2000,1000,0</x:v>
      </x:c>
      <x:c r="EJ30" s="32"/>
      <x:c r="EK30" s="32"/>
      <x:c r="EL30" s="32"/>
      <x:c r="EM30" s="32"/>
      <x:c r="EN30" s="32"/>
      <x:c r="EO30" s="32"/>
      <x:c r="EP30" s="32"/>
      <x:c r="EQ30" s="32"/>
      <x:c r="ER30" s="32"/>
      <x:c r="ES30" s="32"/>
      <x:c r="ET30" s="32"/>
      <x:c r="EU30" s="32"/>
      <x:c r="EV30" s="32"/>
      <x:c r="EW30" s="32"/>
      <x:c r="EX30" s="32"/>
      <x:c r="EY30" s="32"/>
      <x:c r="EZ30" s="32"/>
      <x:c r="FA30" s="32"/>
      <x:c r="FB30" s="32"/>
      <x:c r="FC30" s="32"/>
      <x:c r="FD30" s="32"/>
      <x:c r="FE30" s="32"/>
      <x:c r="FF30" s="32"/>
      <x:c r="FG30" s="32"/>
      <x:c r="FH30" s="32"/>
      <x:c r="FI30" s="32"/>
      <x:c r="FJ30" s="32"/>
      <x:c r="FK30" s="32"/>
      <x:c r="FL30" s="32"/>
      <x:c r="FM30" s="32"/>
      <x:c r="FN30" s="32"/>
      <x:c r="FO30" s="32"/>
      <x:c r="FP30" s="32"/>
      <x:c r="FQ30" s="32"/>
      <x:c r="FR30" s="32"/>
      <x:c r="FS30" s="32"/>
      <x:c r="FT30" s="32"/>
      <x:c r="FU30" s="32"/>
      <x:c r="FV30" s="32"/>
      <x:c r="FW30" s="32"/>
      <x:c r="FX30" s="32"/>
      <x:c r="FY30" s="32"/>
      <x:c r="FZ30" s="32"/>
      <x:c r="GA30" s="32"/>
      <x:c r="GB30" s="32"/>
      <x:c r="GC30" s="32"/>
      <x:c r="GD30" s="32"/>
      <x:c r="GE30" s="32"/>
      <x:c r="GF30" s="32"/>
      <x:c r="GG30" s="32"/>
      <x:c r="GH30" s="32"/>
      <x:c r="GI30" s="32"/>
      <x:c r="GJ30" s="32"/>
      <x:c r="GK30" s="32"/>
      <x:c r="GL30" s="32"/>
      <x:c r="GM30" s="32"/>
      <x:c r="GN30" s="32"/>
      <x:c r="GO30" s="32"/>
      <x:c r="GP30" s="32"/>
      <x:c r="GQ30" s="32"/>
      <x:c r="GR30" s="32"/>
      <x:c r="GS30" s="32"/>
      <x:c r="GT30" s="32"/>
      <x:c r="GU30" s="32"/>
      <x:c r="GV30" s="32"/>
      <x:c r="GW30" s="32"/>
      <x:c r="GX30" s="32"/>
      <x:c r="GY30" s="32"/>
      <x:c r="GZ30" s="32"/>
      <x:c r="HA30" s="32"/>
      <x:c r="HB30" s="32"/>
      <x:c r="HC30" s="32"/>
      <x:c r="HD30" s="32"/>
      <x:c r="HE30" s="32"/>
      <x:c r="HF30" s="32"/>
      <x:c r="HG30" s="32"/>
      <x:c r="HH30" s="32"/>
      <x:c r="HI30" s="32"/>
      <x:c r="HJ30" s="32"/>
      <x:c r="HK30" s="32"/>
      <x:c r="HL30" s="32"/>
      <x:c r="HM30" s="32"/>
      <x:c r="HN30" s="32"/>
      <x:c r="HO30" s="32"/>
      <x:c r="HP30" s="32"/>
      <x:c r="HQ30" s="32"/>
      <x:c r="HR30" s="32"/>
      <x:c r="HS30" s="32"/>
      <x:c r="HT30" s="32"/>
      <x:c r="HU30" s="32"/>
      <x:c r="HV30" s="32"/>
      <x:c r="HW30" s="32"/>
      <x:c r="HX30" s="32"/>
      <x:c r="HY30" s="32"/>
    </x:row>
    <x:row r="31">
      <x:c r="A31" s="32" t="str">
        <x:v>52e52d15-ab29-4d02-ae0b-db8ef8b4346b</x:v>
      </x:c>
      <x:c r="B31" s="32" t="str">
        <x:v>C-007</x:v>
      </x:c>
      <x:c r="C31" s="42" t="n">
        <x:v>46260.992430555554</x:v>
      </x:c>
      <x:c r="D31" s="32" t="str">
        <x:v>489b7424f5051f7a276dafe8d5f318ccf1368d87</x:v>
      </x:c>
      <x:c r="E31" s="32" t="str">
        <x:v>GLONBW11</x:v>
      </x:c>
      <x:c r="F31" s="32" t="str">
        <x:v>local-filesystem</x:v>
      </x:c>
      <x:c r="G31" s="32" t="str">
        <x:v>3.14.2</x:v>
      </x:c>
      <x:c r="H31" s="32" t="str">
        <x:v>deterministic</x:v>
      </x:c>
      <x:c r="I31" s="32" t="n">
        <x:v>1000</x:v>
      </x:c>
      <x:c r="J31" s="32" t="n">
        <x:v>4.5</x:v>
      </x:c>
      <x:c r="K31" s="32" t="n">
        <x:v>4.587879783333333</x:v>
      </x:c>
      <x:c r="L31" s="32" t="n">
        <x:v>57</x:v>
      </x:c>
      <x:c r="M31" s="32" t="n">
        <x:v>5</x:v>
      </x:c>
      <x:c r="N31" s="32" t="n">
        <x:v>10</x:v>
      </x:c>
      <x:c r="O31" s="32" t="n">
        <x:v>968.8143940002192</x:v>
      </x:c>
      <x:c r="P31" s="32" t="n">
        <x:v>1924.1295500003616</x:v>
      </x:c>
      <x:c r="Q31" s="32" t="n">
        <x:v>2010.80445508167</x:v>
      </x:c>
      <x:c r="R31" s="32" t="n">
        <x:v>2080.3993830013496</x:v>
      </x:c>
      <x:c r="S31" s="32" t="n">
        <x:v>0</x:v>
      </x:c>
      <x:c r="T31" s="43" t="n">
        <x:v>0</x:v>
      </x:c>
      <x:c r="U31" s="32" t="n">
        <x:v>96.47256037676104</x:v>
      </x:c>
      <x:c r="V31" s="32" t="n">
        <x:v>100.76670728134103</x:v>
      </x:c>
      <x:c r="W31" s="32" t="n">
        <x:v>147.9555235745614</x:v>
      </x:c>
      <x:c r="X31" s="32" t="n">
        <x:v>150.37109375</x:v>
      </x:c>
      <x:c r="Y31" s="32"/>
      <x:c r="Z31" s="32"/>
      <x:c r="AA31" s="32"/>
      <x:c r="AB31" s="32"/>
      <x:c r="AC31" s="32" t="n">
        <x:v>0</x:v>
      </x:c>
      <x:c r="AD31" s="32" t="n">
        <x:v>0</x:v>
      </x:c>
      <x:c r="AE31" s="32" t="n">
        <x:v>0</x:v>
      </x:c>
      <x:c r="AF31" s="32"/>
      <x:c r="AG31" s="32"/>
      <x:c r="AH31" s="32" t="n">
        <x:v>1454.2984849977074</x:v>
      </x:c>
      <x:c r="AI31" s="32" t="str">
        <x:v>PASS</x:v>
      </x:c>
      <x:c r="AJ31" s="32" t="str">
        <x:v>GREEN</x:v>
      </x:c>
      <x:c r="AK31" s="32" t="str">
        <x:v>latest-narrow</x:v>
      </x:c>
      <x:c r="AL31" s="32" t="n">
        <x:v>1</x:v>
      </x:c>
      <x:c r="AM31" s="32" t="n">
        <x:v>1</x:v>
      </x:c>
      <x:c r="AN31" s="32" t="n">
        <x:v>1000</x:v>
      </x:c>
      <x:c r="AO31" s="32" t="n">
        <x:v>1</x:v>
      </x:c>
      <x:c r="AP31" s="32" t="n">
        <x:v>8132</x:v>
      </x:c>
      <x:c r="AQ31" s="32" t="n">
        <x:v>4.238917499606032</x:v>
      </x:c>
      <x:c r="AR31" s="32" t="n">
        <x:v>5.383107750276395</x:v>
      </x:c>
      <x:c r="AS31" s="32" t="n">
        <x:v>5.69045845004439</x:v>
      </x:c>
      <x:c r="AT31" s="32" t="n">
        <x:v>36</x:v>
      </x:c>
      <x:c r="AU31" s="32" t="str">
        <x:v>28×28 + 8×27</x:v>
      </x:c>
      <x:c r="AV31" s="32" t="n">
        <x:v>0.3866970000672154</x:v>
      </x:c>
      <x:c r="AW31" s="32" t="n">
        <x:v>0.48490425069758203</x:v>
      </x:c>
      <x:c r="AX31" s="32" t="n">
        <x:v>0.6381584998962362</x:v>
      </x:c>
      <x:c r="AY31" s="32" t="str">
        <x:v>balanced</x:v>
      </x:c>
      <x:c r="AZ31" s="32" t="str">
        <x:v>PASS</x:v>
      </x:c>
      <x:c r="BA31" s="32" t="n">
        <x:v>1000</x:v>
      </x:c>
      <x:c r="BB31" s="32" t="n">
        <x:v>0</x:v>
      </x:c>
      <x:c r="BC31" s="115" t="b">
        <x:v>1</x:v>
      </x:c>
      <x:c r="BD31" s="32" t="str">
        <x:v>PASS/GREEN. AC-1→AC-2 compatible C2 adoption produced exactly 3000 RESCHEDULED with preserved Occurrence identity and exact revised +90/+150/+210 due_at. Final 4000 assignments / 0 pending; p95 1.924 s and 0 overruns.</x:v>
      </x:c>
      <x:c r="BE31" s="32" t="n">
        <x:v>0</x:v>
      </x:c>
      <x:c r="BF31" s="32" t="n">
        <x:v>0</x:v>
      </x:c>
      <x:c r="BG31" s="32" t="n">
        <x:v>0</x:v>
      </x:c>
      <x:c r="BH31" s="32" t="n">
        <x:v>0</x:v>
      </x:c>
      <x:c r="BI31" s="32" t="n">
        <x:v>0</x:v>
      </x:c>
      <x:c r="BJ31" s="32" t="n">
        <x:v>1000</x:v>
      </x:c>
      <x:c r="BK31" s="32" t="n">
        <x:v>1000</x:v>
      </x:c>
      <x:c r="BL31" s="32" t="n">
        <x:v>0</x:v>
      </x:c>
      <x:c r="BM31" s="32" t="n">
        <x:v>0</x:v>
      </x:c>
      <x:c r="BN31" s="32" t="n">
        <x:v>100</x:v>
      </x:c>
      <x:c r="BO31" s="32" t="n">
        <x:v>10</x:v>
      </x:c>
      <x:c r="BP31" s="32" t="n">
        <x:v>0</x:v>
      </x:c>
      <x:c r="BQ31" s="32" t="n">
        <x:v>100</x:v>
      </x:c>
      <x:c r="BR31" s="32" t="n">
        <x:v>0</x:v>
      </x:c>
      <x:c r="BS31" s="32" t="n">
        <x:v>0</x:v>
      </x:c>
      <x:c r="BT31" s="32" t="n">
        <x:v>500</x:v>
      </x:c>
      <x:c r="BU31" s="32" t="n">
        <x:v>500</x:v>
      </x:c>
      <x:c r="BV31" s="32" t="n">
        <x:v>0</x:v>
      </x:c>
      <x:c r="BW31" s="32" t="n">
        <x:v>1000</x:v>
      </x:c>
      <x:c r="BX31" s="32" t="n">
        <x:v>1000</x:v>
      </x:c>
      <x:c r="BY31" s="32" t="n">
        <x:v>0</x:v>
      </x:c>
      <x:c r="BZ31" s="32" t="n">
        <x:v>0</x:v>
      </x:c>
      <x:c r="CA31" s="32" t="n">
        <x:v>100</x:v>
      </x:c>
      <x:c r="CB31" s="32" t="n">
        <x:v>100</x:v>
      </x:c>
      <x:c r="CC31" s="32" t="n">
        <x:v>0</x:v>
      </x:c>
      <x:c r="CD31" s="32" t="n">
        <x:v>0</x:v>
      </x:c>
      <x:c r="CE31" s="32" t="n">
        <x:v>10000</x:v>
      </x:c>
      <x:c r="CF31" s="32" t="n">
        <x:v>11000</x:v>
      </x:c>
      <x:c r="CG31" s="32" t="n">
        <x:v>1000</x:v>
      </x:c>
      <x:c r="CH31" s="32" t="n">
        <x:v>0</x:v>
      </x:c>
      <x:c r="CI31" s="115" t="b">
        <x:v>1</x:v>
      </x:c>
      <x:c r="CJ31" s="32" t="n">
        <x:v>0</x:v>
      </x:c>
      <x:c r="CK31" s="32" t="n">
        <x:v>10000</x:v>
      </x:c>
      <x:c r="CL31" s="32" t="n">
        <x:v>0</x:v>
      </x:c>
      <x:c r="CM31" s="32" t="n">
        <x:v>0</x:v>
      </x:c>
      <x:c r="CN31" s="32" t="n">
        <x:v>0</x:v>
      </x:c>
      <x:c r="CO31" s="32" t="n">
        <x:v>0</x:v>
      </x:c>
      <x:c r="CP31" s="32" t="n">
        <x:v>0</x:v>
      </x:c>
      <x:c r="CQ31" s="32" t="n">
        <x:v>0</x:v>
      </x:c>
      <x:c r="CR31" s="32" t="n">
        <x:v>0</x:v>
      </x:c>
      <x:c r="CS31" s="32" t="n">
        <x:v>0</x:v>
      </x:c>
      <x:c r="CT31" s="32" t="n">
        <x:v>0</x:v>
      </x:c>
      <x:c r="CU31" s="32" t="n">
        <x:v>0</x:v>
      </x:c>
      <x:c r="CV31" s="32" t="n">
        <x:v>0</x:v>
      </x:c>
      <x:c r="CW31" s="32" t="n">
        <x:v>0</x:v>
      </x:c>
      <x:c r="CX31" s="32" t="n">
        <x:v>0</x:v>
      </x:c>
      <x:c r="CY31" s="32" t="n">
        <x:v>0</x:v>
      </x:c>
      <x:c r="CZ31" s="32" t="n">
        <x:v>0</x:v>
      </x:c>
      <x:c r="DA31" s="32" t="n">
        <x:v>0</x:v>
      </x:c>
      <x:c r="DB31" s="32" t="n">
        <x:v>0</x:v>
      </x:c>
      <x:c r="DC31" s="32" t="n">
        <x:v>0</x:v>
      </x:c>
      <x:c r="DD31" s="32" t="n">
        <x:v>0</x:v>
      </x:c>
      <x:c r="DE31" s="32" t="n">
        <x:v>0</x:v>
      </x:c>
      <x:c r="DF31" s="32" t="n">
        <x:v>0</x:v>
      </x:c>
      <x:c r="DG31" s="32" t="n">
        <x:v>0</x:v>
      </x:c>
      <x:c r="DH31" s="32" t="str">
        <x:v>baseline</x:v>
      </x:c>
      <x:c r="DI31" s="32" t="n">
        <x:v>57</x:v>
      </x:c>
      <x:c r="DJ31" s="32" t="n">
        <x:v>0</x:v>
      </x:c>
      <x:c r="DK31" s="32" t="n">
        <x:v>0</x:v>
      </x:c>
      <x:c r="DL31" s="32" t="n">
        <x:v>0</x:v>
      </x:c>
      <x:c r="DM31" s="32" t="n">
        <x:v>0</x:v>
      </x:c>
      <x:c r="DN31" s="32" t="n">
        <x:v>0</x:v>
      </x:c>
      <x:c r="DO31" s="32" t="n">
        <x:v>0</x:v>
      </x:c>
      <x:c r="DP31" s="32" t="n">
        <x:v>0</x:v>
      </x:c>
      <x:c r="DQ31" s="32" t="str">
        <x:v>C2</x:v>
      </x:c>
      <x:c r="DR31" s="32" t="n">
        <x:v>0</x:v>
      </x:c>
      <x:c r="DS31" s="32" t="n">
        <x:v>4000</x:v>
      </x:c>
      <x:c r="DT31" s="32" t="n">
        <x:v>4000</x:v>
      </x:c>
      <x:c r="DU31" s="32" t="n">
        <x:v>3000</x:v>
      </x:c>
      <x:c r="DV31" s="32" t="n">
        <x:v>3000</x:v>
      </x:c>
      <x:c r="DW31" s="32" t="n">
        <x:v>0</x:v>
      </x:c>
      <x:c r="DX31" s="32" t="n">
        <x:v>4000</x:v>
      </x:c>
      <x:c r="DY31" s="32" t="n">
        <x:v>4000</x:v>
      </x:c>
      <x:c r="DZ31" s="32" t="n">
        <x:v>0</x:v>
      </x:c>
      <x:c r="EA31" s="32" t="n">
        <x:v>0</x:v>
      </x:c>
      <x:c r="EB31" s="32" t="str">
        <x:v>60,120,180</x:v>
      </x:c>
      <x:c r="EC31" s="32" t="n">
        <x:v>3000</x:v>
      </x:c>
      <x:c r="ED31" s="32" t="str">
        <x:v>1000,1000,1000</x:v>
      </x:c>
      <x:c r="EE31" s="32" t="str">
        <x:v>1000,1000,1000</x:v>
      </x:c>
      <x:c r="EF31" s="32" t="str">
        <x:v>1000,1000,2000,3000,4000</x:v>
      </x:c>
      <x:c r="EG31" s="32" t="str">
        <x:v>1000,1000,2000,3000,4000</x:v>
      </x:c>
      <x:c r="EH31" s="32" t="str">
        <x:v>3000,3000,2000,1000,0</x:v>
      </x:c>
      <x:c r="EI31" s="32" t="str">
        <x:v>3000,3000,2000,1000,0</x:v>
      </x:c>
      <x:c r="EJ31" s="32" t="str">
        <x:v>90,150,210</x:v>
      </x:c>
      <x:c r="EK31" s="32" t="n">
        <x:v>30</x:v>
      </x:c>
      <x:c r="EL31" s="32" t="n">
        <x:v>3000</x:v>
      </x:c>
      <x:c r="EM31" s="32" t="str">
        <x:v>1000,1000,1000</x:v>
      </x:c>
      <x:c r="EN31" s="32" t="str">
        <x:v>1000,1000,1000</x:v>
      </x:c>
      <x:c r="EO31" s="32" t="str">
        <x:v>1000,1000,1000</x:v>
      </x:c>
      <x:c r="EP31" s="32" t="str">
        <x:v>1000,1000,1000</x:v>
      </x:c>
      <x:c r="EQ31" s="32" t="n">
        <x:v>100</x:v>
      </x:c>
      <x:c r="ER31" s="32" t="n">
        <x:v>100</x:v>
      </x:c>
      <x:c r="ES31" s="115" t="b">
        <x:v>1</x:v>
      </x:c>
      <x:c r="ET31" s="32" t="str">
        <x:v>fcb116ba-6438-46a9-8ba6-a1bfdd11e1ac</x:v>
      </x:c>
      <x:c r="EU31" s="32" t="str">
        <x:v>52e52d15-ab29-4d02-ae0b-db8ef8b4346b</x:v>
      </x:c>
      <x:c r="EV31" s="32"/>
      <x:c r="EW31" s="32"/>
      <x:c r="EX31" s="32"/>
      <x:c r="EY31" s="32"/>
      <x:c r="EZ31" s="32"/>
      <x:c r="FA31" s="32"/>
      <x:c r="FB31" s="32"/>
      <x:c r="FC31" s="32"/>
      <x:c r="FD31" s="32"/>
      <x:c r="FE31" s="32"/>
      <x:c r="FF31" s="32"/>
      <x:c r="FG31" s="32"/>
      <x:c r="FH31" s="32"/>
      <x:c r="FI31" s="32"/>
      <x:c r="FJ31" s="32"/>
      <x:c r="FK31" s="32"/>
      <x:c r="FL31" s="32"/>
      <x:c r="FM31" s="32"/>
      <x:c r="FN31" s="32"/>
      <x:c r="FO31" s="32"/>
      <x:c r="FP31" s="32"/>
      <x:c r="FQ31" s="32"/>
      <x:c r="FR31" s="32"/>
      <x:c r="FS31" s="32"/>
      <x:c r="FT31" s="32"/>
      <x:c r="FU31" s="32"/>
      <x:c r="FV31" s="32"/>
      <x:c r="FW31" s="32"/>
      <x:c r="FX31" s="32"/>
      <x:c r="FY31" s="32"/>
      <x:c r="FZ31" s="32"/>
      <x:c r="GA31" s="32"/>
      <x:c r="GB31" s="32"/>
      <x:c r="GC31" s="32"/>
      <x:c r="GD31" s="32"/>
      <x:c r="GE31" s="32"/>
      <x:c r="GF31" s="32"/>
      <x:c r="GG31" s="32"/>
      <x:c r="GH31" s="32"/>
      <x:c r="GI31" s="32"/>
      <x:c r="GJ31" s="32"/>
      <x:c r="GK31" s="32"/>
      <x:c r="GL31" s="32"/>
      <x:c r="GM31" s="32"/>
      <x:c r="GN31" s="32"/>
      <x:c r="GO31" s="32"/>
      <x:c r="GP31" s="32"/>
      <x:c r="GQ31" s="32"/>
      <x:c r="GR31" s="32"/>
      <x:c r="GS31" s="32"/>
      <x:c r="GT31" s="32"/>
      <x:c r="GU31" s="32"/>
      <x:c r="GV31" s="32"/>
      <x:c r="GW31" s="32"/>
      <x:c r="GX31" s="32"/>
      <x:c r="GY31" s="32"/>
      <x:c r="GZ31" s="32"/>
      <x:c r="HA31" s="32"/>
      <x:c r="HB31" s="32"/>
      <x:c r="HC31" s="32"/>
      <x:c r="HD31" s="32"/>
      <x:c r="HE31" s="32"/>
      <x:c r="HF31" s="32"/>
      <x:c r="HG31" s="32"/>
      <x:c r="HH31" s="32"/>
      <x:c r="HI31" s="32"/>
      <x:c r="HJ31" s="32"/>
      <x:c r="HK31" s="32"/>
      <x:c r="HL31" s="32"/>
      <x:c r="HM31" s="32"/>
      <x:c r="HN31" s="32"/>
      <x:c r="HO31" s="32"/>
      <x:c r="HP31" s="32"/>
      <x:c r="HQ31" s="32"/>
      <x:c r="HR31" s="32"/>
      <x:c r="HS31" s="32"/>
      <x:c r="HT31" s="32"/>
      <x:c r="HU31" s="32"/>
      <x:c r="HV31" s="32"/>
      <x:c r="HW31" s="32"/>
      <x:c r="HX31" s="32"/>
      <x:c r="HY31" s="32"/>
    </x:row>
    <x:row r="32">
      <x:c r="A32" s="32" t="str">
        <x:v>d54b12b9-0300-48c4-a869-7c8402b7beba</x:v>
      </x:c>
      <x:c r="B32" s="32" t="str">
        <x:v>C-008</x:v>
      </x:c>
      <x:c r="C32" s="42" t="n">
        <x:v>46261.02116898148</x:v>
      </x:c>
      <x:c r="D32" s="32" t="str">
        <x:v>489b7424f5051f7a276dafe8d5f318ccf1368d87</x:v>
      </x:c>
      <x:c r="E32" s="32" t="str">
        <x:v>GLONBW11</x:v>
      </x:c>
      <x:c r="F32" s="32" t="str">
        <x:v>local-filesystem</x:v>
      </x:c>
      <x:c r="G32" s="32" t="str">
        <x:v>3.14.2</x:v>
      </x:c>
      <x:c r="H32" s="32" t="str">
        <x:v>deterministic</x:v>
      </x:c>
      <x:c r="I32" s="32" t="n">
        <x:v>1000</x:v>
      </x:c>
      <x:c r="J32" s="32" t="n">
        <x:v>3.5</x:v>
      </x:c>
      <x:c r="K32" s="32" t="n">
        <x:v>3.5859379166666665</x:v>
      </x:c>
      <x:c r="L32" s="32" t="n">
        <x:v>45</x:v>
      </x:c>
      <x:c r="M32" s="32" t="n">
        <x:v>5</x:v>
      </x:c>
      <x:c r="N32" s="32" t="n">
        <x:v>10</x:v>
      </x:c>
      <x:c r="O32" s="32" t="n">
        <x:v>931.6263799992157</x:v>
      </x:c>
      <x:c r="P32" s="32" t="n">
        <x:v>1603.2940664008484</x:v>
      </x:c>
      <x:c r="Q32" s="32" t="n">
        <x:v>1978.4301576393777</x:v>
      </x:c>
      <x:c r="R32" s="32" t="n">
        <x:v>2043.8880969995807</x:v>
      </x:c>
      <x:c r="S32" s="32" t="n">
        <x:v>0</x:v>
      </x:c>
      <x:c r="T32" s="43" t="n">
        <x:v>0</x:v>
      </x:c>
      <x:c r="U32" s="32" t="n">
        <x:v>96.71412775421817</x:v>
      </x:c>
      <x:c r="V32" s="32" t="n">
        <x:v>99.8800134737525</x:v>
      </x:c>
      <x:c r="W32" s="32" t="n">
        <x:v>148.983984375</x:v>
      </x:c>
      <x:c r="X32" s="32" t="n">
        <x:v>152.83984375</x:v>
      </x:c>
      <x:c r="Y32" s="32"/>
      <x:c r="Z32" s="32"/>
      <x:c r="AA32" s="32"/>
      <x:c r="AB32" s="32"/>
      <x:c r="AC32" s="32" t="n">
        <x:v>0</x:v>
      </x:c>
      <x:c r="AD32" s="32" t="n">
        <x:v>0</x:v>
      </x:c>
      <x:c r="AE32" s="32" t="n">
        <x:v>0</x:v>
      </x:c>
      <x:c r="AF32" s="32"/>
      <x:c r="AG32" s="32"/>
      <x:c r="AH32" s="32" t="n">
        <x:v>1255.8826780004892</x:v>
      </x:c>
      <x:c r="AI32" s="32" t="str">
        <x:v>PASS</x:v>
      </x:c>
      <x:c r="AJ32" s="32" t="str">
        <x:v>GREEN</x:v>
      </x:c>
      <x:c r="AK32" s="32" t="str">
        <x:v>latest-narrow</x:v>
      </x:c>
      <x:c r="AL32" s="32" t="n">
        <x:v>1</x:v>
      </x:c>
      <x:c r="AM32" s="32" t="n">
        <x:v>1</x:v>
      </x:c>
      <x:c r="AN32" s="32" t="n">
        <x:v>1000</x:v>
      </x:c>
      <x:c r="AO32" s="32" t="n">
        <x:v>1</x:v>
      </x:c>
      <x:c r="AP32" s="32" t="n">
        <x:v>8132</x:v>
      </x:c>
      <x:c r="AQ32" s="32" t="n">
        <x:v>4.269790999387624</x:v>
      </x:c>
      <x:c r="AR32" s="32" t="n">
        <x:v>5.108350550290197</x:v>
      </x:c>
      <x:c r="AS32" s="32" t="n">
        <x:v>5.2610678110067965</x:v>
      </x:c>
      <x:c r="AT32" s="32" t="n">
        <x:v>36</x:v>
      </x:c>
      <x:c r="AU32" s="32" t="str">
        <x:v>28×28 + 8×27</x:v>
      </x:c>
      <x:c r="AV32" s="32" t="n">
        <x:v>0.3855199993267888</x:v>
      </x:c>
      <x:c r="AW32" s="32" t="n">
        <x:v>0.45488565065170405</x:v>
      </x:c>
      <x:c r="AX32" s="32" t="n">
        <x:v>0.4785552686371375</x:v>
      </x:c>
      <x:c r="AY32" s="32" t="str">
        <x:v>balanced</x:v>
      </x:c>
      <x:c r="AZ32" s="32" t="str">
        <x:v>PASS</x:v>
      </x:c>
      <x:c r="BA32" s="32" t="n">
        <x:v>1000</x:v>
      </x:c>
      <x:c r="BB32" s="32" t="n">
        <x:v>0</x:v>
      </x:c>
      <x:c r="BC32" s="115" t="b">
        <x:v>1</x:v>
      </x:c>
      <x:c r="BD32" s="32" t="str">
        <x:v>PASS/GREEN. Compatible AC-1→AC-2 removal emitted exactly 3000 REMOVED (1000 reached + 2000 pending), preserved all Occurrences and left only origin assignments. p95 1.603 s, 0 overruns; R3.5C routing closes 11/11.</x:v>
      </x:c>
      <x:c r="BE32" s="32" t="n">
        <x:v>0</x:v>
      </x:c>
      <x:c r="BF32" s="32" t="n">
        <x:v>0</x:v>
      </x:c>
      <x:c r="BG32" s="32" t="n">
        <x:v>0</x:v>
      </x:c>
      <x:c r="BH32" s="32" t="n">
        <x:v>0</x:v>
      </x:c>
      <x:c r="BI32" s="32" t="n">
        <x:v>0</x:v>
      </x:c>
      <x:c r="BJ32" s="32" t="n">
        <x:v>1000</x:v>
      </x:c>
      <x:c r="BK32" s="32" t="n">
        <x:v>1000</x:v>
      </x:c>
      <x:c r="BL32" s="32" t="n">
        <x:v>0</x:v>
      </x:c>
      <x:c r="BM32" s="32" t="n">
        <x:v>0</x:v>
      </x:c>
      <x:c r="BN32" s="32" t="n">
        <x:v>100</x:v>
      </x:c>
      <x:c r="BO32" s="32" t="n">
        <x:v>10</x:v>
      </x:c>
      <x:c r="BP32" s="32" t="n">
        <x:v>0</x:v>
      </x:c>
      <x:c r="BQ32" s="32" t="n">
        <x:v>100</x:v>
      </x:c>
      <x:c r="BR32" s="32" t="n">
        <x:v>0</x:v>
      </x:c>
      <x:c r="BS32" s="32" t="n">
        <x:v>0</x:v>
      </x:c>
      <x:c r="BT32" s="32" t="n">
        <x:v>300</x:v>
      </x:c>
      <x:c r="BU32" s="32" t="n">
        <x:v>300</x:v>
      </x:c>
      <x:c r="BV32" s="32" t="n">
        <x:v>0</x:v>
      </x:c>
      <x:c r="BW32" s="32" t="n">
        <x:v>1000</x:v>
      </x:c>
      <x:c r="BX32" s="32" t="n">
        <x:v>1000</x:v>
      </x:c>
      <x:c r="BY32" s="32" t="n">
        <x:v>0</x:v>
      </x:c>
      <x:c r="BZ32" s="32" t="n">
        <x:v>0</x:v>
      </x:c>
      <x:c r="CA32" s="32" t="n">
        <x:v>100</x:v>
      </x:c>
      <x:c r="CB32" s="32" t="n">
        <x:v>100</x:v>
      </x:c>
      <x:c r="CC32" s="32" t="n">
        <x:v>0</x:v>
      </x:c>
      <x:c r="CD32" s="32" t="n">
        <x:v>0</x:v>
      </x:c>
      <x:c r="CE32" s="32" t="n">
        <x:v>8000</x:v>
      </x:c>
      <x:c r="CF32" s="32" t="n">
        <x:v>9000</x:v>
      </x:c>
      <x:c r="CG32" s="32" t="n">
        <x:v>1000</x:v>
      </x:c>
      <x:c r="CH32" s="32" t="n">
        <x:v>0</x:v>
      </x:c>
      <x:c r="CI32" s="115" t="b">
        <x:v>1</x:v>
      </x:c>
      <x:c r="CJ32" s="32" t="n">
        <x:v>0</x:v>
      </x:c>
      <x:c r="CK32" s="32" t="n">
        <x:v>8000</x:v>
      </x:c>
      <x:c r="CL32" s="32" t="n">
        <x:v>0</x:v>
      </x:c>
      <x:c r="CM32" s="32" t="n">
        <x:v>0</x:v>
      </x:c>
      <x:c r="CN32" s="32" t="n">
        <x:v>0</x:v>
      </x:c>
      <x:c r="CO32" s="32" t="n">
        <x:v>0</x:v>
      </x:c>
      <x:c r="CP32" s="32" t="n">
        <x:v>0</x:v>
      </x:c>
      <x:c r="CQ32" s="32" t="n">
        <x:v>0</x:v>
      </x:c>
      <x:c r="CR32" s="32" t="n">
        <x:v>0</x:v>
      </x:c>
      <x:c r="CS32" s="32" t="n">
        <x:v>0</x:v>
      </x:c>
      <x:c r="CT32" s="32" t="n">
        <x:v>0</x:v>
      </x:c>
      <x:c r="CU32" s="32" t="n">
        <x:v>0</x:v>
      </x:c>
      <x:c r="CV32" s="32" t="n">
        <x:v>0</x:v>
      </x:c>
      <x:c r="CW32" s="32" t="n">
        <x:v>0</x:v>
      </x:c>
      <x:c r="CX32" s="32" t="n">
        <x:v>0</x:v>
      </x:c>
      <x:c r="CY32" s="32" t="n">
        <x:v>0</x:v>
      </x:c>
      <x:c r="CZ32" s="32" t="n">
        <x:v>0</x:v>
      </x:c>
      <x:c r="DA32" s="32" t="n">
        <x:v>0</x:v>
      </x:c>
      <x:c r="DB32" s="32" t="n">
        <x:v>0</x:v>
      </x:c>
      <x:c r="DC32" s="32" t="n">
        <x:v>0</x:v>
      </x:c>
      <x:c r="DD32" s="32" t="n">
        <x:v>0</x:v>
      </x:c>
      <x:c r="DE32" s="32" t="n">
        <x:v>0</x:v>
      </x:c>
      <x:c r="DF32" s="32" t="n">
        <x:v>0</x:v>
      </x:c>
      <x:c r="DG32" s="32" t="n">
        <x:v>0</x:v>
      </x:c>
      <x:c r="DH32" s="32" t="str">
        <x:v>baseline</x:v>
      </x:c>
      <x:c r="DI32" s="32" t="n">
        <x:v>45</x:v>
      </x:c>
      <x:c r="DJ32" s="32" t="n">
        <x:v>0</x:v>
      </x:c>
      <x:c r="DK32" s="32" t="n">
        <x:v>0</x:v>
      </x:c>
      <x:c r="DL32" s="32" t="n">
        <x:v>0</x:v>
      </x:c>
      <x:c r="DM32" s="32" t="n">
        <x:v>0</x:v>
      </x:c>
      <x:c r="DN32" s="32" t="n">
        <x:v>0</x:v>
      </x:c>
      <x:c r="DO32" s="32" t="n">
        <x:v>0</x:v>
      </x:c>
      <x:c r="DP32" s="32" t="n">
        <x:v>0</x:v>
      </x:c>
      <x:c r="DQ32" s="32" t="str">
        <x:v>C2</x:v>
      </x:c>
      <x:c r="DR32" s="32" t="n">
        <x:v>0</x:v>
      </x:c>
      <x:c r="DS32" s="32" t="n">
        <x:v>2000</x:v>
      </x:c>
      <x:c r="DT32" s="32" t="n">
        <x:v>2000</x:v>
      </x:c>
      <x:c r="DU32" s="32" t="n">
        <x:v>3000</x:v>
      </x:c>
      <x:c r="DV32" s="32" t="n">
        <x:v>0</x:v>
      </x:c>
      <x:c r="DW32" s="32" t="n">
        <x:v>3000</x:v>
      </x:c>
      <x:c r="DX32" s="32" t="n">
        <x:v>1000</x:v>
      </x:c>
      <x:c r="DY32" s="32" t="n">
        <x:v>1000</x:v>
      </x:c>
      <x:c r="DZ32" s="32" t="n">
        <x:v>0</x:v>
      </x:c>
      <x:c r="EA32" s="32" t="n">
        <x:v>0</x:v>
      </x:c>
      <x:c r="EB32" s="32" t="str">
        <x:v>60,120,180</x:v>
      </x:c>
      <x:c r="EC32" s="32" t="n">
        <x:v>3000</x:v>
      </x:c>
      <x:c r="ED32" s="32" t="str">
        <x:v>1000,1000,1000</x:v>
      </x:c>
      <x:c r="EE32" s="32" t="str">
        <x:v>1000,1000,1000</x:v>
      </x:c>
      <x:c r="EF32" s="32" t="str">
        <x:v>1000,2000,1000</x:v>
      </x:c>
      <x:c r="EG32" s="32" t="str">
        <x:v>1000,2000,1000</x:v>
      </x:c>
      <x:c r="EH32" s="32" t="str">
        <x:v>3000,2000,0</x:v>
      </x:c>
      <x:c r="EI32" s="32" t="str">
        <x:v>3000,2000,0</x:v>
      </x:c>
      <x:c r="EJ32" s="32"/>
      <x:c r="EK32" s="32" t="n">
        <x:v>0</x:v>
      </x:c>
      <x:c r="EL32" s="32" t="n">
        <x:v>0</x:v>
      </x:c>
      <x:c r="EM32" s="32"/>
      <x:c r="EN32" s="32"/>
      <x:c r="EO32" s="32" t="str">
        <x:v>1000,0,0</x:v>
      </x:c>
      <x:c r="EP32" s="32" t="str">
        <x:v>1000,0,0</x:v>
      </x:c>
      <x:c r="EQ32" s="32" t="n">
        <x:v>0</x:v>
      </x:c>
      <x:c r="ER32" s="32" t="n">
        <x:v>0</x:v>
      </x:c>
      <x:c r="ES32" s="115" t="b">
        <x:v>1</x:v>
      </x:c>
      <x:c r="ET32" s="32" t="str">
        <x:v>267e39e5-f708-447f-b68d-79a50bf34c1f</x:v>
      </x:c>
      <x:c r="EU32" s="32" t="str">
        <x:v>d54b12b9-0300-48c4-a869-7c8402b7beba</x:v>
      </x:c>
      <x:c r="EV32" s="32" t="n">
        <x:v>90</x:v>
      </x:c>
      <x:c r="EW32" s="32" t="n">
        <x:v>3000</x:v>
      </x:c>
      <x:c r="EX32" s="32" t="str">
        <x:v>1000,1000,1000</x:v>
      </x:c>
      <x:c r="EY32" s="32" t="str">
        <x:v>1000,1000,1000</x:v>
      </x:c>
      <x:c r="EZ32" s="32" t="n">
        <x:v>1000</x:v>
      </x:c>
      <x:c r="FA32" s="32" t="n">
        <x:v>1000</x:v>
      </x:c>
      <x:c r="FB32" s="32" t="n">
        <x:v>2000</x:v>
      </x:c>
      <x:c r="FC32" s="32" t="n">
        <x:v>2000</x:v>
      </x:c>
      <x:c r="FD32" s="32" t="n">
        <x:v>100</x:v>
      </x:c>
      <x:c r="FE32" s="32" t="n">
        <x:v>100</x:v>
      </x:c>
      <x:c r="FF32" s="32"/>
      <x:c r="FG32" s="32"/>
      <x:c r="FH32" s="32"/>
      <x:c r="FI32" s="32"/>
      <x:c r="FJ32" s="32"/>
      <x:c r="FK32" s="32"/>
      <x:c r="FL32" s="32"/>
      <x:c r="FM32" s="32"/>
      <x:c r="FN32" s="32"/>
      <x:c r="FO32" s="32"/>
      <x:c r="FP32" s="32"/>
      <x:c r="FQ32" s="32"/>
      <x:c r="FR32" s="32"/>
      <x:c r="FS32" s="32"/>
      <x:c r="FT32" s="32"/>
      <x:c r="FU32" s="32"/>
      <x:c r="FV32" s="32"/>
      <x:c r="FW32" s="32"/>
      <x:c r="FX32" s="32"/>
      <x:c r="FY32" s="32"/>
      <x:c r="FZ32" s="32"/>
      <x:c r="GA32" s="32"/>
      <x:c r="GB32" s="32"/>
      <x:c r="GC32" s="32"/>
      <x:c r="GD32" s="32"/>
      <x:c r="GE32" s="32"/>
      <x:c r="GF32" s="32"/>
      <x:c r="GG32" s="32"/>
      <x:c r="GH32" s="32"/>
      <x:c r="GI32" s="32"/>
      <x:c r="GJ32" s="32"/>
      <x:c r="GK32" s="32"/>
      <x:c r="GL32" s="32"/>
      <x:c r="GM32" s="32"/>
      <x:c r="GN32" s="32"/>
      <x:c r="GO32" s="32"/>
      <x:c r="GP32" s="32"/>
      <x:c r="GQ32" s="32"/>
      <x:c r="GR32" s="32"/>
      <x:c r="GS32" s="32"/>
      <x:c r="GT32" s="32"/>
      <x:c r="GU32" s="32"/>
      <x:c r="GV32" s="32"/>
      <x:c r="GW32" s="32"/>
      <x:c r="GX32" s="32"/>
      <x:c r="GY32" s="32"/>
      <x:c r="GZ32" s="32"/>
      <x:c r="HA32" s="32"/>
      <x:c r="HB32" s="32"/>
      <x:c r="HC32" s="32"/>
      <x:c r="HD32" s="32"/>
      <x:c r="HE32" s="32"/>
      <x:c r="HF32" s="32"/>
      <x:c r="HG32" s="32"/>
      <x:c r="HH32" s="32"/>
      <x:c r="HI32" s="32"/>
      <x:c r="HJ32" s="32"/>
      <x:c r="HK32" s="32"/>
      <x:c r="HL32" s="32"/>
      <x:c r="HM32" s="32"/>
      <x:c r="HN32" s="32"/>
      <x:c r="HO32" s="32"/>
      <x:c r="HP32" s="32"/>
      <x:c r="HQ32" s="32"/>
      <x:c r="HR32" s="32"/>
      <x:c r="HS32" s="32"/>
      <x:c r="HT32" s="32"/>
      <x:c r="HU32" s="32"/>
      <x:c r="HV32" s="32"/>
      <x:c r="HW32" s="32"/>
      <x:c r="HX32" s="32"/>
      <x:c r="HY32" s="32"/>
    </x:row>
    <x:row r="33">
      <x:c r="A33" s="32" t="str">
        <x:v>3204ca5b-1be9-4968-b9c0-c0b2fb6ede3e</x:v>
      </x:c>
      <x:c r="B33" s="32" t="str">
        <x:v>D-001</x:v>
      </x:c>
      <x:c r="C33" s="42" t="n">
        <x:v>46261.06543981482</x:v>
      </x:c>
      <x:c r="D33" s="32" t="str">
        <x:v>489b7424f5051f7a276dafe8d5f318ccf1368d87</x:v>
      </x:c>
      <x:c r="E33" s="32" t="str">
        <x:v>GLONBW11</x:v>
      </x:c>
      <x:c r="F33" s="32" t="str">
        <x:v>local-filesystem</x:v>
      </x:c>
      <x:c r="G33" s="32" t="str">
        <x:v>3.14.2</x:v>
      </x:c>
      <x:c r="H33" s="32" t="str">
        <x:v>deterministic</x:v>
      </x:c>
      <x:c r="I33" s="32" t="n">
        <x:v>1000</x:v>
      </x:c>
      <x:c r="J33" s="32" t="n">
        <x:v>2</x:v>
      </x:c>
      <x:c r="K33" s="32" t="n">
        <x:v>2.0202343</x:v>
      </x:c>
      <x:c r="L33" s="32" t="n">
        <x:v>25</x:v>
      </x:c>
      <x:c r="M33" s="32" t="n">
        <x:v>5</x:v>
      </x:c>
      <x:c r="N33" s="32" t="n">
        <x:v>10</x:v>
      </x:c>
      <x:c r="O33" s="32" t="n">
        <x:v>917.3349289994803</x:v>
      </x:c>
      <x:c r="P33" s="32" t="n">
        <x:v>1006.567690801603</x:v>
      </x:c>
      <x:c r="Q33" s="32" t="n">
        <x:v>1520.4543028812632</x:v>
      </x:c>
      <x:c r="R33" s="32" t="n">
        <x:v>1679.2291800011299</x:v>
      </x:c>
      <x:c r="S33" s="32" t="n">
        <x:v>0</x:v>
      </x:c>
      <x:c r="T33" s="43" t="n">
        <x:v>0</x:v>
      </x:c>
      <x:c r="U33" s="32" t="n">
        <x:v>96.77989069630823</x:v>
      </x:c>
      <x:c r="V33" s="32" t="n">
        <x:v>99.44909970098675</x:v>
      </x:c>
      <x:c r="W33" s="32" t="n">
        <x:v>136.260703125</x:v>
      </x:c>
      <x:c r="X33" s="32" t="n">
        <x:v>136.62890625</x:v>
      </x:c>
      <x:c r="Y33" s="32"/>
      <x:c r="Z33" s="32"/>
      <x:c r="AA33" s="32"/>
      <x:c r="AB33" s="32"/>
      <x:c r="AC33" s="32" t="n">
        <x:v>0</x:v>
      </x:c>
      <x:c r="AD33" s="32" t="n">
        <x:v>0</x:v>
      </x:c>
      <x:c r="AE33" s="32" t="n">
        <x:v>0</x:v>
      </x:c>
      <x:c r="AF33" s="32"/>
      <x:c r="AG33" s="32"/>
      <x:c r="AH33" s="32" t="n">
        <x:v>213.60545399875264</x:v>
      </x:c>
      <x:c r="AI33" s="32" t="str">
        <x:v>PASS</x:v>
      </x:c>
      <x:c r="AJ33" s="32" t="str">
        <x:v>GREEN</x:v>
      </x:c>
      <x:c r="AK33" s="32" t="str">
        <x:v>latest-narrow</x:v>
      </x:c>
      <x:c r="AL33" s="32" t="n">
        <x:v>1</x:v>
      </x:c>
      <x:c r="AM33" s="32" t="n">
        <x:v>1</x:v>
      </x:c>
      <x:c r="AN33" s="32" t="n">
        <x:v>1000</x:v>
      </x:c>
      <x:c r="AO33" s="32" t="n">
        <x:v>1</x:v>
      </x:c>
      <x:c r="AP33" s="32" t="n">
        <x:v>8132</x:v>
      </x:c>
      <x:c r="AQ33" s="32" t="n">
        <x:v>4.554581002594205</x:v>
      </x:c>
      <x:c r="AR33" s="32" t="n">
        <x:v>6.424184601200977</x:v>
      </x:c>
      <x:c r="AS33" s="32" t="n">
        <x:v>6.597180601675063</x:v>
      </x:c>
      <x:c r="AT33" s="32" t="n">
        <x:v>36</x:v>
      </x:c>
      <x:c r="AU33" s="32" t="str">
        <x:v>28×28 + 8×27</x:v>
      </x:c>
      <x:c r="AV33" s="32" t="n">
        <x:v>0.3460160005488433</x:v>
      </x:c>
      <x:c r="AW33" s="32" t="n">
        <x:v>0.48797540075611323</x:v>
      </x:c>
      <x:c r="AX33" s="32" t="n">
        <x:v>0.4960823601868469</x:v>
      </x:c>
      <x:c r="AY33" s="32" t="str">
        <x:v>balanced</x:v>
      </x:c>
      <x:c r="AZ33" s="32" t="str">
        <x:v>PASS</x:v>
      </x:c>
      <x:c r="BA33" s="32" t="n">
        <x:v>1000</x:v>
      </x:c>
      <x:c r="BB33" s="32" t="n">
        <x:v>0</x:v>
      </x:c>
      <x:c r="BC33" s="115" t="b">
        <x:v>1</x:v>
      </x:c>
      <x:c r="BD33" s="32" t="str">
        <x:v>PASS/GREEN. Single durable ManagementAction produced exactly one MANAGEMENT/EFFECTIVE receipt and one active ManagementEffect, with receipt durable before cursor=256. Input→receipt=997.95 ms; p95 iteration=1.007 s; 0 overruns.</x:v>
      </x:c>
      <x:c r="BE33" s="32" t="n">
        <x:v>0</x:v>
      </x:c>
      <x:c r="BF33" s="32" t="n">
        <x:v>0</x:v>
      </x:c>
      <x:c r="BG33" s="32" t="n">
        <x:v>0</x:v>
      </x:c>
      <x:c r="BH33" s="32" t="n">
        <x:v>0</x:v>
      </x:c>
      <x:c r="BI33" s="32" t="n">
        <x:v>0</x:v>
      </x:c>
      <x:c r="BJ33" s="32" t="n">
        <x:v>1000</x:v>
      </x:c>
      <x:c r="BK33" s="32" t="n">
        <x:v>1000</x:v>
      </x:c>
      <x:c r="BL33" s="32" t="n">
        <x:v>0</x:v>
      </x:c>
      <x:c r="BM33" s="32" t="n">
        <x:v>0</x:v>
      </x:c>
      <x:c r="BN33" s="32" t="n">
        <x:v>100</x:v>
      </x:c>
      <x:c r="BO33" s="32" t="n">
        <x:v>10</x:v>
      </x:c>
      <x:c r="BP33" s="32" t="n">
        <x:v>0</x:v>
      </x:c>
      <x:c r="BQ33" s="32" t="n">
        <x:v>100</x:v>
      </x:c>
      <x:c r="BR33" s="32" t="n">
        <x:v>0</x:v>
      </x:c>
      <x:c r="BS33" s="32" t="n">
        <x:v>0</x:v>
      </x:c>
      <x:c r="BT33" s="32" t="n">
        <x:v>100</x:v>
      </x:c>
      <x:c r="BU33" s="32" t="n">
        <x:v>100</x:v>
      </x:c>
      <x:c r="BV33" s="32" t="n">
        <x:v>0</x:v>
      </x:c>
      <x:c r="BW33" s="32" t="n">
        <x:v>1000</x:v>
      </x:c>
      <x:c r="BX33" s="32" t="n">
        <x:v>1000</x:v>
      </x:c>
      <x:c r="BY33" s="32" t="n">
        <x:v>0</x:v>
      </x:c>
      <x:c r="BZ33" s="32" t="n">
        <x:v>0</x:v>
      </x:c>
      <x:c r="CA33" s="32" t="n">
        <x:v>100</x:v>
      </x:c>
      <x:c r="CB33" s="32" t="n">
        <x:v>100</x:v>
      </x:c>
      <x:c r="CC33" s="32" t="n">
        <x:v>0</x:v>
      </x:c>
      <x:c r="CD33" s="32" t="n">
        <x:v>0</x:v>
      </x:c>
      <x:c r="CE33" s="32" t="n">
        <x:v>1000</x:v>
      </x:c>
      <x:c r="CF33" s="32" t="n">
        <x:v>2001</x:v>
      </x:c>
      <x:c r="CG33" s="32" t="n">
        <x:v>1000</x:v>
      </x:c>
      <x:c r="CH33" s="32" t="n">
        <x:v>0</x:v>
      </x:c>
      <x:c r="CI33" s="115" t="b">
        <x:v>1</x:v>
      </x:c>
      <x:c r="CJ33" s="32" t="n">
        <x:v>0</x:v>
      </x:c>
      <x:c r="CK33" s="32" t="n">
        <x:v>1000</x:v>
      </x:c>
      <x:c r="CL33" s="32" t="n">
        <x:v>0</x:v>
      </x:c>
      <x:c r="CM33" s="32" t="n">
        <x:v>0</x:v>
      </x:c>
      <x:c r="CN33" s="32" t="n">
        <x:v>0</x:v>
      </x:c>
      <x:c r="CO33" s="32" t="n">
        <x:v>0</x:v>
      </x:c>
      <x:c r="CP33" s="32" t="n">
        <x:v>0</x:v>
      </x:c>
      <x:c r="CQ33" s="32" t="n">
        <x:v>0</x:v>
      </x:c>
      <x:c r="CR33" s="32" t="n">
        <x:v>0</x:v>
      </x:c>
      <x:c r="CS33" s="32" t="n">
        <x:v>0</x:v>
      </x:c>
      <x:c r="CT33" s="32" t="n">
        <x:v>0</x:v>
      </x:c>
      <x:c r="CU33" s="32" t="n">
        <x:v>0</x:v>
      </x:c>
      <x:c r="CV33" s="32" t="n">
        <x:v>0</x:v>
      </x:c>
      <x:c r="CW33" s="32" t="n">
        <x:v>0</x:v>
      </x:c>
      <x:c r="CX33" s="32" t="n">
        <x:v>0</x:v>
      </x:c>
      <x:c r="CY33" s="32" t="n">
        <x:v>0</x:v>
      </x:c>
      <x:c r="CZ33" s="32" t="n">
        <x:v>0</x:v>
      </x:c>
      <x:c r="DA33" s="32" t="n">
        <x:v>0</x:v>
      </x:c>
      <x:c r="DB33" s="32" t="n">
        <x:v>0</x:v>
      </x:c>
      <x:c r="DC33" s="32" t="n">
        <x:v>0</x:v>
      </x:c>
      <x:c r="DD33" s="32" t="n">
        <x:v>0</x:v>
      </x:c>
      <x:c r="DE33" s="32" t="n">
        <x:v>0</x:v>
      </x:c>
      <x:c r="DF33" s="32" t="n">
        <x:v>0</x:v>
      </x:c>
      <x:c r="DG33" s="32" t="n">
        <x:v>0</x:v>
      </x:c>
      <x:c r="DH33" s="32" t="str">
        <x:v>baseline</x:v>
      </x:c>
      <x:c r="DI33" s="32" t="n">
        <x:v>25</x:v>
      </x:c>
      <x:c r="DJ33" s="32" t="n">
        <x:v>0</x:v>
      </x:c>
      <x:c r="DK33" s="32" t="n">
        <x:v>0</x:v>
      </x:c>
      <x:c r="DL33" s="32" t="n">
        <x:v>0</x:v>
      </x:c>
      <x:c r="DM33" s="32" t="n">
        <x:v>0</x:v>
      </x:c>
      <x:c r="DN33" s="32" t="n">
        <x:v>0</x:v>
      </x:c>
      <x:c r="DO33" s="32" t="n">
        <x:v>0</x:v>
      </x:c>
      <x:c r="DP33" s="32" t="n">
        <x:v>0</x:v>
      </x:c>
      <x:c r="DQ33" s="32" t="str">
        <x:v>C3</x:v>
      </x:c>
      <x:c r="DR33" s="32" t="n">
        <x:v>0</x:v>
      </x:c>
      <x:c r="DS33" s="32" t="n">
        <x:v>1000</x:v>
      </x:c>
      <x:c r="DT33" s="32" t="n">
        <x:v>1000</x:v>
      </x:c>
      <x:c r="DU33" s="32" t="n">
        <x:v>0</x:v>
      </x:c>
      <x:c r="DV33" s="32" t="n">
        <x:v>0</x:v>
      </x:c>
      <x:c r="DW33" s="32" t="n">
        <x:v>0</x:v>
      </x:c>
      <x:c r="DX33" s="32" t="n">
        <x:v>1000</x:v>
      </x:c>
      <x:c r="DY33" s="32" t="n">
        <x:v>1000</x:v>
      </x:c>
      <x:c r="DZ33" s="32" t="n">
        <x:v>0</x:v>
      </x:c>
      <x:c r="EA33" s="32" t="n">
        <x:v>0</x:v>
      </x:c>
      <x:c r="EB33" s="32"/>
      <x:c r="EC33" s="32"/>
      <x:c r="ED33" s="32"/>
      <x:c r="EE33" s="32"/>
      <x:c r="EF33" s="32"/>
      <x:c r="EG33" s="32"/>
      <x:c r="EH33" s="32"/>
      <x:c r="EI33" s="32"/>
      <x:c r="EJ33" s="32"/>
      <x:c r="EK33" s="32"/>
      <x:c r="EL33" s="32"/>
      <x:c r="EM33" s="32"/>
      <x:c r="EN33" s="32"/>
      <x:c r="EO33" s="32"/>
      <x:c r="EP33" s="32"/>
      <x:c r="EQ33" s="32"/>
      <x:c r="ER33" s="32"/>
      <x:c r="ES33" s="32"/>
      <x:c r="ET33" s="32"/>
      <x:c r="EU33" s="32"/>
      <x:c r="EV33" s="32"/>
      <x:c r="EW33" s="32"/>
      <x:c r="EX33" s="32"/>
      <x:c r="EY33" s="32"/>
      <x:c r="EZ33" s="32"/>
      <x:c r="FA33" s="32"/>
      <x:c r="FB33" s="32"/>
      <x:c r="FC33" s="32"/>
      <x:c r="FD33" s="32"/>
      <x:c r="FE33" s="32"/>
      <x:c r="FF33" s="32" t="n">
        <x:v>30</x:v>
      </x:c>
      <x:c r="FG33" s="32" t="str">
        <x:v>PERF-M-000001</x:v>
      </x:c>
      <x:c r="FH33" s="32" t="n">
        <x:v>1</x:v>
      </x:c>
      <x:c r="FI33" s="32" t="n">
        <x:v>1</x:v>
      </x:c>
      <x:c r="FJ33" s="32" t="n">
        <x:v>1</x:v>
      </x:c>
      <x:c r="FK33" s="32" t="n">
        <x:v>1</x:v>
      </x:c>
      <x:c r="FL33" s="32" t="n">
        <x:v>0</x:v>
      </x:c>
      <x:c r="FM33" s="32" t="n">
        <x:v>1</x:v>
      </x:c>
      <x:c r="FN33" s="32" t="n">
        <x:v>0</x:v>
      </x:c>
      <x:c r="FO33" s="32" t="n">
        <x:v>2</x:v>
      </x:c>
      <x:c r="FP33" s="32" t="n">
        <x:v>101</x:v>
      </x:c>
      <x:c r="FQ33" s="32" t="n">
        <x:v>256</x:v>
      </x:c>
      <x:c r="FR33" s="32" t="n">
        <x:v>0</x:v>
      </x:c>
      <x:c r="FS33" s="32" t="n">
        <x:v>1</x:v>
      </x:c>
      <x:c r="FT33" s="115" t="b">
        <x:v>1</x:v>
      </x:c>
      <x:c r="FU33" s="32" t="n">
        <x:v>997.9496189989732</x:v>
      </x:c>
      <x:c r="FV33" s="32" t="str">
        <x:v>PERF-O-00000001</x:v>
      </x:c>
      <x:c r="FW33" s="32" t="n">
        <x:v>0</x:v>
      </x:c>
      <x:c r="FX33" s="32"/>
      <x:c r="FY33" s="32"/>
      <x:c r="FZ33" s="32"/>
      <x:c r="GA33" s="32"/>
      <x:c r="GB33" s="32"/>
      <x:c r="GC33" s="32"/>
      <x:c r="GD33" s="32"/>
      <x:c r="GE33" s="32"/>
      <x:c r="GF33" s="32"/>
      <x:c r="GG33" s="32"/>
      <x:c r="GH33" s="32"/>
      <x:c r="GI33" s="32"/>
      <x:c r="GJ33" s="32"/>
      <x:c r="GK33" s="32"/>
      <x:c r="GL33" s="32"/>
      <x:c r="GM33" s="32" t="str">
        <x:v>single</x:v>
      </x:c>
      <x:c r="GN33" s="32"/>
      <x:c r="GO33" s="32"/>
      <x:c r="GP33" s="32"/>
      <x:c r="GQ33" s="32"/>
      <x:c r="GR33" s="32"/>
      <x:c r="GS33" s="32"/>
      <x:c r="GT33" s="32"/>
      <x:c r="GU33" s="32"/>
      <x:c r="GV33" s="32"/>
      <x:c r="GW33" s="32"/>
      <x:c r="GX33" s="32"/>
      <x:c r="GY33" s="32"/>
      <x:c r="GZ33" s="32"/>
      <x:c r="HA33" s="32"/>
      <x:c r="HB33" s="32"/>
      <x:c r="HC33" s="32"/>
      <x:c r="HD33" s="32"/>
      <x:c r="HE33" s="32"/>
      <x:c r="HF33" s="32"/>
      <x:c r="HG33" s="32"/>
      <x:c r="HH33" s="32"/>
      <x:c r="HI33" s="32"/>
      <x:c r="HJ33" s="32"/>
      <x:c r="HK33" s="32"/>
      <x:c r="HL33" s="32"/>
      <x:c r="HM33" s="32"/>
      <x:c r="HN33" s="32"/>
      <x:c r="HO33" s="32"/>
      <x:c r="HP33" s="32"/>
      <x:c r="HQ33" s="32"/>
      <x:c r="HR33" s="32"/>
      <x:c r="HS33" s="32"/>
      <x:c r="HT33" s="32"/>
      <x:c r="HU33" s="32"/>
      <x:c r="HV33" s="32"/>
      <x:c r="HW33" s="32"/>
      <x:c r="HX33" s="32"/>
      <x:c r="HY33" s="32"/>
    </x:row>
    <x:row r="34">
      <x:c r="A34" s="32" t="str">
        <x:v>b318a6a4-d160-4b05-a5eb-300d7110040c</x:v>
      </x:c>
      <x:c r="B34" s="32" t="str">
        <x:v>D-002</x:v>
      </x:c>
      <x:c r="C34" s="42" t="n">
        <x:v>46261.09011574074</x:v>
      </x:c>
      <x:c r="D34" s="32" t="str">
        <x:v>489b7424f5051f7a276dafe8d5f318ccf1368d87</x:v>
      </x:c>
      <x:c r="E34" s="32" t="str">
        <x:v>GLONBW11</x:v>
      </x:c>
      <x:c r="F34" s="32" t="str">
        <x:v>local-filesystem</x:v>
      </x:c>
      <x:c r="G34" s="32" t="str">
        <x:v>3.14.2</x:v>
      </x:c>
      <x:c r="H34" s="32" t="str">
        <x:v>deterministic</x:v>
      </x:c>
      <x:c r="I34" s="32" t="n">
        <x:v>1000</x:v>
      </x:c>
      <x:c r="J34" s="32" t="n">
        <x:v>10</x:v>
      </x:c>
      <x:c r="K34" s="32" t="n">
        <x:v>10.108216666666667</x:v>
      </x:c>
      <x:c r="L34" s="32" t="n">
        <x:v>120</x:v>
      </x:c>
      <x:c r="M34" s="32" t="n">
        <x:v>5</x:v>
      </x:c>
      <x:c r="N34" s="32" t="n">
        <x:v>10</x:v>
      </x:c>
      <x:c r="O34" s="32"/>
      <x:c r="P34" s="32"/>
      <x:c r="Q34" s="32"/>
      <x:c r="R34" s="32"/>
      <x:c r="S34" s="32"/>
      <x:c r="T34" s="43" t="n">
        <x:v>0</x:v>
      </x:c>
      <x:c r="U34" s="32"/>
      <x:c r="V34" s="32" t="n">
        <x:v>19.035</x:v>
      </x:c>
      <x:c r="W34" s="32"/>
      <x:c r="X34" s="32"/>
      <x:c r="Y34" s="32"/>
      <x:c r="Z34" s="32"/>
      <x:c r="AA34" s="32"/>
      <x:c r="AB34" s="32"/>
      <x:c r="AC34" s="32" t="n">
        <x:v>0</x:v>
      </x:c>
      <x:c r="AD34" s="32" t="n">
        <x:v>0</x:v>
      </x:c>
      <x:c r="AE34" s="32" t="n">
        <x:v>0</x:v>
      </x:c>
      <x:c r="AF34" s="32"/>
      <x:c r="AG34" s="32"/>
      <x:c r="AH34" s="32"/>
      <x:c r="AI34" s="32" t="str">
        <x:v>OBSERVED</x:v>
      </x:c>
      <x:c r="AJ34" s="32" t="str">
        <x:v>N/A</x:v>
      </x:c>
      <x:c r="AK34" s="32" t="str">
        <x:v>latest-narrow</x:v>
      </x:c>
      <x:c r="AL34" s="32" t="n">
        <x:v>1</x:v>
      </x:c>
      <x:c r="AM34" s="32" t="n">
        <x:v>1</x:v>
      </x:c>
      <x:c r="AN34" s="32" t="n">
        <x:v>1000</x:v>
      </x:c>
      <x:c r="AO34" s="32" t="n">
        <x:v>1</x:v>
      </x:c>
      <x:c r="AP34" s="32" t="n">
        <x:v>8132</x:v>
      </x:c>
      <x:c r="AQ34" s="32"/>
      <x:c r="AR34" s="32"/>
      <x:c r="AS34" s="32"/>
      <x:c r="AT34" s="32" t="n">
        <x:v>36</x:v>
      </x:c>
      <x:c r="AU34" s="32" t="str">
        <x:v>28×28 + 8×27</x:v>
      </x:c>
      <x:c r="AV34" s="32"/>
      <x:c r="AW34" s="32"/>
      <x:c r="AX34" s="32"/>
      <x:c r="AY34" s="32" t="str">
        <x:v>balanced</x:v>
      </x:c>
      <x:c r="AZ34" s="32" t="str">
        <x:v>RUNTIME_ERROR</x:v>
      </x:c>
      <x:c r="BA34" s="32" t="n">
        <x:v>1000</x:v>
      </x:c>
      <x:c r="BB34" s="32" t="n">
        <x:v>0</x:v>
      </x:c>
      <x:c r="BC34" s="115" t="b">
        <x:v>1</x:v>
      </x:c>
      <x:c r="BD34" s="32" t="str">
        <x:v>INTERRUPTED by generic Job Runtime LeaseRenewalError during second 5-minute evidence wave. Management workload itself reached 540/540 durable EFFECTIVE receipts/effects with cursor 138240 and pending 0. WAL durable; partial evidence materialization requires recovery 24 apply / 76 skip. Not a Management FAIL.</x:v>
      </x:c>
      <x:c r="BE34" s="32"/>
      <x:c r="BF34" s="32"/>
      <x:c r="BG34" s="32"/>
      <x:c r="BH34" s="32"/>
      <x:c r="BI34" s="32"/>
      <x:c r="BJ34" s="32"/>
      <x:c r="BK34" s="32"/>
      <x:c r="BL34" s="32"/>
      <x:c r="BM34" s="32"/>
      <x:c r="BN34" s="32" t="n">
        <x:v>100</x:v>
      </x:c>
      <x:c r="BO34" s="32" t="n">
        <x:v>10</x:v>
      </x:c>
      <x:c r="BP34" s="32"/>
      <x:c r="BQ34" s="32" t="n">
        <x:v>100</x:v>
      </x:c>
      <x:c r="BR34" s="32"/>
      <x:c r="BS34" s="32"/>
      <x:c r="BT34" s="32"/>
      <x:c r="BU34" s="32"/>
      <x:c r="BV34" s="32"/>
      <x:c r="BW34" s="32" t="n">
        <x:v>1000</x:v>
      </x:c>
      <x:c r="BX34" s="32" t="n">
        <x:v>1000</x:v>
      </x:c>
      <x:c r="BY34" s="32"/>
      <x:c r="BZ34" s="32"/>
      <x:c r="CA34" s="32" t="n">
        <x:v>100</x:v>
      </x:c>
      <x:c r="CB34" s="32" t="n">
        <x:v>100</x:v>
      </x:c>
      <x:c r="CC34" s="32"/>
      <x:c r="CD34" s="32"/>
      <x:c r="CE34" s="32"/>
      <x:c r="CF34" s="32"/>
      <x:c r="CG34" s="32"/>
      <x:c r="CH34" s="32"/>
      <x:c r="CI34" s="115" t="b">
        <x:v>1</x:v>
      </x:c>
      <x:c r="CJ34" s="32"/>
      <x:c r="CK34" s="32"/>
      <x:c r="CL34" s="32"/>
      <x:c r="CM34" s="32"/>
      <x:c r="CN34" s="32"/>
      <x:c r="CO34" s="32"/>
      <x:c r="CP34" s="32"/>
      <x:c r="CQ34" s="32" t="n">
        <x:v>0</x:v>
      </x:c>
      <x:c r="CR34" s="32"/>
      <x:c r="CS34" s="32"/>
      <x:c r="CT34" s="32"/>
      <x:c r="CU34" s="32"/>
      <x:c r="CV34" s="32"/>
      <x:c r="CW34" s="32"/>
      <x:c r="CX34" s="32"/>
      <x:c r="CY34" s="32"/>
      <x:c r="CZ34" s="32"/>
      <x:c r="DA34" s="32"/>
      <x:c r="DB34" s="32"/>
      <x:c r="DC34" s="32"/>
      <x:c r="DD34" s="32"/>
      <x:c r="DE34" s="32"/>
      <x:c r="DF34" s="32"/>
      <x:c r="DG34" s="32"/>
      <x:c r="DH34" s="32"/>
      <x:c r="DI34" s="32"/>
      <x:c r="DJ34" s="32"/>
      <x:c r="DK34" s="32"/>
      <x:c r="DL34" s="32"/>
      <x:c r="DM34" s="32"/>
      <x:c r="DN34" s="32"/>
      <x:c r="DO34" s="32"/>
      <x:c r="DP34" s="32"/>
      <x:c r="DQ34" s="32" t="str">
        <x:v>C3</x:v>
      </x:c>
      <x:c r="DR34" s="32" t="n">
        <x:v>0</x:v>
      </x:c>
      <x:c r="DS34" s="32"/>
      <x:c r="DT34" s="32"/>
      <x:c r="DU34" s="32"/>
      <x:c r="DV34" s="32"/>
      <x:c r="DW34" s="32"/>
      <x:c r="DX34" s="32" t="n">
        <x:v>1000</x:v>
      </x:c>
      <x:c r="DY34" s="32" t="n">
        <x:v>1000</x:v>
      </x:c>
      <x:c r="DZ34" s="32" t="n">
        <x:v>0</x:v>
      </x:c>
      <x:c r="EA34" s="32" t="n">
        <x:v>0</x:v>
      </x:c>
      <x:c r="EB34" s="32"/>
      <x:c r="EC34" s="32"/>
      <x:c r="ED34" s="32"/>
      <x:c r="EE34" s="32"/>
      <x:c r="EF34" s="32"/>
      <x:c r="EG34" s="32"/>
      <x:c r="EH34" s="32"/>
      <x:c r="EI34" s="32"/>
      <x:c r="EJ34" s="32"/>
      <x:c r="EK34" s="32"/>
      <x:c r="EL34" s="32"/>
      <x:c r="EM34" s="32"/>
      <x:c r="EN34" s="32"/>
      <x:c r="EO34" s="32"/>
      <x:c r="EP34" s="32"/>
      <x:c r="EQ34" s="32"/>
      <x:c r="ER34" s="32"/>
      <x:c r="ES34" s="32"/>
      <x:c r="ET34" s="32"/>
      <x:c r="EU34" s="32"/>
      <x:c r="EV34" s="32"/>
      <x:c r="EW34" s="32"/>
      <x:c r="EX34" s="32"/>
      <x:c r="EY34" s="32"/>
      <x:c r="EZ34" s="32"/>
      <x:c r="FA34" s="32"/>
      <x:c r="FB34" s="32"/>
      <x:c r="FC34" s="32"/>
      <x:c r="FD34" s="32"/>
      <x:c r="FE34" s="32"/>
      <x:c r="FF34" s="32" t="n">
        <x:v>30</x:v>
      </x:c>
      <x:c r="FG34" s="32" t="str">
        <x:v>PERF-M-000001..PERF-M-000540</x:v>
      </x:c>
      <x:c r="FH34" s="32" t="n">
        <x:v>540</x:v>
      </x:c>
      <x:c r="FI34" s="32" t="n">
        <x:v>540</x:v>
      </x:c>
      <x:c r="FJ34" s="32" t="n">
        <x:v>540</x:v>
      </x:c>
      <x:c r="FK34" s="32" t="n">
        <x:v>540</x:v>
      </x:c>
      <x:c r="FL34" s="32" t="n">
        <x:v>0</x:v>
      </x:c>
      <x:c r="FM34" s="32"/>
      <x:c r="FN34" s="32" t="n">
        <x:v>0</x:v>
      </x:c>
      <x:c r="FO34" s="32"/>
      <x:c r="FP34" s="32"/>
      <x:c r="FQ34" s="32" t="n">
        <x:v>138240</x:v>
      </x:c>
      <x:c r="FR34" s="32" t="n">
        <x:v>0</x:v>
      </x:c>
      <x:c r="FS34" s="32" t="n">
        <x:v>540</x:v>
      </x:c>
      <x:c r="FT34" s="32"/>
      <x:c r="FU34" s="32"/>
      <x:c r="FV34" s="32"/>
      <x:c r="FW34" s="32" t="n">
        <x:v>0</x:v>
      </x:c>
      <x:c r="FX34" s="32" t="n">
        <x:v>540</x:v>
      </x:c>
      <x:c r="FY34" s="32" t="n">
        <x:v>1</x:v>
      </x:c>
      <x:c r="FZ34" s="32" t="n">
        <x:v>0</x:v>
      </x:c>
      <x:c r="GA34" s="32" t="n">
        <x:v>0</x:v>
      </x:c>
      <x:c r="GB34" s="32" t="n">
        <x:v>540</x:v>
      </x:c>
      <x:c r="GC34" s="32" t="n">
        <x:v>540</x:v>
      </x:c>
      <x:c r="GD34" s="32"/>
      <x:c r="GE34" s="32" t="n">
        <x:v>5</x:v>
      </x:c>
      <x:c r="GF34" s="32" t="n">
        <x:v>109</x:v>
      </x:c>
      <x:c r="GG34" s="32" t="str">
        <x:v>1×1, 5×107, 4×1</x:v>
      </x:c>
      <x:c r="GH34" s="32"/>
      <x:c r="GI34" s="32"/>
      <x:c r="GJ34" s="32"/>
      <x:c r="GK34" s="32"/>
      <x:c r="GL34" s="32"/>
      <x:c r="GM34" s="32" t="str">
        <x:v>sustained</x:v>
      </x:c>
      <x:c r="GN34" s="32" t="n">
        <x:v>1</x:v>
      </x:c>
      <x:c r="GO34" s="32"/>
      <x:c r="GP34" s="32"/>
      <x:c r="GQ34" s="32"/>
      <x:c r="GR34" s="32"/>
      <x:c r="GS34" s="32"/>
      <x:c r="GT34" s="32"/>
      <x:c r="GU34" s="32"/>
      <x:c r="GV34" s="32"/>
      <x:c r="GW34" s="32"/>
      <x:c r="GX34" s="32"/>
      <x:c r="GY34" s="32"/>
      <x:c r="GZ34" s="32"/>
      <x:c r="HA34" s="32"/>
      <x:c r="HB34" s="32"/>
      <x:c r="HC34" s="32"/>
      <x:c r="HD34" s="32"/>
      <x:c r="HE34" s="32"/>
      <x:c r="HF34" s="32"/>
      <x:c r="HG34" s="32"/>
      <x:c r="HH34" s="32"/>
      <x:c r="HI34" s="32"/>
      <x:c r="HJ34" s="32"/>
      <x:c r="HK34" s="32"/>
      <x:c r="HL34" s="32"/>
      <x:c r="HM34" s="32"/>
      <x:c r="HN34" s="32"/>
      <x:c r="HO34" s="32"/>
      <x:c r="HP34" s="32"/>
      <x:c r="HQ34" s="32"/>
      <x:c r="HR34" s="32"/>
      <x:c r="HS34" s="32"/>
      <x:c r="HT34" s="32"/>
      <x:c r="HU34" s="32"/>
      <x:c r="HV34" s="32"/>
      <x:c r="HW34" s="32"/>
      <x:c r="HX34" s="32"/>
      <x:c r="HY34" s="32"/>
    </x:row>
    <x:row r="35">
      <x:c r="A35" s="32" t="str">
        <x:v>5e7bd0dc-d6b9-4556-a3bd-8b81a3eb3478</x:v>
      </x:c>
      <x:c r="B35" s="32" t="str">
        <x:v>D-002</x:v>
      </x:c>
      <x:c r="C35" s="42" t="n">
        <x:v>46261.163518518515</x:v>
      </x:c>
      <x:c r="D35" s="32" t="str">
        <x:v>489b7424f5051f7a276dafe8d5f318ccf1368d87</x:v>
      </x:c>
      <x:c r="E35" s="32" t="str">
        <x:v>GLONBW11</x:v>
      </x:c>
      <x:c r="F35" s="32" t="str">
        <x:v>local-filesystem</x:v>
      </x:c>
      <x:c r="G35" s="32" t="str">
        <x:v>3.14.2</x:v>
      </x:c>
      <x:c r="H35" s="32" t="str">
        <x:v>deterministic</x:v>
      </x:c>
      <x:c r="I35" s="32" t="n">
        <x:v>1000</x:v>
      </x:c>
      <x:c r="J35" s="32" t="n">
        <x:v>10</x:v>
      </x:c>
      <x:c r="K35" s="32" t="n">
        <x:v>10.052595966666667</x:v>
      </x:c>
      <x:c r="L35" s="32" t="n">
        <x:v>121</x:v>
      </x:c>
      <x:c r="M35" s="32" t="n">
        <x:v>5</x:v>
      </x:c>
      <x:c r="N35" s="32" t="n">
        <x:v>10</x:v>
      </x:c>
      <x:c r="O35" s="32" t="n">
        <x:v>1022.859138000058</x:v>
      </x:c>
      <x:c r="P35" s="32" t="n">
        <x:v>1057.7811129987822</x:v>
      </x:c>
      <x:c r="Q35" s="32" t="n">
        <x:v>1890.776504002133</x:v>
      </x:c>
      <x:c r="R35" s="32" t="n">
        <x:v>1944.6835169983387</x:v>
      </x:c>
      <x:c r="S35" s="32" t="n">
        <x:v>0</x:v>
      </x:c>
      <x:c r="T35" s="43" t="n">
        <x:v>0</x:v>
      </x:c>
      <x:c r="U35" s="32" t="n">
        <x:v>91.96639943626238</x:v>
      </x:c>
      <x:c r="V35" s="32" t="n">
        <x:v>100.08476951512067</x:v>
      </x:c>
      <x:c r="W35" s="32" t="n">
        <x:v>137.09291064049586</x:v>
      </x:c>
      <x:c r="X35" s="32" t="n">
        <x:v>137.828125</x:v>
      </x:c>
      <x:c r="Y35" s="32"/>
      <x:c r="Z35" s="32"/>
      <x:c r="AA35" s="32"/>
      <x:c r="AB35" s="32"/>
      <x:c r="AC35" s="32" t="n">
        <x:v>0</x:v>
      </x:c>
      <x:c r="AD35" s="32" t="n">
        <x:v>0</x:v>
      </x:c>
      <x:c r="AE35" s="32" t="n">
        <x:v>0</x:v>
      </x:c>
      <x:c r="AF35" s="32"/>
      <x:c r="AG35" s="32"/>
      <x:c r="AH35" s="32" t="n">
        <x:v>972.5182369984395</x:v>
      </x:c>
      <x:c r="AI35" s="32" t="str">
        <x:v>PASS</x:v>
      </x:c>
      <x:c r="AJ35" s="32" t="str">
        <x:v>GREEN</x:v>
      </x:c>
      <x:c r="AK35" s="32" t="str">
        <x:v>latest-narrow</x:v>
      </x:c>
      <x:c r="AL35" s="32" t="n">
        <x:v>1</x:v>
      </x:c>
      <x:c r="AM35" s="32" t="n">
        <x:v>1</x:v>
      </x:c>
      <x:c r="AN35" s="32" t="n">
        <x:v>1000</x:v>
      </x:c>
      <x:c r="AO35" s="32" t="n">
        <x:v>1</x:v>
      </x:c>
      <x:c r="AP35" s="32" t="n">
        <x:v>8132</x:v>
      </x:c>
      <x:c r="AQ35" s="32" t="n">
        <x:v>3.8683679995301645</x:v>
      </x:c>
      <x:c r="AR35" s="32" t="n">
        <x:v>5.840401998284506</x:v>
      </x:c>
      <x:c r="AS35" s="32" t="n">
        <x:v>6.70053740250296</x:v>
      </x:c>
      <x:c r="AT35" s="32" t="n">
        <x:v>36</x:v>
      </x:c>
      <x:c r="AU35" s="32" t="str">
        <x:v>28×28 + 8×27</x:v>
      </x:c>
      <x:c r="AV35" s="32" t="n">
        <x:v>0.36135299887973815</x:v>
      </x:c>
      <x:c r="AW35" s="32" t="n">
        <x:v>0.4728400017484091</x:v>
      </x:c>
      <x:c r="AX35" s="32" t="n">
        <x:v>0.5567325984884519</x:v>
      </x:c>
      <x:c r="AY35" s="32" t="str">
        <x:v>balanced</x:v>
      </x:c>
      <x:c r="AZ35" s="32" t="str">
        <x:v>PASS</x:v>
      </x:c>
      <x:c r="BA35" s="32" t="n">
        <x:v>1000</x:v>
      </x:c>
      <x:c r="BB35" s="32" t="n">
        <x:v>0</x:v>
      </x:c>
      <x:c r="BC35" s="115" t="b">
        <x:v>1</x:v>
      </x:c>
      <x:c r="BD35" s="32" t="str">
        <x:v>PASS/GREEN. Clean Runtime 0.7.1 rerun completed through +600 s evidence wave with 0 LeaseRenewalError. 540/540 EFFECTIVE receipts/effects, lost=0, duplicates=0, cursor=138240, pending=0, receipt-before-cursor=540/540; 835 durable records / 8,025,617 bytes and durable==materialized.</x:v>
      </x:c>
      <x:c r="BE35" s="32" t="n">
        <x:v>0</x:v>
      </x:c>
      <x:c r="BF35" s="32" t="n">
        <x:v>0</x:v>
      </x:c>
      <x:c r="BG35" s="32" t="n">
        <x:v>0</x:v>
      </x:c>
      <x:c r="BH35" s="32" t="n">
        <x:v>0</x:v>
      </x:c>
      <x:c r="BI35" s="32" t="n">
        <x:v>0</x:v>
      </x:c>
      <x:c r="BJ35" s="32" t="n">
        <x:v>1000</x:v>
      </x:c>
      <x:c r="BK35" s="32" t="n">
        <x:v>1000</x:v>
      </x:c>
      <x:c r="BL35" s="32" t="n">
        <x:v>0</x:v>
      </x:c>
      <x:c r="BM35" s="32" t="n">
        <x:v>0</x:v>
      </x:c>
      <x:c r="BN35" s="32" t="n">
        <x:v>100</x:v>
      </x:c>
      <x:c r="BO35" s="32" t="n">
        <x:v>10</x:v>
      </x:c>
      <x:c r="BP35" s="32" t="n">
        <x:v>0</x:v>
      </x:c>
      <x:c r="BQ35" s="32" t="n">
        <x:v>100</x:v>
      </x:c>
      <x:c r="BR35" s="32" t="n">
        <x:v>0</x:v>
      </x:c>
      <x:c r="BS35" s="32" t="n">
        <x:v>0</x:v>
      </x:c>
      <x:c r="BT35" s="32" t="n">
        <x:v>100</x:v>
      </x:c>
      <x:c r="BU35" s="32" t="n">
        <x:v>100</x:v>
      </x:c>
      <x:c r="BV35" s="32" t="n">
        <x:v>0</x:v>
      </x:c>
      <x:c r="BW35" s="32" t="n">
        <x:v>1000</x:v>
      </x:c>
      <x:c r="BX35" s="32" t="n">
        <x:v>1000</x:v>
      </x:c>
      <x:c r="BY35" s="32" t="n">
        <x:v>0</x:v>
      </x:c>
      <x:c r="BZ35" s="32" t="n">
        <x:v>0</x:v>
      </x:c>
      <x:c r="CA35" s="32" t="n">
        <x:v>100</x:v>
      </x:c>
      <x:c r="CB35" s="32" t="n">
        <x:v>100</x:v>
      </x:c>
      <x:c r="CC35" s="32" t="n">
        <x:v>0</x:v>
      </x:c>
      <x:c r="CD35" s="32" t="n">
        <x:v>0</x:v>
      </x:c>
      <x:c r="CE35" s="32" t="n">
        <x:v>1000</x:v>
      </x:c>
      <x:c r="CF35" s="32" t="n">
        <x:v>2540</x:v>
      </x:c>
      <x:c r="CG35" s="32" t="n">
        <x:v>3000</x:v>
      </x:c>
      <x:c r="CH35" s="32" t="n">
        <x:v>195</x:v>
      </x:c>
      <x:c r="CI35" s="115" t="b">
        <x:v>1</x:v>
      </x:c>
      <x:c r="CJ35" s="32" t="n">
        <x:v>0</x:v>
      </x:c>
      <x:c r="CK35" s="32" t="n">
        <x:v>1000</x:v>
      </x:c>
      <x:c r="CL35" s="32" t="n">
        <x:v>0</x:v>
      </x:c>
      <x:c r="CM35" s="32" t="n">
        <x:v>0</x:v>
      </x:c>
      <x:c r="CN35" s="32" t="n">
        <x:v>0</x:v>
      </x:c>
      <x:c r="CO35" s="32" t="n">
        <x:v>0</x:v>
      </x:c>
      <x:c r="CP35" s="32" t="n">
        <x:v>0</x:v>
      </x:c>
      <x:c r="CQ35" s="32" t="n">
        <x:v>0</x:v>
      </x:c>
      <x:c r="CR35" s="32" t="n">
        <x:v>0</x:v>
      </x:c>
      <x:c r="CS35" s="32" t="n">
        <x:v>0</x:v>
      </x:c>
      <x:c r="CT35" s="32" t="n">
        <x:v>0</x:v>
      </x:c>
      <x:c r="CU35" s="32" t="n">
        <x:v>0</x:v>
      </x:c>
      <x:c r="CV35" s="32" t="n">
        <x:v>0</x:v>
      </x:c>
      <x:c r="CW35" s="32" t="n">
        <x:v>0</x:v>
      </x:c>
      <x:c r="CX35" s="32" t="n">
        <x:v>0</x:v>
      </x:c>
      <x:c r="CY35" s="32" t="n">
        <x:v>0</x:v>
      </x:c>
      <x:c r="CZ35" s="32" t="n">
        <x:v>0</x:v>
      </x:c>
      <x:c r="DA35" s="32" t="n">
        <x:v>0</x:v>
      </x:c>
      <x:c r="DB35" s="32" t="n">
        <x:v>0</x:v>
      </x:c>
      <x:c r="DC35" s="32" t="n">
        <x:v>0</x:v>
      </x:c>
      <x:c r="DD35" s="32" t="n">
        <x:v>0</x:v>
      </x:c>
      <x:c r="DE35" s="32" t="n">
        <x:v>0</x:v>
      </x:c>
      <x:c r="DF35" s="32" t="n">
        <x:v>0</x:v>
      </x:c>
      <x:c r="DG35" s="32" t="n">
        <x:v>0</x:v>
      </x:c>
      <x:c r="DH35" s="32" t="str">
        <x:v>baseline</x:v>
      </x:c>
      <x:c r="DI35" s="32" t="n">
        <x:v>121</x:v>
      </x:c>
      <x:c r="DJ35" s="32" t="n">
        <x:v>0</x:v>
      </x:c>
      <x:c r="DK35" s="32" t="n">
        <x:v>0</x:v>
      </x:c>
      <x:c r="DL35" s="32" t="n">
        <x:v>0</x:v>
      </x:c>
      <x:c r="DM35" s="32" t="n">
        <x:v>0</x:v>
      </x:c>
      <x:c r="DN35" s="32" t="n">
        <x:v>0</x:v>
      </x:c>
      <x:c r="DO35" s="32" t="n">
        <x:v>0</x:v>
      </x:c>
      <x:c r="DP35" s="32" t="n">
        <x:v>0</x:v>
      </x:c>
      <x:c r="DQ35" s="32" t="str">
        <x:v>C3</x:v>
      </x:c>
      <x:c r="DR35" s="32" t="n">
        <x:v>0</x:v>
      </x:c>
      <x:c r="DS35" s="32" t="n">
        <x:v>1000</x:v>
      </x:c>
      <x:c r="DT35" s="32" t="n">
        <x:v>1000</x:v>
      </x:c>
      <x:c r="DU35" s="32" t="n">
        <x:v>0</x:v>
      </x:c>
      <x:c r="DV35" s="32" t="n">
        <x:v>0</x:v>
      </x:c>
      <x:c r="DW35" s="32" t="n">
        <x:v>0</x:v>
      </x:c>
      <x:c r="DX35" s="32" t="n">
        <x:v>1000</x:v>
      </x:c>
      <x:c r="DY35" s="32" t="n">
        <x:v>1000</x:v>
      </x:c>
      <x:c r="DZ35" s="32" t="n">
        <x:v>0</x:v>
      </x:c>
      <x:c r="EA35" s="32" t="n">
        <x:v>0</x:v>
      </x:c>
      <x:c r="EB35" s="32"/>
      <x:c r="EC35" s="32"/>
      <x:c r="ED35" s="32"/>
      <x:c r="EE35" s="32"/>
      <x:c r="EF35" s="32"/>
      <x:c r="EG35" s="32"/>
      <x:c r="EH35" s="32"/>
      <x:c r="EI35" s="32"/>
      <x:c r="EJ35" s="32"/>
      <x:c r="EK35" s="32"/>
      <x:c r="EL35" s="32"/>
      <x:c r="EM35" s="32"/>
      <x:c r="EN35" s="32"/>
      <x:c r="EO35" s="32"/>
      <x:c r="EP35" s="32"/>
      <x:c r="EQ35" s="32"/>
      <x:c r="ER35" s="32"/>
      <x:c r="ES35" s="32"/>
      <x:c r="ET35" s="32"/>
      <x:c r="EU35" s="32"/>
      <x:c r="EV35" s="32"/>
      <x:c r="EW35" s="32"/>
      <x:c r="EX35" s="32"/>
      <x:c r="EY35" s="32"/>
      <x:c r="EZ35" s="32"/>
      <x:c r="FA35" s="32"/>
      <x:c r="FB35" s="32"/>
      <x:c r="FC35" s="32"/>
      <x:c r="FD35" s="32"/>
      <x:c r="FE35" s="32"/>
      <x:c r="FF35" s="32" t="n">
        <x:v>30</x:v>
      </x:c>
      <x:c r="FG35" s="32" t="str">
        <x:v>PERF-M-000001..PERF-M-000540</x:v>
      </x:c>
      <x:c r="FH35" s="32" t="n">
        <x:v>540</x:v>
      </x:c>
      <x:c r="FI35" s="32" t="n">
        <x:v>540</x:v>
      </x:c>
      <x:c r="FJ35" s="32" t="n">
        <x:v>540</x:v>
      </x:c>
      <x:c r="FK35" s="32" t="n">
        <x:v>540</x:v>
      </x:c>
      <x:c r="FL35" s="32" t="n">
        <x:v>0</x:v>
      </x:c>
      <x:c r="FM35" s="32" t="n">
        <x:v>540</x:v>
      </x:c>
      <x:c r="FN35" s="32" t="n">
        <x:v>0</x:v>
      </x:c>
      <x:c r="FO35" s="32"/>
      <x:c r="FP35" s="32" t="n">
        <x:v>835</x:v>
      </x:c>
      <x:c r="FQ35" s="32" t="n">
        <x:v>138240</x:v>
      </x:c>
      <x:c r="FR35" s="32" t="n">
        <x:v>0</x:v>
      </x:c>
      <x:c r="FS35" s="32" t="n">
        <x:v>540</x:v>
      </x:c>
      <x:c r="FT35" s="115" t="b">
        <x:v>1</x:v>
      </x:c>
      <x:c r="FU35" s="32"/>
      <x:c r="FV35" s="32"/>
      <x:c r="FW35" s="32" t="n">
        <x:v>0</x:v>
      </x:c>
      <x:c r="FX35" s="32" t="n">
        <x:v>540</x:v>
      </x:c>
      <x:c r="FY35" s="32" t="n">
        <x:v>1</x:v>
      </x:c>
      <x:c r="FZ35" s="32" t="n">
        <x:v>0</x:v>
      </x:c>
      <x:c r="GA35" s="32" t="n">
        <x:v>0</x:v>
      </x:c>
      <x:c r="GB35" s="32" t="n">
        <x:v>540</x:v>
      </x:c>
      <x:c r="GC35" s="32" t="n">
        <x:v>540</x:v>
      </x:c>
      <x:c r="GD35" s="32" t="n">
        <x:v>0</x:v>
      </x:c>
      <x:c r="GE35" s="32" t="n">
        <x:v>5</x:v>
      </x:c>
      <x:c r="GF35" s="32" t="n">
        <x:v>109</x:v>
      </x:c>
      <x:c r="GG35" s="32" t="str">
        <x:v>1×1, 5×107, 4×1</x:v>
      </x:c>
      <x:c r="GH35" s="32" t="n">
        <x:v>540</x:v>
      </x:c>
      <x:c r="GI35" s="32" t="n">
        <x:v>3125.847210001666</x:v>
      </x:c>
      <x:c r="GJ35" s="32" t="n">
        <x:v>5212.4640864021785</x:v>
      </x:c>
      <x:c r="GK35" s="32" t="n">
        <x:v>5246.562994832893</x:v>
      </x:c>
      <x:c r="GL35" s="32" t="n">
        <x:v>5919.024665003235</x:v>
      </x:c>
      <x:c r="GM35" s="32" t="str">
        <x:v>sustained</x:v>
      </x:c>
      <x:c r="GN35" s="32" t="n">
        <x:v>1</x:v>
      </x:c>
      <x:c r="GO35" s="32"/>
      <x:c r="GP35" s="32"/>
      <x:c r="GQ35" s="32"/>
      <x:c r="GR35" s="32"/>
      <x:c r="GS35" s="32"/>
      <x:c r="GT35" s="32"/>
      <x:c r="GU35" s="32"/>
      <x:c r="GV35" s="32"/>
      <x:c r="GW35" s="32"/>
      <x:c r="GX35" s="32"/>
      <x:c r="GY35" s="32"/>
      <x:c r="GZ35" s="32"/>
      <x:c r="HA35" s="32"/>
      <x:c r="HB35" s="32"/>
      <x:c r="HC35" s="32"/>
      <x:c r="HD35" s="32"/>
      <x:c r="HE35" s="32"/>
      <x:c r="HF35" s="32"/>
      <x:c r="HG35" s="32"/>
      <x:c r="HH35" s="32"/>
      <x:c r="HI35" s="32"/>
      <x:c r="HJ35" s="32"/>
      <x:c r="HK35" s="32"/>
      <x:c r="HL35" s="32"/>
      <x:c r="HM35" s="32"/>
      <x:c r="HN35" s="32"/>
      <x:c r="HO35" s="32"/>
      <x:c r="HP35" s="32"/>
      <x:c r="HQ35" s="32"/>
      <x:c r="HR35" s="32"/>
      <x:c r="HS35" s="32"/>
      <x:c r="HT35" s="32"/>
      <x:c r="HU35" s="32"/>
      <x:c r="HV35" s="32"/>
      <x:c r="HW35" s="32"/>
      <x:c r="HX35" s="32"/>
      <x:c r="HY35" s="32"/>
    </x:row>
    <x:row r="36">
      <x:c r="A36" s="32" t="str">
        <x:v>8f918b47-edd2-46e7-bc0b-de8a4206183a</x:v>
      </x:c>
      <x:c r="B36" s="32" t="str">
        <x:v>D-003</x:v>
      </x:c>
      <x:c r="C36" s="42" t="n">
        <x:v>46261.58613425926</x:v>
      </x:c>
      <x:c r="D36" s="32" t="str">
        <x:v>489b7424f5051f7a276dafe8d5f318ccf1368d87</x:v>
      </x:c>
      <x:c r="E36" s="32" t="str">
        <x:v>GLONBW11</x:v>
      </x:c>
      <x:c r="F36" s="32" t="str">
        <x:v>local-filesystem</x:v>
      </x:c>
      <x:c r="G36" s="32" t="str">
        <x:v>3.14.2</x:v>
      </x:c>
      <x:c r="H36" s="32" t="str">
        <x:v>deterministic</x:v>
      </x:c>
      <x:c r="I36" s="32" t="n">
        <x:v>1000</x:v>
      </x:c>
      <x:c r="J36" s="32" t="n">
        <x:v>2</x:v>
      </x:c>
      <x:c r="K36" s="32" t="n">
        <x:v>2.0207850666666665</x:v>
      </x:c>
      <x:c r="L36" s="32" t="n">
        <x:v>25</x:v>
      </x:c>
      <x:c r="M36" s="32" t="n">
        <x:v>5</x:v>
      </x:c>
      <x:c r="N36" s="32" t="n">
        <x:v>10</x:v>
      </x:c>
      <x:c r="O36" s="32" t="n">
        <x:v>925.7342469936702</x:v>
      </x:c>
      <x:c r="P36" s="32" t="n">
        <x:v>1295.4298766009745</x:v>
      </x:c>
      <x:c r="Q36" s="32" t="n">
        <x:v>1626.2661935237707</x:v>
      </x:c>
      <x:c r="R36" s="32" t="n">
        <x:v>1704.3247660039924</x:v>
      </x:c>
      <x:c r="S36" s="32" t="n">
        <x:v>0</x:v>
      </x:c>
      <x:c r="T36" s="43" t="n">
        <x:v>0</x:v>
      </x:c>
      <x:c r="U36" s="32" t="n">
        <x:v>96.29010622233343</x:v>
      </x:c>
      <x:c r="V36" s="32" t="n">
        <x:v>100.67064648265504</x:v>
      </x:c>
      <x:c r="W36" s="32" t="n">
        <x:v>136.439453125</x:v>
      </x:c>
      <x:c r="X36" s="32" t="n">
        <x:v>136.86328125</x:v>
      </x:c>
      <x:c r="Y36" s="32"/>
      <x:c r="Z36" s="32"/>
      <x:c r="AA36" s="32"/>
      <x:c r="AB36" s="32"/>
      <x:c r="AC36" s="32" t="n">
        <x:v>0</x:v>
      </x:c>
      <x:c r="AD36" s="32" t="n">
        <x:v>0</x:v>
      </x:c>
      <x:c r="AE36" s="32" t="n">
        <x:v>0</x:v>
      </x:c>
      <x:c r="AF36" s="32"/>
      <x:c r="AG36" s="32"/>
      <x:c r="AH36" s="32" t="n">
        <x:v>253.82953800726682</x:v>
      </x:c>
      <x:c r="AI36" s="32" t="str">
        <x:v>PASS</x:v>
      </x:c>
      <x:c r="AJ36" s="32" t="str">
        <x:v>GREEN</x:v>
      </x:c>
      <x:c r="AK36" s="32" t="str">
        <x:v>latest-narrow</x:v>
      </x:c>
      <x:c r="AL36" s="32" t="n">
        <x:v>1</x:v>
      </x:c>
      <x:c r="AM36" s="32" t="n">
        <x:v>1</x:v>
      </x:c>
      <x:c r="AN36" s="32" t="n">
        <x:v>1000</x:v>
      </x:c>
      <x:c r="AO36" s="32" t="n">
        <x:v>1</x:v>
      </x:c>
      <x:c r="AP36" s="32" t="n">
        <x:v>8132</x:v>
      </x:c>
      <x:c r="AQ36" s="32" t="n">
        <x:v>3.902173993992619</x:v>
      </x:c>
      <x:c r="AR36" s="32" t="n">
        <x:v>5.041956200147979</x:v>
      </x:c>
      <x:c r="AS36" s="32" t="n">
        <x:v>5.112146164756268</x:v>
      </x:c>
      <x:c r="AT36" s="32" t="n">
        <x:v>36</x:v>
      </x:c>
      <x:c r="AU36" s="32" t="str">
        <x:v>28×28 + 8×27</x:v>
      </x:c>
      <x:c r="AV36" s="32" t="n">
        <x:v>0.37171499570831656</x:v>
      </x:c>
      <x:c r="AW36" s="32" t="n">
        <x:v>0.4824803938390687</x:v>
      </x:c>
      <x:c r="AX36" s="32" t="n">
        <x:v>0.5168895580573009</x:v>
      </x:c>
      <x:c r="AY36" s="32" t="str">
        <x:v>balanced</x:v>
      </x:c>
      <x:c r="AZ36" s="32" t="str">
        <x:v>PASS</x:v>
      </x:c>
      <x:c r="BA36" s="32" t="n">
        <x:v>1000</x:v>
      </x:c>
      <x:c r="BB36" s="32" t="n">
        <x:v>0</x:v>
      </x:c>
      <x:c r="BC36" s="115" t="b">
        <x:v>1</x:v>
      </x:c>
      <x:c r="BD36" s="32" t="str">
        <x:v>PASS/GREEN. Burst 50 was fully absorbed in the first eligible iteration: first batch=50/50, one nonempty batch, 50 EFFECTIVE/STARTED, lost=0, duplicates=0, pending=0, cursor=12800, receipt-before-cursor=50/50; 150 durable records / 2,376,600 bytes and durable==materialized.</x:v>
      </x:c>
      <x:c r="BE36" s="32"/>
      <x:c r="BF36" s="32"/>
      <x:c r="BG36" s="32"/>
      <x:c r="BH36" s="32"/>
      <x:c r="BI36" s="32"/>
      <x:c r="BJ36" s="32"/>
      <x:c r="BK36" s="32"/>
      <x:c r="BL36" s="32"/>
      <x:c r="BM36" s="32"/>
      <x:c r="BN36" s="32" t="n">
        <x:v>100</x:v>
      </x:c>
      <x:c r="BO36" s="32" t="n">
        <x:v>10</x:v>
      </x:c>
      <x:c r="BP36" s="32" t="n">
        <x:v>0</x:v>
      </x:c>
      <x:c r="BQ36" s="32" t="n">
        <x:v>100</x:v>
      </x:c>
      <x:c r="BR36" s="32"/>
      <x:c r="BS36" s="32"/>
      <x:c r="BT36" s="32"/>
      <x:c r="BU36" s="32"/>
      <x:c r="BV36" s="32"/>
      <x:c r="BW36" s="32" t="n">
        <x:v>1000</x:v>
      </x:c>
      <x:c r="BX36" s="32" t="n">
        <x:v>1000</x:v>
      </x:c>
      <x:c r="BY36" s="32"/>
      <x:c r="BZ36" s="32"/>
      <x:c r="CA36" s="32" t="n">
        <x:v>100</x:v>
      </x:c>
      <x:c r="CB36" s="32" t="n">
        <x:v>100</x:v>
      </x:c>
      <x:c r="CC36" s="32"/>
      <x:c r="CD36" s="32"/>
      <x:c r="CE36" s="32" t="n">
        <x:v>1000</x:v>
      </x:c>
      <x:c r="CF36" s="32" t="n">
        <x:v>2050</x:v>
      </x:c>
      <x:c r="CG36" s="32" t="n">
        <x:v>1000</x:v>
      </x:c>
      <x:c r="CH36" s="32"/>
      <x:c r="CI36" s="115" t="b">
        <x:v>1</x:v>
      </x:c>
      <x:c r="CJ36" s="32"/>
      <x:c r="CK36" s="32"/>
      <x:c r="CL36" s="32"/>
      <x:c r="CM36" s="32"/>
      <x:c r="CN36" s="32"/>
      <x:c r="CO36" s="32"/>
      <x:c r="CP36" s="32"/>
      <x:c r="CQ36" s="32" t="n">
        <x:v>0</x:v>
      </x:c>
      <x:c r="CR36" s="32"/>
      <x:c r="CS36" s="32"/>
      <x:c r="CT36" s="32"/>
      <x:c r="CU36" s="32"/>
      <x:c r="CV36" s="32"/>
      <x:c r="CW36" s="32"/>
      <x:c r="CX36" s="32"/>
      <x:c r="CY36" s="32"/>
      <x:c r="CZ36" s="32"/>
      <x:c r="DA36" s="32"/>
      <x:c r="DB36" s="32"/>
      <x:c r="DC36" s="32"/>
      <x:c r="DD36" s="32"/>
      <x:c r="DE36" s="32"/>
      <x:c r="DF36" s="32"/>
      <x:c r="DG36" s="32"/>
      <x:c r="DH36" s="32" t="str">
        <x:v>baseline</x:v>
      </x:c>
      <x:c r="DI36" s="32" t="n">
        <x:v>25</x:v>
      </x:c>
      <x:c r="DJ36" s="32" t="n">
        <x:v>0</x:v>
      </x:c>
      <x:c r="DK36" s="32"/>
      <x:c r="DL36" s="32" t="n">
        <x:v>0</x:v>
      </x:c>
      <x:c r="DM36" s="32"/>
      <x:c r="DN36" s="32"/>
      <x:c r="DO36" s="32"/>
      <x:c r="DP36" s="32"/>
      <x:c r="DQ36" s="32" t="str">
        <x:v>C3</x:v>
      </x:c>
      <x:c r="DR36" s="32"/>
      <x:c r="DS36" s="32" t="n">
        <x:v>1000</x:v>
      </x:c>
      <x:c r="DT36" s="32" t="n">
        <x:v>1000</x:v>
      </x:c>
      <x:c r="DU36" s="32"/>
      <x:c r="DV36" s="32"/>
      <x:c r="DW36" s="32"/>
      <x:c r="DX36" s="32" t="n">
        <x:v>1000</x:v>
      </x:c>
      <x:c r="DY36" s="32" t="n">
        <x:v>1000</x:v>
      </x:c>
      <x:c r="DZ36" s="32" t="n">
        <x:v>0</x:v>
      </x:c>
      <x:c r="EA36" s="32" t="n">
        <x:v>0</x:v>
      </x:c>
      <x:c r="EB36" s="32"/>
      <x:c r="EC36" s="32"/>
      <x:c r="ED36" s="32"/>
      <x:c r="EE36" s="32"/>
      <x:c r="EF36" s="32"/>
      <x:c r="EG36" s="32"/>
      <x:c r="EH36" s="32"/>
      <x:c r="EI36" s="32"/>
      <x:c r="EJ36" s="32"/>
      <x:c r="EK36" s="32"/>
      <x:c r="EL36" s="32"/>
      <x:c r="EM36" s="32"/>
      <x:c r="EN36" s="32"/>
      <x:c r="EO36" s="32"/>
      <x:c r="EP36" s="32"/>
      <x:c r="EQ36" s="32"/>
      <x:c r="ER36" s="32"/>
      <x:c r="ES36" s="32"/>
      <x:c r="ET36" s="32"/>
      <x:c r="EU36" s="32"/>
      <x:c r="EV36" s="32"/>
      <x:c r="EW36" s="32"/>
      <x:c r="EX36" s="32"/>
      <x:c r="EY36" s="32"/>
      <x:c r="EZ36" s="32"/>
      <x:c r="FA36" s="32"/>
      <x:c r="FB36" s="32"/>
      <x:c r="FC36" s="32"/>
      <x:c r="FD36" s="32"/>
      <x:c r="FE36" s="32"/>
      <x:c r="FF36" s="32" t="n">
        <x:v>30</x:v>
      </x:c>
      <x:c r="FG36" s="32" t="str">
        <x:v>PERF-M-000001..PERF-M-000050</x:v>
      </x:c>
      <x:c r="FH36" s="32" t="n">
        <x:v>50</x:v>
      </x:c>
      <x:c r="FI36" s="32" t="n">
        <x:v>50</x:v>
      </x:c>
      <x:c r="FJ36" s="32" t="n">
        <x:v>50</x:v>
      </x:c>
      <x:c r="FK36" s="32" t="n">
        <x:v>50</x:v>
      </x:c>
      <x:c r="FL36" s="32" t="n">
        <x:v>0</x:v>
      </x:c>
      <x:c r="FM36" s="32" t="n">
        <x:v>50</x:v>
      </x:c>
      <x:c r="FN36" s="32" t="n">
        <x:v>0</x:v>
      </x:c>
      <x:c r="FO36" s="32"/>
      <x:c r="FP36" s="32" t="n">
        <x:v>150</x:v>
      </x:c>
      <x:c r="FQ36" s="32" t="n">
        <x:v>12800</x:v>
      </x:c>
      <x:c r="FR36" s="32" t="n">
        <x:v>0</x:v>
      </x:c>
      <x:c r="FS36" s="32" t="n">
        <x:v>50</x:v>
      </x:c>
      <x:c r="FT36" s="115" t="b">
        <x:v>1</x:v>
      </x:c>
      <x:c r="FU36" s="32"/>
      <x:c r="FV36" s="32"/>
      <x:c r="FW36" s="32" t="n">
        <x:v>0</x:v>
      </x:c>
      <x:c r="FX36" s="32" t="n">
        <x:v>50</x:v>
      </x:c>
      <x:c r="FY36" s="32" t="n">
        <x:v>0</x:v>
      </x:c>
      <x:c r="FZ36" s="32" t="n">
        <x:v>0</x:v>
      </x:c>
      <x:c r="GA36" s="32" t="n">
        <x:v>0</x:v>
      </x:c>
      <x:c r="GB36" s="32" t="n">
        <x:v>50</x:v>
      </x:c>
      <x:c r="GC36" s="32" t="n">
        <x:v>50</x:v>
      </x:c>
      <x:c r="GD36" s="32" t="n">
        <x:v>0</x:v>
      </x:c>
      <x:c r="GE36" s="32" t="n">
        <x:v>50</x:v>
      </x:c>
      <x:c r="GF36" s="32" t="n">
        <x:v>1</x:v>
      </x:c>
      <x:c r="GG36" s="32" t="str">
        <x:v>50</x:v>
      </x:c>
      <x:c r="GH36" s="32" t="n">
        <x:v>50</x:v>
      </x:c>
      <x:c r="GI36" s="32" t="n">
        <x:v>1393.9900169934845</x:v>
      </x:c>
      <x:c r="GJ36" s="32" t="n">
        <x:v>1393.9900169934845</x:v>
      </x:c>
      <x:c r="GK36" s="32" t="n">
        <x:v>1393.9900169934845</x:v>
      </x:c>
      <x:c r="GL36" s="32" t="n">
        <x:v>1393.9900169934845</x:v>
      </x:c>
      <x:c r="GM36" s="32" t="str">
        <x:v>burst</x:v>
      </x:c>
      <x:c r="GN36" s="32" t="n">
        <x:v>50</x:v>
      </x:c>
      <x:c r="GO36" s="32" t="n">
        <x:v>50</x:v>
      </x:c>
      <x:c r="GP36" s="115" t="b">
        <x:v>1</x:v>
      </x:c>
      <x:c r="GQ36" s="32"/>
      <x:c r="GR36" s="32"/>
      <x:c r="GS36" s="32"/>
      <x:c r="GT36" s="32"/>
      <x:c r="GU36" s="32"/>
      <x:c r="GV36" s="32"/>
      <x:c r="GW36" s="32"/>
      <x:c r="GX36" s="32"/>
      <x:c r="GY36" s="32"/>
      <x:c r="GZ36" s="32"/>
      <x:c r="HA36" s="32"/>
      <x:c r="HB36" s="32"/>
      <x:c r="HC36" s="32"/>
      <x:c r="HD36" s="32"/>
      <x:c r="HE36" s="32"/>
      <x:c r="HF36" s="32"/>
      <x:c r="HG36" s="32"/>
      <x:c r="HH36" s="32"/>
      <x:c r="HI36" s="32"/>
      <x:c r="HJ36" s="32"/>
      <x:c r="HK36" s="32"/>
      <x:c r="HL36" s="32"/>
      <x:c r="HM36" s="32"/>
      <x:c r="HN36" s="32"/>
      <x:c r="HO36" s="32"/>
      <x:c r="HP36" s="32"/>
      <x:c r="HQ36" s="32"/>
      <x:c r="HR36" s="32"/>
      <x:c r="HS36" s="32"/>
      <x:c r="HT36" s="32"/>
      <x:c r="HU36" s="32"/>
      <x:c r="HV36" s="32"/>
      <x:c r="HW36" s="32"/>
      <x:c r="HX36" s="32"/>
      <x:c r="HY36" s="32"/>
    </x:row>
    <x:row r="37">
      <x:c r="A37" s="32" t="str">
        <x:v>248c19b9-3f16-471c-b1cf-0d730744b47a</x:v>
      </x:c>
      <x:c r="B37" s="32" t="str">
        <x:v>D-004</x:v>
      </x:c>
      <x:c r="C37" s="42" t="n">
        <x:v>46261.59961805555</x:v>
      </x:c>
      <x:c r="D37" s="32" t="str">
        <x:v>489b7424f5051f7a276dafe8d5f318ccf1368d87</x:v>
      </x:c>
      <x:c r="E37" s="32" t="str">
        <x:v>GLONBW11</x:v>
      </x:c>
      <x:c r="F37" s="32" t="str">
        <x:v>local-filesystem</x:v>
      </x:c>
      <x:c r="G37" s="32" t="str">
        <x:v>3.14.2</x:v>
      </x:c>
      <x:c r="H37" s="32" t="str">
        <x:v>deterministic</x:v>
      </x:c>
      <x:c r="I37" s="32" t="n">
        <x:v>1000</x:v>
      </x:c>
      <x:c r="J37" s="32" t="n">
        <x:v>2</x:v>
      </x:c>
      <x:c r="K37" s="32" t="n">
        <x:v>2.0223113833333333</x:v>
      </x:c>
      <x:c r="L37" s="32" t="n">
        <x:v>25</x:v>
      </x:c>
      <x:c r="M37" s="32" t="n">
        <x:v>5</x:v>
      </x:c>
      <x:c r="N37" s="32" t="n">
        <x:v>10</x:v>
      </x:c>
      <x:c r="O37" s="32" t="n">
        <x:v>916.0213550057961</x:v>
      </x:c>
      <x:c r="P37" s="32" t="n">
        <x:v>1563.5842447984037</x:v>
      </x:c>
      <x:c r="Q37" s="32" t="n">
        <x:v>1720.2677881997079</x:v>
      </x:c>
      <x:c r="R37" s="32" t="n">
        <x:v>1721.4445610006806</x:v>
      </x:c>
      <x:c r="S37" s="32" t="n">
        <x:v>0</x:v>
      </x:c>
      <x:c r="T37" s="43" t="n">
        <x:v>0</x:v>
      </x:c>
      <x:c r="U37" s="32" t="n">
        <x:v>96.32098463416948</x:v>
      </x:c>
      <x:c r="V37" s="32" t="n">
        <x:v>99.55240502885887</x:v>
      </x:c>
      <x:c r="W37" s="32" t="n">
        <x:v>136.69015625</x:v>
      </x:c>
      <x:c r="X37" s="32" t="n">
        <x:v>137.16015625</x:v>
      </x:c>
      <x:c r="Y37" s="32"/>
      <x:c r="Z37" s="32"/>
      <x:c r="AA37" s="32"/>
      <x:c r="AB37" s="32"/>
      <x:c r="AC37" s="32" t="n">
        <x:v>0</x:v>
      </x:c>
      <x:c r="AD37" s="32" t="n">
        <x:v>0</x:v>
      </x:c>
      <x:c r="AE37" s="32" t="n">
        <x:v>0</x:v>
      </x:c>
      <x:c r="AF37" s="32"/>
      <x:c r="AG37" s="32"/>
      <x:c r="AH37" s="32" t="n">
        <x:v>309.34497200360056</x:v>
      </x:c>
      <x:c r="AI37" s="32" t="str">
        <x:v>PASS</x:v>
      </x:c>
      <x:c r="AJ37" s="32" t="str">
        <x:v>GREEN</x:v>
      </x:c>
      <x:c r="AK37" s="32" t="str">
        <x:v>latest-narrow</x:v>
      </x:c>
      <x:c r="AL37" s="32" t="n">
        <x:v>1</x:v>
      </x:c>
      <x:c r="AM37" s="32" t="n">
        <x:v>1</x:v>
      </x:c>
      <x:c r="AN37" s="32" t="n">
        <x:v>1000</x:v>
      </x:c>
      <x:c r="AO37" s="32" t="n">
        <x:v>1</x:v>
      </x:c>
      <x:c r="AP37" s="32" t="n">
        <x:v>8132</x:v>
      </x:c>
      <x:c r="AQ37" s="32" t="n">
        <x:v>4.249657009495422</x:v>
      </x:c>
      <x:c r="AR37" s="32" t="n">
        <x:v>5.671858208370395</x:v>
      </x:c>
      <x:c r="AS37" s="32" t="n">
        <x:v>6.329097243724393</x:v>
      </x:c>
      <x:c r="AT37" s="32" t="n">
        <x:v>36</x:v>
      </x:c>
      <x:c r="AU37" s="32" t="str">
        <x:v>28×28 + 8×27</x:v>
      </x:c>
      <x:c r="AV37" s="32" t="n">
        <x:v>0.3732479963218793</x:v>
      </x:c>
      <x:c r="AW37" s="32" t="n">
        <x:v>0.44881740759592503</x:v>
      </x:c>
      <x:c r="AX37" s="32" t="n">
        <x:v>0.4546184925129637</x:v>
      </x:c>
      <x:c r="AY37" s="32" t="str">
        <x:v>balanced</x:v>
      </x:c>
      <x:c r="AZ37" s="32" t="str">
        <x:v>PASS</x:v>
      </x:c>
      <x:c r="BA37" s="32" t="n">
        <x:v>1000</x:v>
      </x:c>
      <x:c r="BB37" s="32" t="n">
        <x:v>0</x:v>
      </x:c>
      <x:c r="BC37" s="115" t="b">
        <x:v>1</x:v>
      </x:c>
      <x:c r="BD37" s="32" t="str">
        <x:v>PASS/GREEN. Burst 100 fully absorbed in first eligible iteration: first batch=100/100, one nonempty batch, 100 EFFECTIVE/STARTED, lost=0, duplicates=0, pending=0, cursor=25600, receipt-before-cursor=100/100; 200 durable records / 2,722,400 bytes and durable==materialized.</x:v>
      </x:c>
      <x:c r="BE37" s="32"/>
      <x:c r="BF37" s="32"/>
      <x:c r="BG37" s="32"/>
      <x:c r="BH37" s="32"/>
      <x:c r="BI37" s="32"/>
      <x:c r="BJ37" s="32"/>
      <x:c r="BK37" s="32"/>
      <x:c r="BL37" s="32"/>
      <x:c r="BM37" s="32"/>
      <x:c r="BN37" s="32" t="n">
        <x:v>100</x:v>
      </x:c>
      <x:c r="BO37" s="32" t="n">
        <x:v>10</x:v>
      </x:c>
      <x:c r="BP37" s="32" t="n">
        <x:v>0</x:v>
      </x:c>
      <x:c r="BQ37" s="32" t="n">
        <x:v>100</x:v>
      </x:c>
      <x:c r="BR37" s="32"/>
      <x:c r="BS37" s="32"/>
      <x:c r="BT37" s="32"/>
      <x:c r="BU37" s="32"/>
      <x:c r="BV37" s="32"/>
      <x:c r="BW37" s="32" t="n">
        <x:v>1000</x:v>
      </x:c>
      <x:c r="BX37" s="32" t="n">
        <x:v>1000</x:v>
      </x:c>
      <x:c r="BY37" s="32"/>
      <x:c r="BZ37" s="32"/>
      <x:c r="CA37" s="32" t="n">
        <x:v>100</x:v>
      </x:c>
      <x:c r="CB37" s="32" t="n">
        <x:v>100</x:v>
      </x:c>
      <x:c r="CC37" s="32"/>
      <x:c r="CD37" s="32"/>
      <x:c r="CE37" s="32" t="n">
        <x:v>1000</x:v>
      </x:c>
      <x:c r="CF37" s="32" t="n">
        <x:v>2100</x:v>
      </x:c>
      <x:c r="CG37" s="32" t="n">
        <x:v>1000</x:v>
      </x:c>
      <x:c r="CH37" s="32"/>
      <x:c r="CI37" s="115" t="b">
        <x:v>1</x:v>
      </x:c>
      <x:c r="CJ37" s="32"/>
      <x:c r="CK37" s="32"/>
      <x:c r="CL37" s="32"/>
      <x:c r="CM37" s="32"/>
      <x:c r="CN37" s="32"/>
      <x:c r="CO37" s="32"/>
      <x:c r="CP37" s="32"/>
      <x:c r="CQ37" s="32" t="n">
        <x:v>0</x:v>
      </x:c>
      <x:c r="CR37" s="32"/>
      <x:c r="CS37" s="32"/>
      <x:c r="CT37" s="32"/>
      <x:c r="CU37" s="32"/>
      <x:c r="CV37" s="32"/>
      <x:c r="CW37" s="32"/>
      <x:c r="CX37" s="32"/>
      <x:c r="CY37" s="32"/>
      <x:c r="CZ37" s="32"/>
      <x:c r="DA37" s="32"/>
      <x:c r="DB37" s="32"/>
      <x:c r="DC37" s="32"/>
      <x:c r="DD37" s="32"/>
      <x:c r="DE37" s="32"/>
      <x:c r="DF37" s="32"/>
      <x:c r="DG37" s="32"/>
      <x:c r="DH37" s="32" t="str">
        <x:v>baseline</x:v>
      </x:c>
      <x:c r="DI37" s="32" t="n">
        <x:v>25</x:v>
      </x:c>
      <x:c r="DJ37" s="32" t="n">
        <x:v>0</x:v>
      </x:c>
      <x:c r="DK37" s="32"/>
      <x:c r="DL37" s="32" t="n">
        <x:v>0</x:v>
      </x:c>
      <x:c r="DM37" s="32"/>
      <x:c r="DN37" s="32"/>
      <x:c r="DO37" s="32"/>
      <x:c r="DP37" s="32"/>
      <x:c r="DQ37" s="32" t="str">
        <x:v>C3</x:v>
      </x:c>
      <x:c r="DR37" s="32"/>
      <x:c r="DS37" s="32" t="n">
        <x:v>1000</x:v>
      </x:c>
      <x:c r="DT37" s="32" t="n">
        <x:v>1000</x:v>
      </x:c>
      <x:c r="DU37" s="32"/>
      <x:c r="DV37" s="32"/>
      <x:c r="DW37" s="32"/>
      <x:c r="DX37" s="32" t="n">
        <x:v>1000</x:v>
      </x:c>
      <x:c r="DY37" s="32" t="n">
        <x:v>1000</x:v>
      </x:c>
      <x:c r="DZ37" s="32" t="n">
        <x:v>0</x:v>
      </x:c>
      <x:c r="EA37" s="32" t="n">
        <x:v>0</x:v>
      </x:c>
      <x:c r="EB37" s="32"/>
      <x:c r="EC37" s="32"/>
      <x:c r="ED37" s="32"/>
      <x:c r="EE37" s="32"/>
      <x:c r="EF37" s="32"/>
      <x:c r="EG37" s="32"/>
      <x:c r="EH37" s="32"/>
      <x:c r="EI37" s="32"/>
      <x:c r="EJ37" s="32"/>
      <x:c r="EK37" s="32"/>
      <x:c r="EL37" s="32"/>
      <x:c r="EM37" s="32"/>
      <x:c r="EN37" s="32"/>
      <x:c r="EO37" s="32"/>
      <x:c r="EP37" s="32"/>
      <x:c r="EQ37" s="32"/>
      <x:c r="ER37" s="32"/>
      <x:c r="ES37" s="32"/>
      <x:c r="ET37" s="32"/>
      <x:c r="EU37" s="32"/>
      <x:c r="EV37" s="32"/>
      <x:c r="EW37" s="32"/>
      <x:c r="EX37" s="32"/>
      <x:c r="EY37" s="32"/>
      <x:c r="EZ37" s="32"/>
      <x:c r="FA37" s="32"/>
      <x:c r="FB37" s="32"/>
      <x:c r="FC37" s="32"/>
      <x:c r="FD37" s="32"/>
      <x:c r="FE37" s="32"/>
      <x:c r="FF37" s="32" t="n">
        <x:v>30</x:v>
      </x:c>
      <x:c r="FG37" s="32" t="str">
        <x:v>PERF-M-000001..PERF-M-000100</x:v>
      </x:c>
      <x:c r="FH37" s="32" t="n">
        <x:v>100</x:v>
      </x:c>
      <x:c r="FI37" s="32" t="n">
        <x:v>100</x:v>
      </x:c>
      <x:c r="FJ37" s="32" t="n">
        <x:v>100</x:v>
      </x:c>
      <x:c r="FK37" s="32" t="n">
        <x:v>100</x:v>
      </x:c>
      <x:c r="FL37" s="32" t="n">
        <x:v>0</x:v>
      </x:c>
      <x:c r="FM37" s="32" t="n">
        <x:v>100</x:v>
      </x:c>
      <x:c r="FN37" s="32" t="n">
        <x:v>0</x:v>
      </x:c>
      <x:c r="FO37" s="32"/>
      <x:c r="FP37" s="32" t="n">
        <x:v>200</x:v>
      </x:c>
      <x:c r="FQ37" s="32" t="n">
        <x:v>25600</x:v>
      </x:c>
      <x:c r="FR37" s="32" t="n">
        <x:v>0</x:v>
      </x:c>
      <x:c r="FS37" s="32" t="n">
        <x:v>100</x:v>
      </x:c>
      <x:c r="FT37" s="115" t="b">
        <x:v>1</x:v>
      </x:c>
      <x:c r="FU37" s="32"/>
      <x:c r="FV37" s="32"/>
      <x:c r="FW37" s="32" t="n">
        <x:v>0</x:v>
      </x:c>
      <x:c r="FX37" s="32" t="n">
        <x:v>100</x:v>
      </x:c>
      <x:c r="FY37" s="32" t="n">
        <x:v>0</x:v>
      </x:c>
      <x:c r="FZ37" s="32" t="n">
        <x:v>0</x:v>
      </x:c>
      <x:c r="GA37" s="32" t="n">
        <x:v>0</x:v>
      </x:c>
      <x:c r="GB37" s="32" t="n">
        <x:v>100</x:v>
      </x:c>
      <x:c r="GC37" s="32" t="n">
        <x:v>100</x:v>
      </x:c>
      <x:c r="GD37" s="32" t="n">
        <x:v>0</x:v>
      </x:c>
      <x:c r="GE37" s="32" t="n">
        <x:v>100</x:v>
      </x:c>
      <x:c r="GF37" s="32" t="n">
        <x:v>1</x:v>
      </x:c>
      <x:c r="GG37" s="32" t="str">
        <x:v>100</x:v>
      </x:c>
      <x:c r="GH37" s="32" t="n">
        <x:v>100</x:v>
      </x:c>
      <x:c r="GI37" s="32" t="n">
        <x:v>1727.508432988543</x:v>
      </x:c>
      <x:c r="GJ37" s="32" t="n">
        <x:v>1727.508432988543</x:v>
      </x:c>
      <x:c r="GK37" s="32" t="n">
        <x:v>1727.508432988543</x:v>
      </x:c>
      <x:c r="GL37" s="32" t="n">
        <x:v>1727.508432988543</x:v>
      </x:c>
      <x:c r="GM37" s="32" t="str">
        <x:v>burst</x:v>
      </x:c>
      <x:c r="GN37" s="32" t="n">
        <x:v>100</x:v>
      </x:c>
      <x:c r="GO37" s="32" t="n">
        <x:v>100</x:v>
      </x:c>
      <x:c r="GP37" s="115" t="b">
        <x:v>1</x:v>
      </x:c>
      <x:c r="GQ37" s="32"/>
      <x:c r="GR37" s="32"/>
      <x:c r="GS37" s="32"/>
      <x:c r="GT37" s="32"/>
      <x:c r="GU37" s="32"/>
      <x:c r="GV37" s="32"/>
      <x:c r="GW37" s="32"/>
      <x:c r="GX37" s="32"/>
      <x:c r="GY37" s="32"/>
      <x:c r="GZ37" s="32"/>
      <x:c r="HA37" s="32"/>
      <x:c r="HB37" s="32"/>
      <x:c r="HC37" s="32"/>
      <x:c r="HD37" s="32"/>
      <x:c r="HE37" s="32"/>
      <x:c r="HF37" s="32"/>
      <x:c r="HG37" s="32"/>
      <x:c r="HH37" s="32"/>
      <x:c r="HI37" s="32"/>
      <x:c r="HJ37" s="32"/>
      <x:c r="HK37" s="32"/>
      <x:c r="HL37" s="32"/>
      <x:c r="HM37" s="32"/>
      <x:c r="HN37" s="32"/>
      <x:c r="HO37" s="32"/>
      <x:c r="HP37" s="32"/>
      <x:c r="HQ37" s="32"/>
      <x:c r="HR37" s="32"/>
      <x:c r="HS37" s="32"/>
      <x:c r="HT37" s="32"/>
      <x:c r="HU37" s="32"/>
      <x:c r="HV37" s="32"/>
      <x:c r="HW37" s="32"/>
      <x:c r="HX37" s="32"/>
      <x:c r="HY37" s="32"/>
    </x:row>
    <x:row r="38">
      <x:c r="A38" s="32" t="str">
        <x:v>fa708376-dcb7-4fa4-b8af-ec09ea6bb5b5</x:v>
      </x:c>
      <x:c r="B38" s="32" t="str">
        <x:v>D-005</x:v>
      </x:c>
      <x:c r="C38" s="42" t="n">
        <x:v>46261.63972222222</x:v>
      </x:c>
      <x:c r="D38" s="32" t="str">
        <x:v>489b7424f5051f7a276dafe8d5f318ccf1368d87</x:v>
      </x:c>
      <x:c r="E38" s="32" t="str">
        <x:v>GLONBW11</x:v>
      </x:c>
      <x:c r="F38" s="32" t="str">
        <x:v>local-filesystem</x:v>
      </x:c>
      <x:c r="G38" s="32" t="str">
        <x:v>3.14.2</x:v>
      </x:c>
      <x:c r="H38" s="32" t="str">
        <x:v>deterministic</x:v>
      </x:c>
      <x:c r="I38" s="32" t="n">
        <x:v>1000</x:v>
      </x:c>
      <x:c r="J38" s="32" t="n">
        <x:v>2</x:v>
      </x:c>
      <x:c r="K38" s="32" t="n">
        <x:v>2.0203074833333337</x:v>
      </x:c>
      <x:c r="L38" s="32" t="n">
        <x:v>25</x:v>
      </x:c>
      <x:c r="M38" s="32" t="n">
        <x:v>5</x:v>
      </x:c>
      <x:c r="N38" s="32" t="n">
        <x:v>10</x:v>
      </x:c>
      <x:c r="O38" s="32" t="n">
        <x:v>922.7774079918163</x:v>
      </x:c>
      <x:c r="P38" s="32" t="n">
        <x:v>1169.960077601718</x:v>
      </x:c>
      <x:c r="Q38" s="32" t="n">
        <x:v>1621.2905531248553</x:v>
      </x:c>
      <x:c r="R38" s="32" t="n">
        <x:v>1749.98120800592</x:v>
      </x:c>
      <x:c r="S38" s="32" t="n">
        <x:v>0</x:v>
      </x:c>
      <x:c r="T38" s="43" t="n">
        <x:v>0</x:v>
      </x:c>
      <x:c r="U38" s="32" t="n">
        <x:v>96.98818792105753</x:v>
      </x:c>
      <x:c r="V38" s="32" t="n">
        <x:v>100.09889600238809</x:v>
      </x:c>
      <x:c r="W38" s="32" t="n">
        <x:v>136.8103125</x:v>
      </x:c>
      <x:c r="X38" s="32" t="n">
        <x:v>137.1953125</x:v>
      </x:c>
      <x:c r="Y38" s="32"/>
      <x:c r="Z38" s="32"/>
      <x:c r="AA38" s="32"/>
      <x:c r="AB38" s="32" t="n">
        <x:v>981.4595420029946</x:v>
      </x:c>
      <x:c r="AC38" s="32" t="n">
        <x:v>0</x:v>
      </x:c>
      <x:c r="AD38" s="32" t="n">
        <x:v>0</x:v>
      </x:c>
      <x:c r="AE38" s="32" t="n">
        <x:v>0</x:v>
      </x:c>
      <x:c r="AF38" s="32" t="n">
        <x:v>0</x:v>
      </x:c>
      <x:c r="AG38" s="32" t="n">
        <x:v>0</x:v>
      </x:c>
      <x:c r="AH38" s="32" t="n">
        <x:v>216.6621210053563</x:v>
      </x:c>
      <x:c r="AI38" s="32" t="str">
        <x:v>PASS</x:v>
      </x:c>
      <x:c r="AJ38" s="32" t="str">
        <x:v>GREEN</x:v>
      </x:c>
      <x:c r="AK38" s="32" t="str">
        <x:v>latest-narrow</x:v>
      </x:c>
      <x:c r="AL38" s="32" t="n">
        <x:v>1</x:v>
      </x:c>
      <x:c r="AM38" s="32" t="n">
        <x:v>1</x:v>
      </x:c>
      <x:c r="AN38" s="32" t="n">
        <x:v>1000</x:v>
      </x:c>
      <x:c r="AO38" s="32" t="n">
        <x:v>1</x:v>
      </x:c>
      <x:c r="AP38" s="32" t="n">
        <x:v>8132</x:v>
      </x:c>
      <x:c r="AQ38" s="32" t="n">
        <x:v>4.349902999820188</x:v>
      </x:c>
      <x:c r="AR38" s="32" t="n">
        <x:v>6.34817160316743</x:v>
      </x:c>
      <x:c r="AS38" s="32" t="n">
        <x:v>6.869331366033294</x:v>
      </x:c>
      <x:c r="AT38" s="32" t="n">
        <x:v>36</x:v>
      </x:c>
      <x:c r="AU38" s="32" t="str">
        <x:v>28×28 + 8×27</x:v>
      </x:c>
      <x:c r="AV38" s="32" t="n">
        <x:v>0.34225299896206707</x:v>
      </x:c>
      <x:c r="AW38" s="32" t="n">
        <x:v>0.40862780588213354</x:v>
      </x:c>
      <x:c r="AX38" s="32" t="n">
        <x:v>0.41494656063150615</x:v>
      </x:c>
      <x:c r="AY38" t="str">
        <x:v>balanced</x:v>
      </x:c>
      <x:c r="AZ38" s="32" t="str">
        <x:v>PASS</x:v>
      </x:c>
      <x:c r="BA38" s="32" t="n">
        <x:v>1000</x:v>
      </x:c>
      <x:c r="BB38" s="32" t="n">
        <x:v>0</x:v>
      </x:c>
      <x:c r="BC38" s="115" t="b">
        <x:v>1</x:v>
      </x:c>
      <x:c r="BD38" s="32" t="str">
        <x:v>PASS/GREEN. Single DeactivationDecision closed: exact PENDING_APPROVAL→APPLIED causal chain, same occurrence, target visible while pending, cursors 256/256, final pending 0/0/0, original 300 s window preserved with 270 s remaining, decision latency 981.46 ms, 102 durable records / 2,045,701 bytes and durable==materialized.</x:v>
      </x:c>
      <x:c r="BE38" s="32"/>
      <x:c r="BF38" s="32"/>
      <x:c r="BG38" s="32"/>
      <x:c r="BH38" s="32"/>
      <x:c r="BI38" s="32"/>
      <x:c r="BJ38" s="32" t="n">
        <x:v>1000</x:v>
      </x:c>
      <x:c r="BK38" s="32" t="n">
        <x:v>1000</x:v>
      </x:c>
      <x:c r="BL38" s="32"/>
      <x:c r="BM38" s="32"/>
      <x:c r="BN38" t="n">
        <x:v>100</x:v>
      </x:c>
      <x:c r="BO38" t="n">
        <x:v>10</x:v>
      </x:c>
      <x:c r="BP38" t="n">
        <x:v>0</x:v>
      </x:c>
      <x:c r="BQ38" t="n">
        <x:v>100</x:v>
      </x:c>
      <x:c r="BR38"/>
      <x:c r="BS38"/>
      <x:c r="BT38"/>
      <x:c r="BU38"/>
      <x:c r="BV38"/>
      <x:c r="BW38" t="n">
        <x:v>1000</x:v>
      </x:c>
      <x:c r="BX38" t="n">
        <x:v>1000</x:v>
      </x:c>
      <x:c r="BY38"/>
      <x:c r="BZ38"/>
      <x:c r="CA38" t="n">
        <x:v>100</x:v>
      </x:c>
      <x:c r="CB38" t="n">
        <x:v>100</x:v>
      </x:c>
      <x:c r="CC38"/>
      <x:c r="CD38"/>
      <x:c r="CE38" t="n">
        <x:v>1000</x:v>
      </x:c>
      <x:c r="CF38" t="n">
        <x:v>2004</x:v>
      </x:c>
      <x:c r="CG38" t="n">
        <x:v>1000</x:v>
      </x:c>
      <x:c r="CH38"/>
      <x:c r="CI38" s="127" t="b">
        <x:v>1</x:v>
      </x:c>
      <x:c r="CJ38"/>
      <x:c r="CK38"/>
      <x:c r="CL38"/>
      <x:c r="CM38"/>
      <x:c r="CN38"/>
      <x:c r="CO38"/>
      <x:c r="CP38"/>
      <x:c r="CQ38" t="n">
        <x:v>0</x:v>
      </x:c>
      <x:c r="CR38"/>
      <x:c r="CS38"/>
      <x:c r="CT38"/>
      <x:c r="CU38"/>
      <x:c r="CV38"/>
      <x:c r="CW38"/>
      <x:c r="CX38"/>
      <x:c r="CY38"/>
      <x:c r="CZ38"/>
      <x:c r="DA38"/>
      <x:c r="DB38"/>
      <x:c r="DC38"/>
      <x:c r="DD38"/>
      <x:c r="DE38"/>
      <x:c r="DF38"/>
      <x:c r="DG38"/>
      <x:c r="DH38" t="str">
        <x:v>baseline</x:v>
      </x:c>
      <x:c r="DI38" t="n">
        <x:v>25</x:v>
      </x:c>
      <x:c r="DJ38" t="n">
        <x:v>0</x:v>
      </x:c>
      <x:c r="DK38" t="n">
        <x:v>0</x:v>
      </x:c>
      <x:c r="DL38" t="n">
        <x:v>0</x:v>
      </x:c>
      <x:c r="DM38" t="n">
        <x:v>0</x:v>
      </x:c>
      <x:c r="DN38" t="n">
        <x:v>0</x:v>
      </x:c>
      <x:c r="DO38" t="n">
        <x:v>0</x:v>
      </x:c>
      <x:c r="DP38" t="n">
        <x:v>0</x:v>
      </x:c>
      <x:c r="DQ38" t="str">
        <x:v>C3</x:v>
      </x:c>
      <x:c r="DR38"/>
      <x:c r="DS38" t="n">
        <x:v>1000</x:v>
      </x:c>
      <x:c r="DT38" t="n">
        <x:v>1000</x:v>
      </x:c>
      <x:c r="DU38"/>
      <x:c r="DV38"/>
      <x:c r="DW38"/>
      <x:c r="DX38" t="n">
        <x:v>1000</x:v>
      </x:c>
      <x:c r="DY38" t="n">
        <x:v>1000</x:v>
      </x:c>
      <x:c r="DZ38" t="n">
        <x:v>0</x:v>
      </x:c>
      <x:c r="EA38" t="n">
        <x:v>0</x:v>
      </x:c>
      <x:c r="EB38"/>
      <x:c r="EC38"/>
      <x:c r="ED38"/>
      <x:c r="EE38"/>
      <x:c r="EF38"/>
      <x:c r="EG38"/>
      <x:c r="EH38"/>
      <x:c r="EI38"/>
      <x:c r="EJ38"/>
      <x:c r="EK38"/>
      <x:c r="EL38"/>
      <x:c r="EM38"/>
      <x:c r="EN38"/>
      <x:c r="EO38"/>
      <x:c r="EP38"/>
      <x:c r="EQ38"/>
      <x:c r="ER38"/>
      <x:c r="ES38"/>
      <x:c r="ET38"/>
      <x:c r="EU38"/>
      <x:c r="EV38"/>
      <x:c r="EW38"/>
      <x:c r="EX38"/>
      <x:c r="EY38"/>
      <x:c r="EZ38"/>
      <x:c r="FA38"/>
      <x:c r="FB38"/>
      <x:c r="FC38"/>
      <x:c r="FD38"/>
      <x:c r="FE38"/>
      <x:c r="FF38" t="n">
        <x:v>30</x:v>
      </x:c>
      <x:c r="FG38" t="str">
        <x:v>PERF-M-000001</x:v>
      </x:c>
      <x:c r="FH38" t="n">
        <x:v>1</x:v>
      </x:c>
      <x:c r="FI38" t="n">
        <x:v>1</x:v>
      </x:c>
      <x:c r="FJ38" t="n">
        <x:v>0</x:v>
      </x:c>
      <x:c r="FK38" t="n">
        <x:v>1</x:v>
      </x:c>
      <x:c r="FL38" t="n">
        <x:v>0</x:v>
      </x:c>
      <x:c r="FM38" t="n">
        <x:v>1</x:v>
      </x:c>
      <x:c r="FN38" t="n">
        <x:v>1</x:v>
      </x:c>
      <x:c r="FO38" t="n">
        <x:v>3</x:v>
      </x:c>
      <x:c r="FP38" t="n">
        <x:v>102</x:v>
      </x:c>
      <x:c r="FQ38" t="n">
        <x:v>256</x:v>
      </x:c>
      <x:c r="FR38" t="n">
        <x:v>0</x:v>
      </x:c>
      <x:c r="FS38" t="n">
        <x:v>1</x:v>
      </x:c>
      <x:c r="FT38" s="127" t="b">
        <x:v>1</x:v>
      </x:c>
      <x:c r="FU38"/>
      <x:c r="FV38" t="str">
        <x:v>PERF-O-00000001</x:v>
      </x:c>
      <x:c r="FW38" t="n">
        <x:v>0</x:v>
      </x:c>
      <x:c r="FX38"/>
      <x:c r="FY38"/>
      <x:c r="FZ38"/>
      <x:c r="GA38"/>
      <x:c r="GB38"/>
      <x:c r="GC38"/>
      <x:c r="GD38"/>
      <x:c r="GE38"/>
      <x:c r="GF38"/>
      <x:c r="GG38"/>
      <x:c r="GH38"/>
      <x:c r="GI38"/>
      <x:c r="GJ38"/>
      <x:c r="GK38"/>
      <x:c r="GL38"/>
      <x:c r="GM38" t="str">
        <x:v>single</x:v>
      </x:c>
      <x:c r="GN38"/>
      <x:c r="GO38"/>
      <x:c r="GP38"/>
      <x:c r="GQ38" t="n">
        <x:v>30</x:v>
      </x:c>
      <x:c r="GR38" t="n">
        <x:v>60</x:v>
      </x:c>
      <x:c r="GS38" t="n">
        <x:v>300</x:v>
      </x:c>
      <x:c r="GT38" t="str">
        <x:v>PERF-DR-PERF-M-000001</x:v>
      </x:c>
      <x:c r="GU38" t="str">
        <x:v>PERF-D-000001</x:v>
      </x:c>
      <x:c r="GV38" t="str">
        <x:v>perf/alarm_00001</x:v>
      </x:c>
      <x:c r="GW38" t="str">
        <x:v>PERF-O-00000001</x:v>
      </x:c>
      <x:c r="GX38" t="n">
        <x:v>1</x:v>
      </x:c>
      <x:c r="GY38" t="n">
        <x:v>1</x:v>
      </x:c>
      <x:c r="GZ38" t="n">
        <x:v>1</x:v>
      </x:c>
      <x:c r="HA38" t="n">
        <x:v>1</x:v>
      </x:c>
      <x:c r="HB38" t="n">
        <x:v>1</x:v>
      </x:c>
      <x:c r="HC38" t="n">
        <x:v>1</x:v>
      </x:c>
      <x:c r="HD38" t="n">
        <x:v>1</x:v>
      </x:c>
      <x:c r="HE38" t="n">
        <x:v>1</x:v>
      </x:c>
      <x:c r="HF38" t="n">
        <x:v>0</x:v>
      </x:c>
      <x:c r="HG38" t="n">
        <x:v>256</x:v>
      </x:c>
      <x:c r="HH38" t="n">
        <x:v>256</x:v>
      </x:c>
      <x:c r="HI38" t="n">
        <x:v>0</x:v>
      </x:c>
      <x:c r="HJ38" t="n">
        <x:v>0</x:v>
      </x:c>
      <x:c r="HK38" t="n">
        <x:v>0</x:v>
      </x:c>
      <x:c r="HL38" t="n">
        <x:v>1</x:v>
      </x:c>
      <x:c r="HM38" t="n">
        <x:v>0</x:v>
      </x:c>
      <x:c r="HN38" s="127" t="b">
        <x:v>1</x:v>
      </x:c>
      <x:c r="HO38" s="127" t="b">
        <x:v>1</x:v>
      </x:c>
      <x:c r="HP38" s="127" t="b">
        <x:v>1</x:v>
      </x:c>
      <x:c r="HQ38" s="127" t="b">
        <x:v>1</x:v>
      </x:c>
      <x:c r="HR38" s="127" t="b">
        <x:v>1</x:v>
      </x:c>
      <x:c r="HS38" t="n">
        <x:v>270</x:v>
      </x:c>
      <x:c r="HT38" t="n">
        <x:v>270</x:v>
      </x:c>
      <x:c r="HU38" t="n">
        <x:v>981.4595420029946</x:v>
      </x:c>
      <x:c r="HV38" t="n">
        <x:v>3</x:v>
      </x:c>
      <x:c r="HW38" t="n">
        <x:v>3</x:v>
      </x:c>
      <x:c r="HX38" t="n">
        <x:v>102</x:v>
      </x:c>
      <x:c r="HY38" s="127" t="b">
        <x:v>1</x:v>
      </x:c>
    </x:row>
    <x:row r="39">
      <x:c r="A39" s="32" t="str">
        <x:v>4a45dc70-1f12-47dc-8687-79f59a94b3db</x:v>
      </x:c>
      <x:c r="B39" s="32" t="str">
        <x:v>D-006</x:v>
      </x:c>
      <x:c r="C39" s="42" t="n">
        <x:v>46261.71229166667</x:v>
      </x:c>
      <x:c r="D39" s="32" t="str">
        <x:v>489b7424f5051f7a276dafe8d5f318ccf1368d87</x:v>
      </x:c>
      <x:c r="E39" s="32" t="str">
        <x:v>GLONBW11</x:v>
      </x:c>
      <x:c r="F39" s="32" t="str">
        <x:v>local-filesystem</x:v>
      </x:c>
      <x:c r="G39" s="32" t="str">
        <x:v>3.14.2</x:v>
      </x:c>
      <x:c r="H39" s="32" t="str">
        <x:v>deterministic</x:v>
      </x:c>
      <x:c r="I39" s="32" t="n">
        <x:v>1000</x:v>
      </x:c>
      <x:c r="J39" s="32" t="n">
        <x:v>20</x:v>
      </x:c>
      <x:c r="K39" s="32" t="n">
        <x:v>20.12817765</x:v>
      </x:c>
      <x:c r="L39" s="32" t="n">
        <x:v>242</x:v>
      </x:c>
      <x:c r="M39" s="32" t="n">
        <x:v>5</x:v>
      </x:c>
      <x:c r="N39" s="32" t="n">
        <x:v>10</x:v>
      </x:c>
      <x:c r="O39" s="32" t="n">
        <x:v>1020.7902080001077</x:v>
      </x:c>
      <x:c r="P39" s="32" t="n">
        <x:v>1060.1159365054627</x:v>
      </x:c>
      <x:c r="Q39" s="32" t="n">
        <x:v>1707.0064457983246</x:v>
      </x:c>
      <x:c r="R39" s="32" t="n">
        <x:v>1932.6314009958878</x:v>
      </x:c>
      <x:c r="S39" s="32" t="n">
        <x:v>0</x:v>
      </x:c>
      <x:c r="T39" s="43" t="n">
        <x:v>0</x:v>
      </x:c>
      <x:c r="U39" s="32" t="n">
        <x:v>93.2765438475353</x:v>
      </x:c>
      <x:c r="V39" s="32" t="n">
        <x:v>100.4199501425817</x:v>
      </x:c>
      <x:c r="W39" s="32" t="n">
        <x:v>149.15324767561984</x:v>
      </x:c>
      <x:c r="X39" s="32" t="n">
        <x:v>160.6328125</x:v>
      </x:c>
      <x:c r="Y39" s="32"/>
      <x:c r="Z39" s="32"/>
      <x:c r="AA39" s="32"/>
      <x:c r="AB39" s="32" t="n">
        <x:v>6107.423221850331</x:v>
      </x:c>
      <x:c r="AC39" s="32" t="n">
        <x:v>0</x:v>
      </x:c>
      <x:c r="AD39" s="32" t="n">
        <x:v>0</x:v>
      </x:c>
      <x:c r="AE39" s="32" t="n">
        <x:v>0</x:v>
      </x:c>
      <x:c r="AF39" s="32" t="n">
        <x:v>0</x:v>
      </x:c>
      <x:c r="AG39" s="32" t="n">
        <x:v>0</x:v>
      </x:c>
      <x:c r="AH39" s="32" t="n">
        <x:v>2820.4949620121624</x:v>
      </x:c>
      <x:c r="AI39" s="32" t="str">
        <x:v>PASS</x:v>
      </x:c>
      <x:c r="AJ39" s="32" t="str">
        <x:v>GREEN</x:v>
      </x:c>
      <x:c r="AK39" s="32" t="str">
        <x:v>latest-narrow</x:v>
      </x:c>
      <x:c r="AL39" s="32" t="n">
        <x:v>1</x:v>
      </x:c>
      <x:c r="AM39" s="32" t="n">
        <x:v>1</x:v>
      </x:c>
      <x:c r="AN39" s="32" t="n">
        <x:v>1000</x:v>
      </x:c>
      <x:c r="AO39" s="32" t="n">
        <x:v>1</x:v>
      </x:c>
      <x:c r="AP39" s="32" t="n">
        <x:v>8132</x:v>
      </x:c>
      <x:c r="AQ39" s="32" t="n">
        <x:v>4.235665997839533</x:v>
      </x:c>
      <x:c r="AR39" s="32" t="n">
        <x:v>5.409871092706453</x:v>
      </x:c>
      <x:c r="AS39" s="32" t="n">
        <x:v>6.183492785494309</x:v>
      </x:c>
      <x:c r="AT39" s="32" t="n">
        <x:v>36</x:v>
      </x:c>
      <x:c r="AU39" s="32" t="str">
        <x:v>28×28 + 8×27</x:v>
      </x:c>
      <x:c r="AV39" s="32" t="n">
        <x:v>0.3777035017265007</x:v>
      </x:c>
      <x:c r="AW39" s="32" t="n">
        <x:v>0.5086894016130827</x:v>
      </x:c>
      <x:c r="AX39" s="32" t="n">
        <x:v>0.5723492478136905</x:v>
      </x:c>
      <x:c r="AY39" t="str">
        <x:v>balanced</x:v>
      </x:c>
      <x:c r="AZ39" s="32" t="str">
        <x:v>PASS</x:v>
      </x:c>
      <x:c r="BA39" s="32" t="n">
        <x:v>1000</x:v>
      </x:c>
      <x:c r="BB39" s="32" t="n">
        <x:v>0</x:v>
      </x:c>
      <x:c r="BC39" s="115" t="b">
        <x:v>1</x:v>
      </x:c>
      <x:c r="BD39" s="32" t="str">
        <x:v>PASS/GREEN. Exact two-phase integrity: 540 PENDING_APPROVAL + 540 APPLIED; 540 ManagementEffect STARTED + 540 DeactivationEffect STARTED; 0 CLEARED/lost/duplicates/wrong correlations/mismatches; cursors 138240/138240; pending 0/0/0; remaining 1197 s for all 540; WAL 1570 records / 15,160,690 bytes; 100 chains and materialized snapshots aligned.</x:v>
      </x:c>
      <x:c r="BE39" s="32" t="n">
        <x:v>0</x:v>
      </x:c>
      <x:c r="BF39" s="32" t="n">
        <x:v>0</x:v>
      </x:c>
      <x:c r="BG39" s="32" t="n">
        <x:v>0</x:v>
      </x:c>
      <x:c r="BH39" s="32" t="n">
        <x:v>0</x:v>
      </x:c>
      <x:c r="BI39" s="32" t="n">
        <x:v>0</x:v>
      </x:c>
      <x:c r="BJ39" s="32" t="n">
        <x:v>1000</x:v>
      </x:c>
      <x:c r="BK39" s="32" t="n">
        <x:v>1000</x:v>
      </x:c>
      <x:c r="BL39" s="32" t="n">
        <x:v>0</x:v>
      </x:c>
      <x:c r="BM39" s="32" t="n">
        <x:v>0</x:v>
      </x:c>
      <x:c r="BN39" t="n">
        <x:v>100</x:v>
      </x:c>
      <x:c r="BO39" t="n">
        <x:v>10</x:v>
      </x:c>
      <x:c r="BP39" t="n">
        <x:v>0</x:v>
      </x:c>
      <x:c r="BQ39" t="n">
        <x:v>100</x:v>
      </x:c>
      <x:c r="BR39"/>
      <x:c r="BS39"/>
      <x:c r="BT39"/>
      <x:c r="BU39"/>
      <x:c r="BV39"/>
      <x:c r="BW39"/>
      <x:c r="BX39"/>
      <x:c r="BY39"/>
      <x:c r="BZ39"/>
      <x:c r="CA39"/>
      <x:c r="CB39"/>
      <x:c r="CC39"/>
      <x:c r="CD39"/>
      <x:c r="CE39" t="n">
        <x:v>1000</x:v>
      </x:c>
      <x:c r="CF39" t="n">
        <x:v>4160</x:v>
      </x:c>
      <x:c r="CG39" t="n">
        <x:v>5000</x:v>
      </x:c>
      <x:c r="CH39" t="n">
        <x:v>390</x:v>
      </x:c>
      <x:c r="CI39" s="127" t="b">
        <x:v>1</x:v>
      </x:c>
      <x:c r="CJ39"/>
      <x:c r="CK39"/>
      <x:c r="CL39"/>
      <x:c r="CM39"/>
      <x:c r="CN39"/>
      <x:c r="CO39"/>
      <x:c r="CP39"/>
      <x:c r="CQ39" t="n">
        <x:v>0</x:v>
      </x:c>
      <x:c r="CR39"/>
      <x:c r="CS39"/>
      <x:c r="CT39"/>
      <x:c r="CU39"/>
      <x:c r="CV39"/>
      <x:c r="CW39"/>
      <x:c r="CX39"/>
      <x:c r="CY39"/>
      <x:c r="CZ39"/>
      <x:c r="DA39"/>
      <x:c r="DB39"/>
      <x:c r="DC39"/>
      <x:c r="DD39"/>
      <x:c r="DE39"/>
      <x:c r="DF39"/>
      <x:c r="DG39"/>
      <x:c r="DH39" t="str">
        <x:v>baseline</x:v>
      </x:c>
      <x:c r="DI39" t="n">
        <x:v>242</x:v>
      </x:c>
      <x:c r="DJ39" t="n">
        <x:v>0</x:v>
      </x:c>
      <x:c r="DK39" t="n">
        <x:v>0</x:v>
      </x:c>
      <x:c r="DL39" t="n">
        <x:v>0</x:v>
      </x:c>
      <x:c r="DM39" t="n">
        <x:v>0</x:v>
      </x:c>
      <x:c r="DN39" t="n">
        <x:v>0</x:v>
      </x:c>
      <x:c r="DO39" t="n">
        <x:v>0</x:v>
      </x:c>
      <x:c r="DP39" t="n">
        <x:v>0</x:v>
      </x:c>
      <x:c r="DQ39" t="str">
        <x:v>C3</x:v>
      </x:c>
      <x:c r="DR39" t="n">
        <x:v>0</x:v>
      </x:c>
      <x:c r="DS39" t="n">
        <x:v>1000</x:v>
      </x:c>
      <x:c r="DT39" t="n">
        <x:v>1000</x:v>
      </x:c>
      <x:c r="DU39"/>
      <x:c r="DV39"/>
      <x:c r="DW39"/>
      <x:c r="DX39" t="n">
        <x:v>1000</x:v>
      </x:c>
      <x:c r="DY39" t="n">
        <x:v>1000</x:v>
      </x:c>
      <x:c r="DZ39" t="n">
        <x:v>0</x:v>
      </x:c>
      <x:c r="EA39" t="n">
        <x:v>0</x:v>
      </x:c>
      <x:c r="EB39"/>
      <x:c r="EC39"/>
      <x:c r="ED39"/>
      <x:c r="EE39"/>
      <x:c r="EF39"/>
      <x:c r="EG39"/>
      <x:c r="EH39"/>
      <x:c r="EI39"/>
      <x:c r="EJ39"/>
      <x:c r="EK39"/>
      <x:c r="EL39"/>
      <x:c r="EM39"/>
      <x:c r="EN39"/>
      <x:c r="EO39"/>
      <x:c r="EP39"/>
      <x:c r="EQ39"/>
      <x:c r="ER39"/>
      <x:c r="ES39"/>
      <x:c r="ET39" t="str">
        <x:v>f586e4a0-d802-40de-ba6f-90abe8950208</x:v>
      </x:c>
      <x:c r="EU39" t="str">
        <x:v>4a45dc70-1f12-47dc-8687-79f59a94b3db</x:v>
      </x:c>
      <x:c r="EV39"/>
      <x:c r="EW39"/>
      <x:c r="EX39"/>
      <x:c r="EY39"/>
      <x:c r="EZ39"/>
      <x:c r="FA39"/>
      <x:c r="FB39"/>
      <x:c r="FC39"/>
      <x:c r="FD39"/>
      <x:c r="FE39"/>
      <x:c r="FF39" t="n">
        <x:v>30</x:v>
      </x:c>
      <x:c r="FG39" t="str">
        <x:v>PERF-M-000001..PERF-M-000540</x:v>
      </x:c>
      <x:c r="FH39" t="n">
        <x:v>540</x:v>
      </x:c>
      <x:c r="FI39" t="n">
        <x:v>540</x:v>
      </x:c>
      <x:c r="FJ39" t="n">
        <x:v>0</x:v>
      </x:c>
      <x:c r="FK39" t="n">
        <x:v>540</x:v>
      </x:c>
      <x:c r="FL39" t="n">
        <x:v>0</x:v>
      </x:c>
      <x:c r="FM39" t="n">
        <x:v>540</x:v>
      </x:c>
      <x:c r="FN39" t="n">
        <x:v>540</x:v>
      </x:c>
      <x:c r="FO39"/>
      <x:c r="FP39" t="n">
        <x:v>1570</x:v>
      </x:c>
      <x:c r="FQ39" t="n">
        <x:v>138240</x:v>
      </x:c>
      <x:c r="FR39" t="n">
        <x:v>0</x:v>
      </x:c>
      <x:c r="FS39" t="n">
        <x:v>540</x:v>
      </x:c>
      <x:c r="FT39" s="127" t="b">
        <x:v>1</x:v>
      </x:c>
      <x:c r="FU39"/>
      <x:c r="FV39"/>
      <x:c r="FW39" t="n">
        <x:v>0</x:v>
      </x:c>
      <x:c r="FX39" t="n">
        <x:v>540</x:v>
      </x:c>
      <x:c r="FY39" t="n">
        <x:v>1</x:v>
      </x:c>
      <x:c r="FZ39" t="n">
        <x:v>0</x:v>
      </x:c>
      <x:c r="GA39" t="n">
        <x:v>0</x:v>
      </x:c>
      <x:c r="GB39" t="n">
        <x:v>540</x:v>
      </x:c>
      <x:c r="GC39" t="n">
        <x:v>540</x:v>
      </x:c>
      <x:c r="GD39" t="n">
        <x:v>0</x:v>
      </x:c>
      <x:c r="GE39" t="n">
        <x:v>5</x:v>
      </x:c>
      <x:c r="GF39"/>
      <x:c r="GG39"/>
      <x:c r="GH39" t="n">
        <x:v>540</x:v>
      </x:c>
      <x:c r="GI39"/>
      <x:c r="GJ39"/>
      <x:c r="GK39"/>
      <x:c r="GL39"/>
      <x:c r="GM39" t="str">
        <x:v>sustained</x:v>
      </x:c>
      <x:c r="GN39"/>
      <x:c r="GO39"/>
      <x:c r="GP39"/>
      <x:c r="GQ39" t="n">
        <x:v>30</x:v>
      </x:c>
      <x:c r="GR39" t="n">
        <x:v>30</x:v>
      </x:c>
      <x:c r="GS39" t="n">
        <x:v>1800</x:v>
      </x:c>
      <x:c r="GT39" t="str">
        <x:v>PERF-DR-PERF-M-000001..000540</x:v>
      </x:c>
      <x:c r="GU39" t="str">
        <x:v>PERF-D-000001..PERF-D-000540</x:v>
      </x:c>
      <x:c r="GV39" t="str">
        <x:v>540 unique targets</x:v>
      </x:c>
      <x:c r="GW39" t="str">
        <x:v>540 preserved</x:v>
      </x:c>
      <x:c r="GX39" t="n">
        <x:v>540</x:v>
      </x:c>
      <x:c r="GY39" t="n">
        <x:v>540</x:v>
      </x:c>
      <x:c r="GZ39" t="n">
        <x:v>540</x:v>
      </x:c>
      <x:c r="HA39" t="n">
        <x:v>540</x:v>
      </x:c>
      <x:c r="HB39" t="n">
        <x:v>540</x:v>
      </x:c>
      <x:c r="HC39" t="n">
        <x:v>540</x:v>
      </x:c>
      <x:c r="HD39" t="n">
        <x:v>540</x:v>
      </x:c>
      <x:c r="HE39" t="n">
        <x:v>540</x:v>
      </x:c>
      <x:c r="HF39" t="n">
        <x:v>0</x:v>
      </x:c>
      <x:c r="HG39" t="n">
        <x:v>138240</x:v>
      </x:c>
      <x:c r="HH39" t="n">
        <x:v>138240</x:v>
      </x:c>
      <x:c r="HI39" t="n">
        <x:v>0</x:v>
      </x:c>
      <x:c r="HJ39" t="n">
        <x:v>0</x:v>
      </x:c>
      <x:c r="HK39" t="n">
        <x:v>0</x:v>
      </x:c>
      <x:c r="HL39" t="n">
        <x:v>540</x:v>
      </x:c>
      <x:c r="HM39" t="n">
        <x:v>0</x:v>
      </x:c>
      <x:c r="HN39" s="127" t="b">
        <x:v>1</x:v>
      </x:c>
      <x:c r="HO39"/>
      <x:c r="HP39" s="127" t="b">
        <x:v>1</x:v>
      </x:c>
      <x:c r="HQ39" s="127" t="b">
        <x:v>1</x:v>
      </x:c>
      <x:c r="HR39" s="127" t="b">
        <x:v>1</x:v>
      </x:c>
      <x:c r="HS39" t="n">
        <x:v>1197</x:v>
      </x:c>
      <x:c r="HT39"/>
      <x:c r="HU39"/>
      <x:c r="HV39"/>
      <x:c r="HW39"/>
      <x:c r="HX39"/>
      <x:c r="HY39" s="127" t="b">
        <x:v>1</x:v>
      </x:c>
      <x:c r="HZ39"/>
      <x:c r="IA39"/>
      <x:c r="IB39"/>
      <x:c r="IC39"/>
      <x:c r="ID39"/>
      <x:c r="IE39"/>
      <x:c r="IF39"/>
      <x:c r="IG39"/>
      <x:c r="IH39"/>
      <x:c r="II39"/>
      <x:c r="IJ39"/>
      <x:c r="IK39"/>
      <x:c r="IL39"/>
      <x:c r="IM39"/>
      <x:c r="IN39"/>
      <x:c r="IO39"/>
      <x:c r="IP39"/>
      <x:c r="IQ39"/>
      <x:c r="IR39"/>
      <x:c r="IS39"/>
      <x:c r="IT39"/>
      <x:c r="IU39"/>
      <x:c r="IV39"/>
      <x:c r="IW39"/>
      <x:c r="IX39"/>
      <x:c r="IY39"/>
      <x:c r="IZ39"/>
      <x:c r="JA39" t="str">
        <x:v>f586e4a0-d802-40de-ba6f-90abe8950208</x:v>
      </x:c>
      <x:c r="JB39" t="str">
        <x:v>4a45dc70-1f12-47dc-8687-79f59a94b3db</x:v>
      </x:c>
      <x:c r="JC39" t="n">
        <x:v>602.876797</x:v>
      </x:c>
      <x:c r="JD39" t="n">
        <x:v>604.813862</x:v>
      </x:c>
      <x:c r="JE39" t="n">
        <x:v>540</x:v>
      </x:c>
      <x:c r="JF39" t="n">
        <x:v>540</x:v>
      </x:c>
      <x:c r="JG39" t="n">
        <x:v>540</x:v>
      </x:c>
      <x:c r="JH39" t="n">
        <x:v>0</x:v>
      </x:c>
      <x:c r="JI39" t="n">
        <x:v>0</x:v>
      </x:c>
      <x:c r="JJ39" t="n">
        <x:v>0</x:v>
      </x:c>
      <x:c r="JK39" t="n">
        <x:v>0</x:v>
      </x:c>
      <x:c r="JL39" t="n">
        <x:v>0</x:v>
      </x:c>
      <x:c r="JM39" t="n">
        <x:v>0</x:v>
      </x:c>
      <x:c r="JN39" t="n">
        <x:v>6</x:v>
      </x:c>
      <x:c r="JO39" t="n">
        <x:v>6</x:v>
      </x:c>
      <x:c r="JP39" t="n">
        <x:v>109</x:v>
      </x:c>
      <x:c r="JQ39" t="str">
        <x:v>2, 5×106, 6, 2</x:v>
      </x:c>
      <x:c r="JR39" t="n">
        <x:v>4060.1532379951095</x:v>
      </x:c>
      <x:c r="JS39" t="n">
        <x:v>6107.423221850331</x:v>
      </x:c>
      <x:c r="JT39" t="n">
        <x:v>6166.729561134271</x:v>
      </x:c>
      <x:c r="JU39" t="n">
        <x:v>6807.1725339978</x:v>
      </x:c>
      <x:c r="JV39" t="n">
        <x:v>1197</x:v>
      </x:c>
      <x:c r="JW39" t="n">
        <x:v>1197</x:v>
      </x:c>
      <x:c r="JX39" t="n">
        <x:v>540</x:v>
      </x:c>
      <x:c r="JY39" t="n">
        <x:v>540</x:v>
      </x:c>
      <x:c r="JZ39" s="127" t="b">
        <x:v>1</x:v>
      </x:c>
      <x:c r="KA39" t="n">
        <x:v>1570</x:v>
      </x:c>
      <x:c r="KB39" t="n">
        <x:v>15160690</x:v>
      </x:c>
      <x:c r="KC39" t="n">
        <x:v>0</x:v>
      </x:c>
      <x:c r="KD39" t="n">
        <x:v>0</x:v>
      </x:c>
      <x:c r="KE39" t="n">
        <x:v>0</x:v>
      </x:c>
      <x:c r="KF39" s="127" t="b">
        <x:v>1</x:v>
      </x:c>
      <x:c r="KG39" t="str">
        <x:v>success</x:v>
      </x:c>
      <x:c r="KH39" t="str">
        <x:v>success</x:v>
      </x:c>
      <x:c r="KI39" t="n">
        <x:v>540</x:v>
      </x:c>
      <x:c r="KJ39" t="str">
        <x:v>106×5 + 2×2 + 1×6</x:v>
      </x:c>
    </x:row>
    <x:row r="40">
      <x:c r="A40" s="32" t="str">
        <x:v>b4acb562-5468-4276-b109-220c246065b2</x:v>
      </x:c>
      <x:c r="B40" s="32" t="str">
        <x:v>D-007</x:v>
      </x:c>
      <x:c r="C40" s="42" t="n">
        <x:v>46261.76210648148</x:v>
      </x:c>
      <x:c r="D40" s="32" t="str">
        <x:v>489b7424f5051f7a276dafe8d5f318ccf1368d87</x:v>
      </x:c>
      <x:c r="E40" s="32" t="str">
        <x:v>GLONBW11</x:v>
      </x:c>
      <x:c r="F40" s="32" t="str">
        <x:v>local-filesystem</x:v>
      </x:c>
      <x:c r="G40" s="32" t="str">
        <x:v>3.14.2</x:v>
      </x:c>
      <x:c r="H40" s="32" t="str">
        <x:v>deterministic</x:v>
      </x:c>
      <x:c r="I40" s="32" t="n">
        <x:v>1000</x:v>
      </x:c>
      <x:c r="J40" s="32" t="n">
        <x:v>4</x:v>
      </x:c>
      <x:c r="K40" s="32" t="n">
        <x:v>4.046330816666667</x:v>
      </x:c>
      <x:c r="L40" s="32" t="n">
        <x:v>50</x:v>
      </x:c>
      <x:c r="M40" s="32" t="n">
        <x:v>5</x:v>
      </x:c>
      <x:c r="N40" s="32" t="n">
        <x:v>10</x:v>
      </x:c>
      <x:c r="O40" s="32" t="n">
        <x:v>916.411866004637</x:v>
      </x:c>
      <x:c r="P40" s="32" t="n">
        <x:v>1247.7119897994266</x:v>
      </x:c>
      <x:c r="Q40" s="32" t="n">
        <x:v>1439.560657506226</x:v>
      </x:c>
      <x:c r="R40" s="32" t="n">
        <x:v>1556.8693529930897</x:v>
      </x:c>
      <x:c r="S40" s="32" t="n">
        <x:v>0</x:v>
      </x:c>
      <x:c r="T40" s="43" t="n">
        <x:v>0</x:v>
      </x:c>
      <x:c r="U40" s="32" t="n">
        <x:v>97.74479571767974</x:v>
      </x:c>
      <x:c r="V40" s="32" t="n">
        <x:v>100.1272315652469</x:v>
      </x:c>
      <x:c r="W40" s="32" t="n">
        <x:v>137.3333203125</x:v>
      </x:c>
      <x:c r="X40" s="32" t="n">
        <x:v>137.71484375</x:v>
      </x:c>
      <x:c r="Y40" s="32"/>
      <x:c r="Z40" s="32"/>
      <x:c r="AA40" s="32"/>
      <x:c r="AB40" s="32" t="n">
        <x:v>1851.2582379917149</x:v>
      </x:c>
      <x:c r="AC40" s="32" t="n">
        <x:v>0</x:v>
      </x:c>
      <x:c r="AD40" s="32" t="n">
        <x:v>0</x:v>
      </x:c>
      <x:c r="AE40" s="32" t="n">
        <x:v>0</x:v>
      </x:c>
      <x:c r="AF40" s="32" t="n">
        <x:v>0</x:v>
      </x:c>
      <x:c r="AG40" s="32" t="n">
        <x:v>0</x:v>
      </x:c>
      <x:c r="AH40" s="32" t="n">
        <x:v>557.2670810070122</x:v>
      </x:c>
      <x:c r="AI40" s="32" t="str">
        <x:v>PASS</x:v>
      </x:c>
      <x:c r="AJ40" s="32" t="str">
        <x:v>GREEN</x:v>
      </x:c>
      <x:c r="AK40" s="32" t="str">
        <x:v>latest-narrow</x:v>
      </x:c>
      <x:c r="AL40" s="32" t="n">
        <x:v>1</x:v>
      </x:c>
      <x:c r="AM40" s="32" t="n">
        <x:v>1</x:v>
      </x:c>
      <x:c r="AN40" s="32" t="n">
        <x:v>1000</x:v>
      </x:c>
      <x:c r="AO40" s="32" t="n">
        <x:v>1</x:v>
      </x:c>
      <x:c r="AP40" s="32" t="n">
        <x:v>8132</x:v>
      </x:c>
      <x:c r="AQ40" s="32" t="n">
        <x:v>4.036892001749948</x:v>
      </x:c>
      <x:c r="AR40" s="32" t="n">
        <x:v>5.125196553854039</x:v>
      </x:c>
      <x:c r="AS40" s="32" t="n">
        <x:v>6.573543255508411</x:v>
      </x:c>
      <x:c r="AT40" s="32" t="n">
        <x:v>36</x:v>
      </x:c>
      <x:c r="AU40" s="32" t="str">
        <x:v>28×28 + 8×27</x:v>
      </x:c>
      <x:c r="AV40" s="32" t="n">
        <x:v>0.3764825014513917</x:v>
      </x:c>
      <x:c r="AW40" s="32" t="n">
        <x:v>0.43626400292851025</x:v>
      </x:c>
      <x:c r="AX40" s="32" t="n">
        <x:v>0.4586785401625093</x:v>
      </x:c>
      <x:c r="AY40" t="str">
        <x:v>balanced</x:v>
      </x:c>
      <x:c r="AZ40" s="32" t="str">
        <x:v>PASS</x:v>
      </x:c>
      <x:c r="BA40" s="32" t="n">
        <x:v>1000</x:v>
      </x:c>
      <x:c r="BB40" s="32" t="n">
        <x:v>0</x:v>
      </x:c>
      <x:c r="BC40" s="115" t="b">
        <x:v>1</x:v>
      </x:c>
      <x:c r="BD40" s="32" t="str">
        <x:v>PASS/GREEN. Decision burst 50 absorbed 50/50 in the first eligible iteration. Exact 50 PENDING_APPROVAL + 50 APPLIED; 50 ManagementEffect + 50 DeactivationEffect STARTED; 0 CLEARED/lost/duplicates/wrong correlation/mismatches; cursors 12800/12800; pending 0/0/0; remaining 479 s for all 50; WAL 200 records / 2,775,850 bytes; 100 chains and snapshots aligned.</x:v>
      </x:c>
      <x:c r="BE40" s="32" t="n">
        <x:v>0</x:v>
      </x:c>
      <x:c r="BF40" s="32" t="n">
        <x:v>0</x:v>
      </x:c>
      <x:c r="BG40" s="32" t="n">
        <x:v>0</x:v>
      </x:c>
      <x:c r="BH40" s="32" t="n">
        <x:v>0</x:v>
      </x:c>
      <x:c r="BI40" s="32" t="n">
        <x:v>0</x:v>
      </x:c>
      <x:c r="BJ40" s="32" t="n">
        <x:v>1000</x:v>
      </x:c>
      <x:c r="BK40" s="32" t="n">
        <x:v>1000</x:v>
      </x:c>
      <x:c r="BL40" s="32" t="n">
        <x:v>0</x:v>
      </x:c>
      <x:c r="BM40" s="32" t="n">
        <x:v>0</x:v>
      </x:c>
      <x:c r="BN40" t="n">
        <x:v>100</x:v>
      </x:c>
      <x:c r="BO40" t="n">
        <x:v>10</x:v>
      </x:c>
      <x:c r="BP40" t="n">
        <x:v>0</x:v>
      </x:c>
      <x:c r="BQ40" t="n">
        <x:v>100</x:v>
      </x:c>
      <x:c r="BR40"/>
      <x:c r="BS40"/>
      <x:c r="BT40"/>
      <x:c r="BU40"/>
      <x:c r="BV40"/>
      <x:c r="BW40"/>
      <x:c r="BX40"/>
      <x:c r="BY40"/>
      <x:c r="BZ40"/>
      <x:c r="CA40"/>
      <x:c r="CB40"/>
      <x:c r="CC40"/>
      <x:c r="CD40"/>
      <x:c r="CE40" t="n">
        <x:v>1000</x:v>
      </x:c>
      <x:c r="CF40" t="n">
        <x:v>2200</x:v>
      </x:c>
      <x:c r="CG40" t="n">
        <x:v>1000</x:v>
      </x:c>
      <x:c r="CH40" t="n">
        <x:v>0</x:v>
      </x:c>
      <x:c r="CI40" s="127" t="b">
        <x:v>1</x:v>
      </x:c>
      <x:c r="CJ40"/>
      <x:c r="CK40"/>
      <x:c r="CL40"/>
      <x:c r="CM40"/>
      <x:c r="CN40"/>
      <x:c r="CO40"/>
      <x:c r="CP40"/>
      <x:c r="CQ40" t="n">
        <x:v>0</x:v>
      </x:c>
      <x:c r="CR40"/>
      <x:c r="CS40"/>
      <x:c r="CT40"/>
      <x:c r="CU40"/>
      <x:c r="CV40"/>
      <x:c r="CW40"/>
      <x:c r="CX40"/>
      <x:c r="CY40"/>
      <x:c r="CZ40"/>
      <x:c r="DA40"/>
      <x:c r="DB40"/>
      <x:c r="DC40"/>
      <x:c r="DD40"/>
      <x:c r="DE40"/>
      <x:c r="DF40"/>
      <x:c r="DG40"/>
      <x:c r="DH40" t="str">
        <x:v>baseline</x:v>
      </x:c>
      <x:c r="DI40" t="n">
        <x:v>50</x:v>
      </x:c>
      <x:c r="DJ40" t="n">
        <x:v>0</x:v>
      </x:c>
      <x:c r="DK40" t="n">
        <x:v>0</x:v>
      </x:c>
      <x:c r="DL40" t="n">
        <x:v>0</x:v>
      </x:c>
      <x:c r="DM40" t="n">
        <x:v>0</x:v>
      </x:c>
      <x:c r="DN40" t="n">
        <x:v>0</x:v>
      </x:c>
      <x:c r="DO40" t="n">
        <x:v>0</x:v>
      </x:c>
      <x:c r="DP40" t="n">
        <x:v>0</x:v>
      </x:c>
      <x:c r="DQ40" t="str">
        <x:v>C3</x:v>
      </x:c>
      <x:c r="DR40" t="n">
        <x:v>0</x:v>
      </x:c>
      <x:c r="DS40" t="n">
        <x:v>1000</x:v>
      </x:c>
      <x:c r="DT40" t="n">
        <x:v>1000</x:v>
      </x:c>
      <x:c r="DU40"/>
      <x:c r="DV40"/>
      <x:c r="DW40"/>
      <x:c r="DX40" t="n">
        <x:v>1000</x:v>
      </x:c>
      <x:c r="DY40" t="n">
        <x:v>1000</x:v>
      </x:c>
      <x:c r="DZ40" t="n">
        <x:v>0</x:v>
      </x:c>
      <x:c r="EA40" t="n">
        <x:v>0</x:v>
      </x:c>
      <x:c r="EB40"/>
      <x:c r="EC40"/>
      <x:c r="ED40"/>
      <x:c r="EE40"/>
      <x:c r="EF40"/>
      <x:c r="EG40"/>
      <x:c r="EH40"/>
      <x:c r="EI40"/>
      <x:c r="EJ40"/>
      <x:c r="EK40"/>
      <x:c r="EL40"/>
      <x:c r="EM40"/>
      <x:c r="EN40"/>
      <x:c r="EO40"/>
      <x:c r="EP40"/>
      <x:c r="EQ40"/>
      <x:c r="ER40"/>
      <x:c r="ES40"/>
      <x:c r="ET40" t="str">
        <x:v>2acf1950-9045-4781-bab2-16b328882371</x:v>
      </x:c>
      <x:c r="EU40" t="str">
        <x:v>b4acb562-5468-4276-b109-220c246065b2</x:v>
      </x:c>
      <x:c r="EV40"/>
      <x:c r="EW40"/>
      <x:c r="EX40"/>
      <x:c r="EY40"/>
      <x:c r="EZ40"/>
      <x:c r="FA40"/>
      <x:c r="FB40"/>
      <x:c r="FC40"/>
      <x:c r="FD40"/>
      <x:c r="FE40"/>
      <x:c r="FF40" t="n">
        <x:v>30</x:v>
      </x:c>
      <x:c r="FG40" t="str">
        <x:v>PERF-M-000001..PERF-M-000050</x:v>
      </x:c>
      <x:c r="FH40" t="n">
        <x:v>50</x:v>
      </x:c>
      <x:c r="FI40" t="n">
        <x:v>50</x:v>
      </x:c>
      <x:c r="FJ40" t="n">
        <x:v>0</x:v>
      </x:c>
      <x:c r="FK40" t="n">
        <x:v>50</x:v>
      </x:c>
      <x:c r="FL40" t="n">
        <x:v>0</x:v>
      </x:c>
      <x:c r="FM40" t="n">
        <x:v>50</x:v>
      </x:c>
      <x:c r="FN40" t="n">
        <x:v>50</x:v>
      </x:c>
      <x:c r="FO40"/>
      <x:c r="FP40" t="n">
        <x:v>200</x:v>
      </x:c>
      <x:c r="FQ40" t="n">
        <x:v>12800</x:v>
      </x:c>
      <x:c r="FR40" t="n">
        <x:v>0</x:v>
      </x:c>
      <x:c r="FS40" t="n">
        <x:v>50</x:v>
      </x:c>
      <x:c r="FT40" s="127" t="b">
        <x:v>1</x:v>
      </x:c>
      <x:c r="FU40"/>
      <x:c r="FV40"/>
      <x:c r="FW40" t="n">
        <x:v>0</x:v>
      </x:c>
      <x:c r="FX40" t="n">
        <x:v>50</x:v>
      </x:c>
      <x:c r="FY40" t="n">
        <x:v>0</x:v>
      </x:c>
      <x:c r="FZ40" t="n">
        <x:v>0</x:v>
      </x:c>
      <x:c r="GA40" t="n">
        <x:v>0</x:v>
      </x:c>
      <x:c r="GB40" t="n">
        <x:v>50</x:v>
      </x:c>
      <x:c r="GC40" t="n">
        <x:v>50</x:v>
      </x:c>
      <x:c r="GD40" t="n">
        <x:v>0</x:v>
      </x:c>
      <x:c r="GE40" t="n">
        <x:v>50</x:v>
      </x:c>
      <x:c r="GF40"/>
      <x:c r="GG40"/>
      <x:c r="GH40" t="n">
        <x:v>50</x:v>
      </x:c>
      <x:c r="GI40"/>
      <x:c r="GJ40"/>
      <x:c r="GK40"/>
      <x:c r="GL40"/>
      <x:c r="GM40" t="str">
        <x:v>burst</x:v>
      </x:c>
      <x:c r="GN40" t="n">
        <x:v>50</x:v>
      </x:c>
      <x:c r="GO40" t="n">
        <x:v>50</x:v>
      </x:c>
      <x:c r="GP40" s="127" t="b">
        <x:v>1</x:v>
      </x:c>
      <x:c r="GQ40" t="n">
        <x:v>30</x:v>
      </x:c>
      <x:c r="GR40" t="n">
        <x:v>30</x:v>
      </x:c>
      <x:c r="GS40" t="n">
        <x:v>600</x:v>
      </x:c>
      <x:c r="GT40" t="str">
        <x:v>PERF-DR-PERF-M-000001..000050</x:v>
      </x:c>
      <x:c r="GU40" t="str">
        <x:v>PERF-D-000001..PERF-D-000050</x:v>
      </x:c>
      <x:c r="GV40" t="str">
        <x:v>50 unique targets in perf-group-001..050</x:v>
      </x:c>
      <x:c r="GW40" t="str">
        <x:v>50 preserved</x:v>
      </x:c>
      <x:c r="GX40" t="n">
        <x:v>50</x:v>
      </x:c>
      <x:c r="GY40" t="n">
        <x:v>50</x:v>
      </x:c>
      <x:c r="GZ40" t="n">
        <x:v>50</x:v>
      </x:c>
      <x:c r="HA40" t="n">
        <x:v>50</x:v>
      </x:c>
      <x:c r="HB40" t="n">
        <x:v>50</x:v>
      </x:c>
      <x:c r="HC40" t="n">
        <x:v>50</x:v>
      </x:c>
      <x:c r="HD40" t="n">
        <x:v>50</x:v>
      </x:c>
      <x:c r="HE40" t="n">
        <x:v>50</x:v>
      </x:c>
      <x:c r="HF40" t="n">
        <x:v>0</x:v>
      </x:c>
      <x:c r="HG40" t="n">
        <x:v>12800</x:v>
      </x:c>
      <x:c r="HH40" t="n">
        <x:v>12800</x:v>
      </x:c>
      <x:c r="HI40" t="n">
        <x:v>0</x:v>
      </x:c>
      <x:c r="HJ40" t="n">
        <x:v>0</x:v>
      </x:c>
      <x:c r="HK40" t="n">
        <x:v>0</x:v>
      </x:c>
      <x:c r="HL40" t="n">
        <x:v>50</x:v>
      </x:c>
      <x:c r="HM40" t="n">
        <x:v>0</x:v>
      </x:c>
      <x:c r="HN40" s="127" t="b">
        <x:v>1</x:v>
      </x:c>
      <x:c r="HO40"/>
      <x:c r="HP40" s="127" t="b">
        <x:v>1</x:v>
      </x:c>
      <x:c r="HQ40" s="127" t="b">
        <x:v>1</x:v>
      </x:c>
      <x:c r="HR40" s="127" t="b">
        <x:v>1</x:v>
      </x:c>
      <x:c r="HS40" t="n">
        <x:v>479</x:v>
      </x:c>
      <x:c r="HT40"/>
      <x:c r="HU40" t="n">
        <x:v>1851.2582379917149</x:v>
      </x:c>
      <x:c r="HV40"/>
      <x:c r="HW40"/>
      <x:c r="HX40"/>
      <x:c r="HY40" s="127" t="b">
        <x:v>1</x:v>
      </x:c>
      <x:c r="HZ40"/>
      <x:c r="IA40"/>
      <x:c r="IB40"/>
      <x:c r="IC40"/>
      <x:c r="ID40"/>
      <x:c r="IE40"/>
      <x:c r="IF40"/>
      <x:c r="IG40"/>
      <x:c r="IH40"/>
      <x:c r="II40"/>
      <x:c r="IJ40"/>
      <x:c r="IK40"/>
      <x:c r="IL40"/>
      <x:c r="IM40"/>
      <x:c r="IN40"/>
      <x:c r="IO40"/>
      <x:c r="IP40"/>
      <x:c r="IQ40"/>
      <x:c r="IR40"/>
      <x:c r="IS40"/>
      <x:c r="IT40"/>
      <x:c r="IU40"/>
      <x:c r="IV40"/>
      <x:c r="IW40"/>
      <x:c r="IX40"/>
      <x:c r="IY40"/>
      <x:c r="IZ40"/>
      <x:c r="JA40" t="str">
        <x:v>2acf1950-9045-4781-bab2-16b328882371</x:v>
      </x:c>
      <x:c r="JB40" t="str">
        <x:v>b4acb562-5468-4276-b109-220c246065b2</x:v>
      </x:c>
      <x:c r="JC40" t="n">
        <x:v>121.222837</x:v>
      </x:c>
      <x:c r="JD40" t="n">
        <x:v>121.557012</x:v>
      </x:c>
      <x:c r="JE40" t="n">
        <x:v>50</x:v>
      </x:c>
      <x:c r="JF40" t="n">
        <x:v>50</x:v>
      </x:c>
      <x:c r="JG40" t="n">
        <x:v>50</x:v>
      </x:c>
      <x:c r="JH40" t="n">
        <x:v>0</x:v>
      </x:c>
      <x:c r="JI40" t="n">
        <x:v>0</x:v>
      </x:c>
      <x:c r="JJ40" t="n">
        <x:v>0</x:v>
      </x:c>
      <x:c r="JK40" t="n">
        <x:v>0</x:v>
      </x:c>
      <x:c r="JL40" t="n">
        <x:v>0</x:v>
      </x:c>
      <x:c r="JM40" t="n">
        <x:v>0</x:v>
      </x:c>
      <x:c r="JN40" t="n">
        <x:v>50</x:v>
      </x:c>
      <x:c r="JO40" t="n">
        <x:v>50</x:v>
      </x:c>
      <x:c r="JP40" t="n">
        <x:v>1</x:v>
      </x:c>
      <x:c r="JQ40" t="str">
        <x:v>50</x:v>
      </x:c>
      <x:c r="JR40" t="n">
        <x:v>1851.2582379917149</x:v>
      </x:c>
      <x:c r="JS40" t="n">
        <x:v>1851.2582379917149</x:v>
      </x:c>
      <x:c r="JT40" t="n">
        <x:v>1851.2582379917149</x:v>
      </x:c>
      <x:c r="JU40" t="n">
        <x:v>1851.2582379917149</x:v>
      </x:c>
      <x:c r="JV40" t="n">
        <x:v>479</x:v>
      </x:c>
      <x:c r="JW40" t="n">
        <x:v>479</x:v>
      </x:c>
      <x:c r="JX40" t="n">
        <x:v>50</x:v>
      </x:c>
      <x:c r="JY40" t="n">
        <x:v>50</x:v>
      </x:c>
      <x:c r="JZ40" s="127" t="b">
        <x:v>1</x:v>
      </x:c>
      <x:c r="KA40" t="n">
        <x:v>200</x:v>
      </x:c>
      <x:c r="KB40" t="n">
        <x:v>2775850</x:v>
      </x:c>
      <x:c r="KC40" t="n">
        <x:v>0</x:v>
      </x:c>
      <x:c r="KD40" t="n">
        <x:v>0</x:v>
      </x:c>
      <x:c r="KE40" t="n">
        <x:v>0</x:v>
      </x:c>
      <x:c r="KF40" s="127" t="b">
        <x:v>1</x:v>
      </x:c>
      <x:c r="KG40" t="str">
        <x:v>success</x:v>
      </x:c>
      <x:c r="KH40" t="str">
        <x:v>success</x:v>
      </x:c>
      <x:c r="KI40" t="n">
        <x:v>50</x:v>
      </x:c>
      <x:c r="KJ40" t="str">
        <x:v>1×50</x:v>
      </x:c>
      <x:c r="KK40" t="str">
        <x:v>burst</x:v>
      </x:c>
      <x:c r="KL40" t="n">
        <x:v>50</x:v>
      </x:c>
      <x:c r="KM40" s="127" t="b">
        <x:v>1</x:v>
      </x:c>
    </x:row>
    <x:row r="41">
      <x:c r="A41" s="32" t="str">
        <x:v>7b0edb58-fa4f-4fca-9c11-cfda59d5c5c2</x:v>
      </x:c>
      <x:c r="B41" s="32" t="str">
        <x:v>D-008</x:v>
      </x:c>
      <x:c r="C41" s="42" t="n">
        <x:v>46261.781343</x:v>
      </x:c>
      <x:c r="D41" s="32" t="str">
        <x:v>489b7424f5051f7a276dafe8d5f318ccf1368d87</x:v>
      </x:c>
      <x:c r="E41" s="32" t="str">
        <x:v>GLONBW11</x:v>
      </x:c>
      <x:c r="F41" s="32" t="str">
        <x:v>local-filesystem</x:v>
      </x:c>
      <x:c r="G41" s="32" t="str">
        <x:v>3.14.2</x:v>
      </x:c>
      <x:c r="H41" s="32" t="str">
        <x:v>deterministic</x:v>
      </x:c>
      <x:c r="I41" s="32" t="n">
        <x:v>1000</x:v>
      </x:c>
      <x:c r="J41" s="32" t="n">
        <x:v>3</x:v>
      </x:c>
      <x:c r="K41" s="32" t="n">
        <x:v>3.0226031</x:v>
      </x:c>
      <x:c r="L41" s="32" t="n">
        <x:v>37</x:v>
      </x:c>
      <x:c r="M41" s="32" t="n">
        <x:v>5</x:v>
      </x:c>
      <x:c r="N41" s="32" t="n">
        <x:v>10</x:v>
      </x:c>
      <x:c r="O41" s="32" t="n">
        <x:v>913.4943320095772</x:v>
      </x:c>
      <x:c r="P41" s="32" t="n">
        <x:v>1278.9193776028696</x:v>
      </x:c>
      <x:c r="Q41" s="32" t="n">
        <x:v>1494.7737595241053</x:v>
      </x:c>
      <x:c r="R41" s="32" t="n">
        <x:v>1613.2331160042668</x:v>
      </x:c>
      <x:c r="S41" s="32" t="n">
        <x:v>0</x:v>
      </x:c>
      <x:c r="T41" s="43" t="n">
        <x:v>0</x:v>
      </x:c>
      <x:c r="U41" s="32" t="n">
        <x:v>97.51109693164568</x:v>
      </x:c>
      <x:c r="V41" s="32" t="n">
        <x:v>99.9574161411409</x:v>
      </x:c>
      <x:c r="W41" s="32" t="n">
        <x:v>137.5055954391892</x:v>
      </x:c>
      <x:c r="X41" s="32" t="n">
        <x:v>137.828125</x:v>
      </x:c>
      <x:c r="Y41" s="32"/>
      <x:c r="Z41" s="32"/>
      <x:c r="AA41" s="32"/>
      <x:c r="AB41" s="32" t="n">
        <x:v>21310.385898003005</x:v>
      </x:c>
      <x:c r="AC41" s="32" t="n">
        <x:v>0</x:v>
      </x:c>
      <x:c r="AD41" s="32" t="n">
        <x:v>0</x:v>
      </x:c>
      <x:c r="AE41" s="32" t="n">
        <x:v>0</x:v>
      </x:c>
      <x:c r="AF41" s="32" t="n">
        <x:v>0</x:v>
      </x:c>
      <x:c r="AG41" s="32" t="n">
        <x:v>0</x:v>
      </x:c>
      <x:c r="AH41" s="32" t="n">
        <x:v>310.4529060074128</x:v>
      </x:c>
      <x:c r="AI41" s="32" t="str">
        <x:v>PASS</x:v>
      </x:c>
      <x:c r="AJ41" s="32" t="str">
        <x:v>GREEN</x:v>
      </x:c>
      <x:c r="AK41" s="32" t="str">
        <x:v>latest-narrow</x:v>
      </x:c>
      <x:c r="AL41" s="32" t="n">
        <x:v>1</x:v>
      </x:c>
      <x:c r="AM41" s="32" t="n">
        <x:v>1</x:v>
      </x:c>
      <x:c r="AN41" s="32" t="n">
        <x:v>1000</x:v>
      </x:c>
      <x:c r="AO41" s="32" t="n">
        <x:v>1</x:v>
      </x:c>
      <x:c r="AP41" s="32" t="n">
        <x:v>8132</x:v>
      </x:c>
      <x:c r="AQ41" s="32" t="n">
        <x:v>4.5213370030978695</x:v>
      </x:c>
      <x:c r="AR41" s="32" t="n">
        <x:v>5.995774196344429</x:v>
      </x:c>
      <x:c r="AS41" s="32" t="n">
        <x:v>7.834913881379181</x:v>
      </x:c>
      <x:c r="AT41" s="32" t="n">
        <x:v>36</x:v>
      </x:c>
      <x:c r="AU41" s="32" t="str">
        <x:v>28×28 + 8×27</x:v>
      </x:c>
      <x:c r="AV41" s="32" t="n">
        <x:v>0.3890049993060529</x:v>
      </x:c>
      <x:c r="AW41" s="32" t="n">
        <x:v>0.5643143958877772</x:v>
      </x:c>
      <x:c r="AX41" s="32" t="n">
        <x:v>0.5984233587514609</x:v>
      </x:c>
      <x:c r="AY41" t="str">
        <x:v>balanced</x:v>
      </x:c>
      <x:c r="AZ41" s="32" t="str">
        <x:v>PASS</x:v>
      </x:c>
      <x:c r="BA41" s="32" t="n">
        <x:v>1000</x:v>
      </x:c>
      <x:c r="BB41" s="32" t="n">
        <x:v>0</x:v>
      </x:c>
      <x:c r="BC41" s="115" t="b">
        <x:v>1</x:v>
      </x:c>
      <x:c r="BD41" s="32" t="str">
        <x:v>PASS/GREEN. Inverted delivery exact: Decision cursor advances to 12800 with 50 durable pending locators and 0 receipts before requests exist; delayed request commit creates 50 PENDING_APPROVAL while decisions remain pending; next cycle replays exactly 50 APPLIED/STARTED. Fresh decisions=50, pending read_at=200, final pending=0/0/0, WAL 200 records / 2,775,850 bytes, snapshots aligned.</x:v>
      </x:c>
      <x:c r="BE41" s="32" t="n">
        <x:v>0</x:v>
      </x:c>
      <x:c r="BF41" s="32" t="n">
        <x:v>0</x:v>
      </x:c>
      <x:c r="BG41" s="32" t="n">
        <x:v>0</x:v>
      </x:c>
      <x:c r="BH41" s="32" t="n">
        <x:v>0</x:v>
      </x:c>
      <x:c r="BI41" s="32" t="n">
        <x:v>0</x:v>
      </x:c>
      <x:c r="BJ41" s="32" t="n">
        <x:v>1000</x:v>
      </x:c>
      <x:c r="BK41" s="32" t="n">
        <x:v>1000</x:v>
      </x:c>
      <x:c r="BL41" s="32" t="n">
        <x:v>0</x:v>
      </x:c>
      <x:c r="BM41" s="32" t="n">
        <x:v>0</x:v>
      </x:c>
      <x:c r="BN41" t="n">
        <x:v>100</x:v>
      </x:c>
      <x:c r="BO41" t="n">
        <x:v>10</x:v>
      </x:c>
      <x:c r="BP41" t="n">
        <x:v>0</x:v>
      </x:c>
      <x:c r="BQ41" t="n">
        <x:v>100</x:v>
      </x:c>
      <x:c r="BR41"/>
      <x:c r="BS41"/>
      <x:c r="BT41"/>
      <x:c r="BU41"/>
      <x:c r="BV41"/>
      <x:c r="BW41"/>
      <x:c r="BX41"/>
      <x:c r="BY41"/>
      <x:c r="BZ41"/>
      <x:c r="CA41"/>
      <x:c r="CB41"/>
      <x:c r="CC41"/>
      <x:c r="CD41"/>
      <x:c r="CE41" t="n">
        <x:v>1000</x:v>
      </x:c>
      <x:c r="CF41" t="n">
        <x:v>2200</x:v>
      </x:c>
      <x:c r="CG41" t="n">
        <x:v>1000</x:v>
      </x:c>
      <x:c r="CH41" t="n">
        <x:v>0</x:v>
      </x:c>
      <x:c r="CI41" s="127" t="b">
        <x:v>1</x:v>
      </x:c>
      <x:c r="CJ41"/>
      <x:c r="CK41"/>
      <x:c r="CL41"/>
      <x:c r="CM41"/>
      <x:c r="CN41"/>
      <x:c r="CO41"/>
      <x:c r="CP41"/>
      <x:c r="CQ41" t="n">
        <x:v>0</x:v>
      </x:c>
      <x:c r="CR41"/>
      <x:c r="CS41"/>
      <x:c r="CT41"/>
      <x:c r="CU41"/>
      <x:c r="CV41"/>
      <x:c r="CW41"/>
      <x:c r="CX41"/>
      <x:c r="CY41"/>
      <x:c r="CZ41"/>
      <x:c r="DA41"/>
      <x:c r="DB41"/>
      <x:c r="DC41"/>
      <x:c r="DD41"/>
      <x:c r="DE41"/>
      <x:c r="DF41"/>
      <x:c r="DG41"/>
      <x:c r="DH41" t="str">
        <x:v>baseline</x:v>
      </x:c>
      <x:c r="DI41" t="n">
        <x:v>37</x:v>
      </x:c>
      <x:c r="DJ41" t="n">
        <x:v>0</x:v>
      </x:c>
      <x:c r="DK41" t="n">
        <x:v>0</x:v>
      </x:c>
      <x:c r="DL41" t="n">
        <x:v>0</x:v>
      </x:c>
      <x:c r="DM41" t="n">
        <x:v>0</x:v>
      </x:c>
      <x:c r="DN41" t="n">
        <x:v>0</x:v>
      </x:c>
      <x:c r="DO41" t="n">
        <x:v>0</x:v>
      </x:c>
      <x:c r="DP41" t="n">
        <x:v>0</x:v>
      </x:c>
      <x:c r="DQ41" t="str">
        <x:v>C3</x:v>
      </x:c>
      <x:c r="DR41" t="n">
        <x:v>0</x:v>
      </x:c>
      <x:c r="DS41" t="n">
        <x:v>1000</x:v>
      </x:c>
      <x:c r="DT41" t="n">
        <x:v>1000</x:v>
      </x:c>
      <x:c r="DU41"/>
      <x:c r="DV41"/>
      <x:c r="DW41"/>
      <x:c r="DX41" t="n">
        <x:v>1000</x:v>
      </x:c>
      <x:c r="DY41" t="n">
        <x:v>1000</x:v>
      </x:c>
      <x:c r="DZ41" t="n">
        <x:v>0</x:v>
      </x:c>
      <x:c r="EA41" t="n">
        <x:v>0</x:v>
      </x:c>
      <x:c r="EB41"/>
      <x:c r="EC41"/>
      <x:c r="ED41"/>
      <x:c r="EE41"/>
      <x:c r="EF41"/>
      <x:c r="EG41"/>
      <x:c r="EH41"/>
      <x:c r="EI41"/>
      <x:c r="EJ41"/>
      <x:c r="EK41"/>
      <x:c r="EL41"/>
      <x:c r="EM41"/>
      <x:c r="EN41"/>
      <x:c r="EO41"/>
      <x:c r="EP41"/>
      <x:c r="EQ41"/>
      <x:c r="ER41"/>
      <x:c r="ES41"/>
      <x:c r="ET41"/>
      <x:c r="EU41"/>
      <x:c r="EV41"/>
      <x:c r="EW41"/>
      <x:c r="EX41"/>
      <x:c r="EY41"/>
      <x:c r="EZ41"/>
      <x:c r="FA41"/>
      <x:c r="FB41"/>
      <x:c r="FC41"/>
      <x:c r="FD41"/>
      <x:c r="FE41"/>
      <x:c r="FF41" t="n">
        <x:v>30</x:v>
      </x:c>
      <x:c r="FG41" t="str">
        <x:v>PERF-M-000001..PERF-M-000050</x:v>
      </x:c>
      <x:c r="FH41" t="n">
        <x:v>50</x:v>
      </x:c>
      <x:c r="FI41" t="n">
        <x:v>50</x:v>
      </x:c>
      <x:c r="FJ41" t="n">
        <x:v>0</x:v>
      </x:c>
      <x:c r="FK41" t="n">
        <x:v>50</x:v>
      </x:c>
      <x:c r="FL41" t="n">
        <x:v>0</x:v>
      </x:c>
      <x:c r="FM41" t="n">
        <x:v>50</x:v>
      </x:c>
      <x:c r="FN41" t="n">
        <x:v>50</x:v>
      </x:c>
      <x:c r="FO41"/>
      <x:c r="FP41" t="n">
        <x:v>200</x:v>
      </x:c>
      <x:c r="FQ41" t="n">
        <x:v>12800</x:v>
      </x:c>
      <x:c r="FR41" t="n">
        <x:v>0</x:v>
      </x:c>
      <x:c r="FS41" t="n">
        <x:v>50</x:v>
      </x:c>
      <x:c r="FT41"/>
      <x:c r="FU41"/>
      <x:c r="FV41"/>
      <x:c r="FW41" t="n">
        <x:v>0</x:v>
      </x:c>
      <x:c r="FX41" t="n">
        <x:v>50</x:v>
      </x:c>
      <x:c r="FY41" t="n">
        <x:v>0</x:v>
      </x:c>
      <x:c r="FZ41" t="n">
        <x:v>0</x:v>
      </x:c>
      <x:c r="GA41" t="n">
        <x:v>0</x:v>
      </x:c>
      <x:c r="GB41" t="n">
        <x:v>50</x:v>
      </x:c>
      <x:c r="GC41" t="n">
        <x:v>50</x:v>
      </x:c>
      <x:c r="GD41" t="n">
        <x:v>0</x:v>
      </x:c>
      <x:c r="GE41" t="n">
        <x:v>50</x:v>
      </x:c>
      <x:c r="GF41"/>
      <x:c r="GG41" t="str">
        <x:v>50</x:v>
      </x:c>
      <x:c r="GH41"/>
      <x:c r="GI41"/>
      <x:c r="GJ41"/>
      <x:c r="GK41"/>
      <x:c r="GL41"/>
      <x:c r="GM41" t="str">
        <x:v>burst</x:v>
      </x:c>
      <x:c r="GN41" t="n">
        <x:v>50</x:v>
      </x:c>
      <x:c r="GO41" t="n">
        <x:v>50</x:v>
      </x:c>
      <x:c r="GP41" s="127" t="b">
        <x:v>1</x:v>
      </x:c>
      <x:c r="GQ41" t="n">
        <x:v>30</x:v>
      </x:c>
      <x:c r="GR41" t="n">
        <x:v>45</x:v>
      </x:c>
      <x:c r="GS41" t="n">
        <x:v>600</x:v>
      </x:c>
      <x:c r="GT41" t="str">
        <x:v>PERF-DR-PERF-M-000001..000050</x:v>
      </x:c>
      <x:c r="GU41" t="str">
        <x:v>PERF-D-000001..PERF-D-000050</x:v>
      </x:c>
      <x:c r="GV41" t="str">
        <x:v>50 unique targets in perf-group-001..050</x:v>
      </x:c>
      <x:c r="GW41" t="str">
        <x:v>50 preserved</x:v>
      </x:c>
      <x:c r="GX41" t="n">
        <x:v>50</x:v>
      </x:c>
      <x:c r="GY41" t="n">
        <x:v>50</x:v>
      </x:c>
      <x:c r="GZ41" t="n">
        <x:v>50</x:v>
      </x:c>
      <x:c r="HA41" t="n">
        <x:v>50</x:v>
      </x:c>
      <x:c r="HB41" t="n">
        <x:v>50</x:v>
      </x:c>
      <x:c r="HC41" t="n">
        <x:v>50</x:v>
      </x:c>
      <x:c r="HD41" t="n">
        <x:v>50</x:v>
      </x:c>
      <x:c r="HE41" t="n">
        <x:v>50</x:v>
      </x:c>
      <x:c r="HF41" t="n">
        <x:v>0</x:v>
      </x:c>
      <x:c r="HG41" t="n">
        <x:v>12800</x:v>
      </x:c>
      <x:c r="HH41" t="n">
        <x:v>12800</x:v>
      </x:c>
      <x:c r="HI41" t="n">
        <x:v>0</x:v>
      </x:c>
      <x:c r="HJ41" t="n">
        <x:v>0</x:v>
      </x:c>
      <x:c r="HK41" t="n">
        <x:v>0</x:v>
      </x:c>
      <x:c r="HL41" t="n">
        <x:v>50</x:v>
      </x:c>
      <x:c r="HM41" t="n">
        <x:v>50</x:v>
      </x:c>
      <x:c r="HN41" s="127" t="b">
        <x:v>1</x:v>
      </x:c>
      <x:c r="HO41" s="127" t="b">
        <x:v>1</x:v>
      </x:c>
      <x:c r="HP41"/>
      <x:c r="HQ41" s="127" t="b">
        <x:v>0</x:v>
      </x:c>
      <x:c r="HR41" s="127" t="b">
        <x:v>1</x:v>
      </x:c>
      <x:c r="HS41" t="n">
        <x:v>585</x:v>
      </x:c>
      <x:c r="HT41"/>
      <x:c r="HU41" t="n">
        <x:v>21310.385898003005</x:v>
      </x:c>
      <x:c r="HV41"/>
      <x:c r="HW41"/>
      <x:c r="HX41"/>
      <x:c r="HY41" s="127" t="b">
        <x:v>1</x:v>
      </x:c>
      <x:c r="HZ41"/>
      <x:c r="IA41"/>
      <x:c r="IB41"/>
      <x:c r="IC41"/>
      <x:c r="ID41"/>
      <x:c r="IE41"/>
      <x:c r="IF41"/>
      <x:c r="IG41"/>
      <x:c r="IH41"/>
      <x:c r="II41"/>
      <x:c r="IJ41"/>
      <x:c r="IK41"/>
      <x:c r="IL41"/>
      <x:c r="IM41"/>
      <x:c r="IN41"/>
      <x:c r="IO41"/>
      <x:c r="IP41"/>
      <x:c r="IQ41"/>
      <x:c r="IR41"/>
      <x:c r="IS41"/>
      <x:c r="IT41"/>
      <x:c r="IU41"/>
      <x:c r="IV41"/>
      <x:c r="IW41"/>
      <x:c r="IX41"/>
      <x:c r="IY41"/>
      <x:c r="IZ41"/>
      <x:c r="JA41"/>
      <x:c r="JB41"/>
      <x:c r="JC41"/>
      <x:c r="JD41"/>
      <x:c r="JE41"/>
      <x:c r="JF41"/>
      <x:c r="JG41"/>
      <x:c r="JH41" t="n">
        <x:v>0</x:v>
      </x:c>
      <x:c r="JI41" t="n">
        <x:v>0</x:v>
      </x:c>
      <x:c r="JJ41" t="n">
        <x:v>0</x:v>
      </x:c>
      <x:c r="JK41" t="n">
        <x:v>0</x:v>
      </x:c>
      <x:c r="JL41" t="n">
        <x:v>0</x:v>
      </x:c>
      <x:c r="JM41" t="n">
        <x:v>0</x:v>
      </x:c>
      <x:c r="JN41" t="n">
        <x:v>50</x:v>
      </x:c>
      <x:c r="JO41" t="n">
        <x:v>50</x:v>
      </x:c>
      <x:c r="JP41" t="n">
        <x:v>1</x:v>
      </x:c>
      <x:c r="JQ41" t="str">
        <x:v>50</x:v>
      </x:c>
      <x:c r="JR41" t="n">
        <x:v>21310.385898003005</x:v>
      </x:c>
      <x:c r="JS41" t="n">
        <x:v>21310.385898003005</x:v>
      </x:c>
      <x:c r="JT41" t="n">
        <x:v>21310.385898003005</x:v>
      </x:c>
      <x:c r="JU41" t="n">
        <x:v>21310.385898003005</x:v>
      </x:c>
      <x:c r="JV41" t="n">
        <x:v>585</x:v>
      </x:c>
      <x:c r="JW41" t="n">
        <x:v>585</x:v>
      </x:c>
      <x:c r="JX41" t="n">
        <x:v>50</x:v>
      </x:c>
      <x:c r="JY41" t="n">
        <x:v>50</x:v>
      </x:c>
      <x:c r="JZ41" s="127" t="b">
        <x:v>1</x:v>
      </x:c>
      <x:c r="KA41" t="n">
        <x:v>200</x:v>
      </x:c>
      <x:c r="KB41" t="n">
        <x:v>2775850</x:v>
      </x:c>
      <x:c r="KC41" t="n">
        <x:v>0</x:v>
      </x:c>
      <x:c r="KD41" t="n">
        <x:v>0</x:v>
      </x:c>
      <x:c r="KE41" t="n">
        <x:v>0</x:v>
      </x:c>
      <x:c r="KF41" s="127" t="b">
        <x:v>1</x:v>
      </x:c>
      <x:c r="KG41" t="str">
        <x:v>success</x:v>
      </x:c>
      <x:c r="KH41"/>
      <x:c r="KI41" t="n">
        <x:v>50</x:v>
      </x:c>
      <x:c r="KJ41" t="str">
        <x:v>1×50</x:v>
      </x:c>
      <x:c r="KK41" t="str">
        <x:v>burst</x:v>
      </x:c>
      <x:c r="KL41" t="n">
        <x:v>50</x:v>
      </x:c>
      <x:c r="KM41" s="127" t="b">
        <x:v>1</x:v>
      </x:c>
      <x:c r="KN41" t="n">
        <x:v>12800</x:v>
      </x:c>
      <x:c r="KO41" t="n">
        <x:v>50</x:v>
      </x:c>
      <x:c r="KP41" t="n">
        <x:v>0</x:v>
      </x:c>
      <x:c r="KQ41" t="n">
        <x:v>12800</x:v>
      </x:c>
      <x:c r="KR41" t="n">
        <x:v>50</x:v>
      </x:c>
      <x:c r="KS41" t="n">
        <x:v>50</x:v>
      </x:c>
      <x:c r="KT41" t="n">
        <x:v>0</x:v>
      </x:c>
      <x:c r="KU41" t="n">
        <x:v>50</x:v>
      </x:c>
      <x:c r="KV41" t="n">
        <x:v>200</x:v>
      </x:c>
      <x:c r="KW41" t="n">
        <x:v>4</x:v>
      </x:c>
      <x:c r="KX41" t="n">
        <x:v>21310.385898003005</x:v>
      </x:c>
      <x:c r="KY41" s="127" t="b">
        <x:v>1</x:v>
      </x:c>
      <x:c r="KZ41" s="127" t="b">
        <x:v>1</x:v>
      </x:c>
      <x:c r="LA41" s="127" t="b">
        <x:v>1</x:v>
      </x:c>
    </x:row>
    <x:row r="42">
      <x:c r="A42" s="32" t="str">
        <x:v>1cfa0555-b0c9-4674-b249-9dbde1f1d141</x:v>
      </x:c>
      <x:c r="B42" s="32" t="str">
        <x:v>D-009</x:v>
      </x:c>
      <x:c r="C42" s="42" t="n">
        <x:v>46261.80470561192</x:v>
      </x:c>
      <x:c r="D42" s="32" t="str">
        <x:v>489b7424f5051f7a276dafe8d5f318ccf1368d87</x:v>
      </x:c>
      <x:c r="E42" s="32" t="str">
        <x:v>GLONBW11</x:v>
      </x:c>
      <x:c r="F42" s="32" t="str">
        <x:v>local-filesystem</x:v>
      </x:c>
      <x:c r="G42" s="32" t="str">
        <x:v>3.14.2</x:v>
      </x:c>
      <x:c r="H42" s="32" t="str">
        <x:v>deterministic</x:v>
      </x:c>
      <x:c r="I42" s="32" t="n">
        <x:v>1000</x:v>
      </x:c>
      <x:c r="J42" s="32" t="n">
        <x:v>10</x:v>
      </x:c>
      <x:c r="K42" s="32" t="n">
        <x:v>10.0904349</x:v>
      </x:c>
      <x:c r="L42" s="32" t="n">
        <x:v>121</x:v>
      </x:c>
      <x:c r="M42" s="32" t="n">
        <x:v>5</x:v>
      </x:c>
      <x:c r="N42" s="32" t="n">
        <x:v>10</x:v>
      </x:c>
      <x:c r="O42" s="32" t="n">
        <x:v>1049.869394992129</x:v>
      </x:c>
      <x:c r="P42" s="32" t="n">
        <x:v>1106.0737639927538</x:v>
      </x:c>
      <x:c r="Q42" s="32" t="n">
        <x:v>1737.6265310042065</x:v>
      </x:c>
      <x:c r="R42" s="32" t="n">
        <x:v>3707.64169699396</x:v>
      </x:c>
      <x:c r="S42" s="32" t="n">
        <x:v>0</x:v>
      </x:c>
      <x:c r="T42" s="43" t="n">
        <x:v>0</x:v>
      </x:c>
      <x:c r="U42" s="32" t="n">
        <x:v>91.81955123550543</x:v>
      </x:c>
      <x:c r="V42" s="32" t="n">
        <x:v>99.74831245649806</x:v>
      </x:c>
      <x:c r="W42" s="32" t="n">
        <x:v>138.2997804752066</x:v>
      </x:c>
      <x:c r="X42" s="32" t="n">
        <x:v>139.5859375</x:v>
      </x:c>
      <x:c r="Y42" s="32"/>
      <x:c r="Z42" s="32"/>
      <x:c r="AA42" s="32"/>
      <x:c r="AB42" s="32" t="n">
        <x:v>5195.297367545572</x:v>
      </x:c>
      <x:c r="AC42" s="32" t="n">
        <x:v>0</x:v>
      </x:c>
      <x:c r="AD42" s="32" t="n">
        <x:v>0</x:v>
      </x:c>
      <x:c r="AE42" s="32" t="n">
        <x:v>0</x:v>
      </x:c>
      <x:c r="AF42" s="32" t="n">
        <x:v>0</x:v>
      </x:c>
      <x:c r="AG42" s="32" t="n">
        <x:v>0</x:v>
      </x:c>
      <x:c r="AH42" s="32" t="n">
        <x:v>1420.0784800050315</x:v>
      </x:c>
      <x:c r="AI42" s="32" t="str">
        <x:v>PASS</x:v>
      </x:c>
      <x:c r="AJ42" s="32" t="str">
        <x:v>GREEN</x:v>
      </x:c>
      <x:c r="AK42" s="32" t="str">
        <x:v>latest-narrow</x:v>
      </x:c>
      <x:c r="AL42" s="32" t="n">
        <x:v>1</x:v>
      </x:c>
      <x:c r="AM42" s="32" t="n">
        <x:v>1</x:v>
      </x:c>
      <x:c r="AN42" s="32" t="n">
        <x:v>1000</x:v>
      </x:c>
      <x:c r="AO42" s="32" t="n">
        <x:v>1</x:v>
      </x:c>
      <x:c r="AP42" s="32" t="n">
        <x:v>8132</x:v>
      </x:c>
      <x:c r="AQ42" s="32" t="n">
        <x:v>4.250864003552124</x:v>
      </x:c>
      <x:c r="AR42" s="32" t="n">
        <x:v>5.401524002081715</x:v>
      </x:c>
      <x:c r="AS42" s="32" t="n">
        <x:v>6.707478596945293</x:v>
      </x:c>
      <x:c r="AT42" s="32" t="n">
        <x:v>36</x:v>
      </x:c>
      <x:c r="AU42" s="32" t="str">
        <x:v>28×28 + 8×27</x:v>
      </x:c>
      <x:c r="AV42" s="32" t="n">
        <x:v>0.3900419978890568</x:v>
      </x:c>
      <x:c r="AW42" s="32" t="n">
        <x:v>0.4950480069965124</x:v>
      </x:c>
      <x:c r="AX42" s="32" t="n">
        <x:v>0.6003052112646401</x:v>
      </x:c>
      <x:c r="AY42" t="str">
        <x:v>balanced</x:v>
      </x:c>
      <x:c r="AZ42" s="32" t="str">
        <x:v>PASS</x:v>
      </x:c>
      <x:c r="BA42" s="32" t="n">
        <x:v>1000</x:v>
      </x:c>
      <x:c r="BB42" s="32" t="n">
        <x:v>0</x:v>
      </x:c>
      <x:c r="BC42" s="115" t="b">
        <x:v>1</x:v>
      </x:c>
      <x:c r="BD42" s="32" t="str">
        <x:v>PASS/GREEN. Mixed 480 request + 480 decision pipeline converged with 91 mixed receipt cycles; 0 stream pending/read_at, pending-request high-water=30, exact cursors=122880/122880, final pending=0/0/0, remaining=870 s for all pairs; WAL 1250 records / 11,894,761 bytes; 100 chains/snapshots aligned.</x:v>
      </x:c>
      <x:c r="BE42" s="32" t="n">
        <x:v>0</x:v>
      </x:c>
      <x:c r="BF42" s="32" t="n">
        <x:v>0</x:v>
      </x:c>
      <x:c r="BG42" s="32" t="n">
        <x:v>0</x:v>
      </x:c>
      <x:c r="BH42" s="32" t="n">
        <x:v>0</x:v>
      </x:c>
      <x:c r="BI42" s="32" t="n">
        <x:v>0</x:v>
      </x:c>
      <x:c r="BJ42" s="32" t="n">
        <x:v>1000</x:v>
      </x:c>
      <x:c r="BK42" s="32" t="n">
        <x:v>1000</x:v>
      </x:c>
      <x:c r="BL42" s="32" t="n">
        <x:v>0</x:v>
      </x:c>
      <x:c r="BM42" s="32" t="n">
        <x:v>0</x:v>
      </x:c>
      <x:c r="BN42" t="n">
        <x:v>100</x:v>
      </x:c>
      <x:c r="BO42" t="n">
        <x:v>10</x:v>
      </x:c>
      <x:c r="BP42" t="n">
        <x:v>0</x:v>
      </x:c>
      <x:c r="BQ42" t="n">
        <x:v>100</x:v>
      </x:c>
      <x:c r="BR42"/>
      <x:c r="BS42"/>
      <x:c r="BT42"/>
      <x:c r="BU42"/>
      <x:c r="BV42"/>
      <x:c r="BW42"/>
      <x:c r="BX42"/>
      <x:c r="BY42"/>
      <x:c r="BZ42"/>
      <x:c r="CA42"/>
      <x:c r="CB42"/>
      <x:c r="CC42"/>
      <x:c r="CD42"/>
      <x:c r="CE42" t="n">
        <x:v>1000</x:v>
      </x:c>
      <x:c r="CF42" t="n">
        <x:v>3920</x:v>
      </x:c>
      <x:c r="CG42" t="n">
        <x:v>3000</x:v>
      </x:c>
      <x:c r="CH42" t="n">
        <x:v>190</x:v>
      </x:c>
      <x:c r="CI42" s="127" t="b">
        <x:v>1</x:v>
      </x:c>
      <x:c r="CJ42"/>
      <x:c r="CK42"/>
      <x:c r="CL42"/>
      <x:c r="CM42"/>
      <x:c r="CN42"/>
      <x:c r="CO42"/>
      <x:c r="CP42"/>
      <x:c r="CQ42" t="n">
        <x:v>0</x:v>
      </x:c>
      <x:c r="CR42"/>
      <x:c r="CS42"/>
      <x:c r="CT42"/>
      <x:c r="CU42"/>
      <x:c r="CV42"/>
      <x:c r="CW42"/>
      <x:c r="CX42"/>
      <x:c r="CY42"/>
      <x:c r="CZ42"/>
      <x:c r="DA42"/>
      <x:c r="DB42"/>
      <x:c r="DC42"/>
      <x:c r="DD42"/>
      <x:c r="DE42"/>
      <x:c r="DF42"/>
      <x:c r="DG42"/>
      <x:c r="DH42" t="str">
        <x:v>baseline</x:v>
      </x:c>
      <x:c r="DI42" t="n">
        <x:v>121</x:v>
      </x:c>
      <x:c r="DJ42" t="n">
        <x:v>0</x:v>
      </x:c>
      <x:c r="DK42" t="n">
        <x:v>0</x:v>
      </x:c>
      <x:c r="DL42" t="n">
        <x:v>0</x:v>
      </x:c>
      <x:c r="DM42" t="n">
        <x:v>0</x:v>
      </x:c>
      <x:c r="DN42" t="n">
        <x:v>0</x:v>
      </x:c>
      <x:c r="DO42" t="n">
        <x:v>0</x:v>
      </x:c>
      <x:c r="DP42" t="n">
        <x:v>0</x:v>
      </x:c>
      <x:c r="DQ42" t="str">
        <x:v>C3</x:v>
      </x:c>
      <x:c r="DR42" t="n">
        <x:v>0</x:v>
      </x:c>
      <x:c r="DS42" t="n">
        <x:v>1000</x:v>
      </x:c>
      <x:c r="DT42" t="n">
        <x:v>1000</x:v>
      </x:c>
      <x:c r="DU42"/>
      <x:c r="DV42"/>
      <x:c r="DW42"/>
      <x:c r="DX42" t="n">
        <x:v>1000</x:v>
      </x:c>
      <x:c r="DY42" t="n">
        <x:v>1000</x:v>
      </x:c>
      <x:c r="DZ42" t="n">
        <x:v>0</x:v>
      </x:c>
      <x:c r="EA42" t="n">
        <x:v>0</x:v>
      </x:c>
      <x:c r="EB42"/>
      <x:c r="EC42"/>
      <x:c r="ED42"/>
      <x:c r="EE42"/>
      <x:c r="EF42"/>
      <x:c r="EG42"/>
      <x:c r="EH42"/>
      <x:c r="EI42"/>
      <x:c r="EJ42"/>
      <x:c r="EK42"/>
      <x:c r="EL42"/>
      <x:c r="EM42"/>
      <x:c r="EN42"/>
      <x:c r="EO42"/>
      <x:c r="EP42"/>
      <x:c r="EQ42"/>
      <x:c r="ER42"/>
      <x:c r="ES42"/>
      <x:c r="ET42"/>
      <x:c r="EU42"/>
      <x:c r="EV42"/>
      <x:c r="EW42"/>
      <x:c r="EX42"/>
      <x:c r="EY42"/>
      <x:c r="EZ42"/>
      <x:c r="FA42"/>
      <x:c r="FB42"/>
      <x:c r="FC42"/>
      <x:c r="FD42"/>
      <x:c r="FE42"/>
      <x:c r="FF42" t="n">
        <x:v>30</x:v>
      </x:c>
      <x:c r="FG42" t="str">
        <x:v>PERF-M-000001..PERF-M-000480</x:v>
      </x:c>
      <x:c r="FH42" t="n">
        <x:v>480</x:v>
      </x:c>
      <x:c r="FI42" t="n">
        <x:v>480</x:v>
      </x:c>
      <x:c r="FJ42" t="n">
        <x:v>0</x:v>
      </x:c>
      <x:c r="FK42" t="n">
        <x:v>480</x:v>
      </x:c>
      <x:c r="FL42" t="n">
        <x:v>0</x:v>
      </x:c>
      <x:c r="FM42" t="n">
        <x:v>480</x:v>
      </x:c>
      <x:c r="FN42" t="n">
        <x:v>480</x:v>
      </x:c>
      <x:c r="FO42"/>
      <x:c r="FP42" t="n">
        <x:v>1250</x:v>
      </x:c>
      <x:c r="FQ42" t="n">
        <x:v>122880</x:v>
      </x:c>
      <x:c r="FR42" t="n">
        <x:v>0</x:v>
      </x:c>
      <x:c r="FS42" t="n">
        <x:v>480</x:v>
      </x:c>
      <x:c r="FT42"/>
      <x:c r="FU42"/>
      <x:c r="FV42"/>
      <x:c r="FW42" t="n">
        <x:v>0</x:v>
      </x:c>
      <x:c r="FX42" t="n">
        <x:v>480</x:v>
      </x:c>
      <x:c r="FY42" t="n">
        <x:v>1</x:v>
      </x:c>
      <x:c r="FZ42" t="n">
        <x:v>0</x:v>
      </x:c>
      <x:c r="GA42" t="n">
        <x:v>0</x:v>
      </x:c>
      <x:c r="GB42" t="n">
        <x:v>480</x:v>
      </x:c>
      <x:c r="GC42" t="n">
        <x:v>480</x:v>
      </x:c>
      <x:c r="GD42" t="n">
        <x:v>0</x:v>
      </x:c>
      <x:c r="GE42" t="n">
        <x:v>5</x:v>
      </x:c>
      <x:c r="GF42"/>
      <x:c r="GG42" t="str">
        <x:v>1×1, 95×5, 1×4</x:v>
      </x:c>
      <x:c r="GH42"/>
      <x:c r="GI42" t="n">
        <x:v>3137.54730400251</x:v>
      </x:c>
      <x:c r="GJ42" t="n">
        <x:v>5190.443194654654</x:v>
      </x:c>
      <x:c r="GK42" t="n">
        <x:v>5232.46240012304</x:v>
      </x:c>
      <x:c r="GL42" t="n">
        <x:v>5870.521108998219</x:v>
      </x:c>
      <x:c r="GM42" t="str">
        <x:v>sustained</x:v>
      </x:c>
      <x:c r="GN42" t="n">
        <x:v>1</x:v>
      </x:c>
      <x:c r="GO42"/>
      <x:c r="GP42"/>
      <x:c r="GQ42" t="n">
        <x:v>30</x:v>
      </x:c>
      <x:c r="GR42" t="n">
        <x:v>60</x:v>
      </x:c>
      <x:c r="GS42" t="n">
        <x:v>900</x:v>
      </x:c>
      <x:c r="GT42" t="str">
        <x:v>PERF-DR-PERF-M-000001..000480</x:v>
      </x:c>
      <x:c r="GU42" t="str">
        <x:v>PERF-D-000001..PERF-D-000480</x:v>
      </x:c>
      <x:c r="GV42" t="str">
        <x:v>480 unique group-first targets</x:v>
      </x:c>
      <x:c r="GW42" t="str">
        <x:v>480 preserved</x:v>
      </x:c>
      <x:c r="GX42" t="n">
        <x:v>480</x:v>
      </x:c>
      <x:c r="GY42" t="n">
        <x:v>480</x:v>
      </x:c>
      <x:c r="GZ42" t="n">
        <x:v>480</x:v>
      </x:c>
      <x:c r="HA42" t="n">
        <x:v>480</x:v>
      </x:c>
      <x:c r="HB42" t="n">
        <x:v>480</x:v>
      </x:c>
      <x:c r="HC42" t="n">
        <x:v>480</x:v>
      </x:c>
      <x:c r="HD42" t="n">
        <x:v>480</x:v>
      </x:c>
      <x:c r="HE42" t="n">
        <x:v>480</x:v>
      </x:c>
      <x:c r="HF42" t="n">
        <x:v>0</x:v>
      </x:c>
      <x:c r="HG42" t="n">
        <x:v>122880</x:v>
      </x:c>
      <x:c r="HH42" t="n">
        <x:v>122880</x:v>
      </x:c>
      <x:c r="HI42" t="n">
        <x:v>0</x:v>
      </x:c>
      <x:c r="HJ42" t="n">
        <x:v>0</x:v>
      </x:c>
      <x:c r="HK42" t="n">
        <x:v>0</x:v>
      </x:c>
      <x:c r="HL42" t="n">
        <x:v>30</x:v>
      </x:c>
      <x:c r="HM42" t="n">
        <x:v>0</x:v>
      </x:c>
      <x:c r="HN42" s="127" t="b">
        <x:v>1</x:v>
      </x:c>
      <x:c r="HO42"/>
      <x:c r="HP42"/>
      <x:c r="HQ42"/>
      <x:c r="HR42" s="127" t="b">
        <x:v>1</x:v>
      </x:c>
      <x:c r="HS42" t="n">
        <x:v>870</x:v>
      </x:c>
      <x:c r="HT42"/>
      <x:c r="HU42"/>
      <x:c r="HV42"/>
      <x:c r="HW42"/>
      <x:c r="HX42"/>
      <x:c r="HY42" s="127" t="b">
        <x:v>1</x:v>
      </x:c>
      <x:c r="HZ42"/>
      <x:c r="IA42"/>
      <x:c r="IB42"/>
      <x:c r="IC42"/>
      <x:c r="ID42"/>
      <x:c r="IE42"/>
      <x:c r="IF42"/>
      <x:c r="IG42"/>
      <x:c r="IH42"/>
      <x:c r="II42"/>
      <x:c r="IJ42"/>
      <x:c r="IK42"/>
      <x:c r="IL42"/>
      <x:c r="IM42"/>
      <x:c r="IN42"/>
      <x:c r="IO42"/>
      <x:c r="IP42"/>
      <x:c r="IQ42"/>
      <x:c r="IR42"/>
      <x:c r="IS42"/>
      <x:c r="IT42"/>
      <x:c r="IU42"/>
      <x:c r="IV42"/>
      <x:c r="IW42"/>
      <x:c r="IX42"/>
      <x:c r="IY42"/>
      <x:c r="IZ42"/>
      <x:c r="JA42"/>
      <x:c r="JB42"/>
      <x:c r="JC42"/>
      <x:c r="JD42"/>
      <x:c r="JE42"/>
      <x:c r="JF42"/>
      <x:c r="JG42"/>
      <x:c r="JH42" t="n">
        <x:v>0</x:v>
      </x:c>
      <x:c r="JI42" t="n">
        <x:v>0</x:v>
      </x:c>
      <x:c r="JJ42" t="n">
        <x:v>0</x:v>
      </x:c>
      <x:c r="JK42" t="n">
        <x:v>0</x:v>
      </x:c>
      <x:c r="JL42" t="n">
        <x:v>0</x:v>
      </x:c>
      <x:c r="JM42" t="n">
        <x:v>0</x:v>
      </x:c>
      <x:c r="JN42" t="n">
        <x:v>5</x:v>
      </x:c>
      <x:c r="JO42" t="n">
        <x:v>5</x:v>
      </x:c>
      <x:c r="JP42" t="n">
        <x:v>97</x:v>
      </x:c>
      <x:c r="JQ42" t="str">
        <x:v>1×1, 95×5, 1×4</x:v>
      </x:c>
      <x:c r="JR42" t="n">
        <x:v>3144.0736510048737</x:v>
      </x:c>
      <x:c r="JS42" t="n">
        <x:v>5195.297367545572</x:v>
      </x:c>
      <x:c r="JT42" t="n">
        <x:v>5232.46240012304</x:v>
      </x:c>
      <x:c r="JU42" t="n">
        <x:v>5870.521108998219</x:v>
      </x:c>
      <x:c r="JV42" t="n">
        <x:v>870</x:v>
      </x:c>
      <x:c r="JW42" t="n">
        <x:v>870</x:v>
      </x:c>
      <x:c r="JX42" t="n">
        <x:v>480</x:v>
      </x:c>
      <x:c r="JY42" t="n">
        <x:v>480</x:v>
      </x:c>
      <x:c r="JZ42" s="127" t="b">
        <x:v>1</x:v>
      </x:c>
      <x:c r="KA42" t="n">
        <x:v>1250</x:v>
      </x:c>
      <x:c r="KB42" t="n">
        <x:v>11894761</x:v>
      </x:c>
      <x:c r="KC42" t="n">
        <x:v>0</x:v>
      </x:c>
      <x:c r="KD42" t="n">
        <x:v>0</x:v>
      </x:c>
      <x:c r="KE42" t="n">
        <x:v>0</x:v>
      </x:c>
      <x:c r="KF42" s="127" t="b">
        <x:v>1</x:v>
      </x:c>
      <x:c r="KG42"/>
      <x:c r="KH42"/>
      <x:c r="KI42" t="n">
        <x:v>480</x:v>
      </x:c>
      <x:c r="KJ42" t="str">
        <x:v>1×1 + 95×5 + 1×4</x:v>
      </x:c>
      <x:c r="KK42" t="str">
        <x:v>sustained</x:v>
      </x:c>
      <x:c r="KL42"/>
      <x:c r="KM42"/>
      <x:c r="KN42"/>
      <x:c r="KO42"/>
      <x:c r="KP42"/>
      <x:c r="KQ42"/>
      <x:c r="KR42"/>
      <x:c r="KS42"/>
      <x:c r="KT42"/>
      <x:c r="KU42"/>
      <x:c r="KV42"/>
      <x:c r="KW42"/>
      <x:c r="KX42"/>
      <x:c r="KY42"/>
      <x:c r="KZ42"/>
      <x:c r="LA42"/>
      <x:c r="LB42" t="n">
        <x:v>3137.54730400251</x:v>
      </x:c>
      <x:c r="LC42" t="n">
        <x:v>5190.443194654654</x:v>
      </x:c>
      <x:c r="LD42" t="n">
        <x:v>5232.46240012304</x:v>
      </x:c>
      <x:c r="LE42" t="n">
        <x:v>5870.521108998219</x:v>
      </x:c>
      <x:c r="LF42" t="str">
        <x:v>1×1 + 95×5 + 1×4</x:v>
      </x:c>
      <x:c r="LG42" t="str">
        <x:v>1×1 + 95×5 + 1×4</x:v>
      </x:c>
      <x:c r="LH42" t="n">
        <x:v>91</x:v>
      </x:c>
      <x:c r="LI42" t="n">
        <x:v>0</x:v>
      </x:c>
      <x:c r="LJ42" t="n">
        <x:v>0</x:v>
      </x:c>
      <x:c r="LK42" t="n">
        <x:v>30</x:v>
      </x:c>
      <x:c r="LL42" t="n">
        <x:v>0</x:v>
      </x:c>
      <x:c r="LM42" t="n">
        <x:v>0</x:v>
      </x:c>
      <x:c r="LN42" t="n">
        <x:v>480</x:v>
      </x:c>
      <x:c r="LO42" t="n">
        <x:v>480</x:v>
      </x:c>
      <x:c r="LP42" t="n">
        <x:v>1063.17</x:v>
      </x:c>
      <x:c r="LQ42" t="n">
        <x:v>1101.77</x:v>
      </x:c>
      <x:c r="LR42" t="n">
        <x:v>1188.01</x:v>
      </x:c>
      <x:c r="LS42" t="n">
        <x:v>1783.24</x:v>
      </x:c>
    </x:row>
    <x:row r="43">
      <x:c r="A43" s="32" t="str">
        <x:v>550948d8-3846-4cce-9f7b-29ed40bef027</x:v>
      </x:c>
      <x:c r="B43" s="32" t="str">
        <x:v>D-010</x:v>
      </x:c>
      <x:c r="C43" s="42" t="n">
        <x:v>46261.8564</x:v>
      </x:c>
      <x:c r="D43" s="32" t="str">
        <x:v>489b7424f5051f7a276dafe8d5f318ccf1368d87</x:v>
      </x:c>
      <x:c r="E43" s="32" t="str">
        <x:v>GLONBW11</x:v>
      </x:c>
      <x:c r="F43" s="32" t="str">
        <x:v>local-filesystem</x:v>
      </x:c>
      <x:c r="G43" s="32" t="str">
        <x:v>3.14.2</x:v>
      </x:c>
      <x:c r="H43" s="32" t="str">
        <x:v>deterministic</x:v>
      </x:c>
      <x:c r="I43" s="32" t="n">
        <x:v>1000</x:v>
      </x:c>
      <x:c r="J43" s="32" t="n">
        <x:v>3</x:v>
      </x:c>
      <x:c r="K43" s="32" t="n">
        <x:v>3.040438</x:v>
      </x:c>
      <x:c r="L43" s="32" t="n">
        <x:v>38</x:v>
      </x:c>
      <x:c r="M43" s="32" t="n">
        <x:v>5</x:v>
      </x:c>
      <x:c r="N43" s="32" t="n">
        <x:v>10</x:v>
      </x:c>
      <x:c r="O43" s="32" t="n">
        <x:v>824.8077650059713</x:v>
      </x:c>
      <x:c r="P43" s="32" t="n">
        <x:v>1601.4660848544734</x:v>
      </x:c>
      <x:c r="Q43" s="32" t="n">
        <x:v>1748.3754675442472</x:v>
      </x:c>
      <x:c r="R43" s="32" t="n">
        <x:v>1774.9305739998817</x:v>
      </x:c>
      <x:c r="S43" s="32" t="n">
        <x:v>0</x:v>
      </x:c>
      <x:c r="T43" s="43" t="n">
        <x:v>0</x:v>
      </x:c>
      <x:c r="U43" s="32" t="n">
        <x:v>95.02286449317245</x:v>
      </x:c>
      <x:c r="V43" s="32" t="n">
        <x:v>100.1059333225341</x:v>
      </x:c>
      <x:c r="W43" s="32" t="n">
        <x:v>139.21170847039474</x:v>
      </x:c>
      <x:c r="X43" s="32" t="n">
        <x:v>139.55859375</x:v>
      </x:c>
      <x:c r="Y43" s="32"/>
      <x:c r="Z43" s="32"/>
      <x:c r="AA43" s="32"/>
      <x:c r="AB43" s="32" t="n">
        <x:v>2696.0329370049294</x:v>
      </x:c>
      <x:c r="AC43" s="32" t="n">
        <x:v>0</x:v>
      </x:c>
      <x:c r="AD43" s="32" t="n">
        <x:v>0</x:v>
      </x:c>
      <x:c r="AE43" s="32" t="n">
        <x:v>0</x:v>
      </x:c>
      <x:c r="AF43" s="32" t="n">
        <x:v>0</x:v>
      </x:c>
      <x:c r="AG43" s="32" t="n">
        <x:v>0</x:v>
      </x:c>
      <x:c r="AH43" s="32" t="n">
        <x:v>473.1305110035464</x:v>
      </x:c>
      <x:c r="AI43" s="32" t="str">
        <x:v>NOT ADJUDICATED</x:v>
      </x:c>
      <x:c r="AJ43" s="32" t="str">
        <x:v>GREEN</x:v>
      </x:c>
      <x:c r="AK43" s="32" t="str">
        <x:v>latest-narrow</x:v>
      </x:c>
      <x:c r="AL43" s="32" t="n">
        <x:v>1</x:v>
      </x:c>
      <x:c r="AM43" s="32" t="n">
        <x:v>1</x:v>
      </x:c>
      <x:c r="AN43" s="32" t="n">
        <x:v>1000</x:v>
      </x:c>
      <x:c r="AO43" s="32" t="n">
        <x:v>1</x:v>
      </x:c>
      <x:c r="AP43" s="32" t="n">
        <x:v>8132</x:v>
      </x:c>
      <x:c r="AQ43" s="32" t="n">
        <x:v>4.342575994087383</x:v>
      </x:c>
      <x:c r="AR43" s="32" t="n">
        <x:v>6.532271203468555</x:v>
      </x:c>
      <x:c r="AS43" s="32" t="n">
        <x:v>6.942354712518863</x:v>
      </x:c>
      <x:c r="AT43" s="32" t="n">
        <x:v>36</x:v>
      </x:c>
      <x:c r="AU43" s="32" t="str">
        <x:v>28×28 + 8×27</x:v>
      </x:c>
      <x:c r="AV43" s="32" t="n">
        <x:v>0.40421501034870744</x:v>
      </x:c>
      <x:c r="AW43" s="32" t="n">
        <x:v>0.5260234058368952</x:v>
      </x:c>
      <x:c r="AX43" s="32" t="n">
        <x:v>0.5783744377549738</x:v>
      </x:c>
      <x:c r="AY43" t="str">
        <x:v>balanced</x:v>
      </x:c>
      <x:c r="AZ43" s="32" t="str">
        <x:v>FAIL</x:v>
      </x:c>
      <x:c r="BA43" s="32" t="n">
        <x:v>900</x:v>
      </x:c>
      <x:c r="BB43" s="32" t="n">
        <x:v>100</x:v>
      </x:c>
      <x:c r="BC43" s="115" t="b">
        <x:v>1</x:v>
      </x:c>
      <x:c r="BD43" s="32" t="str">
        <x:v>NOT CLOSED. Independent durable audit validates product behavior: 100 PENDING_APPROVAL, 100 CLOSED/configuration_removed, 100 ManagementEffect CLEARED, 100 STALE_TARGET, 0 APPLIED/DeactivationEffect, exact cursors and pending=0, WAL=400 and durable==materialized. Raw harness FAIL is false negative caused by closure_reason case assumption and nonexistent journey discriminator. Rerun required after 0.1.6.</x:v>
      </x:c>
      <x:c r="BE43" s="32"/>
      <x:c r="BF43" s="32"/>
      <x:c r="BG43" s="32"/>
      <x:c r="BH43" s="32"/>
      <x:c r="BI43" s="32"/>
      <x:c r="BJ43" s="32" t="n">
        <x:v>1000</x:v>
      </x:c>
      <x:c r="BK43" s="32" t="n">
        <x:v>1000</x:v>
      </x:c>
      <x:c r="BL43" s="32"/>
      <x:c r="BM43" s="32"/>
      <x:c r="BN43" t="n">
        <x:v>100</x:v>
      </x:c>
      <x:c r="BO43" t="n">
        <x:v>10</x:v>
      </x:c>
      <x:c r="BP43"/>
      <x:c r="BQ43" t="n">
        <x:v>100</x:v>
      </x:c>
      <x:c r="BR43"/>
      <x:c r="BS43"/>
      <x:c r="BT43"/>
      <x:c r="BU43"/>
      <x:c r="BV43"/>
      <x:c r="BW43"/>
      <x:c r="BX43"/>
      <x:c r="BY43"/>
      <x:c r="BZ43"/>
      <x:c r="CA43"/>
      <x:c r="CB43"/>
      <x:c r="CC43"/>
      <x:c r="CD43"/>
      <x:c r="CE43"/>
      <x:c r="CF43"/>
      <x:c r="CG43"/>
      <x:c r="CH43"/>
      <x:c r="CI43" s="127" t="b">
        <x:v>1</x:v>
      </x:c>
      <x:c r="CJ43"/>
      <x:c r="CK43"/>
      <x:c r="CL43"/>
      <x:c r="CM43"/>
      <x:c r="CN43"/>
      <x:c r="CO43"/>
      <x:c r="CP43"/>
      <x:c r="CQ43" t="n">
        <x:v>0</x:v>
      </x:c>
      <x:c r="CR43"/>
      <x:c r="CS43"/>
      <x:c r="CT43"/>
      <x:c r="CU43"/>
      <x:c r="CV43"/>
      <x:c r="CW43"/>
      <x:c r="CX43"/>
      <x:c r="CY43"/>
      <x:c r="CZ43"/>
      <x:c r="DA43"/>
      <x:c r="DB43"/>
      <x:c r="DC43"/>
      <x:c r="DD43"/>
      <x:c r="DE43"/>
      <x:c r="DF43"/>
      <x:c r="DG43"/>
      <x:c r="DH43" t="str">
        <x:v>baseline</x:v>
      </x:c>
      <x:c r="DI43" t="n">
        <x:v>38</x:v>
      </x:c>
      <x:c r="DJ43"/>
      <x:c r="DK43"/>
      <x:c r="DL43"/>
      <x:c r="DM43"/>
      <x:c r="DN43"/>
      <x:c r="DO43"/>
      <x:c r="DP43"/>
      <x:c r="DQ43" t="str">
        <x:v>C3</x:v>
      </x:c>
      <x:c r="DR43"/>
      <x:c r="DS43"/>
      <x:c r="DT43"/>
      <x:c r="DU43"/>
      <x:c r="DV43"/>
      <x:c r="DW43"/>
      <x:c r="DX43"/>
      <x:c r="DY43"/>
      <x:c r="DZ43"/>
      <x:c r="EA43"/>
      <x:c r="EB43"/>
      <x:c r="EC43"/>
      <x:c r="ED43"/>
      <x:c r="EE43"/>
      <x:c r="EF43"/>
      <x:c r="EG43"/>
      <x:c r="EH43"/>
      <x:c r="EI43"/>
      <x:c r="EJ43"/>
      <x:c r="EK43"/>
      <x:c r="EL43"/>
      <x:c r="EM43"/>
      <x:c r="EN43"/>
      <x:c r="EO43"/>
      <x:c r="EP43"/>
      <x:c r="EQ43"/>
      <x:c r="ER43"/>
      <x:c r="ES43"/>
      <x:c r="ET43"/>
      <x:c r="EU43"/>
      <x:c r="EV43"/>
      <x:c r="EW43"/>
      <x:c r="EX43"/>
      <x:c r="EY43"/>
      <x:c r="EZ43"/>
      <x:c r="FA43"/>
      <x:c r="FB43"/>
      <x:c r="FC43"/>
      <x:c r="FD43"/>
      <x:c r="FE43"/>
      <x:c r="FF43" t="n">
        <x:v>30</x:v>
      </x:c>
      <x:c r="FG43" t="str">
        <x:v>PERF-M-000001..PERF-M-000100</x:v>
      </x:c>
      <x:c r="FH43" t="n">
        <x:v>100</x:v>
      </x:c>
      <x:c r="FI43" t="n">
        <x:v>100</x:v>
      </x:c>
      <x:c r="FJ43"/>
      <x:c r="FK43" t="n">
        <x:v>100</x:v>
      </x:c>
      <x:c r="FL43" t="n">
        <x:v>100</x:v>
      </x:c>
      <x:c r="FM43" t="n">
        <x:v>100</x:v>
      </x:c>
      <x:c r="FN43" t="n">
        <x:v>100</x:v>
      </x:c>
      <x:c r="FO43"/>
      <x:c r="FP43" t="n">
        <x:v>400</x:v>
      </x:c>
      <x:c r="FQ43" t="n">
        <x:v>25600</x:v>
      </x:c>
      <x:c r="FR43" t="n">
        <x:v>0</x:v>
      </x:c>
      <x:c r="FS43"/>
      <x:c r="FT43"/>
      <x:c r="FU43"/>
      <x:c r="FV43"/>
      <x:c r="FW43"/>
      <x:c r="FX43" t="n">
        <x:v>100</x:v>
      </x:c>
      <x:c r="FY43" t="n">
        <x:v>0</x:v>
      </x:c>
      <x:c r="FZ43" t="n">
        <x:v>0</x:v>
      </x:c>
      <x:c r="GA43" t="n">
        <x:v>0</x:v>
      </x:c>
      <x:c r="GB43" t="n">
        <x:v>100</x:v>
      </x:c>
      <x:c r="GC43" t="n">
        <x:v>100</x:v>
      </x:c>
      <x:c r="GD43" t="n">
        <x:v>0</x:v>
      </x:c>
      <x:c r="GE43" t="n">
        <x:v>100</x:v>
      </x:c>
      <x:c r="GF43"/>
      <x:c r="GG43" t="str">
        <x:v>100</x:v>
      </x:c>
      <x:c r="GH43"/>
      <x:c r="GI43" t="n">
        <x:v>1826.3841970037902</x:v>
      </x:c>
      <x:c r="GJ43" t="n">
        <x:v>1826.3841970037902</x:v>
      </x:c>
      <x:c r="GK43" t="n">
        <x:v>1826.3841970037902</x:v>
      </x:c>
      <x:c r="GL43" t="n">
        <x:v>1826.3841970037902</x:v>
      </x:c>
      <x:c r="GM43" t="str">
        <x:v>burst</x:v>
      </x:c>
      <x:c r="GN43" t="n">
        <x:v>100</x:v>
      </x:c>
      <x:c r="GO43"/>
      <x:c r="GP43"/>
      <x:c r="GQ43" t="n">
        <x:v>30</x:v>
      </x:c>
      <x:c r="GR43" t="n">
        <x:v>90</x:v>
      </x:c>
      <x:c r="GS43" t="n">
        <x:v>600</x:v>
      </x:c>
      <x:c r="GT43" t="str">
        <x:v>PERF-DR-PERF-M-000001..000100</x:v>
      </x:c>
      <x:c r="GU43" t="str">
        <x:v>PERF-D-000001..PERF-D-000100</x:v>
      </x:c>
      <x:c r="GV43" t="str">
        <x:v>100 unique targets, one per perf-group-001..100</x:v>
      </x:c>
      <x:c r="GW43" t="str">
        <x:v>100 preserved original occurrences</x:v>
      </x:c>
      <x:c r="GX43" t="n">
        <x:v>100</x:v>
      </x:c>
      <x:c r="GY43" t="n">
        <x:v>100</x:v>
      </x:c>
      <x:c r="GZ43" t="n">
        <x:v>100</x:v>
      </x:c>
      <x:c r="HA43" t="n">
        <x:v>100</x:v>
      </x:c>
      <x:c r="HB43" t="n">
        <x:v>100</x:v>
      </x:c>
      <x:c r="HC43" t="n">
        <x:v>0</x:v>
      </x:c>
      <x:c r="HD43" t="n">
        <x:v>100</x:v>
      </x:c>
      <x:c r="HE43" t="n">
        <x:v>0</x:v>
      </x:c>
      <x:c r="HF43" t="n">
        <x:v>0</x:v>
      </x:c>
      <x:c r="HG43" t="n">
        <x:v>25600</x:v>
      </x:c>
      <x:c r="HH43" t="n">
        <x:v>25600</x:v>
      </x:c>
      <x:c r="HI43" t="n">
        <x:v>0</x:v>
      </x:c>
      <x:c r="HJ43" t="n">
        <x:v>0</x:v>
      </x:c>
      <x:c r="HK43" t="n">
        <x:v>0</x:v>
      </x:c>
      <x:c r="HL43" t="n">
        <x:v>100</x:v>
      </x:c>
      <x:c r="HM43" t="n">
        <x:v>0</x:v>
      </x:c>
      <x:c r="HN43" s="127" t="b">
        <x:v>1</x:v>
      </x:c>
      <x:c r="HO43"/>
      <x:c r="HP43"/>
      <x:c r="HQ43"/>
      <x:c r="HR43" s="127" t="b">
        <x:v>1</x:v>
      </x:c>
      <x:c r="HS43" t="n">
        <x:v>540</x:v>
      </x:c>
      <x:c r="HT43"/>
      <x:c r="HU43"/>
      <x:c r="HV43"/>
      <x:c r="HW43"/>
      <x:c r="HX43"/>
      <x:c r="HY43"/>
      <x:c r="HZ43"/>
      <x:c r="IA43"/>
      <x:c r="IB43"/>
      <x:c r="IC43"/>
      <x:c r="ID43"/>
      <x:c r="IE43"/>
      <x:c r="IF43"/>
      <x:c r="IG43"/>
      <x:c r="IH43"/>
      <x:c r="II43"/>
      <x:c r="IJ43"/>
      <x:c r="IK43"/>
      <x:c r="IL43"/>
      <x:c r="IM43"/>
      <x:c r="IN43"/>
      <x:c r="IO43"/>
      <x:c r="IP43"/>
      <x:c r="IQ43"/>
      <x:c r="IR43"/>
      <x:c r="IS43"/>
      <x:c r="IT43"/>
      <x:c r="IU43"/>
      <x:c r="IV43"/>
      <x:c r="IW43"/>
      <x:c r="IX43"/>
      <x:c r="IY43"/>
      <x:c r="IZ43"/>
      <x:c r="JA43"/>
      <x:c r="JB43"/>
      <x:c r="JC43"/>
      <x:c r="JD43"/>
      <x:c r="JE43"/>
      <x:c r="JF43"/>
      <x:c r="JG43"/>
      <x:c r="JH43"/>
      <x:c r="JI43"/>
      <x:c r="JJ43"/>
      <x:c r="JK43"/>
      <x:c r="JL43"/>
      <x:c r="JM43"/>
      <x:c r="JN43"/>
      <x:c r="JO43"/>
      <x:c r="JP43"/>
      <x:c r="JQ43"/>
      <x:c r="JR43" t="n">
        <x:v>2696.0329370049294</x:v>
      </x:c>
      <x:c r="JS43" t="n">
        <x:v>2696.0329370049294</x:v>
      </x:c>
      <x:c r="JT43" t="n">
        <x:v>2696.0329370049294</x:v>
      </x:c>
      <x:c r="JU43" t="n">
        <x:v>2696.0329370049294</x:v>
      </x:c>
      <x:c r="JV43" t="n">
        <x:v>540</x:v>
      </x:c>
      <x:c r="JW43" t="n">
        <x:v>540</x:v>
      </x:c>
      <x:c r="JX43"/>
      <x:c r="JY43"/>
      <x:c r="JZ43"/>
      <x:c r="KA43" t="n">
        <x:v>400</x:v>
      </x:c>
      <x:c r="KB43" t="n">
        <x:v>4037700</x:v>
      </x:c>
      <x:c r="KC43" t="n">
        <x:v>0</x:v>
      </x:c>
      <x:c r="KD43" t="n">
        <x:v>0</x:v>
      </x:c>
      <x:c r="KE43" t="n">
        <x:v>0</x:v>
      </x:c>
      <x:c r="KF43" s="127" t="b">
        <x:v>1</x:v>
      </x:c>
      <x:c r="KG43"/>
      <x:c r="KH43"/>
      <x:c r="KI43" t="n">
        <x:v>100</x:v>
      </x:c>
      <x:c r="KJ43" t="str">
        <x:v>1×100</x:v>
      </x:c>
      <x:c r="KK43" t="str">
        <x:v>burst</x:v>
      </x:c>
      <x:c r="KL43"/>
      <x:c r="KM43"/>
      <x:c r="KN43"/>
      <x:c r="KO43"/>
      <x:c r="KP43"/>
      <x:c r="KQ43"/>
      <x:c r="KR43"/>
      <x:c r="KS43"/>
      <x:c r="KT43"/>
      <x:c r="KU43"/>
      <x:c r="KV43"/>
      <x:c r="KW43"/>
      <x:c r="KX43"/>
      <x:c r="KY43"/>
      <x:c r="KZ43"/>
      <x:c r="LA43"/>
      <x:c r="LB43"/>
      <x:c r="LC43"/>
      <x:c r="LD43"/>
      <x:c r="LE43"/>
      <x:c r="LF43"/>
      <x:c r="LG43"/>
      <x:c r="LH43"/>
      <x:c r="LI43"/>
      <x:c r="LJ43"/>
      <x:c r="LK43"/>
      <x:c r="LL43"/>
      <x:c r="LM43"/>
      <x:c r="LN43"/>
      <x:c r="LO43"/>
      <x:c r="LP43"/>
      <x:c r="LQ43"/>
      <x:c r="LR43"/>
      <x:c r="LS43"/>
      <x:c r="LT43" t="n">
        <x:v>100</x:v>
      </x:c>
      <x:c r="LU43" t="n">
        <x:v>0</x:v>
      </x:c>
      <x:c r="LV43" t="n">
        <x:v>100</x:v>
      </x:c>
      <x:c r="LW43" t="n">
        <x:v>100</x:v>
      </x:c>
      <x:c r="LX43" t="n">
        <x:v>0</x:v>
      </x:c>
      <x:c r="LY43" t="n">
        <x:v>100</x:v>
      </x:c>
      <x:c r="LZ43" t="n">
        <x:v>900</x:v>
      </x:c>
      <x:c r="MA43" t="n">
        <x:v>0</x:v>
      </x:c>
      <x:c r="MB43" t="n">
        <x:v>100</x:v>
      </x:c>
      <x:c r="MC43" t="n">
        <x:v>100</x:v>
      </x:c>
      <x:c r="MD43" t="n">
        <x:v>0</x:v>
      </x:c>
      <x:c r="ME43" t="n">
        <x:v>0</x:v>
      </x:c>
      <x:c r="MF43" t="n">
        <x:v>100</x:v>
      </x:c>
      <x:c r="MG43" t="n">
        <x:v>100</x:v>
      </x:c>
      <x:c r="MH43" t="n">
        <x:v>400</x:v>
      </x:c>
      <x:c r="MI43" t="n">
        <x:v>400</x:v>
      </x:c>
      <x:c r="MJ43" s="127" t="b">
        <x:v>1</x:v>
      </x:c>
      <x:c r="MK43" t="str">
        <x:v>Harness assumed uppercase closure_reason and serialized journey discriminator; durable contract uses lowercase configuration_removed and receipt+journey co-location in the same commit.</x:v>
      </x:c>
    </x:row>
    <x:row r="44">
      <x:c r="A44" s="32" t="str">
        <x:v>24b97fa3-80b4-4f25-bab1-ca074d05590c</x:v>
      </x:c>
      <x:c r="B44" s="32" t="str">
        <x:v>D-010</x:v>
      </x:c>
      <x:c r="C44" s="42" t="n">
        <x:v>46261.874925032236</x:v>
      </x:c>
      <x:c r="D44" s="32" t="str">
        <x:v>489b7424f5051f7a276dafe8d5f318ccf1368d87</x:v>
      </x:c>
      <x:c r="E44" s="32" t="str">
        <x:v>GLONBW11</x:v>
      </x:c>
      <x:c r="F44" s="32" t="str">
        <x:v>local-filesystem</x:v>
      </x:c>
      <x:c r="G44" s="32" t="str">
        <x:v>3.14.2</x:v>
      </x:c>
      <x:c r="H44" s="32" t="str">
        <x:v>deterministic</x:v>
      </x:c>
      <x:c r="I44" s="32" t="n">
        <x:v>1000</x:v>
      </x:c>
      <x:c r="J44" s="32" t="n">
        <x:v>3</x:v>
      </x:c>
      <x:c r="K44" s="32" t="n">
        <x:v>3.03113975</x:v>
      </x:c>
      <x:c r="L44" s="32" t="n">
        <x:v>37</x:v>
      </x:c>
      <x:c r="M44" s="32" t="n">
        <x:v>5</x:v>
      </x:c>
      <x:c r="N44" s="32" t="n">
        <x:v>10</x:v>
      </x:c>
      <x:c r="O44" s="32" t="n">
        <x:v>834.001327995793</x:v>
      </x:c>
      <x:c r="P44" s="32" t="n">
        <x:v>1670.5829564045418</x:v>
      </x:c>
      <x:c r="Q44" s="32" t="n">
        <x:v>4135.257738961956</x:v>
      </x:c>
      <x:c r="R44" s="32" t="n">
        <x:v>5499.026033998234</x:v>
      </x:c>
      <x:c r="S44" s="32" t="n">
        <x:v>1</x:v>
      </x:c>
      <x:c r="T44" s="43" t="n">
        <x:v>0.02702702702702703</x:v>
      </x:c>
      <x:c r="U44" s="32" t="n">
        <x:v>93.22204861209778</x:v>
      </x:c>
      <x:c r="V44" s="32" t="n">
        <x:v>100.21419474622274</x:v>
      </x:c>
      <x:c r="W44" s="32" t="n">
        <x:v>139.34660050675674</x:v>
      </x:c>
      <x:c r="X44" s="32" t="n">
        <x:v>139.6796875</x:v>
      </x:c>
      <x:c r="Y44" s="32"/>
      <x:c r="Z44" s="32"/>
      <x:c r="AA44" s="32"/>
      <x:c r="AB44" s="32" t="n">
        <x:v>2165.0932260090485</x:v>
      </x:c>
      <x:c r="AC44" s="32" t="n">
        <x:v>0</x:v>
      </x:c>
      <x:c r="AD44" s="32" t="n">
        <x:v>0</x:v>
      </x:c>
      <x:c r="AE44" s="32" t="n">
        <x:v>0</x:v>
      </x:c>
      <x:c r="AF44" s="32" t="n">
        <x:v>0</x:v>
      </x:c>
      <x:c r="AG44" s="32" t="n">
        <x:v>0</x:v>
      </x:c>
      <x:c r="AH44" s="32" t="n">
        <x:v>458.0179600015981</x:v>
      </x:c>
      <x:c r="AI44" s="32" t="str">
        <x:v>PASS</x:v>
      </x:c>
      <x:c r="AJ44" s="32" t="str">
        <x:v>GREEN</x:v>
      </x:c>
      <x:c r="AK44" s="32" t="str">
        <x:v>latest-narrow</x:v>
      </x:c>
      <x:c r="AL44" s="32" t="n">
        <x:v>1</x:v>
      </x:c>
      <x:c r="AM44" s="32" t="n">
        <x:v>1</x:v>
      </x:c>
      <x:c r="AN44" s="32" t="n">
        <x:v>1000</x:v>
      </x:c>
      <x:c r="AO44" s="32" t="n">
        <x:v>1</x:v>
      </x:c>
      <x:c r="AP44" s="32" t="n">
        <x:v>8132</x:v>
      </x:c>
      <x:c r="AQ44" s="32" t="n">
        <x:v>3.848104504868388</x:v>
      </x:c>
      <x:c r="AR44" s="32" t="n">
        <x:v>5.31649199911044</x:v>
      </x:c>
      <x:c r="AS44" s="32" t="n">
        <x:v>5.82718144141836</x:v>
      </x:c>
      <x:c r="AT44" s="32" t="n">
        <x:v>36</x:v>
      </x:c>
      <x:c r="AU44" s="32" t="str">
        <x:v>28×28 + 8×27</x:v>
      </x:c>
      <x:c r="AV44" s="32" t="n">
        <x:v>0.36317899503046647</x:v>
      </x:c>
      <x:c r="AW44" s="32" t="n">
        <x:v>0.522391503182007</x:v>
      </x:c>
      <x:c r="AX44" s="32" t="n">
        <x:v>0.5520002952835057</x:v>
      </x:c>
      <x:c r="AY44" t="str">
        <x:v>balanced</x:v>
      </x:c>
      <x:c r="AZ44" s="32" t="str">
        <x:v>PASS</x:v>
      </x:c>
      <x:c r="BA44" s="32" t="n">
        <x:v>900</x:v>
      </x:c>
      <x:c r="BB44" s="32" t="n">
        <x:v>100</x:v>
      </x:c>
      <x:c r="BC44" s="115" t="b">
        <x:v>1</x:v>
      </x:c>
      <x:c r="BD44" s="32" t="str">
        <x:v>PASS/GREEN authoritative closure. Independent audit confirms 100 groups × 4 records (bootstrap/request/adoption/stale-decision), exact target/occurrence identity, 0 duplicate commits or chain errors, 100/100 materialized snapshots equal latest snapshot_after, final state_basis=PERF-AC-2, journal head durable==materialized at byte_offset 4,037,700. One isolated adoption iteration overrun (iteration 13, 5499.03 ms, cycle_executed=false) is secondary characterization for R3.5E.</x:v>
      </x:c>
      <x:c r="BE44" s="32"/>
      <x:c r="BF44" s="32"/>
      <x:c r="BG44" s="32"/>
      <x:c r="BH44" s="32"/>
      <x:c r="BI44" s="32"/>
      <x:c r="BJ44" s="32" t="n">
        <x:v>1000</x:v>
      </x:c>
      <x:c r="BK44" s="32" t="n">
        <x:v>1000</x:v>
      </x:c>
      <x:c r="BL44" s="32"/>
      <x:c r="BM44" s="32"/>
      <x:c r="BN44" t="n">
        <x:v>100</x:v>
      </x:c>
      <x:c r="BO44" t="n">
        <x:v>10</x:v>
      </x:c>
      <x:c r="BP44"/>
      <x:c r="BQ44" t="n">
        <x:v>100</x:v>
      </x:c>
      <x:c r="BR44"/>
      <x:c r="BS44"/>
      <x:c r="BT44"/>
      <x:c r="BU44"/>
      <x:c r="BV44"/>
      <x:c r="BW44" t="n">
        <x:v>1000</x:v>
      </x:c>
      <x:c r="BX44"/>
      <x:c r="BY44" t="n">
        <x:v>100</x:v>
      </x:c>
      <x:c r="BZ44" t="n">
        <x:v>100</x:v>
      </x:c>
      <x:c r="CA44"/>
      <x:c r="CB44"/>
      <x:c r="CC44"/>
      <x:c r="CD44"/>
      <x:c r="CE44" t="n">
        <x:v>1000</x:v>
      </x:c>
      <x:c r="CF44" t="n">
        <x:v>2500</x:v>
      </x:c>
      <x:c r="CG44" t="n">
        <x:v>1000</x:v>
      </x:c>
      <x:c r="CH44"/>
      <x:c r="CI44" s="127" t="b">
        <x:v>1</x:v>
      </x:c>
      <x:c r="CJ44"/>
      <x:c r="CK44"/>
      <x:c r="CL44"/>
      <x:c r="CM44"/>
      <x:c r="CN44"/>
      <x:c r="CO44"/>
      <x:c r="CP44"/>
      <x:c r="CQ44" t="n">
        <x:v>0</x:v>
      </x:c>
      <x:c r="CR44"/>
      <x:c r="CS44"/>
      <x:c r="CT44"/>
      <x:c r="CU44"/>
      <x:c r="CV44"/>
      <x:c r="CW44"/>
      <x:c r="CX44"/>
      <x:c r="CY44"/>
      <x:c r="CZ44"/>
      <x:c r="DA44"/>
      <x:c r="DB44"/>
      <x:c r="DC44"/>
      <x:c r="DD44"/>
      <x:c r="DE44"/>
      <x:c r="DF44"/>
      <x:c r="DG44"/>
      <x:c r="DH44" t="str">
        <x:v>baseline</x:v>
      </x:c>
      <x:c r="DI44" t="n">
        <x:v>37</x:v>
      </x:c>
      <x:c r="DJ44" t="n">
        <x:v>0</x:v>
      </x:c>
      <x:c r="DK44" t="n">
        <x:v>0</x:v>
      </x:c>
      <x:c r="DL44" t="n">
        <x:v>0</x:v>
      </x:c>
      <x:c r="DM44" t="n">
        <x:v>0</x:v>
      </x:c>
      <x:c r="DN44" t="n">
        <x:v>0</x:v>
      </x:c>
      <x:c r="DO44" t="n">
        <x:v>0</x:v>
      </x:c>
      <x:c r="DP44" t="n">
        <x:v>0</x:v>
      </x:c>
      <x:c r="DQ44" t="str">
        <x:v>C3</x:v>
      </x:c>
      <x:c r="DR44"/>
      <x:c r="DS44"/>
      <x:c r="DT44"/>
      <x:c r="DU44"/>
      <x:c r="DV44"/>
      <x:c r="DW44"/>
      <x:c r="DX44"/>
      <x:c r="DY44"/>
      <x:c r="DZ44"/>
      <x:c r="EA44"/>
      <x:c r="EB44"/>
      <x:c r="EC44"/>
      <x:c r="ED44"/>
      <x:c r="EE44"/>
      <x:c r="EF44"/>
      <x:c r="EG44"/>
      <x:c r="EH44"/>
      <x:c r="EI44"/>
      <x:c r="EJ44"/>
      <x:c r="EK44"/>
      <x:c r="EL44"/>
      <x:c r="EM44"/>
      <x:c r="EN44"/>
      <x:c r="EO44"/>
      <x:c r="EP44"/>
      <x:c r="EQ44"/>
      <x:c r="ER44"/>
      <x:c r="ES44"/>
      <x:c r="ET44"/>
      <x:c r="EU44"/>
      <x:c r="EV44"/>
      <x:c r="EW44"/>
      <x:c r="EX44"/>
      <x:c r="EY44"/>
      <x:c r="EZ44"/>
      <x:c r="FA44"/>
      <x:c r="FB44"/>
      <x:c r="FC44"/>
      <x:c r="FD44"/>
      <x:c r="FE44"/>
      <x:c r="FF44" t="n">
        <x:v>30</x:v>
      </x:c>
      <x:c r="FG44" t="str">
        <x:v>PERF-M-000001..PERF-M-000100</x:v>
      </x:c>
      <x:c r="FH44" t="n">
        <x:v>100</x:v>
      </x:c>
      <x:c r="FI44" t="n">
        <x:v>100</x:v>
      </x:c>
      <x:c r="FJ44"/>
      <x:c r="FK44" t="n">
        <x:v>100</x:v>
      </x:c>
      <x:c r="FL44" t="n">
        <x:v>100</x:v>
      </x:c>
      <x:c r="FM44" t="n">
        <x:v>100</x:v>
      </x:c>
      <x:c r="FN44" t="n">
        <x:v>100</x:v>
      </x:c>
      <x:c r="FO44"/>
      <x:c r="FP44" t="n">
        <x:v>400</x:v>
      </x:c>
      <x:c r="FQ44" t="n">
        <x:v>25600</x:v>
      </x:c>
      <x:c r="FR44" t="n">
        <x:v>0</x:v>
      </x:c>
      <x:c r="FS44" t="n">
        <x:v>0</x:v>
      </x:c>
      <x:c r="FT44" s="127" t="b">
        <x:v>1</x:v>
      </x:c>
      <x:c r="FU44" t="n">
        <x:v>1748.0782220081892</x:v>
      </x:c>
      <x:c r="FV44" t="str">
        <x:v>100 preserved original occurrences</x:v>
      </x:c>
      <x:c r="FW44" t="n">
        <x:v>0</x:v>
      </x:c>
      <x:c r="FX44" t="n">
        <x:v>100</x:v>
      </x:c>
      <x:c r="FY44" t="n">
        <x:v>0</x:v>
      </x:c>
      <x:c r="FZ44" t="n">
        <x:v>0</x:v>
      </x:c>
      <x:c r="GA44" t="n">
        <x:v>0</x:v>
      </x:c>
      <x:c r="GB44" t="n">
        <x:v>100</x:v>
      </x:c>
      <x:c r="GC44" t="n">
        <x:v>100</x:v>
      </x:c>
      <x:c r="GD44" t="n">
        <x:v>0</x:v>
      </x:c>
      <x:c r="GE44" t="n">
        <x:v>100</x:v>
      </x:c>
      <x:c r="GF44" t="n">
        <x:v>1</x:v>
      </x:c>
      <x:c r="GG44" t="str">
        <x:v>100</x:v>
      </x:c>
      <x:c r="GH44" s="127" t="b">
        <x:v>1</x:v>
      </x:c>
      <x:c r="GI44" t="n">
        <x:v>1748.0782220081892</x:v>
      </x:c>
      <x:c r="GJ44" t="n">
        <x:v>1748.0782220081892</x:v>
      </x:c>
      <x:c r="GK44" t="n">
        <x:v>1748.0782220081892</x:v>
      </x:c>
      <x:c r="GL44" t="n">
        <x:v>1748.0782220081892</x:v>
      </x:c>
      <x:c r="GM44" t="str">
        <x:v>burst</x:v>
      </x:c>
      <x:c r="GN44" t="n">
        <x:v>100</x:v>
      </x:c>
      <x:c r="GO44" t="n">
        <x:v>100</x:v>
      </x:c>
      <x:c r="GP44" s="127" t="b">
        <x:v>1</x:v>
      </x:c>
      <x:c r="GQ44" t="n">
        <x:v>30</x:v>
      </x:c>
      <x:c r="GR44" t="n">
        <x:v>90</x:v>
      </x:c>
      <x:c r="GS44" t="n">
        <x:v>600</x:v>
      </x:c>
      <x:c r="GT44" t="str">
        <x:v>PERF-DR-PERF-M-000001..PERF-DR-PERF-M-000100</x:v>
      </x:c>
      <x:c r="GU44" t="str">
        <x:v>PERF-D-000001..PERF-D-000100</x:v>
      </x:c>
      <x:c r="GV44" t="str">
        <x:v>100 unique targets; first slot of perf-group-001..100</x:v>
      </x:c>
      <x:c r="GW44" t="str">
        <x:v>100 original PERF-O occurrences preserved</x:v>
      </x:c>
      <x:c r="GX44" t="n">
        <x:v>100</x:v>
      </x:c>
      <x:c r="GY44" t="n">
        <x:v>100</x:v>
      </x:c>
      <x:c r="GZ44" t="n">
        <x:v>100</x:v>
      </x:c>
      <x:c r="HA44" t="n">
        <x:v>100</x:v>
      </x:c>
      <x:c r="HB44" t="n">
        <x:v>100</x:v>
      </x:c>
      <x:c r="HC44" t="n">
        <x:v>0</x:v>
      </x:c>
      <x:c r="HD44" t="n">
        <x:v>100</x:v>
      </x:c>
      <x:c r="HE44" t="n">
        <x:v>0</x:v>
      </x:c>
      <x:c r="HF44" t="n">
        <x:v>0</x:v>
      </x:c>
      <x:c r="HG44" t="n">
        <x:v>25600</x:v>
      </x:c>
      <x:c r="HH44" t="n">
        <x:v>25600</x:v>
      </x:c>
      <x:c r="HI44" t="n">
        <x:v>0</x:v>
      </x:c>
      <x:c r="HJ44" t="n">
        <x:v>0</x:v>
      </x:c>
      <x:c r="HK44" t="n">
        <x:v>0</x:v>
      </x:c>
      <x:c r="HL44" t="n">
        <x:v>100</x:v>
      </x:c>
      <x:c r="HM44" t="n">
        <x:v>0</x:v>
      </x:c>
      <x:c r="HN44" s="127" t="b">
        <x:v>1</x:v>
      </x:c>
      <x:c r="HO44"/>
      <x:c r="HP44" s="127" t="b">
        <x:v>1</x:v>
      </x:c>
      <x:c r="HQ44" s="127" t="b">
        <x:v>1</x:v>
      </x:c>
      <x:c r="HR44" s="127" t="b">
        <x:v>1</x:v>
      </x:c>
      <x:c r="HS44" t="n">
        <x:v>540</x:v>
      </x:c>
      <x:c r="HT44" t="n">
        <x:v>540</x:v>
      </x:c>
      <x:c r="HU44" t="n">
        <x:v>2165.0932260090485</x:v>
      </x:c>
      <x:c r="HV44"/>
      <x:c r="HW44"/>
      <x:c r="HX44"/>
      <x:c r="HY44" s="127" t="b">
        <x:v>1</x:v>
      </x:c>
      <x:c r="HZ44"/>
      <x:c r="IA44"/>
      <x:c r="IB44"/>
      <x:c r="IC44"/>
      <x:c r="ID44"/>
      <x:c r="IE44"/>
      <x:c r="IF44"/>
      <x:c r="IG44"/>
      <x:c r="IH44"/>
      <x:c r="II44"/>
      <x:c r="IJ44"/>
      <x:c r="IK44"/>
      <x:c r="IL44"/>
      <x:c r="IM44"/>
      <x:c r="IN44"/>
      <x:c r="IO44"/>
      <x:c r="IP44"/>
      <x:c r="IQ44"/>
      <x:c r="IR44"/>
      <x:c r="IS44"/>
      <x:c r="IT44"/>
      <x:c r="IU44"/>
      <x:c r="IV44"/>
      <x:c r="IW44"/>
      <x:c r="IX44"/>
      <x:c r="IY44"/>
      <x:c r="IZ44"/>
      <x:c r="JA44"/>
      <x:c r="JB44"/>
      <x:c r="JC44"/>
      <x:c r="JD44"/>
      <x:c r="JE44"/>
      <x:c r="JF44"/>
      <x:c r="JG44"/>
      <x:c r="JH44" t="n">
        <x:v>0</x:v>
      </x:c>
      <x:c r="JI44" t="n">
        <x:v>0</x:v>
      </x:c>
      <x:c r="JJ44" t="n">
        <x:v>0</x:v>
      </x:c>
      <x:c r="JK44" t="n">
        <x:v>0</x:v>
      </x:c>
      <x:c r="JL44" t="n">
        <x:v>0</x:v>
      </x:c>
      <x:c r="JM44" t="n">
        <x:v>0</x:v>
      </x:c>
      <x:c r="JN44" t="n">
        <x:v>100</x:v>
      </x:c>
      <x:c r="JO44" t="n">
        <x:v>100</x:v>
      </x:c>
      <x:c r="JP44" t="n">
        <x:v>1</x:v>
      </x:c>
      <x:c r="JQ44" t="str">
        <x:v>100</x:v>
      </x:c>
      <x:c r="JR44" t="n">
        <x:v>2165.0932260090485</x:v>
      </x:c>
      <x:c r="JS44" t="n">
        <x:v>2165.0932260090485</x:v>
      </x:c>
      <x:c r="JT44" t="n">
        <x:v>2165.0932260090485</x:v>
      </x:c>
      <x:c r="JU44" t="n">
        <x:v>2165.0932260090485</x:v>
      </x:c>
      <x:c r="JV44" t="n">
        <x:v>540</x:v>
      </x:c>
      <x:c r="JW44" t="n">
        <x:v>540</x:v>
      </x:c>
      <x:c r="JX44" t="n">
        <x:v>0</x:v>
      </x:c>
      <x:c r="JY44" t="n">
        <x:v>0</x:v>
      </x:c>
      <x:c r="JZ44" s="127" t="b">
        <x:v>1</x:v>
      </x:c>
      <x:c r="KA44" t="n">
        <x:v>400</x:v>
      </x:c>
      <x:c r="KB44" t="n">
        <x:v>4037700</x:v>
      </x:c>
      <x:c r="KC44" t="n">
        <x:v>0</x:v>
      </x:c>
      <x:c r="KD44" t="n">
        <x:v>0</x:v>
      </x:c>
      <x:c r="KE44" t="n">
        <x:v>0</x:v>
      </x:c>
      <x:c r="KF44" s="127" t="b">
        <x:v>1</x:v>
      </x:c>
      <x:c r="KG44"/>
      <x:c r="KH44"/>
      <x:c r="KI44" t="n">
        <x:v>100</x:v>
      </x:c>
      <x:c r="KJ44" t="str">
        <x:v>1×100</x:v>
      </x:c>
      <x:c r="KK44" t="str">
        <x:v>burst</x:v>
      </x:c>
      <x:c r="KL44" t="n">
        <x:v>100</x:v>
      </x:c>
      <x:c r="KM44" s="127" t="b">
        <x:v>1</x:v>
      </x:c>
      <x:c r="KN44"/>
      <x:c r="KO44"/>
      <x:c r="KP44"/>
      <x:c r="KQ44"/>
      <x:c r="KR44"/>
      <x:c r="KS44"/>
      <x:c r="KT44"/>
      <x:c r="KU44"/>
      <x:c r="KV44"/>
      <x:c r="KW44"/>
      <x:c r="KX44"/>
      <x:c r="KY44"/>
      <x:c r="KZ44"/>
      <x:c r="LA44"/>
      <x:c r="LB44"/>
      <x:c r="LC44"/>
      <x:c r="LD44"/>
      <x:c r="LE44"/>
      <x:c r="LF44"/>
      <x:c r="LG44"/>
      <x:c r="LH44"/>
      <x:c r="LI44"/>
      <x:c r="LJ44"/>
      <x:c r="LK44"/>
      <x:c r="LL44"/>
      <x:c r="LM44"/>
      <x:c r="LN44"/>
      <x:c r="LO44"/>
      <x:c r="LP44"/>
      <x:c r="LQ44"/>
      <x:c r="LR44"/>
      <x:c r="LS44"/>
      <x:c r="LT44" t="n">
        <x:v>100</x:v>
      </x:c>
      <x:c r="LU44" t="n">
        <x:v>100</x:v>
      </x:c>
      <x:c r="LV44" t="n">
        <x:v>100</x:v>
      </x:c>
      <x:c r="LW44" t="n">
        <x:v>0</x:v>
      </x:c>
      <x:c r="LX44" t="n">
        <x:v>0</x:v>
      </x:c>
      <x:c r="LY44" t="n">
        <x:v>100</x:v>
      </x:c>
      <x:c r="LZ44" t="n">
        <x:v>900</x:v>
      </x:c>
      <x:c r="MA44" t="n">
        <x:v>0</x:v>
      </x:c>
      <x:c r="MB44" t="n">
        <x:v>100</x:v>
      </x:c>
      <x:c r="MC44" t="n">
        <x:v>100</x:v>
      </x:c>
      <x:c r="MD44" t="n">
        <x:v>0</x:v>
      </x:c>
      <x:c r="ME44" t="n">
        <x:v>0</x:v>
      </x:c>
      <x:c r="MF44" t="n">
        <x:v>100</x:v>
      </x:c>
      <x:c r="MG44" t="n">
        <x:v>100</x:v>
      </x:c>
      <x:c r="MH44" t="n">
        <x:v>400</x:v>
      </x:c>
      <x:c r="MI44" t="n">
        <x:v>400</x:v>
      </x:c>
      <x:c r="MJ44" s="127" t="b">
        <x:v>1</x:v>
      </x:c>
      <x:c r="MK44" t="str">
        <x:v>Resolved by harness 0.1.6; final adjudicator and independent durable audit agree.</x:v>
      </x:c>
    </x:row>
    <x:row r="45">
      <x:c r="A45" s="32" t="str">
        <x:v>29fdaf99-f789-4401-8866-a1cd9cff2bac</x:v>
      </x:c>
      <x:c r="B45" s="32" t="str">
        <x:v>E-001</x:v>
      </x:c>
      <x:c r="C45" s="42" t="n">
        <x:v>46261.91715124192</x:v>
      </x:c>
      <x:c r="D45" s="32" t="str">
        <x:v>489b7424f5051f7a276dafe8d5f318ccf1368d87</x:v>
      </x:c>
      <x:c r="E45" s="32" t="str">
        <x:v>GLONBW11</x:v>
      </x:c>
      <x:c r="F45" s="32" t="str">
        <x:v>local-filesystem</x:v>
      </x:c>
      <x:c r="G45" s="32" t="str">
        <x:v>3.14.2</x:v>
      </x:c>
      <x:c r="H45" s="32" t="str">
        <x:v>deterministic</x:v>
      </x:c>
      <x:c r="I45" s="32" t="n">
        <x:v>1000</x:v>
      </x:c>
      <x:c r="J45" s="32" t="n">
        <x:v>3</x:v>
      </x:c>
      <x:c r="K45" s="32" t="n">
        <x:v>3.0202536833333338</x:v>
      </x:c>
      <x:c r="L45" s="32" t="n">
        <x:v>37</x:v>
      </x:c>
      <x:c r="M45" s="32" t="n">
        <x:v>5</x:v>
      </x:c>
      <x:c r="N45" s="32" t="n">
        <x:v>10</x:v>
      </x:c>
      <x:c r="O45" s="32" t="n">
        <x:v>918.5500530002173</x:v>
      </x:c>
      <x:c r="P45" s="32" t="n">
        <x:v>1038.255205191673</x:v>
      </x:c>
      <x:c r="Q45" s="32" t="n">
        <x:v>1728.0475891986866</x:v>
      </x:c>
      <x:c r="R45" s="32" t="n">
        <x:v>1942.8899570048088</x:v>
      </x:c>
      <x:c r="S45" s="32" t="n">
        <x:v>0</x:v>
      </x:c>
      <x:c r="T45" s="43" t="n">
        <x:v>0</x:v>
      </x:c>
      <x:c r="U45" s="32" t="n">
        <x:v>96.99480693276473</x:v>
      </x:c>
      <x:c r="V45" s="32" t="n">
        <x:v>99.86222053224851</x:v>
      </x:c>
      <x:c r="W45" s="32" t="n">
        <x:v>138.97075591216216</x:v>
      </x:c>
      <x:c r="X45" s="32" t="n">
        <x:v>139.234375</x:v>
      </x:c>
      <x:c r="Y45" s="32"/>
      <x:c r="Z45" s="32"/>
      <x:c r="AA45" s="32"/>
      <x:c r="AB45" s="32"/>
      <x:c r="AC45" s="32" t="n">
        <x:v>0</x:v>
      </x:c>
      <x:c r="AD45" s="32" t="n">
        <x:v>0</x:v>
      </x:c>
      <x:c r="AE45" s="32" t="n">
        <x:v>0</x:v>
      </x:c>
      <x:c r="AF45" s="32" t="n">
        <x:v>0</x:v>
      </x:c>
      <x:c r="AG45" s="32" t="n">
        <x:v>0</x:v>
      </x:c>
      <x:c r="AH45" s="32" t="n">
        <x:v>207.86278299055994</x:v>
      </x:c>
      <x:c r="AI45" s="32" t="str">
        <x:v>PASS</x:v>
      </x:c>
      <x:c r="AJ45" s="32" t="str">
        <x:v>GREEN</x:v>
      </x:c>
      <x:c r="AK45" s="32" t="str">
        <x:v>latest-narrow</x:v>
      </x:c>
      <x:c r="AL45" s="32" t="n">
        <x:v>1</x:v>
      </x:c>
      <x:c r="AM45" s="32" t="n">
        <x:v>1</x:v>
      </x:c>
      <x:c r="AN45" s="32" t="n">
        <x:v>1000</x:v>
      </x:c>
      <x:c r="AO45" s="32" t="n">
        <x:v>1</x:v>
      </x:c>
      <x:c r="AP45" s="32" t="n">
        <x:v>8132</x:v>
      </x:c>
      <x:c r="AQ45" s="32" t="n">
        <x:v>3.9944019954418764</x:v>
      </x:c>
      <x:c r="AR45" s="32" t="n">
        <x:v>5.795439195935618</x:v>
      </x:c>
      <x:c r="AS45" s="32" t="n">
        <x:v>7.248432804481127</x:v>
      </x:c>
      <x:c r="AT45" s="32" t="n">
        <x:v>36</x:v>
      </x:c>
      <x:c r="AU45" s="32" t="str">
        <x:v>28×28 + 8×27</x:v>
      </x:c>
      <x:c r="AV45" s="32" t="n">
        <x:v>0.3763650020118803</x:v>
      </x:c>
      <x:c r="AW45" s="32" t="n">
        <x:v>0.48188479559030395</x:v>
      </x:c>
      <x:c r="AX45" s="32" t="n">
        <x:v>0.5218065594090149</x:v>
      </x:c>
      <x:c r="AY45" t="str">
        <x:v>balanced</x:v>
      </x:c>
      <x:c r="AZ45" s="32" t="str">
        <x:v>PASS</x:v>
      </x:c>
      <x:c r="BA45" s="32" t="n">
        <x:v>1000</x:v>
      </x:c>
      <x:c r="BB45" s="32" t="n">
        <x:v>0</x:v>
      </x:c>
      <x:c r="BC45" s="115" t="b">
        <x:v>1</x:v>
      </x:c>
      <x:c r="BD45" s="32" t="str">
        <x:v>PASS/GREEN. Independent audit confirms cache promotion without durable rewrite: runtime cache PERF-AC-2 while all 100 materialized snapshots remain state_basis PERF-AC-1. WAL has exactly one bootstrap cycle (100 records / 2,030,800 B), one record per group, 0 PERF-AC-2 records, 0 duplicate commit IDs, 0 previous_commit_id mismatches and 0 materialized snapshot mismatches. 1000 occurrences remain open. Adoption #13=1346.11 ms, cycle_executed=true, 0 overruns.</x:v>
      </x:c>
      <x:c r="BE45" s="32"/>
      <x:c r="BF45" s="32"/>
      <x:c r="BG45" s="32"/>
      <x:c r="BH45" s="32"/>
      <x:c r="BI45" s="32"/>
      <x:c r="BJ45" s="32" t="n">
        <x:v>1000</x:v>
      </x:c>
      <x:c r="BK45" s="32" t="n">
        <x:v>1000</x:v>
      </x:c>
      <x:c r="BL45" s="32"/>
      <x:c r="BM45" s="32"/>
      <x:c r="BN45" t="n">
        <x:v>100</x:v>
      </x:c>
      <x:c r="BO45" t="n">
        <x:v>10</x:v>
      </x:c>
      <x:c r="BP45"/>
      <x:c r="BQ45" t="n">
        <x:v>100</x:v>
      </x:c>
      <x:c r="BR45"/>
      <x:c r="BS45" t="n">
        <x:v>1000</x:v>
      </x:c>
      <x:c r="BT45" t="n">
        <x:v>100</x:v>
      </x:c>
      <x:c r="BU45" t="n">
        <x:v>100</x:v>
      </x:c>
      <x:c r="BV45" t="n">
        <x:v>0</x:v>
      </x:c>
      <x:c r="BW45" t="n">
        <x:v>1000</x:v>
      </x:c>
      <x:c r="BX45" t="n">
        <x:v>1000</x:v>
      </x:c>
      <x:c r="BY45" t="n">
        <x:v>0</x:v>
      </x:c>
      <x:c r="BZ45" t="n">
        <x:v>0</x:v>
      </x:c>
      <x:c r="CA45" t="n">
        <x:v>100</x:v>
      </x:c>
      <x:c r="CB45" t="n">
        <x:v>100</x:v>
      </x:c>
      <x:c r="CC45" t="n">
        <x:v>0</x:v>
      </x:c>
      <x:c r="CD45" t="n">
        <x:v>0</x:v>
      </x:c>
      <x:c r="CE45" t="n">
        <x:v>1000</x:v>
      </x:c>
      <x:c r="CF45" t="n">
        <x:v>2000</x:v>
      </x:c>
      <x:c r="CG45" t="n">
        <x:v>1000</x:v>
      </x:c>
      <x:c r="CH45" t="n">
        <x:v>0</x:v>
      </x:c>
      <x:c r="CI45" s="127" t="b">
        <x:v>1</x:v>
      </x:c>
      <x:c r="CJ45"/>
      <x:c r="CK45"/>
      <x:c r="CL45"/>
      <x:c r="CM45"/>
      <x:c r="CN45"/>
      <x:c r="CO45"/>
      <x:c r="CP45"/>
      <x:c r="CQ45" t="n">
        <x:v>0</x:v>
      </x:c>
      <x:c r="CR45"/>
      <x:c r="CS45"/>
      <x:c r="CT45"/>
      <x:c r="CU45"/>
      <x:c r="CV45"/>
      <x:c r="CW45"/>
      <x:c r="CX45"/>
      <x:c r="CY45"/>
      <x:c r="CZ45"/>
      <x:c r="DA45"/>
      <x:c r="DB45"/>
      <x:c r="DC45"/>
      <x:c r="DD45"/>
      <x:c r="DE45"/>
      <x:c r="DF45"/>
      <x:c r="DG45"/>
      <x:c r="DH45" t="str">
        <x:v>baseline</x:v>
      </x:c>
      <x:c r="DI45" t="n">
        <x:v>37</x:v>
      </x:c>
      <x:c r="DJ45" t="n">
        <x:v>0</x:v>
      </x:c>
      <x:c r="DK45" t="n">
        <x:v>0</x:v>
      </x:c>
      <x:c r="DL45" t="n">
        <x:v>0</x:v>
      </x:c>
      <x:c r="DM45" t="n">
        <x:v>0</x:v>
      </x:c>
      <x:c r="DN45" t="n">
        <x:v>0</x:v>
      </x:c>
      <x:c r="DO45" t="n">
        <x:v>0</x:v>
      </x:c>
      <x:c r="DP45" t="n">
        <x:v>0</x:v>
      </x:c>
      <x:c r="DQ45" t="str">
        <x:v>C3</x:v>
      </x:c>
      <x:c r="DR45"/>
      <x:c r="DS45"/>
      <x:c r="DT45"/>
      <x:c r="DU45"/>
      <x:c r="DV45"/>
      <x:c r="DW45"/>
      <x:c r="DX45"/>
      <x:c r="DY45"/>
      <x:c r="DZ45"/>
      <x:c r="EA45"/>
      <x:c r="EB45"/>
      <x:c r="EC45"/>
      <x:c r="ED45"/>
      <x:c r="EE45"/>
      <x:c r="EF45"/>
      <x:c r="EG45"/>
      <x:c r="EH45"/>
      <x:c r="EI45"/>
      <x:c r="EJ45"/>
      <x:c r="EK45"/>
      <x:c r="EL45"/>
      <x:c r="EM45"/>
      <x:c r="EN45"/>
      <x:c r="EO45"/>
      <x:c r="EP45"/>
      <x:c r="EQ45"/>
      <x:c r="ER45"/>
      <x:c r="ES45"/>
      <x:c r="ET45"/>
      <x:c r="EU45"/>
      <x:c r="EV45"/>
      <x:c r="EW45"/>
      <x:c r="EX45"/>
      <x:c r="EY45"/>
      <x:c r="EZ45"/>
      <x:c r="FA45"/>
      <x:c r="FB45"/>
      <x:c r="FC45"/>
      <x:c r="FD45"/>
      <x:c r="FE45"/>
      <x:c r="FF45"/>
      <x:c r="FG45"/>
      <x:c r="FH45"/>
      <x:c r="FI45"/>
      <x:c r="FJ45"/>
      <x:c r="FK45"/>
      <x:c r="FL45"/>
      <x:c r="FM45"/>
      <x:c r="FN45"/>
      <x:c r="FO45"/>
      <x:c r="FP45"/>
      <x:c r="FQ45"/>
      <x:c r="FR45"/>
      <x:c r="FS45"/>
      <x:c r="FT45"/>
      <x:c r="FU45"/>
      <x:c r="FV45"/>
      <x:c r="FW45"/>
      <x:c r="FX45"/>
      <x:c r="FY45"/>
      <x:c r="FZ45"/>
      <x:c r="GA45"/>
      <x:c r="GB45"/>
      <x:c r="GC45"/>
      <x:c r="GD45"/>
      <x:c r="GE45"/>
      <x:c r="GF45"/>
      <x:c r="GG45"/>
      <x:c r="GH45"/>
      <x:c r="GI45"/>
      <x:c r="GJ45"/>
      <x:c r="GK45"/>
      <x:c r="GL45"/>
      <x:c r="GM45"/>
      <x:c r="GN45"/>
      <x:c r="GO45"/>
      <x:c r="GP45"/>
      <x:c r="GQ45"/>
      <x:c r="GR45"/>
      <x:c r="GS45"/>
      <x:c r="GT45"/>
      <x:c r="GU45"/>
      <x:c r="GV45"/>
      <x:c r="GW45"/>
      <x:c r="GX45"/>
      <x:c r="GY45"/>
      <x:c r="GZ45"/>
      <x:c r="HA45"/>
      <x:c r="HB45"/>
      <x:c r="HC45"/>
      <x:c r="HD45"/>
      <x:c r="HE45"/>
      <x:c r="HF45"/>
      <x:c r="HG45"/>
      <x:c r="HH45"/>
      <x:c r="HI45"/>
      <x:c r="HJ45"/>
      <x:c r="HK45"/>
      <x:c r="HL45"/>
      <x:c r="HM45"/>
      <x:c r="HN45"/>
      <x:c r="HO45"/>
      <x:c r="HP45"/>
      <x:c r="HQ45"/>
      <x:c r="HR45"/>
      <x:c r="HS45"/>
      <x:c r="HT45"/>
      <x:c r="HU45"/>
      <x:c r="HV45"/>
      <x:c r="HW45"/>
      <x:c r="HX45"/>
      <x:c r="HY45"/>
      <x:c r="HZ45"/>
      <x:c r="IA45"/>
      <x:c r="IB45"/>
      <x:c r="IC45"/>
      <x:c r="ID45"/>
      <x:c r="IE45"/>
      <x:c r="IF45"/>
      <x:c r="IG45"/>
      <x:c r="IH45"/>
      <x:c r="II45"/>
      <x:c r="IJ45"/>
      <x:c r="IK45"/>
      <x:c r="IL45"/>
      <x:c r="IM45"/>
      <x:c r="IN45"/>
      <x:c r="IO45"/>
      <x:c r="IP45"/>
      <x:c r="IQ45"/>
      <x:c r="IR45"/>
      <x:c r="IS45"/>
      <x:c r="IT45"/>
      <x:c r="IU45"/>
      <x:c r="IV45"/>
      <x:c r="IW45"/>
      <x:c r="IX45"/>
      <x:c r="IY45"/>
      <x:c r="IZ45"/>
      <x:c r="JA45"/>
      <x:c r="JB45"/>
      <x:c r="JC45"/>
      <x:c r="JD45"/>
      <x:c r="JE45"/>
      <x:c r="JF45"/>
      <x:c r="JG45"/>
      <x:c r="JH45"/>
      <x:c r="JI45"/>
      <x:c r="JJ45"/>
      <x:c r="JK45"/>
      <x:c r="JL45"/>
      <x:c r="JM45"/>
      <x:c r="JN45"/>
      <x:c r="JO45"/>
      <x:c r="JP45"/>
      <x:c r="JQ45"/>
      <x:c r="JR45"/>
      <x:c r="JS45"/>
      <x:c r="JT45"/>
      <x:c r="JU45"/>
      <x:c r="JV45"/>
      <x:c r="JW45"/>
      <x:c r="JX45"/>
      <x:c r="JY45"/>
      <x:c r="JZ45"/>
      <x:c r="KA45" t="n">
        <x:v>100</x:v>
      </x:c>
      <x:c r="KB45" t="n">
        <x:v>2030800</x:v>
      </x:c>
      <x:c r="KC45" t="n">
        <x:v>0</x:v>
      </x:c>
      <x:c r="KD45" t="n">
        <x:v>0</x:v>
      </x:c>
      <x:c r="KE45" t="n">
        <x:v>0</x:v>
      </x:c>
      <x:c r="KF45" s="127" t="b">
        <x:v>1</x:v>
      </x:c>
      <x:c r="KG45"/>
      <x:c r="KH45"/>
      <x:c r="KI45"/>
      <x:c r="KJ45"/>
      <x:c r="KK45"/>
      <x:c r="KL45"/>
      <x:c r="KM45"/>
      <x:c r="KN45"/>
      <x:c r="KO45"/>
      <x:c r="KP45"/>
      <x:c r="KQ45"/>
      <x:c r="KR45"/>
      <x:c r="KS45"/>
      <x:c r="KT45"/>
      <x:c r="KU45"/>
      <x:c r="KV45"/>
      <x:c r="KW45"/>
      <x:c r="KX45"/>
      <x:c r="KY45"/>
      <x:c r="KZ45"/>
      <x:c r="LA45"/>
      <x:c r="LB45"/>
      <x:c r="LC45"/>
      <x:c r="LD45"/>
      <x:c r="LE45"/>
      <x:c r="LF45"/>
      <x:c r="LG45"/>
      <x:c r="LH45"/>
      <x:c r="LI45"/>
      <x:c r="LJ45"/>
      <x:c r="LK45"/>
      <x:c r="LL45"/>
      <x:c r="LM45"/>
      <x:c r="LN45"/>
      <x:c r="LO45"/>
      <x:c r="LP45"/>
      <x:c r="LQ45"/>
      <x:c r="LR45"/>
      <x:c r="LS45"/>
      <x:c r="LT45"/>
      <x:c r="LU45"/>
      <x:c r="LV45"/>
      <x:c r="LW45"/>
      <x:c r="LX45"/>
      <x:c r="LY45"/>
      <x:c r="LZ45"/>
      <x:c r="MA45"/>
      <x:c r="MB45"/>
      <x:c r="MC45"/>
      <x:c r="MD45"/>
      <x:c r="ME45"/>
      <x:c r="MF45"/>
      <x:c r="MG45"/>
      <x:c r="MH45"/>
      <x:c r="MI45"/>
      <x:c r="MJ45"/>
      <x:c r="MK45"/>
      <x:c r="ML45" t="n">
        <x:v>1000</x:v>
      </x:c>
      <x:c r="MM45" t="n">
        <x:v>1000</x:v>
      </x:c>
      <x:c r="MN45" t="n">
        <x:v>0</x:v>
      </x:c>
      <x:c r="MO45" t="n">
        <x:v>0</x:v>
      </x:c>
      <x:c r="MP45" t="n">
        <x:v>0</x:v>
      </x:c>
      <x:c r="MQ45" t="n">
        <x:v>0</x:v>
      </x:c>
      <x:c r="MR45" t="n">
        <x:v>0</x:v>
      </x:c>
      <x:c r="MS45" t="str">
        <x:v>PERF-AC-1</x:v>
      </x:c>
      <x:c r="MT45" t="str">
        <x:v>PERF-AC-2</x:v>
      </x:c>
      <x:c r="MU45" t="n">
        <x:v>0.5</x:v>
      </x:c>
      <x:c r="MV45" t="n">
        <x:v>0.75</x:v>
      </x:c>
      <x:c r="MW45" t="n">
        <x:v>1000</x:v>
      </x:c>
      <x:c r="MX45" t="n">
        <x:v>1000</x:v>
      </x:c>
      <x:c r="MY45" t="n">
        <x:v>13</x:v>
      </x:c>
      <x:c r="MZ45" t="n">
        <x:v>1346.1056019878015</x:v>
      </x:c>
      <x:c r="NA45" t="n">
        <x:v>95.08912213943826</x:v>
      </x:c>
      <x:c r="NB45" s="127" t="b">
        <x:v>1</x:v>
      </x:c>
      <x:c r="NC45" t="n">
        <x:v>24</x:v>
      </x:c>
      <x:c r="ND45" t="str">
        <x:v>PERF-AC-2</x:v>
      </x:c>
      <x:c r="NE45" t="n">
        <x:v>100</x:v>
      </x:c>
      <x:c r="NF45" t="n">
        <x:v>0</x:v>
      </x:c>
      <x:c r="NG45" t="n">
        <x:v>100</x:v>
      </x:c>
      <x:c r="NH45" t="n">
        <x:v>0</x:v>
      </x:c>
      <x:c r="NI45" t="n">
        <x:v>1000</x:v>
      </x:c>
      <x:c r="NJ45" t="n">
        <x:v>100</x:v>
      </x:c>
      <x:c r="NK45" t="n">
        <x:v>100</x:v>
      </x:c>
      <x:c r="NL45" t="n">
        <x:v>75.52101783724282</x:v>
      </x:c>
    </x:row>
    <x:row r="46">
      <x:c r="A46" s="32"/>
      <x:c r="B46" s="32"/>
      <x:c r="C46" s="42"/>
      <x:c r="D46" s="32"/>
      <x:c r="E46" s="32"/>
      <x:c r="F46" s="32"/>
      <x:c r="G46" s="32"/>
      <x:c r="H46" s="32"/>
      <x:c r="I46" s="32"/>
      <x:c r="J46" s="32"/>
      <x:c r="K46" s="32"/>
      <x:c r="L46" s="32"/>
      <x:c r="M46" s="32"/>
      <x:c r="N46" s="32"/>
      <x:c r="O46" s="32"/>
      <x:c r="P46" s="32"/>
      <x:c r="Q46" s="32"/>
      <x:c r="R46" s="32"/>
      <x:c r="S46" s="32"/>
      <x:c r="T46" s="43" t="str">
        <x:f>IFERROR(S46/L46,"")</x:f>
      </x:c>
      <x:c r="U46" s="32"/>
      <x:c r="V46" s="32"/>
      <x:c r="W46" s="32"/>
      <x:c r="X46" s="32"/>
      <x:c r="Y46" s="32"/>
      <x:c r="Z46" s="32"/>
      <x:c r="AA46" s="32"/>
      <x:c r="AB46" s="32"/>
      <x:c r="AC46" s="32"/>
      <x:c r="AD46" s="32"/>
      <x:c r="AE46" s="32"/>
      <x:c r="AF46" s="32"/>
      <x:c r="AG46" s="32"/>
      <x:c r="AH46" s="32"/>
      <x:c r="AI46" s="32"/>
      <x:c r="AJ46" s="32"/>
      <x:c r="AK46" s="32"/>
      <x:c r="AL46" s="32"/>
      <x:c r="AM46" s="32"/>
      <x:c r="AN46" s="32"/>
      <x:c r="AO46" s="32"/>
      <x:c r="AP46" s="32"/>
      <x:c r="AQ46" s="32"/>
      <x:c r="AR46" s="32"/>
      <x:c r="AS46" s="32"/>
      <x:c r="AT46" s="32"/>
      <x:c r="AU46" s="32"/>
      <x:c r="AV46" s="32"/>
      <x:c r="AW46" s="32"/>
      <x:c r="AX46" s="32"/>
      <x:c r="AZ46" s="32"/>
      <x:c r="BA46" s="32"/>
      <x:c r="BB46" s="32"/>
      <x:c r="BC46" s="32"/>
      <x:c r="BD46" s="32"/>
      <x:c r="BE46" s="32"/>
      <x:c r="BF46" s="32"/>
      <x:c r="BG46" s="32"/>
      <x:c r="BH46" s="32"/>
      <x:c r="BI46" s="32"/>
      <x:c r="BJ46" s="32"/>
      <x:c r="BK46" s="32"/>
      <x:c r="BL46" s="32"/>
      <x:c r="BM46" s="32"/>
    </x:row>
    <x:row r="47">
      <x:c r="A47" s="32"/>
      <x:c r="B47" s="32"/>
      <x:c r="C47" s="42"/>
      <x:c r="D47" s="32"/>
      <x:c r="E47" s="32"/>
      <x:c r="F47" s="32"/>
      <x:c r="G47" s="32"/>
      <x:c r="H47" s="32"/>
      <x:c r="I47" s="32"/>
      <x:c r="J47" s="32"/>
      <x:c r="K47" s="32"/>
      <x:c r="L47" s="32"/>
      <x:c r="M47" s="32"/>
      <x:c r="N47" s="32"/>
      <x:c r="O47" s="32"/>
      <x:c r="P47" s="32"/>
      <x:c r="Q47" s="32"/>
      <x:c r="R47" s="32"/>
      <x:c r="S47" s="32"/>
      <x:c r="T47" s="43" t="str">
        <x:f>IFERROR(S47/L47,"")</x:f>
      </x:c>
      <x:c r="U47" s="32"/>
      <x:c r="V47" s="32"/>
      <x:c r="W47" s="32"/>
      <x:c r="X47" s="32"/>
      <x:c r="Y47" s="32"/>
      <x:c r="Z47" s="32"/>
      <x:c r="AA47" s="32"/>
      <x:c r="AB47" s="32"/>
      <x:c r="AC47" s="32"/>
      <x:c r="AD47" s="32"/>
      <x:c r="AE47" s="32"/>
      <x:c r="AF47" s="32"/>
      <x:c r="AG47" s="32"/>
      <x:c r="AH47" s="32"/>
      <x:c r="AI47" s="32"/>
      <x:c r="AJ47" s="32"/>
      <x:c r="AK47" s="32"/>
      <x:c r="AL47" s="32"/>
      <x:c r="AM47" s="32"/>
      <x:c r="AN47" s="32"/>
      <x:c r="AO47" s="32"/>
      <x:c r="AP47" s="32"/>
      <x:c r="AQ47" s="32"/>
      <x:c r="AR47" s="32"/>
      <x:c r="AS47" s="32"/>
      <x:c r="AT47" s="32"/>
      <x:c r="AU47" s="32"/>
      <x:c r="AV47" s="32"/>
      <x:c r="AW47" s="32"/>
      <x:c r="AX47" s="32"/>
      <x:c r="AZ47" s="32"/>
      <x:c r="BA47" s="32"/>
      <x:c r="BB47" s="32"/>
      <x:c r="BC47" s="32"/>
      <x:c r="BD47" s="32"/>
      <x:c r="BE47" s="32"/>
      <x:c r="BF47" s="32"/>
      <x:c r="BG47" s="32"/>
      <x:c r="BH47" s="32"/>
      <x:c r="BI47" s="32"/>
      <x:c r="BJ47" s="32"/>
      <x:c r="BK47" s="32"/>
      <x:c r="BL47" s="32"/>
      <x:c r="BM47" s="32"/>
    </x:row>
    <x:row r="48">
      <x:c r="A48" s="32"/>
      <x:c r="B48" s="32"/>
      <x:c r="C48" s="42"/>
      <x:c r="D48" s="32"/>
      <x:c r="E48" s="32"/>
      <x:c r="F48" s="32"/>
      <x:c r="G48" s="32"/>
      <x:c r="H48" s="32"/>
      <x:c r="I48" s="32"/>
      <x:c r="J48" s="32"/>
      <x:c r="K48" s="32"/>
      <x:c r="L48" s="32"/>
      <x:c r="M48" s="32"/>
      <x:c r="N48" s="32"/>
      <x:c r="O48" s="32"/>
      <x:c r="P48" s="32"/>
      <x:c r="Q48" s="32"/>
      <x:c r="R48" s="32"/>
      <x:c r="S48" s="32"/>
      <x:c r="T48" s="43" t="str">
        <x:f>IFERROR(S48/L48,"")</x:f>
      </x:c>
      <x:c r="U48" s="32"/>
      <x:c r="V48" s="32"/>
      <x:c r="W48" s="32"/>
      <x:c r="X48" s="32"/>
      <x:c r="Y48" s="32"/>
      <x:c r="Z48" s="32"/>
      <x:c r="AA48" s="32"/>
      <x:c r="AB48" s="32"/>
      <x:c r="AC48" s="32"/>
      <x:c r="AD48" s="32"/>
      <x:c r="AE48" s="32"/>
      <x:c r="AF48" s="32"/>
      <x:c r="AG48" s="32"/>
      <x:c r="AH48" s="32"/>
      <x:c r="AI48" s="32"/>
      <x:c r="AJ48" s="32"/>
      <x:c r="AK48" s="32"/>
      <x:c r="AL48" s="32"/>
      <x:c r="AM48" s="32"/>
      <x:c r="AN48" s="32"/>
      <x:c r="AO48" s="32"/>
      <x:c r="AP48" s="32"/>
      <x:c r="AQ48" s="32"/>
      <x:c r="AR48" s="32"/>
      <x:c r="AS48" s="32"/>
      <x:c r="AT48" s="32"/>
      <x:c r="AU48" s="32"/>
      <x:c r="AV48" s="32"/>
      <x:c r="AW48" s="32"/>
      <x:c r="AX48" s="32"/>
      <x:c r="AZ48" s="32"/>
      <x:c r="BA48" s="32"/>
      <x:c r="BB48" s="32"/>
      <x:c r="BC48" s="32"/>
      <x:c r="BD48" s="32"/>
      <x:c r="BE48" s="32"/>
      <x:c r="BF48" s="32"/>
      <x:c r="BG48" s="32"/>
      <x:c r="BH48" s="32"/>
      <x:c r="BI48" s="32"/>
      <x:c r="BJ48" s="32"/>
      <x:c r="BK48" s="32"/>
      <x:c r="BL48" s="32"/>
      <x:c r="BM48" s="32"/>
    </x:row>
    <x:row r="49">
      <x:c r="A49" s="32"/>
      <x:c r="B49" s="32"/>
      <x:c r="C49" s="42"/>
      <x:c r="D49" s="32"/>
      <x:c r="E49" s="32"/>
      <x:c r="F49" s="32"/>
      <x:c r="G49" s="32"/>
      <x:c r="H49" s="32"/>
      <x:c r="I49" s="32"/>
      <x:c r="J49" s="32"/>
      <x:c r="K49" s="32"/>
      <x:c r="L49" s="32"/>
      <x:c r="M49" s="32"/>
      <x:c r="N49" s="32"/>
      <x:c r="O49" s="32"/>
      <x:c r="P49" s="32"/>
      <x:c r="Q49" s="32"/>
      <x:c r="R49" s="32"/>
      <x:c r="S49" s="32"/>
      <x:c r="T49" s="43" t="str">
        <x:f>IFERROR(S49/L49,"")</x:f>
      </x:c>
      <x:c r="U49" s="32"/>
      <x:c r="V49" s="32"/>
      <x:c r="W49" s="32"/>
      <x:c r="X49" s="32"/>
      <x:c r="Y49" s="32"/>
      <x:c r="Z49" s="32"/>
      <x:c r="AA49" s="32"/>
      <x:c r="AB49" s="32"/>
      <x:c r="AC49" s="32"/>
      <x:c r="AD49" s="32"/>
      <x:c r="AE49" s="32"/>
      <x:c r="AF49" s="32"/>
      <x:c r="AG49" s="32"/>
      <x:c r="AH49" s="32"/>
      <x:c r="AI49" s="32"/>
      <x:c r="AJ49" s="32"/>
      <x:c r="AK49" s="32"/>
      <x:c r="AL49" s="32"/>
      <x:c r="AM49" s="32"/>
      <x:c r="AN49" s="32"/>
      <x:c r="AO49" s="32"/>
      <x:c r="AP49" s="32"/>
      <x:c r="AQ49" s="32"/>
      <x:c r="AR49" s="32"/>
      <x:c r="AS49" s="32"/>
      <x:c r="AT49" s="32"/>
      <x:c r="AU49" s="32"/>
      <x:c r="AV49" s="32"/>
      <x:c r="AW49" s="32"/>
      <x:c r="AX49" s="32"/>
      <x:c r="AZ49" s="32"/>
      <x:c r="BA49" s="32"/>
      <x:c r="BB49" s="32"/>
      <x:c r="BC49" s="32"/>
      <x:c r="BD49" s="32"/>
      <x:c r="BE49" s="32"/>
      <x:c r="BF49" s="32"/>
      <x:c r="BG49" s="32"/>
      <x:c r="BH49" s="32"/>
      <x:c r="BI49" s="32"/>
      <x:c r="BJ49" s="32"/>
      <x:c r="BK49" s="32"/>
      <x:c r="BL49" s="32"/>
      <x:c r="BM49" s="32"/>
    </x:row>
    <x:row r="50">
      <x:c r="A50" s="32"/>
      <x:c r="B50" s="32"/>
      <x:c r="C50" s="42"/>
      <x:c r="D50" s="32"/>
      <x:c r="E50" s="32"/>
      <x:c r="F50" s="32"/>
      <x:c r="G50" s="32"/>
      <x:c r="H50" s="32"/>
      <x:c r="I50" s="32"/>
      <x:c r="J50" s="32"/>
      <x:c r="K50" s="32"/>
      <x:c r="L50" s="32"/>
      <x:c r="M50" s="32"/>
      <x:c r="N50" s="32"/>
      <x:c r="O50" s="32"/>
      <x:c r="P50" s="32"/>
      <x:c r="Q50" s="32"/>
      <x:c r="R50" s="32"/>
      <x:c r="S50" s="32"/>
      <x:c r="T50" s="43" t="str">
        <x:f>IFERROR(S50/L50,"")</x:f>
      </x:c>
      <x:c r="U50" s="32"/>
      <x:c r="V50" s="32"/>
      <x:c r="W50" s="32"/>
      <x:c r="X50" s="32"/>
      <x:c r="Y50" s="32"/>
      <x:c r="Z50" s="32"/>
      <x:c r="AA50" s="32"/>
      <x:c r="AB50" s="32"/>
      <x:c r="AC50" s="32"/>
      <x:c r="AD50" s="32"/>
      <x:c r="AE50" s="32"/>
      <x:c r="AF50" s="32"/>
      <x:c r="AG50" s="32"/>
      <x:c r="AH50" s="32"/>
      <x:c r="AI50" s="32"/>
      <x:c r="AJ50" s="32"/>
      <x:c r="AK50" s="32"/>
      <x:c r="AL50" s="32"/>
      <x:c r="AM50" s="32"/>
      <x:c r="AN50" s="32"/>
      <x:c r="AO50" s="32"/>
      <x:c r="AP50" s="32"/>
      <x:c r="AQ50" s="32"/>
      <x:c r="AR50" s="32"/>
      <x:c r="AS50" s="32"/>
      <x:c r="AT50" s="32"/>
      <x:c r="AU50" s="32"/>
      <x:c r="AV50" s="32"/>
      <x:c r="AW50" s="32"/>
      <x:c r="AX50" s="32"/>
      <x:c r="AZ50" s="32"/>
      <x:c r="BA50" s="32"/>
      <x:c r="BB50" s="32"/>
      <x:c r="BC50" s="32"/>
      <x:c r="BD50" s="32"/>
      <x:c r="BE50" s="32"/>
      <x:c r="BF50" s="32"/>
      <x:c r="BG50" s="32"/>
      <x:c r="BH50" s="32"/>
      <x:c r="BI50" s="32"/>
      <x:c r="BJ50" s="32"/>
      <x:c r="BK50" s="32"/>
      <x:c r="BL50" s="32"/>
      <x:c r="BM50" s="32"/>
    </x:row>
    <x:row r="51">
      <x:c r="A51" s="32"/>
      <x:c r="B51" s="32"/>
      <x:c r="C51" s="42"/>
      <x:c r="D51" s="32"/>
      <x:c r="E51" s="32"/>
      <x:c r="F51" s="32"/>
      <x:c r="G51" s="32"/>
      <x:c r="H51" s="32"/>
      <x:c r="I51" s="32"/>
      <x:c r="J51" s="32"/>
      <x:c r="K51" s="32"/>
      <x:c r="L51" s="32"/>
      <x:c r="M51" s="32"/>
      <x:c r="N51" s="32"/>
      <x:c r="O51" s="32"/>
      <x:c r="P51" s="32"/>
      <x:c r="Q51" s="32"/>
      <x:c r="R51" s="32"/>
      <x:c r="S51" s="32"/>
      <x:c r="T51" s="43" t="str">
        <x:f>IFERROR(S51/L51,"")</x:f>
      </x:c>
      <x:c r="U51" s="32"/>
      <x:c r="V51" s="32"/>
      <x:c r="W51" s="32"/>
      <x:c r="X51" s="32"/>
      <x:c r="Y51" s="32"/>
      <x:c r="Z51" s="32"/>
      <x:c r="AA51" s="32"/>
      <x:c r="AB51" s="32"/>
      <x:c r="AC51" s="32"/>
      <x:c r="AD51" s="32"/>
      <x:c r="AE51" s="32"/>
      <x:c r="AF51" s="32"/>
      <x:c r="AG51" s="32"/>
      <x:c r="AH51" s="32"/>
      <x:c r="AI51" s="32"/>
      <x:c r="AJ51" s="32"/>
      <x:c r="AK51" s="32"/>
      <x:c r="AL51" s="32"/>
      <x:c r="AM51" s="32"/>
      <x:c r="AN51" s="32"/>
      <x:c r="AO51" s="32"/>
      <x:c r="AP51" s="32"/>
      <x:c r="AQ51" s="32"/>
      <x:c r="AR51" s="32"/>
      <x:c r="AS51" s="32"/>
      <x:c r="AT51" s="32"/>
      <x:c r="AU51" s="32"/>
      <x:c r="AV51" s="32"/>
      <x:c r="AW51" s="32"/>
      <x:c r="AX51" s="32"/>
      <x:c r="AZ51" s="32"/>
      <x:c r="BA51" s="32"/>
      <x:c r="BB51" s="32"/>
      <x:c r="BC51" s="32"/>
      <x:c r="BD51" s="32"/>
      <x:c r="BE51" s="32"/>
      <x:c r="BF51" s="32"/>
      <x:c r="BG51" s="32"/>
      <x:c r="BH51" s="32"/>
      <x:c r="BI51" s="32"/>
      <x:c r="BJ51" s="32"/>
      <x:c r="BK51" s="32"/>
      <x:c r="BL51" s="32"/>
      <x:c r="BM51" s="32"/>
    </x:row>
    <x:row r="52">
      <x:c r="A52" s="32"/>
      <x:c r="B52" s="32"/>
      <x:c r="C52" s="42"/>
      <x:c r="D52" s="32"/>
      <x:c r="E52" s="32"/>
      <x:c r="F52" s="32"/>
      <x:c r="G52" s="32"/>
      <x:c r="H52" s="32"/>
      <x:c r="I52" s="32"/>
      <x:c r="J52" s="32"/>
      <x:c r="K52" s="32"/>
      <x:c r="L52" s="32"/>
      <x:c r="M52" s="32"/>
      <x:c r="N52" s="32"/>
      <x:c r="O52" s="32"/>
      <x:c r="P52" s="32"/>
      <x:c r="Q52" s="32"/>
      <x:c r="R52" s="32"/>
      <x:c r="S52" s="32"/>
      <x:c r="T52" s="43" t="str">
        <x:f>IFERROR(S52/L52,"")</x:f>
      </x:c>
      <x:c r="U52" s="32"/>
      <x:c r="V52" s="32"/>
      <x:c r="W52" s="32"/>
      <x:c r="X52" s="32"/>
      <x:c r="Y52" s="32"/>
      <x:c r="Z52" s="32"/>
      <x:c r="AA52" s="32"/>
      <x:c r="AB52" s="32"/>
      <x:c r="AC52" s="32"/>
      <x:c r="AD52" s="32"/>
      <x:c r="AE52" s="32"/>
      <x:c r="AF52" s="32"/>
      <x:c r="AG52" s="32"/>
      <x:c r="AH52" s="32"/>
      <x:c r="AI52" s="32"/>
      <x:c r="AJ52" s="32"/>
      <x:c r="AK52" s="32"/>
      <x:c r="AL52" s="32"/>
      <x:c r="AM52" s="32"/>
      <x:c r="AN52" s="32"/>
      <x:c r="AO52" s="32"/>
      <x:c r="AP52" s="32"/>
      <x:c r="AQ52" s="32"/>
      <x:c r="AR52" s="32"/>
      <x:c r="AS52" s="32"/>
      <x:c r="AT52" s="32"/>
      <x:c r="AU52" s="32"/>
      <x:c r="AV52" s="32"/>
      <x:c r="AW52" s="32"/>
      <x:c r="AX52" s="32"/>
      <x:c r="AZ52" s="32"/>
      <x:c r="BA52" s="32"/>
      <x:c r="BB52" s="32"/>
      <x:c r="BC52" s="32"/>
      <x:c r="BD52" s="32"/>
      <x:c r="BE52" s="32"/>
      <x:c r="BF52" s="32"/>
      <x:c r="BG52" s="32"/>
      <x:c r="BH52" s="32"/>
      <x:c r="BI52" s="32"/>
      <x:c r="BJ52" s="32"/>
      <x:c r="BK52" s="32"/>
      <x:c r="BL52" s="32"/>
      <x:c r="BM52" s="32"/>
    </x:row>
    <x:row r="53">
      <x:c r="A53" s="32"/>
      <x:c r="B53" s="32"/>
      <x:c r="C53" s="42"/>
      <x:c r="D53" s="32"/>
      <x:c r="E53" s="32"/>
      <x:c r="F53" s="32"/>
      <x:c r="G53" s="32"/>
      <x:c r="H53" s="32"/>
      <x:c r="I53" s="32"/>
      <x:c r="J53" s="32"/>
      <x:c r="K53" s="32"/>
      <x:c r="L53" s="32"/>
      <x:c r="M53" s="32"/>
      <x:c r="N53" s="32"/>
      <x:c r="O53" s="32"/>
      <x:c r="P53" s="32"/>
      <x:c r="Q53" s="32"/>
      <x:c r="R53" s="32"/>
      <x:c r="S53" s="32"/>
      <x:c r="T53" s="43" t="str">
        <x:f>IFERROR(S53/L53,"")</x:f>
      </x:c>
      <x:c r="U53" s="32"/>
      <x:c r="V53" s="32"/>
      <x:c r="W53" s="32"/>
      <x:c r="X53" s="32"/>
      <x:c r="Y53" s="32"/>
      <x:c r="Z53" s="32"/>
      <x:c r="AA53" s="32"/>
      <x:c r="AB53" s="32"/>
      <x:c r="AC53" s="32"/>
      <x:c r="AD53" s="32"/>
      <x:c r="AE53" s="32"/>
      <x:c r="AF53" s="32"/>
      <x:c r="AG53" s="32"/>
      <x:c r="AH53" s="32"/>
      <x:c r="AI53" s="32"/>
      <x:c r="AJ53" s="32"/>
      <x:c r="AK53" s="32"/>
      <x:c r="AL53" s="32"/>
      <x:c r="AM53" s="32"/>
      <x:c r="AN53" s="32"/>
      <x:c r="AO53" s="32"/>
      <x:c r="AP53" s="32"/>
      <x:c r="AQ53" s="32"/>
      <x:c r="AR53" s="32"/>
      <x:c r="AS53" s="32"/>
      <x:c r="AT53" s="32"/>
      <x:c r="AU53" s="32"/>
      <x:c r="AV53" s="32"/>
      <x:c r="AW53" s="32"/>
      <x:c r="AX53" s="32"/>
      <x:c r="AZ53" s="32"/>
      <x:c r="BA53" s="32"/>
      <x:c r="BB53" s="32"/>
      <x:c r="BC53" s="32"/>
      <x:c r="BD53" s="32"/>
      <x:c r="BE53" s="32"/>
      <x:c r="BF53" s="32"/>
      <x:c r="BG53" s="32"/>
      <x:c r="BH53" s="32"/>
      <x:c r="BI53" s="32"/>
      <x:c r="BJ53" s="32"/>
      <x:c r="BK53" s="32"/>
      <x:c r="BL53" s="32"/>
      <x:c r="BM53" s="32"/>
    </x:row>
    <x:row r="54">
      <x:c r="A54" s="32"/>
      <x:c r="B54" s="32"/>
      <x:c r="C54" s="42"/>
      <x:c r="D54" s="32"/>
      <x:c r="E54" s="32"/>
      <x:c r="F54" s="32"/>
      <x:c r="G54" s="32"/>
      <x:c r="H54" s="32"/>
      <x:c r="I54" s="32"/>
      <x:c r="J54" s="32"/>
      <x:c r="K54" s="32"/>
      <x:c r="L54" s="32"/>
      <x:c r="M54" s="32"/>
      <x:c r="N54" s="32"/>
      <x:c r="O54" s="32"/>
      <x:c r="P54" s="32"/>
      <x:c r="Q54" s="32"/>
      <x:c r="R54" s="32"/>
      <x:c r="S54" s="32"/>
      <x:c r="T54" s="43" t="str">
        <x:f>IFERROR(S54/L54,"")</x:f>
      </x:c>
      <x:c r="U54" s="32"/>
      <x:c r="V54" s="32"/>
      <x:c r="W54" s="32"/>
      <x:c r="X54" s="32"/>
      <x:c r="Y54" s="32"/>
      <x:c r="Z54" s="32"/>
      <x:c r="AA54" s="32"/>
      <x:c r="AB54" s="32"/>
      <x:c r="AC54" s="32"/>
      <x:c r="AD54" s="32"/>
      <x:c r="AE54" s="32"/>
      <x:c r="AF54" s="32"/>
      <x:c r="AG54" s="32"/>
      <x:c r="AH54" s="32"/>
      <x:c r="AI54" s="32"/>
      <x:c r="AJ54" s="32"/>
      <x:c r="AK54" s="32"/>
      <x:c r="AL54" s="32"/>
      <x:c r="AM54" s="32"/>
      <x:c r="AN54" s="32"/>
      <x:c r="AO54" s="32"/>
      <x:c r="AP54" s="32"/>
      <x:c r="AQ54" s="32"/>
      <x:c r="AR54" s="32"/>
      <x:c r="AS54" s="32"/>
      <x:c r="AT54" s="32"/>
      <x:c r="AU54" s="32"/>
      <x:c r="AV54" s="32"/>
      <x:c r="AW54" s="32"/>
      <x:c r="AX54" s="32"/>
      <x:c r="AZ54" s="32"/>
      <x:c r="BA54" s="32"/>
      <x:c r="BB54" s="32"/>
      <x:c r="BC54" s="32"/>
      <x:c r="BD54" s="32"/>
      <x:c r="BE54" s="32"/>
      <x:c r="BF54" s="32"/>
      <x:c r="BG54" s="32"/>
      <x:c r="BH54" s="32"/>
      <x:c r="BI54" s="32"/>
      <x:c r="BJ54" s="32"/>
      <x:c r="BK54" s="32"/>
      <x:c r="BL54" s="32"/>
      <x:c r="BM54" s="32"/>
    </x:row>
    <x:row r="55">
      <x:c r="A55" s="32"/>
      <x:c r="B55" s="32"/>
      <x:c r="C55" s="42"/>
      <x:c r="D55" s="32"/>
      <x:c r="E55" s="32"/>
      <x:c r="F55" s="32"/>
      <x:c r="G55" s="32"/>
      <x:c r="H55" s="32"/>
      <x:c r="I55" s="32"/>
      <x:c r="J55" s="32"/>
      <x:c r="K55" s="32"/>
      <x:c r="L55" s="32"/>
      <x:c r="M55" s="32"/>
      <x:c r="N55" s="32"/>
      <x:c r="O55" s="32"/>
      <x:c r="P55" s="32"/>
      <x:c r="Q55" s="32"/>
      <x:c r="R55" s="32"/>
      <x:c r="S55" s="32"/>
      <x:c r="T55" s="43" t="str">
        <x:f>IFERROR(S55/L55,"")</x:f>
      </x:c>
      <x:c r="U55" s="32"/>
      <x:c r="V55" s="32"/>
      <x:c r="W55" s="32"/>
      <x:c r="X55" s="32"/>
      <x:c r="Y55" s="32"/>
      <x:c r="Z55" s="32"/>
      <x:c r="AA55" s="32"/>
      <x:c r="AB55" s="32"/>
      <x:c r="AC55" s="32"/>
      <x:c r="AD55" s="32"/>
      <x:c r="AE55" s="32"/>
      <x:c r="AF55" s="32"/>
      <x:c r="AG55" s="32"/>
      <x:c r="AH55" s="32"/>
      <x:c r="AI55" s="32"/>
      <x:c r="AJ55" s="32"/>
      <x:c r="AK55" s="32"/>
      <x:c r="AL55" s="32"/>
      <x:c r="AM55" s="32"/>
      <x:c r="AN55" s="32"/>
      <x:c r="AO55" s="32"/>
      <x:c r="AP55" s="32"/>
      <x:c r="AQ55" s="32"/>
      <x:c r="AR55" s="32"/>
      <x:c r="AS55" s="32"/>
      <x:c r="AT55" s="32"/>
      <x:c r="AU55" s="32"/>
      <x:c r="AV55" s="32"/>
      <x:c r="AW55" s="32"/>
      <x:c r="AX55" s="32"/>
      <x:c r="AZ55" s="32"/>
      <x:c r="BA55" s="32"/>
      <x:c r="BB55" s="32"/>
      <x:c r="BC55" s="32"/>
      <x:c r="BD55" s="32"/>
      <x:c r="BE55" s="32"/>
      <x:c r="BF55" s="32"/>
      <x:c r="BG55" s="32"/>
      <x:c r="BH55" s="32"/>
      <x:c r="BI55" s="32"/>
      <x:c r="BJ55" s="32"/>
      <x:c r="BK55" s="32"/>
      <x:c r="BL55" s="32"/>
      <x:c r="BM55" s="32"/>
    </x:row>
    <x:row r="56">
      <x:c r="A56" s="32"/>
      <x:c r="B56" s="32"/>
      <x:c r="C56" s="42"/>
      <x:c r="D56" s="32"/>
      <x:c r="E56" s="32"/>
      <x:c r="F56" s="32"/>
      <x:c r="G56" s="32"/>
      <x:c r="H56" s="32"/>
      <x:c r="I56" s="32"/>
      <x:c r="J56" s="32"/>
      <x:c r="K56" s="32"/>
      <x:c r="L56" s="32"/>
      <x:c r="M56" s="32"/>
      <x:c r="N56" s="32"/>
      <x:c r="O56" s="32"/>
      <x:c r="P56" s="32"/>
      <x:c r="Q56" s="32"/>
      <x:c r="R56" s="32"/>
      <x:c r="S56" s="32"/>
      <x:c r="T56" s="43" t="str">
        <x:f>IFERROR(S56/L56,"")</x:f>
      </x:c>
      <x:c r="U56" s="32"/>
      <x:c r="V56" s="32"/>
      <x:c r="W56" s="32"/>
      <x:c r="X56" s="32"/>
      <x:c r="Y56" s="32"/>
      <x:c r="Z56" s="32"/>
      <x:c r="AA56" s="32"/>
      <x:c r="AB56" s="32"/>
      <x:c r="AC56" s="32"/>
      <x:c r="AD56" s="32"/>
      <x:c r="AE56" s="32"/>
      <x:c r="AF56" s="32"/>
      <x:c r="AG56" s="32"/>
      <x:c r="AH56" s="32"/>
      <x:c r="AI56" s="32"/>
      <x:c r="AJ56" s="32"/>
      <x:c r="AK56" s="32"/>
      <x:c r="AL56" s="32"/>
      <x:c r="AM56" s="32"/>
      <x:c r="AN56" s="32"/>
      <x:c r="AO56" s="32"/>
      <x:c r="AP56" s="32"/>
      <x:c r="AQ56" s="32"/>
      <x:c r="AR56" s="32"/>
      <x:c r="AS56" s="32"/>
      <x:c r="AT56" s="32"/>
      <x:c r="AU56" s="32"/>
      <x:c r="AV56" s="32"/>
      <x:c r="AW56" s="32"/>
      <x:c r="AX56" s="32"/>
      <x:c r="AZ56" s="32"/>
      <x:c r="BA56" s="32"/>
      <x:c r="BB56" s="32"/>
      <x:c r="BC56" s="32"/>
      <x:c r="BD56" s="32"/>
      <x:c r="BE56" s="32"/>
      <x:c r="BF56" s="32"/>
      <x:c r="BG56" s="32"/>
      <x:c r="BH56" s="32"/>
      <x:c r="BI56" s="32"/>
      <x:c r="BJ56" s="32"/>
      <x:c r="BK56" s="32"/>
      <x:c r="BL56" s="32"/>
      <x:c r="BM56" s="32"/>
    </x:row>
    <x:row r="57">
      <x:c r="A57" s="32"/>
      <x:c r="B57" s="32"/>
      <x:c r="C57" s="42"/>
      <x:c r="D57" s="32"/>
      <x:c r="E57" s="32"/>
      <x:c r="F57" s="32"/>
      <x:c r="G57" s="32"/>
      <x:c r="H57" s="32"/>
      <x:c r="I57" s="32"/>
      <x:c r="J57" s="32"/>
      <x:c r="K57" s="32"/>
      <x:c r="L57" s="32"/>
      <x:c r="M57" s="32"/>
      <x:c r="N57" s="32"/>
      <x:c r="O57" s="32"/>
      <x:c r="P57" s="32"/>
      <x:c r="Q57" s="32"/>
      <x:c r="R57" s="32"/>
      <x:c r="S57" s="32"/>
      <x:c r="T57" s="43" t="str">
        <x:f>IFERROR(S57/L57,"")</x:f>
      </x:c>
      <x:c r="U57" s="32"/>
      <x:c r="V57" s="32"/>
      <x:c r="W57" s="32"/>
      <x:c r="X57" s="32"/>
      <x:c r="Y57" s="32"/>
      <x:c r="Z57" s="32"/>
      <x:c r="AA57" s="32"/>
      <x:c r="AB57" s="32"/>
      <x:c r="AC57" s="32"/>
      <x:c r="AD57" s="32"/>
      <x:c r="AE57" s="32"/>
      <x:c r="AF57" s="32"/>
      <x:c r="AG57" s="32"/>
      <x:c r="AH57" s="32"/>
      <x:c r="AI57" s="32"/>
      <x:c r="AJ57" s="32"/>
      <x:c r="AK57" s="32"/>
      <x:c r="AL57" s="32"/>
      <x:c r="AM57" s="32"/>
      <x:c r="AN57" s="32"/>
      <x:c r="AO57" s="32"/>
      <x:c r="AP57" s="32"/>
      <x:c r="AQ57" s="32"/>
      <x:c r="AR57" s="32"/>
      <x:c r="AS57" s="32"/>
      <x:c r="AT57" s="32"/>
      <x:c r="AU57" s="32"/>
      <x:c r="AV57" s="32"/>
      <x:c r="AW57" s="32"/>
      <x:c r="AX57" s="32"/>
      <x:c r="AZ57" s="32"/>
      <x:c r="BA57" s="32"/>
      <x:c r="BB57" s="32"/>
      <x:c r="BC57" s="32"/>
      <x:c r="BD57" s="32"/>
      <x:c r="BE57" s="32"/>
      <x:c r="BF57" s="32"/>
      <x:c r="BG57" s="32"/>
      <x:c r="BH57" s="32"/>
      <x:c r="BI57" s="32"/>
      <x:c r="BJ57" s="32"/>
      <x:c r="BK57" s="32"/>
      <x:c r="BL57" s="32"/>
      <x:c r="BM57" s="32"/>
    </x:row>
    <x:row r="58">
      <x:c r="A58" s="32"/>
      <x:c r="B58" s="32"/>
      <x:c r="C58" s="42"/>
      <x:c r="D58" s="32"/>
      <x:c r="E58" s="32"/>
      <x:c r="F58" s="32"/>
      <x:c r="G58" s="32"/>
      <x:c r="H58" s="32"/>
      <x:c r="I58" s="32"/>
      <x:c r="J58" s="32"/>
      <x:c r="K58" s="32"/>
      <x:c r="L58" s="32"/>
      <x:c r="M58" s="32"/>
      <x:c r="N58" s="32"/>
      <x:c r="O58" s="32"/>
      <x:c r="P58" s="32"/>
      <x:c r="Q58" s="32"/>
      <x:c r="R58" s="32"/>
      <x:c r="S58" s="32"/>
      <x:c r="T58" s="43" t="str">
        <x:f>IFERROR(S58/L58,"")</x:f>
      </x:c>
      <x:c r="U58" s="32"/>
      <x:c r="V58" s="32"/>
      <x:c r="W58" s="32"/>
      <x:c r="X58" s="32"/>
      <x:c r="Y58" s="32"/>
      <x:c r="Z58" s="32"/>
      <x:c r="AA58" s="32"/>
      <x:c r="AB58" s="32"/>
      <x:c r="AC58" s="32"/>
      <x:c r="AD58" s="32"/>
      <x:c r="AE58" s="32"/>
      <x:c r="AF58" s="32"/>
      <x:c r="AG58" s="32"/>
      <x:c r="AH58" s="32"/>
      <x:c r="AI58" s="32"/>
      <x:c r="AJ58" s="32"/>
      <x:c r="AK58" s="32"/>
      <x:c r="AL58" s="32"/>
      <x:c r="AM58" s="32"/>
      <x:c r="AN58" s="32"/>
      <x:c r="AO58" s="32"/>
      <x:c r="AP58" s="32"/>
      <x:c r="AQ58" s="32"/>
      <x:c r="AR58" s="32"/>
      <x:c r="AS58" s="32"/>
      <x:c r="AT58" s="32"/>
      <x:c r="AU58" s="32"/>
      <x:c r="AV58" s="32"/>
      <x:c r="AW58" s="32"/>
      <x:c r="AX58" s="32"/>
      <x:c r="AZ58" s="32"/>
      <x:c r="BA58" s="32"/>
      <x:c r="BB58" s="32"/>
      <x:c r="BC58" s="32"/>
      <x:c r="BD58" s="32"/>
      <x:c r="BE58" s="32"/>
      <x:c r="BF58" s="32"/>
      <x:c r="BG58" s="32"/>
      <x:c r="BH58" s="32"/>
      <x:c r="BI58" s="32"/>
      <x:c r="BJ58" s="32"/>
      <x:c r="BK58" s="32"/>
      <x:c r="BL58" s="32"/>
      <x:c r="BM58" s="32"/>
    </x:row>
    <x:row r="59">
      <x:c r="A59" s="32"/>
      <x:c r="B59" s="32"/>
      <x:c r="C59" s="42"/>
      <x:c r="D59" s="32"/>
      <x:c r="E59" s="32"/>
      <x:c r="F59" s="32"/>
      <x:c r="G59" s="32"/>
      <x:c r="H59" s="32"/>
      <x:c r="I59" s="32"/>
      <x:c r="J59" s="32"/>
      <x:c r="K59" s="32"/>
      <x:c r="L59" s="32"/>
      <x:c r="M59" s="32"/>
      <x:c r="N59" s="32"/>
      <x:c r="O59" s="32"/>
      <x:c r="P59" s="32"/>
      <x:c r="Q59" s="32"/>
      <x:c r="R59" s="32"/>
      <x:c r="S59" s="32"/>
      <x:c r="T59" s="43" t="str">
        <x:f>IFERROR(S59/L59,"")</x:f>
      </x:c>
      <x:c r="U59" s="32"/>
      <x:c r="V59" s="32"/>
      <x:c r="W59" s="32"/>
      <x:c r="X59" s="32"/>
      <x:c r="Y59" s="32"/>
      <x:c r="Z59" s="32"/>
      <x:c r="AA59" s="32"/>
      <x:c r="AB59" s="32"/>
      <x:c r="AC59" s="32"/>
      <x:c r="AD59" s="32"/>
      <x:c r="AE59" s="32"/>
      <x:c r="AF59" s="32"/>
      <x:c r="AG59" s="32"/>
      <x:c r="AH59" s="32"/>
      <x:c r="AI59" s="32"/>
      <x:c r="AJ59" s="32"/>
      <x:c r="AK59" s="32"/>
      <x:c r="AL59" s="32"/>
      <x:c r="AM59" s="32"/>
      <x:c r="AN59" s="32"/>
      <x:c r="AO59" s="32"/>
      <x:c r="AP59" s="32"/>
      <x:c r="AQ59" s="32"/>
      <x:c r="AR59" s="32"/>
      <x:c r="AS59" s="32"/>
      <x:c r="AT59" s="32"/>
      <x:c r="AU59" s="32"/>
      <x:c r="AV59" s="32"/>
      <x:c r="AW59" s="32"/>
      <x:c r="AX59" s="32"/>
      <x:c r="AZ59" s="32"/>
      <x:c r="BA59" s="32"/>
      <x:c r="BB59" s="32"/>
      <x:c r="BC59" s="32"/>
      <x:c r="BD59" s="32"/>
      <x:c r="BE59" s="32"/>
      <x:c r="BF59" s="32"/>
      <x:c r="BG59" s="32"/>
      <x:c r="BH59" s="32"/>
      <x:c r="BI59" s="32"/>
      <x:c r="BJ59" s="32"/>
      <x:c r="BK59" s="32"/>
      <x:c r="BL59" s="32"/>
      <x:c r="BM59" s="32"/>
    </x:row>
    <x:row r="60">
      <x:c r="A60" s="32"/>
      <x:c r="B60" s="32"/>
      <x:c r="C60" s="42"/>
      <x:c r="D60" s="32"/>
      <x:c r="E60" s="32"/>
      <x:c r="F60" s="32"/>
      <x:c r="G60" s="32"/>
      <x:c r="H60" s="32"/>
      <x:c r="I60" s="32"/>
      <x:c r="J60" s="32"/>
      <x:c r="K60" s="32"/>
      <x:c r="L60" s="32"/>
      <x:c r="M60" s="32"/>
      <x:c r="N60" s="32"/>
      <x:c r="O60" s="32"/>
      <x:c r="P60" s="32"/>
      <x:c r="Q60" s="32"/>
      <x:c r="R60" s="32"/>
      <x:c r="S60" s="32"/>
      <x:c r="T60" s="43" t="str">
        <x:f>IFERROR(S60/L60,"")</x:f>
      </x:c>
      <x:c r="U60" s="32"/>
      <x:c r="V60" s="32"/>
      <x:c r="W60" s="32"/>
      <x:c r="X60" s="32"/>
      <x:c r="Y60" s="32"/>
      <x:c r="Z60" s="32"/>
      <x:c r="AA60" s="32"/>
      <x:c r="AB60" s="32"/>
      <x:c r="AC60" s="32"/>
      <x:c r="AD60" s="32"/>
      <x:c r="AE60" s="32"/>
      <x:c r="AF60" s="32"/>
      <x:c r="AG60" s="32"/>
      <x:c r="AH60" s="32"/>
      <x:c r="AI60" s="32"/>
      <x:c r="AJ60" s="32"/>
      <x:c r="AK60" s="32"/>
      <x:c r="AL60" s="32"/>
      <x:c r="AM60" s="32"/>
      <x:c r="AN60" s="32"/>
      <x:c r="AO60" s="32"/>
      <x:c r="AP60" s="32"/>
      <x:c r="AQ60" s="32"/>
      <x:c r="AR60" s="32"/>
      <x:c r="AS60" s="32"/>
      <x:c r="AT60" s="32"/>
      <x:c r="AU60" s="32"/>
      <x:c r="AV60" s="32"/>
      <x:c r="AW60" s="32"/>
      <x:c r="AX60" s="32"/>
      <x:c r="AZ60" s="32"/>
      <x:c r="BA60" s="32"/>
      <x:c r="BB60" s="32"/>
      <x:c r="BC60" s="32"/>
      <x:c r="BD60" s="32"/>
      <x:c r="BE60" s="32"/>
      <x:c r="BF60" s="32"/>
      <x:c r="BG60" s="32"/>
      <x:c r="BH60" s="32"/>
      <x:c r="BI60" s="32"/>
      <x:c r="BJ60" s="32"/>
      <x:c r="BK60" s="32"/>
      <x:c r="BL60" s="32"/>
      <x:c r="BM60" s="32"/>
    </x:row>
    <x:row r="61">
      <x:c r="A61" s="32"/>
      <x:c r="B61" s="32"/>
      <x:c r="C61" s="42"/>
      <x:c r="D61" s="32"/>
      <x:c r="E61" s="32"/>
      <x:c r="F61" s="32"/>
      <x:c r="G61" s="32"/>
      <x:c r="H61" s="32"/>
      <x:c r="I61" s="32"/>
      <x:c r="J61" s="32"/>
      <x:c r="K61" s="32"/>
      <x:c r="L61" s="32"/>
      <x:c r="M61" s="32"/>
      <x:c r="N61" s="32"/>
      <x:c r="O61" s="32"/>
      <x:c r="P61" s="32"/>
      <x:c r="Q61" s="32"/>
      <x:c r="R61" s="32"/>
      <x:c r="S61" s="32"/>
      <x:c r="T61" s="43" t="str">
        <x:f>IFERROR(S61/L61,"")</x:f>
      </x:c>
      <x:c r="U61" s="32"/>
      <x:c r="V61" s="32"/>
      <x:c r="W61" s="32"/>
      <x:c r="X61" s="32"/>
      <x:c r="Y61" s="32"/>
      <x:c r="Z61" s="32"/>
      <x:c r="AA61" s="32"/>
      <x:c r="AB61" s="32"/>
      <x:c r="AC61" s="32"/>
      <x:c r="AD61" s="32"/>
      <x:c r="AE61" s="32"/>
      <x:c r="AF61" s="32"/>
      <x:c r="AG61" s="32"/>
      <x:c r="AH61" s="32"/>
      <x:c r="AI61" s="32"/>
      <x:c r="AJ61" s="32"/>
      <x:c r="AK61" s="32"/>
      <x:c r="AL61" s="32"/>
      <x:c r="AM61" s="32"/>
      <x:c r="AN61" s="32"/>
      <x:c r="AO61" s="32"/>
      <x:c r="AP61" s="32"/>
      <x:c r="AQ61" s="32"/>
      <x:c r="AR61" s="32"/>
      <x:c r="AS61" s="32"/>
      <x:c r="AT61" s="32"/>
      <x:c r="AU61" s="32"/>
      <x:c r="AV61" s="32"/>
      <x:c r="AW61" s="32"/>
      <x:c r="AX61" s="32"/>
      <x:c r="AZ61" s="32"/>
      <x:c r="BA61" s="32"/>
      <x:c r="BB61" s="32"/>
      <x:c r="BC61" s="32"/>
      <x:c r="BD61" s="32"/>
      <x:c r="BE61" s="32"/>
      <x:c r="BF61" s="32"/>
      <x:c r="BG61" s="32"/>
      <x:c r="BH61" s="32"/>
      <x:c r="BI61" s="32"/>
      <x:c r="BJ61" s="32"/>
      <x:c r="BK61" s="32"/>
      <x:c r="BL61" s="32"/>
      <x:c r="BM61" s="32"/>
    </x:row>
    <x:row r="62">
      <x:c r="A62" s="32"/>
      <x:c r="B62" s="32"/>
      <x:c r="C62" s="42"/>
      <x:c r="D62" s="32"/>
      <x:c r="E62" s="32"/>
      <x:c r="F62" s="32"/>
      <x:c r="G62" s="32"/>
      <x:c r="H62" s="32"/>
      <x:c r="I62" s="32"/>
      <x:c r="J62" s="32"/>
      <x:c r="K62" s="32"/>
      <x:c r="L62" s="32"/>
      <x:c r="M62" s="32"/>
      <x:c r="N62" s="32"/>
      <x:c r="O62" s="32"/>
      <x:c r="P62" s="32"/>
      <x:c r="Q62" s="32"/>
      <x:c r="R62" s="32"/>
      <x:c r="S62" s="32"/>
      <x:c r="T62" s="43" t="str">
        <x:f>IFERROR(S62/L62,"")</x:f>
      </x:c>
      <x:c r="U62" s="32"/>
      <x:c r="V62" s="32"/>
      <x:c r="W62" s="32"/>
      <x:c r="X62" s="32"/>
      <x:c r="Y62" s="32"/>
      <x:c r="Z62" s="32"/>
      <x:c r="AA62" s="32"/>
      <x:c r="AB62" s="32"/>
      <x:c r="AC62" s="32"/>
      <x:c r="AD62" s="32"/>
      <x:c r="AE62" s="32"/>
      <x:c r="AF62" s="32"/>
      <x:c r="AG62" s="32"/>
      <x:c r="AH62" s="32"/>
      <x:c r="AI62" s="32"/>
      <x:c r="AJ62" s="32"/>
      <x:c r="AK62" s="32"/>
      <x:c r="AL62" s="32"/>
      <x:c r="AM62" s="32"/>
      <x:c r="AN62" s="32"/>
      <x:c r="AO62" s="32"/>
      <x:c r="AP62" s="32"/>
      <x:c r="AQ62" s="32"/>
      <x:c r="AR62" s="32"/>
      <x:c r="AS62" s="32"/>
      <x:c r="AT62" s="32"/>
      <x:c r="AU62" s="32"/>
      <x:c r="AV62" s="32"/>
      <x:c r="AW62" s="32"/>
      <x:c r="AX62" s="32"/>
      <x:c r="AZ62" s="32"/>
      <x:c r="BA62" s="32"/>
      <x:c r="BB62" s="32"/>
      <x:c r="BC62" s="32"/>
      <x:c r="BD62" s="32"/>
      <x:c r="BE62" s="32"/>
      <x:c r="BF62" s="32"/>
      <x:c r="BG62" s="32"/>
      <x:c r="BH62" s="32"/>
      <x:c r="BI62" s="32"/>
      <x:c r="BJ62" s="32"/>
      <x:c r="BK62" s="32"/>
      <x:c r="BL62" s="32"/>
      <x:c r="BM62" s="32"/>
    </x:row>
    <x:row r="63">
      <x:c r="A63" s="32"/>
      <x:c r="B63" s="32"/>
      <x:c r="C63" s="42"/>
      <x:c r="D63" s="32"/>
      <x:c r="E63" s="32"/>
      <x:c r="F63" s="32"/>
      <x:c r="G63" s="32"/>
      <x:c r="H63" s="32"/>
      <x:c r="I63" s="32"/>
      <x:c r="J63" s="32"/>
      <x:c r="K63" s="32"/>
      <x:c r="L63" s="32"/>
      <x:c r="M63" s="32"/>
      <x:c r="N63" s="32"/>
      <x:c r="O63" s="32"/>
      <x:c r="P63" s="32"/>
      <x:c r="Q63" s="32"/>
      <x:c r="R63" s="32"/>
      <x:c r="S63" s="32"/>
      <x:c r="T63" s="43" t="str">
        <x:f>IFERROR(S63/L63,"")</x:f>
      </x:c>
      <x:c r="U63" s="32"/>
      <x:c r="V63" s="32"/>
      <x:c r="W63" s="32"/>
      <x:c r="X63" s="32"/>
      <x:c r="Y63" s="32"/>
      <x:c r="Z63" s="32"/>
      <x:c r="AA63" s="32"/>
      <x:c r="AB63" s="32"/>
      <x:c r="AC63" s="32"/>
      <x:c r="AD63" s="32"/>
      <x:c r="AE63" s="32"/>
      <x:c r="AF63" s="32"/>
      <x:c r="AG63" s="32"/>
      <x:c r="AH63" s="32"/>
      <x:c r="AI63" s="32"/>
      <x:c r="AJ63" s="32"/>
      <x:c r="AK63" s="32"/>
      <x:c r="AL63" s="32"/>
      <x:c r="AM63" s="32"/>
      <x:c r="AN63" s="32"/>
      <x:c r="AO63" s="32"/>
      <x:c r="AP63" s="32"/>
      <x:c r="AQ63" s="32"/>
      <x:c r="AR63" s="32"/>
      <x:c r="AS63" s="32"/>
      <x:c r="AT63" s="32"/>
      <x:c r="AU63" s="32"/>
      <x:c r="AV63" s="32"/>
      <x:c r="AW63" s="32"/>
      <x:c r="AX63" s="32"/>
      <x:c r="AZ63" s="32"/>
      <x:c r="BA63" s="32"/>
      <x:c r="BB63" s="32"/>
      <x:c r="BC63" s="32"/>
      <x:c r="BD63" s="32"/>
      <x:c r="BE63" s="32"/>
      <x:c r="BF63" s="32"/>
      <x:c r="BG63" s="32"/>
      <x:c r="BH63" s="32"/>
      <x:c r="BI63" s="32"/>
      <x:c r="BJ63" s="32"/>
      <x:c r="BK63" s="32"/>
      <x:c r="BL63" s="32"/>
      <x:c r="BM63" s="32"/>
    </x:row>
    <x:row r="64">
      <x:c r="A64" s="32"/>
      <x:c r="B64" s="32"/>
      <x:c r="C64" s="42"/>
      <x:c r="D64" s="32"/>
      <x:c r="E64" s="32"/>
      <x:c r="F64" s="32"/>
      <x:c r="G64" s="32"/>
      <x:c r="H64" s="32"/>
      <x:c r="I64" s="32"/>
      <x:c r="J64" s="32"/>
      <x:c r="K64" s="32"/>
      <x:c r="L64" s="32"/>
      <x:c r="M64" s="32"/>
      <x:c r="N64" s="32"/>
      <x:c r="O64" s="32"/>
      <x:c r="P64" s="32"/>
      <x:c r="Q64" s="32"/>
      <x:c r="R64" s="32"/>
      <x:c r="S64" s="32"/>
      <x:c r="T64" s="43" t="str">
        <x:f>IFERROR(S64/L64,"")</x:f>
      </x:c>
      <x:c r="U64" s="32"/>
      <x:c r="V64" s="32"/>
      <x:c r="W64" s="32"/>
      <x:c r="X64" s="32"/>
      <x:c r="Y64" s="32"/>
      <x:c r="Z64" s="32"/>
      <x:c r="AA64" s="32"/>
      <x:c r="AB64" s="32"/>
      <x:c r="AC64" s="32"/>
      <x:c r="AD64" s="32"/>
      <x:c r="AE64" s="32"/>
      <x:c r="AF64" s="32"/>
      <x:c r="AG64" s="32"/>
      <x:c r="AH64" s="32"/>
      <x:c r="AI64" s="32"/>
      <x:c r="AJ64" s="32"/>
      <x:c r="AK64" s="32"/>
      <x:c r="AL64" s="32"/>
      <x:c r="AM64" s="32"/>
      <x:c r="AN64" s="32"/>
      <x:c r="AO64" s="32"/>
      <x:c r="AP64" s="32"/>
      <x:c r="AQ64" s="32"/>
      <x:c r="AR64" s="32"/>
      <x:c r="AS64" s="32"/>
      <x:c r="AT64" s="32"/>
      <x:c r="AU64" s="32"/>
      <x:c r="AV64" s="32"/>
      <x:c r="AW64" s="32"/>
      <x:c r="AX64" s="32"/>
      <x:c r="AZ64" s="32"/>
      <x:c r="BA64" s="32"/>
      <x:c r="BB64" s="32"/>
      <x:c r="BC64" s="32"/>
      <x:c r="BD64" s="32"/>
      <x:c r="BE64" s="32"/>
      <x:c r="BF64" s="32"/>
      <x:c r="BG64" s="32"/>
      <x:c r="BH64" s="32"/>
      <x:c r="BI64" s="32"/>
      <x:c r="BJ64" s="32"/>
      <x:c r="BK64" s="32"/>
      <x:c r="BL64" s="32"/>
      <x:c r="BM64" s="32"/>
    </x:row>
    <x:row r="65">
      <x:c r="A65" s="32"/>
      <x:c r="B65" s="32"/>
      <x:c r="C65" s="42"/>
      <x:c r="D65" s="32"/>
      <x:c r="E65" s="32"/>
      <x:c r="F65" s="32"/>
      <x:c r="G65" s="32"/>
      <x:c r="H65" s="32"/>
      <x:c r="I65" s="32"/>
      <x:c r="J65" s="32"/>
      <x:c r="K65" s="32"/>
      <x:c r="L65" s="32"/>
      <x:c r="M65" s="32"/>
      <x:c r="N65" s="32"/>
      <x:c r="O65" s="32"/>
      <x:c r="P65" s="32"/>
      <x:c r="Q65" s="32"/>
      <x:c r="R65" s="32"/>
      <x:c r="S65" s="32"/>
      <x:c r="T65" s="43" t="str">
        <x:f>IFERROR(S65/L65,"")</x:f>
      </x:c>
      <x:c r="U65" s="32"/>
      <x:c r="V65" s="32"/>
      <x:c r="W65" s="32"/>
      <x:c r="X65" s="32"/>
      <x:c r="Y65" s="32"/>
      <x:c r="Z65" s="32"/>
      <x:c r="AA65" s="32"/>
      <x:c r="AB65" s="32"/>
      <x:c r="AC65" s="32"/>
      <x:c r="AD65" s="32"/>
      <x:c r="AE65" s="32"/>
      <x:c r="AF65" s="32"/>
      <x:c r="AG65" s="32"/>
      <x:c r="AH65" s="32"/>
      <x:c r="AI65" s="32"/>
      <x:c r="AJ65" s="32"/>
      <x:c r="AK65" s="32"/>
      <x:c r="AL65" s="32"/>
      <x:c r="AM65" s="32"/>
      <x:c r="AN65" s="32"/>
      <x:c r="AO65" s="32"/>
      <x:c r="AP65" s="32"/>
      <x:c r="AQ65" s="32"/>
      <x:c r="AR65" s="32"/>
      <x:c r="AS65" s="32"/>
      <x:c r="AT65" s="32"/>
      <x:c r="AU65" s="32"/>
      <x:c r="AV65" s="32"/>
      <x:c r="AW65" s="32"/>
      <x:c r="AX65" s="32"/>
      <x:c r="AZ65" s="32"/>
      <x:c r="BA65" s="32"/>
      <x:c r="BB65" s="32"/>
      <x:c r="BC65" s="32"/>
      <x:c r="BD65" s="32"/>
      <x:c r="BE65" s="32"/>
      <x:c r="BF65" s="32"/>
      <x:c r="BG65" s="32"/>
      <x:c r="BH65" s="32"/>
      <x:c r="BI65" s="32"/>
      <x:c r="BJ65" s="32"/>
      <x:c r="BK65" s="32"/>
      <x:c r="BL65" s="32"/>
      <x:c r="BM65" s="32"/>
    </x:row>
    <x:row r="66">
      <x:c r="A66" s="32"/>
      <x:c r="B66" s="32"/>
      <x:c r="C66" s="42"/>
      <x:c r="D66" s="32"/>
      <x:c r="E66" s="32"/>
      <x:c r="F66" s="32"/>
      <x:c r="G66" s="32"/>
      <x:c r="H66" s="32"/>
      <x:c r="I66" s="32"/>
      <x:c r="J66" s="32"/>
      <x:c r="K66" s="32"/>
      <x:c r="L66" s="32"/>
      <x:c r="M66" s="32"/>
      <x:c r="N66" s="32"/>
      <x:c r="O66" s="32"/>
      <x:c r="P66" s="32"/>
      <x:c r="Q66" s="32"/>
      <x:c r="R66" s="32"/>
      <x:c r="S66" s="32"/>
      <x:c r="T66" s="43" t="str">
        <x:f>IFERROR(S66/L66,"")</x:f>
      </x:c>
      <x:c r="U66" s="32"/>
      <x:c r="V66" s="32"/>
      <x:c r="W66" s="32"/>
      <x:c r="X66" s="32"/>
      <x:c r="Y66" s="32"/>
      <x:c r="Z66" s="32"/>
      <x:c r="AA66" s="32"/>
      <x:c r="AB66" s="32"/>
      <x:c r="AC66" s="32"/>
      <x:c r="AD66" s="32"/>
      <x:c r="AE66" s="32"/>
      <x:c r="AF66" s="32"/>
      <x:c r="AG66" s="32"/>
      <x:c r="AH66" s="32"/>
      <x:c r="AI66" s="32"/>
      <x:c r="AJ66" s="32"/>
      <x:c r="AK66" s="32"/>
      <x:c r="AL66" s="32"/>
      <x:c r="AM66" s="32"/>
      <x:c r="AN66" s="32"/>
      <x:c r="AO66" s="32"/>
      <x:c r="AP66" s="32"/>
      <x:c r="AQ66" s="32"/>
      <x:c r="AR66" s="32"/>
      <x:c r="AS66" s="32"/>
      <x:c r="AT66" s="32"/>
      <x:c r="AU66" s="32"/>
      <x:c r="AV66" s="32"/>
      <x:c r="AW66" s="32"/>
      <x:c r="AX66" s="32"/>
      <x:c r="AZ66" s="32"/>
      <x:c r="BA66" s="32"/>
      <x:c r="BB66" s="32"/>
      <x:c r="BC66" s="32"/>
      <x:c r="BD66" s="32"/>
      <x:c r="BE66" s="32"/>
      <x:c r="BF66" s="32"/>
      <x:c r="BG66" s="32"/>
      <x:c r="BH66" s="32"/>
      <x:c r="BI66" s="32"/>
      <x:c r="BJ66" s="32"/>
      <x:c r="BK66" s="32"/>
      <x:c r="BL66" s="32"/>
      <x:c r="BM66" s="32"/>
    </x:row>
    <x:row r="67">
      <x:c r="A67" s="32"/>
      <x:c r="B67" s="32"/>
      <x:c r="C67" s="42"/>
      <x:c r="D67" s="32"/>
      <x:c r="E67" s="32"/>
      <x:c r="F67" s="32"/>
      <x:c r="G67" s="32"/>
      <x:c r="H67" s="32"/>
      <x:c r="I67" s="32"/>
      <x:c r="J67" s="32"/>
      <x:c r="K67" s="32"/>
      <x:c r="L67" s="32"/>
      <x:c r="M67" s="32"/>
      <x:c r="N67" s="32"/>
      <x:c r="O67" s="32"/>
      <x:c r="P67" s="32"/>
      <x:c r="Q67" s="32"/>
      <x:c r="R67" s="32"/>
      <x:c r="S67" s="32"/>
      <x:c r="T67" s="43" t="str">
        <x:f>IFERROR(S67/L67,"")</x:f>
      </x:c>
      <x:c r="U67" s="32"/>
      <x:c r="V67" s="32"/>
      <x:c r="W67" s="32"/>
      <x:c r="X67" s="32"/>
      <x:c r="Y67" s="32"/>
      <x:c r="Z67" s="32"/>
      <x:c r="AA67" s="32"/>
      <x:c r="AB67" s="32"/>
      <x:c r="AC67" s="32"/>
      <x:c r="AD67" s="32"/>
      <x:c r="AE67" s="32"/>
      <x:c r="AF67" s="32"/>
      <x:c r="AG67" s="32"/>
      <x:c r="AH67" s="32"/>
      <x:c r="AI67" s="32"/>
      <x:c r="AJ67" s="32"/>
      <x:c r="AK67" s="32"/>
      <x:c r="AL67" s="32"/>
      <x:c r="AM67" s="32"/>
      <x:c r="AN67" s="32"/>
      <x:c r="AO67" s="32"/>
      <x:c r="AP67" s="32"/>
      <x:c r="AQ67" s="32"/>
      <x:c r="AR67" s="32"/>
      <x:c r="AS67" s="32"/>
      <x:c r="AT67" s="32"/>
      <x:c r="AU67" s="32"/>
      <x:c r="AV67" s="32"/>
      <x:c r="AW67" s="32"/>
      <x:c r="AX67" s="32"/>
      <x:c r="AZ67" s="32"/>
      <x:c r="BA67" s="32"/>
      <x:c r="BB67" s="32"/>
      <x:c r="BC67" s="32"/>
      <x:c r="BD67" s="32"/>
      <x:c r="BE67" s="32"/>
      <x:c r="BF67" s="32"/>
      <x:c r="BG67" s="32"/>
      <x:c r="BH67" s="32"/>
      <x:c r="BI67" s="32"/>
      <x:c r="BJ67" s="32"/>
      <x:c r="BK67" s="32"/>
      <x:c r="BL67" s="32"/>
      <x:c r="BM67" s="32"/>
    </x:row>
    <x:row r="68">
      <x:c r="A68" s="32"/>
      <x:c r="B68" s="32"/>
      <x:c r="C68" s="42"/>
      <x:c r="D68" s="32"/>
      <x:c r="E68" s="32"/>
      <x:c r="F68" s="32"/>
      <x:c r="G68" s="32"/>
      <x:c r="H68" s="32"/>
      <x:c r="I68" s="32"/>
      <x:c r="J68" s="32"/>
      <x:c r="K68" s="32"/>
      <x:c r="L68" s="32"/>
      <x:c r="M68" s="32"/>
      <x:c r="N68" s="32"/>
      <x:c r="O68" s="32"/>
      <x:c r="P68" s="32"/>
      <x:c r="Q68" s="32"/>
      <x:c r="R68" s="32"/>
      <x:c r="S68" s="32"/>
      <x:c r="T68" s="43" t="str">
        <x:f>IFERROR(S68/L68,"")</x:f>
      </x:c>
      <x:c r="U68" s="32"/>
      <x:c r="V68" s="32"/>
      <x:c r="W68" s="32"/>
      <x:c r="X68" s="32"/>
      <x:c r="Y68" s="32"/>
      <x:c r="Z68" s="32"/>
      <x:c r="AA68" s="32"/>
      <x:c r="AB68" s="32"/>
      <x:c r="AC68" s="32"/>
      <x:c r="AD68" s="32"/>
      <x:c r="AE68" s="32"/>
      <x:c r="AF68" s="32"/>
      <x:c r="AG68" s="32"/>
      <x:c r="AH68" s="32"/>
      <x:c r="AI68" s="32"/>
      <x:c r="AJ68" s="32"/>
      <x:c r="AK68" s="32"/>
      <x:c r="AL68" s="32"/>
      <x:c r="AM68" s="32"/>
      <x:c r="AN68" s="32"/>
      <x:c r="AO68" s="32"/>
      <x:c r="AP68" s="32"/>
      <x:c r="AQ68" s="32"/>
      <x:c r="AR68" s="32"/>
      <x:c r="AS68" s="32"/>
      <x:c r="AT68" s="32"/>
      <x:c r="AU68" s="32"/>
      <x:c r="AV68" s="32"/>
      <x:c r="AW68" s="32"/>
      <x:c r="AX68" s="32"/>
      <x:c r="AZ68" s="32"/>
      <x:c r="BA68" s="32"/>
      <x:c r="BB68" s="32"/>
      <x:c r="BC68" s="32"/>
      <x:c r="BD68" s="32"/>
      <x:c r="BE68" s="32"/>
      <x:c r="BF68" s="32"/>
      <x:c r="BG68" s="32"/>
      <x:c r="BH68" s="32"/>
      <x:c r="BI68" s="32"/>
      <x:c r="BJ68" s="32"/>
      <x:c r="BK68" s="32"/>
      <x:c r="BL68" s="32"/>
      <x:c r="BM68" s="32"/>
    </x:row>
    <x:row r="69">
      <x:c r="A69" s="32"/>
      <x:c r="B69" s="32"/>
      <x:c r="C69" s="42"/>
      <x:c r="D69" s="32"/>
      <x:c r="E69" s="32"/>
      <x:c r="F69" s="32"/>
      <x:c r="G69" s="32"/>
      <x:c r="H69" s="32"/>
      <x:c r="I69" s="32"/>
      <x:c r="J69" s="32"/>
      <x:c r="K69" s="32"/>
      <x:c r="L69" s="32"/>
      <x:c r="M69" s="32"/>
      <x:c r="N69" s="32"/>
      <x:c r="O69" s="32"/>
      <x:c r="P69" s="32"/>
      <x:c r="Q69" s="32"/>
      <x:c r="R69" s="32"/>
      <x:c r="S69" s="32"/>
      <x:c r="T69" s="43" t="str">
        <x:f>IFERROR(S69/L69,"")</x:f>
      </x:c>
      <x:c r="U69" s="32"/>
      <x:c r="V69" s="32"/>
      <x:c r="W69" s="32"/>
      <x:c r="X69" s="32"/>
      <x:c r="Y69" s="32"/>
      <x:c r="Z69" s="32"/>
      <x:c r="AA69" s="32"/>
      <x:c r="AB69" s="32"/>
      <x:c r="AC69" s="32"/>
      <x:c r="AD69" s="32"/>
      <x:c r="AE69" s="32"/>
      <x:c r="AF69" s="32"/>
      <x:c r="AG69" s="32"/>
      <x:c r="AH69" s="32"/>
      <x:c r="AI69" s="32"/>
      <x:c r="AJ69" s="32"/>
      <x:c r="AK69" s="32"/>
      <x:c r="AL69" s="32"/>
      <x:c r="AM69" s="32"/>
      <x:c r="AN69" s="32"/>
      <x:c r="AO69" s="32"/>
      <x:c r="AP69" s="32"/>
      <x:c r="AQ69" s="32"/>
      <x:c r="AR69" s="32"/>
      <x:c r="AS69" s="32"/>
      <x:c r="AT69" s="32"/>
      <x:c r="AU69" s="32"/>
      <x:c r="AV69" s="32"/>
      <x:c r="AW69" s="32"/>
      <x:c r="AX69" s="32"/>
      <x:c r="AZ69" s="32"/>
      <x:c r="BA69" s="32"/>
      <x:c r="BB69" s="32"/>
      <x:c r="BC69" s="32"/>
      <x:c r="BD69" s="32"/>
      <x:c r="BE69" s="32"/>
      <x:c r="BF69" s="32"/>
      <x:c r="BG69" s="32"/>
      <x:c r="BH69" s="32"/>
      <x:c r="BI69" s="32"/>
      <x:c r="BJ69" s="32"/>
      <x:c r="BK69" s="32"/>
      <x:c r="BL69" s="32"/>
      <x:c r="BM69" s="32"/>
    </x:row>
    <x:row r="70">
      <x:c r="A70" s="32"/>
      <x:c r="B70" s="32"/>
      <x:c r="C70" s="42"/>
      <x:c r="D70" s="32"/>
      <x:c r="E70" s="32"/>
      <x:c r="F70" s="32"/>
      <x:c r="G70" s="32"/>
      <x:c r="H70" s="32"/>
      <x:c r="I70" s="32"/>
      <x:c r="J70" s="32"/>
      <x:c r="K70" s="32"/>
      <x:c r="L70" s="32"/>
      <x:c r="M70" s="32"/>
      <x:c r="N70" s="32"/>
      <x:c r="O70" s="32"/>
      <x:c r="P70" s="32"/>
      <x:c r="Q70" s="32"/>
      <x:c r="R70" s="32"/>
      <x:c r="S70" s="32"/>
      <x:c r="T70" s="43" t="str">
        <x:f>IFERROR(S70/L70,"")</x:f>
      </x:c>
      <x:c r="U70" s="32"/>
      <x:c r="V70" s="32"/>
      <x:c r="W70" s="32"/>
      <x:c r="X70" s="32"/>
      <x:c r="Y70" s="32"/>
      <x:c r="Z70" s="32"/>
      <x:c r="AA70" s="32"/>
      <x:c r="AB70" s="32"/>
      <x:c r="AC70" s="32"/>
      <x:c r="AD70" s="32"/>
      <x:c r="AE70" s="32"/>
      <x:c r="AF70" s="32"/>
      <x:c r="AG70" s="32"/>
      <x:c r="AH70" s="32"/>
      <x:c r="AI70" s="32"/>
      <x:c r="AJ70" s="32"/>
      <x:c r="AK70" s="32"/>
      <x:c r="AL70" s="32"/>
      <x:c r="AM70" s="32"/>
      <x:c r="AN70" s="32"/>
      <x:c r="AO70" s="32"/>
      <x:c r="AP70" s="32"/>
      <x:c r="AQ70" s="32"/>
      <x:c r="AR70" s="32"/>
      <x:c r="AS70" s="32"/>
      <x:c r="AT70" s="32"/>
      <x:c r="AU70" s="32"/>
      <x:c r="AV70" s="32"/>
      <x:c r="AW70" s="32"/>
      <x:c r="AX70" s="32"/>
      <x:c r="AZ70" s="32"/>
      <x:c r="BA70" s="32"/>
      <x:c r="BB70" s="32"/>
      <x:c r="BC70" s="32"/>
      <x:c r="BD70" s="32"/>
      <x:c r="BE70" s="32"/>
      <x:c r="BF70" s="32"/>
      <x:c r="BG70" s="32"/>
      <x:c r="BH70" s="32"/>
      <x:c r="BI70" s="32"/>
      <x:c r="BJ70" s="32"/>
      <x:c r="BK70" s="32"/>
      <x:c r="BL70" s="32"/>
      <x:c r="BM70" s="32"/>
    </x:row>
    <x:row r="71">
      <x:c r="A71" s="32"/>
      <x:c r="B71" s="32"/>
      <x:c r="C71" s="42"/>
      <x:c r="D71" s="32"/>
      <x:c r="E71" s="32"/>
      <x:c r="F71" s="32"/>
      <x:c r="G71" s="32"/>
      <x:c r="H71" s="32"/>
      <x:c r="I71" s="32"/>
      <x:c r="J71" s="32"/>
      <x:c r="K71" s="32"/>
      <x:c r="L71" s="32"/>
      <x:c r="M71" s="32"/>
      <x:c r="N71" s="32"/>
      <x:c r="O71" s="32"/>
      <x:c r="P71" s="32"/>
      <x:c r="Q71" s="32"/>
      <x:c r="R71" s="32"/>
      <x:c r="S71" s="32"/>
      <x:c r="T71" s="43" t="str">
        <x:f>IFERROR(S71/L71,"")</x:f>
      </x:c>
      <x:c r="U71" s="32"/>
      <x:c r="V71" s="32"/>
      <x:c r="W71" s="32"/>
      <x:c r="X71" s="32"/>
      <x:c r="Y71" s="32"/>
      <x:c r="Z71" s="32"/>
      <x:c r="AA71" s="32"/>
      <x:c r="AB71" s="32"/>
      <x:c r="AC71" s="32"/>
      <x:c r="AD71" s="32"/>
      <x:c r="AE71" s="32"/>
      <x:c r="AF71" s="32"/>
      <x:c r="AG71" s="32"/>
      <x:c r="AH71" s="32"/>
      <x:c r="AI71" s="32"/>
      <x:c r="AJ71" s="32"/>
      <x:c r="AK71" s="32"/>
      <x:c r="AL71" s="32"/>
      <x:c r="AM71" s="32"/>
      <x:c r="AN71" s="32"/>
      <x:c r="AO71" s="32"/>
      <x:c r="AP71" s="32"/>
      <x:c r="AQ71" s="32"/>
      <x:c r="AR71" s="32"/>
      <x:c r="AS71" s="32"/>
      <x:c r="AT71" s="32"/>
      <x:c r="AU71" s="32"/>
      <x:c r="AV71" s="32"/>
      <x:c r="AW71" s="32"/>
      <x:c r="AX71" s="32"/>
      <x:c r="AZ71" s="32"/>
      <x:c r="BA71" s="32"/>
      <x:c r="BB71" s="32"/>
      <x:c r="BC71" s="32"/>
      <x:c r="BD71" s="32"/>
      <x:c r="BE71" s="32"/>
      <x:c r="BF71" s="32"/>
      <x:c r="BG71" s="32"/>
      <x:c r="BH71" s="32"/>
      <x:c r="BI71" s="32"/>
      <x:c r="BJ71" s="32"/>
      <x:c r="BK71" s="32"/>
      <x:c r="BL71" s="32"/>
      <x:c r="BM71" s="32"/>
    </x:row>
    <x:row r="72">
      <x:c r="A72" s="32"/>
      <x:c r="B72" s="32"/>
      <x:c r="C72" s="42"/>
      <x:c r="D72" s="32"/>
      <x:c r="E72" s="32"/>
      <x:c r="F72" s="32"/>
      <x:c r="G72" s="32"/>
      <x:c r="H72" s="32"/>
      <x:c r="I72" s="32"/>
      <x:c r="J72" s="32"/>
      <x:c r="K72" s="32"/>
      <x:c r="L72" s="32"/>
      <x:c r="M72" s="32"/>
      <x:c r="N72" s="32"/>
      <x:c r="O72" s="32"/>
      <x:c r="P72" s="32"/>
      <x:c r="Q72" s="32"/>
      <x:c r="R72" s="32"/>
      <x:c r="S72" s="32"/>
      <x:c r="T72" s="43" t="str">
        <x:f>IFERROR(S72/L72,"")</x:f>
      </x:c>
      <x:c r="U72" s="32"/>
      <x:c r="V72" s="32"/>
      <x:c r="W72" s="32"/>
      <x:c r="X72" s="32"/>
      <x:c r="Y72" s="32"/>
      <x:c r="Z72" s="32"/>
      <x:c r="AA72" s="32"/>
      <x:c r="AB72" s="32"/>
      <x:c r="AC72" s="32"/>
      <x:c r="AD72" s="32"/>
      <x:c r="AE72" s="32"/>
      <x:c r="AF72" s="32"/>
      <x:c r="AG72" s="32"/>
      <x:c r="AH72" s="32"/>
      <x:c r="AI72" s="32"/>
      <x:c r="AJ72" s="32"/>
      <x:c r="AK72" s="32"/>
      <x:c r="AL72" s="32"/>
      <x:c r="AM72" s="32"/>
      <x:c r="AN72" s="32"/>
      <x:c r="AO72" s="32"/>
      <x:c r="AP72" s="32"/>
      <x:c r="AQ72" s="32"/>
      <x:c r="AR72" s="32"/>
      <x:c r="AS72" s="32"/>
      <x:c r="AT72" s="32"/>
      <x:c r="AU72" s="32"/>
      <x:c r="AV72" s="32"/>
      <x:c r="AW72" s="32"/>
      <x:c r="AX72" s="32"/>
      <x:c r="AZ72" s="32"/>
      <x:c r="BA72" s="32"/>
      <x:c r="BB72" s="32"/>
      <x:c r="BC72" s="32"/>
      <x:c r="BD72" s="32"/>
      <x:c r="BE72" s="32"/>
      <x:c r="BF72" s="32"/>
      <x:c r="BG72" s="32"/>
      <x:c r="BH72" s="32"/>
      <x:c r="BI72" s="32"/>
      <x:c r="BJ72" s="32"/>
      <x:c r="BK72" s="32"/>
      <x:c r="BL72" s="32"/>
      <x:c r="BM72" s="32"/>
    </x:row>
    <x:row r="73">
      <x:c r="A73" s="32"/>
      <x:c r="B73" s="32"/>
      <x:c r="C73" s="42"/>
      <x:c r="D73" s="32"/>
      <x:c r="E73" s="32"/>
      <x:c r="F73" s="32"/>
      <x:c r="G73" s="32"/>
      <x:c r="H73" s="32"/>
      <x:c r="I73" s="32"/>
      <x:c r="J73" s="32"/>
      <x:c r="K73" s="32"/>
      <x:c r="L73" s="32"/>
      <x:c r="M73" s="32"/>
      <x:c r="N73" s="32"/>
      <x:c r="O73" s="32"/>
      <x:c r="P73" s="32"/>
      <x:c r="Q73" s="32"/>
      <x:c r="R73" s="32"/>
      <x:c r="S73" s="32"/>
      <x:c r="T73" s="43" t="str">
        <x:f>IFERROR(S73/L73,"")</x:f>
      </x:c>
      <x:c r="U73" s="32"/>
      <x:c r="V73" s="32"/>
      <x:c r="W73" s="32"/>
      <x:c r="X73" s="32"/>
      <x:c r="Y73" s="32"/>
      <x:c r="Z73" s="32"/>
      <x:c r="AA73" s="32"/>
      <x:c r="AB73" s="32"/>
      <x:c r="AC73" s="32"/>
      <x:c r="AD73" s="32"/>
      <x:c r="AE73" s="32"/>
      <x:c r="AF73" s="32"/>
      <x:c r="AG73" s="32"/>
      <x:c r="AH73" s="32"/>
      <x:c r="AI73" s="32"/>
      <x:c r="AJ73" s="32"/>
      <x:c r="AK73" s="32"/>
      <x:c r="AL73" s="32"/>
      <x:c r="AM73" s="32"/>
      <x:c r="AN73" s="32"/>
      <x:c r="AO73" s="32"/>
      <x:c r="AP73" s="32"/>
      <x:c r="AQ73" s="32"/>
      <x:c r="AR73" s="32"/>
      <x:c r="AS73" s="32"/>
      <x:c r="AT73" s="32"/>
      <x:c r="AU73" s="32"/>
      <x:c r="AV73" s="32"/>
      <x:c r="AW73" s="32"/>
      <x:c r="AX73" s="32"/>
      <x:c r="AZ73" s="32"/>
      <x:c r="BA73" s="32"/>
      <x:c r="BB73" s="32"/>
      <x:c r="BC73" s="32"/>
      <x:c r="BD73" s="32"/>
      <x:c r="BE73" s="32"/>
      <x:c r="BF73" s="32"/>
      <x:c r="BG73" s="32"/>
      <x:c r="BH73" s="32"/>
      <x:c r="BI73" s="32"/>
      <x:c r="BJ73" s="32"/>
      <x:c r="BK73" s="32"/>
      <x:c r="BL73" s="32"/>
      <x:c r="BM73" s="32"/>
    </x:row>
    <x:row r="74">
      <x:c r="A74" s="32"/>
      <x:c r="B74" s="32"/>
      <x:c r="C74" s="42"/>
      <x:c r="D74" s="32"/>
      <x:c r="E74" s="32"/>
      <x:c r="F74" s="32"/>
      <x:c r="G74" s="32"/>
      <x:c r="H74" s="32"/>
      <x:c r="I74" s="32"/>
      <x:c r="J74" s="32"/>
      <x:c r="K74" s="32"/>
      <x:c r="L74" s="32"/>
      <x:c r="M74" s="32"/>
      <x:c r="N74" s="32"/>
      <x:c r="O74" s="32"/>
      <x:c r="P74" s="32"/>
      <x:c r="Q74" s="32"/>
      <x:c r="R74" s="32"/>
      <x:c r="S74" s="32"/>
      <x:c r="T74" s="43" t="str">
        <x:f>IFERROR(S74/L74,"")</x:f>
      </x:c>
      <x:c r="U74" s="32"/>
      <x:c r="V74" s="32"/>
      <x:c r="W74" s="32"/>
      <x:c r="X74" s="32"/>
      <x:c r="Y74" s="32"/>
      <x:c r="Z74" s="32"/>
      <x:c r="AA74" s="32"/>
      <x:c r="AB74" s="32"/>
      <x:c r="AC74" s="32"/>
      <x:c r="AD74" s="32"/>
      <x:c r="AE74" s="32"/>
      <x:c r="AF74" s="32"/>
      <x:c r="AG74" s="32"/>
      <x:c r="AH74" s="32"/>
      <x:c r="AI74" s="32"/>
      <x:c r="AJ74" s="32"/>
      <x:c r="AK74" s="32"/>
      <x:c r="AL74" s="32"/>
      <x:c r="AM74" s="32"/>
      <x:c r="AN74" s="32"/>
      <x:c r="AO74" s="32"/>
      <x:c r="AP74" s="32"/>
      <x:c r="AQ74" s="32"/>
      <x:c r="AR74" s="32"/>
      <x:c r="AS74" s="32"/>
      <x:c r="AT74" s="32"/>
      <x:c r="AU74" s="32"/>
      <x:c r="AV74" s="32"/>
      <x:c r="AW74" s="32"/>
      <x:c r="AX74" s="32"/>
      <x:c r="AZ74" s="32"/>
      <x:c r="BA74" s="32"/>
      <x:c r="BB74" s="32"/>
      <x:c r="BC74" s="32"/>
      <x:c r="BD74" s="32"/>
      <x:c r="BE74" s="32"/>
      <x:c r="BF74" s="32"/>
      <x:c r="BG74" s="32"/>
      <x:c r="BH74" s="32"/>
      <x:c r="BI74" s="32"/>
      <x:c r="BJ74" s="32"/>
      <x:c r="BK74" s="32"/>
      <x:c r="BL74" s="32"/>
      <x:c r="BM74" s="32"/>
    </x:row>
    <x:row r="75">
      <x:c r="A75" s="32"/>
      <x:c r="B75" s="32"/>
      <x:c r="C75" s="42"/>
      <x:c r="D75" s="32"/>
      <x:c r="E75" s="32"/>
      <x:c r="F75" s="32"/>
      <x:c r="G75" s="32"/>
      <x:c r="H75" s="32"/>
      <x:c r="I75" s="32"/>
      <x:c r="J75" s="32"/>
      <x:c r="K75" s="32"/>
      <x:c r="L75" s="32"/>
      <x:c r="M75" s="32"/>
      <x:c r="N75" s="32"/>
      <x:c r="O75" s="32"/>
      <x:c r="P75" s="32"/>
      <x:c r="Q75" s="32"/>
      <x:c r="R75" s="32"/>
      <x:c r="S75" s="32"/>
      <x:c r="T75" s="43" t="str">
        <x:f>IFERROR(S75/L75,"")</x:f>
      </x:c>
      <x:c r="U75" s="32"/>
      <x:c r="V75" s="32"/>
      <x:c r="W75" s="32"/>
      <x:c r="X75" s="32"/>
      <x:c r="Y75" s="32"/>
      <x:c r="Z75" s="32"/>
      <x:c r="AA75" s="32"/>
      <x:c r="AB75" s="32"/>
      <x:c r="AC75" s="32"/>
      <x:c r="AD75" s="32"/>
      <x:c r="AE75" s="32"/>
      <x:c r="AF75" s="32"/>
      <x:c r="AG75" s="32"/>
      <x:c r="AH75" s="32"/>
      <x:c r="AI75" s="32"/>
      <x:c r="AJ75" s="32"/>
      <x:c r="AK75" s="32"/>
      <x:c r="AL75" s="32"/>
      <x:c r="AM75" s="32"/>
      <x:c r="AN75" s="32"/>
      <x:c r="AO75" s="32"/>
      <x:c r="AP75" s="32"/>
      <x:c r="AQ75" s="32"/>
      <x:c r="AR75" s="32"/>
      <x:c r="AS75" s="32"/>
      <x:c r="AT75" s="32"/>
      <x:c r="AU75" s="32"/>
      <x:c r="AV75" s="32"/>
      <x:c r="AW75" s="32"/>
      <x:c r="AX75" s="32"/>
      <x:c r="AZ75" s="32"/>
      <x:c r="BA75" s="32"/>
      <x:c r="BB75" s="32"/>
      <x:c r="BC75" s="32"/>
      <x:c r="BD75" s="32"/>
      <x:c r="BE75" s="32"/>
      <x:c r="BF75" s="32"/>
      <x:c r="BG75" s="32"/>
      <x:c r="BH75" s="32"/>
      <x:c r="BI75" s="32"/>
      <x:c r="BJ75" s="32"/>
      <x:c r="BK75" s="32"/>
      <x:c r="BL75" s="32"/>
      <x:c r="BM75" s="32"/>
    </x:row>
    <x:row r="76">
      <x:c r="A76" s="32"/>
      <x:c r="B76" s="32"/>
      <x:c r="C76" s="42"/>
      <x:c r="D76" s="32"/>
      <x:c r="E76" s="32"/>
      <x:c r="F76" s="32"/>
      <x:c r="G76" s="32"/>
      <x:c r="H76" s="32"/>
      <x:c r="I76" s="32"/>
      <x:c r="J76" s="32"/>
      <x:c r="K76" s="32"/>
      <x:c r="L76" s="32"/>
      <x:c r="M76" s="32"/>
      <x:c r="N76" s="32"/>
      <x:c r="O76" s="32"/>
      <x:c r="P76" s="32"/>
      <x:c r="Q76" s="32"/>
      <x:c r="R76" s="32"/>
      <x:c r="S76" s="32"/>
      <x:c r="T76" s="43" t="str">
        <x:f>IFERROR(S76/L76,"")</x:f>
      </x:c>
      <x:c r="U76" s="32"/>
      <x:c r="V76" s="32"/>
      <x:c r="W76" s="32"/>
      <x:c r="X76" s="32"/>
      <x:c r="Y76" s="32"/>
      <x:c r="Z76" s="32"/>
      <x:c r="AA76" s="32"/>
      <x:c r="AB76" s="32"/>
      <x:c r="AC76" s="32"/>
      <x:c r="AD76" s="32"/>
      <x:c r="AE76" s="32"/>
      <x:c r="AF76" s="32"/>
      <x:c r="AG76" s="32"/>
      <x:c r="AH76" s="32"/>
      <x:c r="AI76" s="32"/>
      <x:c r="AJ76" s="32"/>
      <x:c r="AK76" s="32"/>
      <x:c r="AL76" s="32"/>
      <x:c r="AM76" s="32"/>
      <x:c r="AN76" s="32"/>
      <x:c r="AO76" s="32"/>
      <x:c r="AP76" s="32"/>
      <x:c r="AQ76" s="32"/>
      <x:c r="AR76" s="32"/>
      <x:c r="AS76" s="32"/>
      <x:c r="AT76" s="32"/>
      <x:c r="AU76" s="32"/>
      <x:c r="AV76" s="32"/>
      <x:c r="AW76" s="32"/>
      <x:c r="AX76" s="32"/>
      <x:c r="AZ76" s="32"/>
      <x:c r="BA76" s="32"/>
      <x:c r="BB76" s="32"/>
      <x:c r="BC76" s="32"/>
      <x:c r="BD76" s="32"/>
      <x:c r="BE76" s="32"/>
      <x:c r="BF76" s="32"/>
      <x:c r="BG76" s="32"/>
      <x:c r="BH76" s="32"/>
      <x:c r="BI76" s="32"/>
      <x:c r="BJ76" s="32"/>
      <x:c r="BK76" s="32"/>
      <x:c r="BL76" s="32"/>
      <x:c r="BM76" s="32"/>
    </x:row>
    <x:row r="77">
      <x:c r="A77" s="32"/>
      <x:c r="B77" s="32"/>
      <x:c r="C77" s="42"/>
      <x:c r="D77" s="32"/>
      <x:c r="E77" s="32"/>
      <x:c r="F77" s="32"/>
      <x:c r="G77" s="32"/>
      <x:c r="H77" s="32"/>
      <x:c r="I77" s="32"/>
      <x:c r="J77" s="32"/>
      <x:c r="K77" s="32"/>
      <x:c r="L77" s="32"/>
      <x:c r="M77" s="32"/>
      <x:c r="N77" s="32"/>
      <x:c r="O77" s="32"/>
      <x:c r="P77" s="32"/>
      <x:c r="Q77" s="32"/>
      <x:c r="R77" s="32"/>
      <x:c r="S77" s="32"/>
      <x:c r="T77" s="43" t="str">
        <x:f>IFERROR(S77/L77,"")</x:f>
      </x:c>
      <x:c r="U77" s="32"/>
      <x:c r="V77" s="32"/>
      <x:c r="W77" s="32"/>
      <x:c r="X77" s="32"/>
      <x:c r="Y77" s="32"/>
      <x:c r="Z77" s="32"/>
      <x:c r="AA77" s="32"/>
      <x:c r="AB77" s="32"/>
      <x:c r="AC77" s="32"/>
      <x:c r="AD77" s="32"/>
      <x:c r="AE77" s="32"/>
      <x:c r="AF77" s="32"/>
      <x:c r="AG77" s="32"/>
      <x:c r="AH77" s="32"/>
      <x:c r="AI77" s="32"/>
      <x:c r="AJ77" s="32"/>
      <x:c r="AK77" s="32"/>
      <x:c r="AL77" s="32"/>
      <x:c r="AM77" s="32"/>
      <x:c r="AN77" s="32"/>
      <x:c r="AO77" s="32"/>
      <x:c r="AP77" s="32"/>
      <x:c r="AQ77" s="32"/>
      <x:c r="AR77" s="32"/>
      <x:c r="AS77" s="32"/>
      <x:c r="AT77" s="32"/>
      <x:c r="AU77" s="32"/>
      <x:c r="AV77" s="32"/>
      <x:c r="AW77" s="32"/>
      <x:c r="AX77" s="32"/>
      <x:c r="AZ77" s="32"/>
      <x:c r="BA77" s="32"/>
      <x:c r="BB77" s="32"/>
      <x:c r="BC77" s="32"/>
      <x:c r="BD77" s="32"/>
      <x:c r="BE77" s="32"/>
      <x:c r="BF77" s="32"/>
      <x:c r="BG77" s="32"/>
      <x:c r="BH77" s="32"/>
      <x:c r="BI77" s="32"/>
      <x:c r="BJ77" s="32"/>
      <x:c r="BK77" s="32"/>
      <x:c r="BL77" s="32"/>
      <x:c r="BM77" s="32"/>
    </x:row>
    <x:row r="78">
      <x:c r="A78" s="32"/>
      <x:c r="B78" s="32"/>
      <x:c r="C78" s="42"/>
      <x:c r="D78" s="32"/>
      <x:c r="E78" s="32"/>
      <x:c r="F78" s="32"/>
      <x:c r="G78" s="32"/>
      <x:c r="H78" s="32"/>
      <x:c r="I78" s="32"/>
      <x:c r="J78" s="32"/>
      <x:c r="K78" s="32"/>
      <x:c r="L78" s="32"/>
      <x:c r="M78" s="32"/>
      <x:c r="N78" s="32"/>
      <x:c r="O78" s="32"/>
      <x:c r="P78" s="32"/>
      <x:c r="Q78" s="32"/>
      <x:c r="R78" s="32"/>
      <x:c r="S78" s="32"/>
      <x:c r="T78" s="43" t="str">
        <x:f>IFERROR(S78/L78,"")</x:f>
      </x:c>
      <x:c r="U78" s="32"/>
      <x:c r="V78" s="32"/>
      <x:c r="W78" s="32"/>
      <x:c r="X78" s="32"/>
      <x:c r="Y78" s="32"/>
      <x:c r="Z78" s="32"/>
      <x:c r="AA78" s="32"/>
      <x:c r="AB78" s="32"/>
      <x:c r="AC78" s="32"/>
      <x:c r="AD78" s="32"/>
      <x:c r="AE78" s="32"/>
      <x:c r="AF78" s="32"/>
      <x:c r="AG78" s="32"/>
      <x:c r="AH78" s="32"/>
      <x:c r="AI78" s="32"/>
      <x:c r="AJ78" s="32"/>
      <x:c r="AK78" s="32"/>
      <x:c r="AL78" s="32"/>
      <x:c r="AM78" s="32"/>
      <x:c r="AN78" s="32"/>
      <x:c r="AO78" s="32"/>
      <x:c r="AP78" s="32"/>
      <x:c r="AQ78" s="32"/>
      <x:c r="AR78" s="32"/>
      <x:c r="AS78" s="32"/>
      <x:c r="AT78" s="32"/>
      <x:c r="AU78" s="32"/>
      <x:c r="AV78" s="32"/>
      <x:c r="AW78" s="32"/>
      <x:c r="AX78" s="32"/>
      <x:c r="AZ78" s="32"/>
      <x:c r="BA78" s="32"/>
      <x:c r="BB78" s="32"/>
      <x:c r="BC78" s="32"/>
      <x:c r="BD78" s="32"/>
      <x:c r="BE78" s="32"/>
      <x:c r="BF78" s="32"/>
      <x:c r="BG78" s="32"/>
      <x:c r="BH78" s="32"/>
      <x:c r="BI78" s="32"/>
      <x:c r="BJ78" s="32"/>
      <x:c r="BK78" s="32"/>
      <x:c r="BL78" s="32"/>
      <x:c r="BM78" s="32"/>
    </x:row>
    <x:row r="79">
      <x:c r="A79" s="32"/>
      <x:c r="B79" s="32"/>
      <x:c r="C79" s="42"/>
      <x:c r="D79" s="32"/>
      <x:c r="E79" s="32"/>
      <x:c r="F79" s="32"/>
      <x:c r="G79" s="32"/>
      <x:c r="H79" s="32"/>
      <x:c r="I79" s="32"/>
      <x:c r="J79" s="32"/>
      <x:c r="K79" s="32"/>
      <x:c r="L79" s="32"/>
      <x:c r="M79" s="32"/>
      <x:c r="N79" s="32"/>
      <x:c r="O79" s="32"/>
      <x:c r="P79" s="32"/>
      <x:c r="Q79" s="32"/>
      <x:c r="R79" s="32"/>
      <x:c r="S79" s="32"/>
      <x:c r="T79" s="43" t="str">
        <x:f>IFERROR(S79/L79,"")</x:f>
      </x:c>
      <x:c r="U79" s="32"/>
      <x:c r="V79" s="32"/>
      <x:c r="W79" s="32"/>
      <x:c r="X79" s="32"/>
      <x:c r="Y79" s="32"/>
      <x:c r="Z79" s="32"/>
      <x:c r="AA79" s="32"/>
      <x:c r="AB79" s="32"/>
      <x:c r="AC79" s="32"/>
      <x:c r="AD79" s="32"/>
      <x:c r="AE79" s="32"/>
      <x:c r="AF79" s="32"/>
      <x:c r="AG79" s="32"/>
      <x:c r="AH79" s="32"/>
      <x:c r="AI79" s="32"/>
      <x:c r="AJ79" s="32"/>
      <x:c r="AK79" s="32"/>
      <x:c r="AL79" s="32"/>
      <x:c r="AM79" s="32"/>
      <x:c r="AN79" s="32"/>
      <x:c r="AO79" s="32"/>
      <x:c r="AP79" s="32"/>
      <x:c r="AQ79" s="32"/>
      <x:c r="AR79" s="32"/>
      <x:c r="AS79" s="32"/>
      <x:c r="AT79" s="32"/>
      <x:c r="AU79" s="32"/>
      <x:c r="AV79" s="32"/>
      <x:c r="AW79" s="32"/>
      <x:c r="AX79" s="32"/>
      <x:c r="AZ79" s="32"/>
      <x:c r="BA79" s="32"/>
      <x:c r="BB79" s="32"/>
      <x:c r="BC79" s="32"/>
      <x:c r="BD79" s="32"/>
      <x:c r="BE79" s="32"/>
      <x:c r="BF79" s="32"/>
      <x:c r="BG79" s="32"/>
      <x:c r="BH79" s="32"/>
      <x:c r="BI79" s="32"/>
      <x:c r="BJ79" s="32"/>
      <x:c r="BK79" s="32"/>
      <x:c r="BL79" s="32"/>
      <x:c r="BM79" s="32"/>
    </x:row>
    <x:row r="80">
      <x:c r="A80" s="32"/>
      <x:c r="B80" s="32"/>
      <x:c r="C80" s="42"/>
      <x:c r="D80" s="32"/>
      <x:c r="E80" s="32"/>
      <x:c r="F80" s="32"/>
      <x:c r="G80" s="32"/>
      <x:c r="H80" s="32"/>
      <x:c r="I80" s="32"/>
      <x:c r="J80" s="32"/>
      <x:c r="K80" s="32"/>
      <x:c r="L80" s="32"/>
      <x:c r="M80" s="32"/>
      <x:c r="N80" s="32"/>
      <x:c r="O80" s="32"/>
      <x:c r="P80" s="32"/>
      <x:c r="Q80" s="32"/>
      <x:c r="R80" s="32"/>
      <x:c r="S80" s="32"/>
      <x:c r="T80" s="43" t="str">
        <x:f>IFERROR(S80/L80,"")</x:f>
      </x:c>
      <x:c r="U80" s="32"/>
      <x:c r="V80" s="32"/>
      <x:c r="W80" s="32"/>
      <x:c r="X80" s="32"/>
      <x:c r="Y80" s="32"/>
      <x:c r="Z80" s="32"/>
      <x:c r="AA80" s="32"/>
      <x:c r="AB80" s="32"/>
      <x:c r="AC80" s="32"/>
      <x:c r="AD80" s="32"/>
      <x:c r="AE80" s="32"/>
      <x:c r="AF80" s="32"/>
      <x:c r="AG80" s="32"/>
      <x:c r="AH80" s="32"/>
      <x:c r="AI80" s="32"/>
      <x:c r="AJ80" s="32"/>
      <x:c r="AK80" s="32"/>
      <x:c r="AL80" s="32"/>
      <x:c r="AM80" s="32"/>
      <x:c r="AN80" s="32"/>
      <x:c r="AO80" s="32"/>
      <x:c r="AP80" s="32"/>
      <x:c r="AQ80" s="32"/>
      <x:c r="AR80" s="32"/>
      <x:c r="AS80" s="32"/>
      <x:c r="AT80" s="32"/>
      <x:c r="AU80" s="32"/>
      <x:c r="AV80" s="32"/>
      <x:c r="AW80" s="32"/>
      <x:c r="AX80" s="32"/>
      <x:c r="AZ80" s="32"/>
      <x:c r="BA80" s="32"/>
      <x:c r="BB80" s="32"/>
      <x:c r="BC80" s="32"/>
      <x:c r="BD80" s="32"/>
      <x:c r="BE80" s="32"/>
      <x:c r="BF80" s="32"/>
      <x:c r="BG80" s="32"/>
      <x:c r="BH80" s="32"/>
      <x:c r="BI80" s="32"/>
      <x:c r="BJ80" s="32"/>
      <x:c r="BK80" s="32"/>
      <x:c r="BL80" s="32"/>
      <x:c r="BM80" s="32"/>
    </x:row>
    <x:row r="81">
      <x:c r="A81" s="32"/>
      <x:c r="B81" s="32"/>
      <x:c r="C81" s="42"/>
      <x:c r="D81" s="32"/>
      <x:c r="E81" s="32"/>
      <x:c r="F81" s="32"/>
      <x:c r="G81" s="32"/>
      <x:c r="H81" s="32"/>
      <x:c r="I81" s="32"/>
      <x:c r="J81" s="32"/>
      <x:c r="K81" s="32"/>
      <x:c r="L81" s="32"/>
      <x:c r="M81" s="32"/>
      <x:c r="N81" s="32"/>
      <x:c r="O81" s="32"/>
      <x:c r="P81" s="32"/>
      <x:c r="Q81" s="32"/>
      <x:c r="R81" s="32"/>
      <x:c r="S81" s="32"/>
      <x:c r="T81" s="43" t="str">
        <x:f>IFERROR(S81/L81,"")</x:f>
      </x:c>
      <x:c r="U81" s="32"/>
      <x:c r="V81" s="32"/>
      <x:c r="W81" s="32"/>
      <x:c r="X81" s="32"/>
      <x:c r="Y81" s="32"/>
      <x:c r="Z81" s="32"/>
      <x:c r="AA81" s="32"/>
      <x:c r="AB81" s="32"/>
      <x:c r="AC81" s="32"/>
      <x:c r="AD81" s="32"/>
      <x:c r="AE81" s="32"/>
      <x:c r="AF81" s="32"/>
      <x:c r="AG81" s="32"/>
      <x:c r="AH81" s="32"/>
      <x:c r="AI81" s="32"/>
      <x:c r="AJ81" s="32"/>
      <x:c r="AK81" s="32"/>
      <x:c r="AL81" s="32"/>
      <x:c r="AM81" s="32"/>
      <x:c r="AN81" s="32"/>
      <x:c r="AO81" s="32"/>
      <x:c r="AP81" s="32"/>
      <x:c r="AQ81" s="32"/>
      <x:c r="AR81" s="32"/>
      <x:c r="AS81" s="32"/>
      <x:c r="AT81" s="32"/>
      <x:c r="AU81" s="32"/>
      <x:c r="AV81" s="32"/>
      <x:c r="AW81" s="32"/>
      <x:c r="AX81" s="32"/>
      <x:c r="AZ81" s="32"/>
      <x:c r="BA81" s="32"/>
      <x:c r="BB81" s="32"/>
      <x:c r="BC81" s="32"/>
      <x:c r="BD81" s="32"/>
      <x:c r="BE81" s="32"/>
      <x:c r="BF81" s="32"/>
      <x:c r="BG81" s="32"/>
      <x:c r="BH81" s="32"/>
      <x:c r="BI81" s="32"/>
      <x:c r="BJ81" s="32"/>
      <x:c r="BK81" s="32"/>
      <x:c r="BL81" s="32"/>
      <x:c r="BM81" s="32"/>
    </x:row>
    <x:row r="82">
      <x:c r="A82" s="32"/>
      <x:c r="B82" s="32"/>
      <x:c r="C82" s="42"/>
      <x:c r="D82" s="32"/>
      <x:c r="E82" s="32"/>
      <x:c r="F82" s="32"/>
      <x:c r="G82" s="32"/>
      <x:c r="H82" s="32"/>
      <x:c r="I82" s="32"/>
      <x:c r="J82" s="32"/>
      <x:c r="K82" s="32"/>
      <x:c r="L82" s="32"/>
      <x:c r="M82" s="32"/>
      <x:c r="N82" s="32"/>
      <x:c r="O82" s="32"/>
      <x:c r="P82" s="32"/>
      <x:c r="Q82" s="32"/>
      <x:c r="R82" s="32"/>
      <x:c r="S82" s="32"/>
      <x:c r="T82" s="43" t="str">
        <x:f>IFERROR(S82/L82,"")</x:f>
      </x:c>
      <x:c r="U82" s="32"/>
      <x:c r="V82" s="32"/>
      <x:c r="W82" s="32"/>
      <x:c r="X82" s="32"/>
      <x:c r="Y82" s="32"/>
      <x:c r="Z82" s="32"/>
      <x:c r="AA82" s="32"/>
      <x:c r="AB82" s="32"/>
      <x:c r="AC82" s="32"/>
      <x:c r="AD82" s="32"/>
      <x:c r="AE82" s="32"/>
      <x:c r="AF82" s="32"/>
      <x:c r="AG82" s="32"/>
      <x:c r="AH82" s="32"/>
      <x:c r="AI82" s="32"/>
      <x:c r="AJ82" s="32"/>
      <x:c r="AK82" s="32"/>
      <x:c r="AL82" s="32"/>
      <x:c r="AM82" s="32"/>
      <x:c r="AN82" s="32"/>
      <x:c r="AO82" s="32"/>
      <x:c r="AP82" s="32"/>
      <x:c r="AQ82" s="32"/>
      <x:c r="AR82" s="32"/>
      <x:c r="AS82" s="32"/>
      <x:c r="AT82" s="32"/>
      <x:c r="AU82" s="32"/>
      <x:c r="AV82" s="32"/>
      <x:c r="AW82" s="32"/>
      <x:c r="AX82" s="32"/>
      <x:c r="AZ82" s="32"/>
      <x:c r="BA82" s="32"/>
      <x:c r="BB82" s="32"/>
      <x:c r="BC82" s="32"/>
      <x:c r="BD82" s="32"/>
      <x:c r="BE82" s="32"/>
      <x:c r="BF82" s="32"/>
      <x:c r="BG82" s="32"/>
      <x:c r="BH82" s="32"/>
      <x:c r="BI82" s="32"/>
      <x:c r="BJ82" s="32"/>
      <x:c r="BK82" s="32"/>
      <x:c r="BL82" s="32"/>
      <x:c r="BM82" s="32"/>
    </x:row>
    <x:row r="83">
      <x:c r="A83" s="32"/>
      <x:c r="B83" s="32"/>
      <x:c r="C83" s="42"/>
      <x:c r="D83" s="32"/>
      <x:c r="E83" s="32"/>
      <x:c r="F83" s="32"/>
      <x:c r="G83" s="32"/>
      <x:c r="H83" s="32"/>
      <x:c r="I83" s="32"/>
      <x:c r="J83" s="32"/>
      <x:c r="K83" s="32"/>
      <x:c r="L83" s="32"/>
      <x:c r="M83" s="32"/>
      <x:c r="N83" s="32"/>
      <x:c r="O83" s="32"/>
      <x:c r="P83" s="32"/>
      <x:c r="Q83" s="32"/>
      <x:c r="R83" s="32"/>
      <x:c r="S83" s="32"/>
      <x:c r="T83" s="43" t="str">
        <x:f>IFERROR(S83/L83,"")</x:f>
      </x:c>
      <x:c r="U83" s="32"/>
      <x:c r="V83" s="32"/>
      <x:c r="W83" s="32"/>
      <x:c r="X83" s="32"/>
      <x:c r="Y83" s="32"/>
      <x:c r="Z83" s="32"/>
      <x:c r="AA83" s="32"/>
      <x:c r="AB83" s="32"/>
      <x:c r="AC83" s="32"/>
      <x:c r="AD83" s="32"/>
      <x:c r="AE83" s="32"/>
      <x:c r="AF83" s="32"/>
      <x:c r="AG83" s="32"/>
      <x:c r="AH83" s="32"/>
      <x:c r="AI83" s="32"/>
      <x:c r="AJ83" s="32"/>
      <x:c r="AK83" s="32"/>
      <x:c r="AL83" s="32"/>
      <x:c r="AM83" s="32"/>
      <x:c r="AN83" s="32"/>
      <x:c r="AO83" s="32"/>
      <x:c r="AP83" s="32"/>
      <x:c r="AQ83" s="32"/>
      <x:c r="AR83" s="32"/>
      <x:c r="AS83" s="32"/>
      <x:c r="AT83" s="32"/>
      <x:c r="AU83" s="32"/>
      <x:c r="AV83" s="32"/>
      <x:c r="AW83" s="32"/>
      <x:c r="AX83" s="32"/>
      <x:c r="AZ83" s="32"/>
      <x:c r="BA83" s="32"/>
      <x:c r="BB83" s="32"/>
      <x:c r="BC83" s="32"/>
      <x:c r="BD83" s="32"/>
      <x:c r="BE83" s="32"/>
      <x:c r="BF83" s="32"/>
      <x:c r="BG83" s="32"/>
      <x:c r="BH83" s="32"/>
      <x:c r="BI83" s="32"/>
      <x:c r="BJ83" s="32"/>
      <x:c r="BK83" s="32"/>
      <x:c r="BL83" s="32"/>
      <x:c r="BM83" s="32"/>
    </x:row>
    <x:row r="84">
      <x:c r="A84" s="32"/>
      <x:c r="B84" s="32"/>
      <x:c r="C84" s="42"/>
      <x:c r="D84" s="32"/>
      <x:c r="E84" s="32"/>
      <x:c r="F84" s="32"/>
      <x:c r="G84" s="32"/>
      <x:c r="H84" s="32"/>
      <x:c r="I84" s="32"/>
      <x:c r="J84" s="32"/>
      <x:c r="K84" s="32"/>
      <x:c r="L84" s="32"/>
      <x:c r="M84" s="32"/>
      <x:c r="N84" s="32"/>
      <x:c r="O84" s="32"/>
      <x:c r="P84" s="32"/>
      <x:c r="Q84" s="32"/>
      <x:c r="R84" s="32"/>
      <x:c r="S84" s="32"/>
      <x:c r="T84" s="43" t="str">
        <x:f>IFERROR(S84/L84,"")</x:f>
      </x:c>
      <x:c r="U84" s="32"/>
      <x:c r="V84" s="32"/>
      <x:c r="W84" s="32"/>
      <x:c r="X84" s="32"/>
      <x:c r="Y84" s="32"/>
      <x:c r="Z84" s="32"/>
      <x:c r="AA84" s="32"/>
      <x:c r="AB84" s="32"/>
      <x:c r="AC84" s="32"/>
      <x:c r="AD84" s="32"/>
      <x:c r="AE84" s="32"/>
      <x:c r="AF84" s="32"/>
      <x:c r="AG84" s="32"/>
      <x:c r="AH84" s="32"/>
      <x:c r="AI84" s="32"/>
      <x:c r="AJ84" s="32"/>
      <x:c r="AK84" s="32"/>
      <x:c r="AL84" s="32"/>
      <x:c r="AM84" s="32"/>
      <x:c r="AN84" s="32"/>
      <x:c r="AO84" s="32"/>
      <x:c r="AP84" s="32"/>
      <x:c r="AQ84" s="32"/>
      <x:c r="AR84" s="32"/>
      <x:c r="AS84" s="32"/>
      <x:c r="AT84" s="32"/>
      <x:c r="AU84" s="32"/>
      <x:c r="AV84" s="32"/>
      <x:c r="AW84" s="32"/>
      <x:c r="AX84" s="32"/>
      <x:c r="AZ84" s="32"/>
      <x:c r="BA84" s="32"/>
      <x:c r="BB84" s="32"/>
      <x:c r="BC84" s="32"/>
      <x:c r="BD84" s="32"/>
      <x:c r="BE84" s="32"/>
      <x:c r="BF84" s="32"/>
      <x:c r="BG84" s="32"/>
      <x:c r="BH84" s="32"/>
      <x:c r="BI84" s="32"/>
      <x:c r="BJ84" s="32"/>
      <x:c r="BK84" s="32"/>
      <x:c r="BL84" s="32"/>
      <x:c r="BM84" s="32"/>
    </x:row>
    <x:row r="85">
      <x:c r="A85" s="32"/>
      <x:c r="B85" s="32"/>
      <x:c r="C85" s="42"/>
      <x:c r="D85" s="32"/>
      <x:c r="E85" s="32"/>
      <x:c r="F85" s="32"/>
      <x:c r="G85" s="32"/>
      <x:c r="H85" s="32"/>
      <x:c r="I85" s="32"/>
      <x:c r="J85" s="32"/>
      <x:c r="K85" s="32"/>
      <x:c r="L85" s="32"/>
      <x:c r="M85" s="32"/>
      <x:c r="N85" s="32"/>
      <x:c r="O85" s="32"/>
      <x:c r="P85" s="32"/>
      <x:c r="Q85" s="32"/>
      <x:c r="R85" s="32"/>
      <x:c r="S85" s="32"/>
      <x:c r="T85" s="43" t="str">
        <x:f>IFERROR(S85/L85,"")</x:f>
      </x:c>
      <x:c r="U85" s="32"/>
      <x:c r="V85" s="32"/>
      <x:c r="W85" s="32"/>
      <x:c r="X85" s="32"/>
      <x:c r="Y85" s="32"/>
      <x:c r="Z85" s="32"/>
      <x:c r="AA85" s="32"/>
      <x:c r="AB85" s="32"/>
      <x:c r="AC85" s="32"/>
      <x:c r="AD85" s="32"/>
      <x:c r="AE85" s="32"/>
      <x:c r="AF85" s="32"/>
      <x:c r="AG85" s="32"/>
      <x:c r="AH85" s="32"/>
      <x:c r="AI85" s="32"/>
      <x:c r="AJ85" s="32"/>
      <x:c r="AK85" s="32"/>
      <x:c r="AL85" s="32"/>
      <x:c r="AM85" s="32"/>
      <x:c r="AN85" s="32"/>
      <x:c r="AO85" s="32"/>
      <x:c r="AP85" s="32"/>
      <x:c r="AQ85" s="32"/>
      <x:c r="AR85" s="32"/>
      <x:c r="AS85" s="32"/>
      <x:c r="AT85" s="32"/>
      <x:c r="AU85" s="32"/>
      <x:c r="AV85" s="32"/>
      <x:c r="AW85" s="32"/>
      <x:c r="AX85" s="32"/>
      <x:c r="AZ85" s="32"/>
      <x:c r="BA85" s="32"/>
      <x:c r="BB85" s="32"/>
      <x:c r="BC85" s="32"/>
      <x:c r="BD85" s="32"/>
      <x:c r="BE85" s="32"/>
      <x:c r="BF85" s="32"/>
      <x:c r="BG85" s="32"/>
      <x:c r="BH85" s="32"/>
      <x:c r="BI85" s="32"/>
      <x:c r="BJ85" s="32"/>
      <x:c r="BK85" s="32"/>
      <x:c r="BL85" s="32"/>
      <x:c r="BM85" s="32"/>
    </x:row>
    <x:row r="86">
      <x:c r="A86" s="32"/>
      <x:c r="B86" s="32"/>
      <x:c r="C86" s="42"/>
      <x:c r="D86" s="32"/>
      <x:c r="E86" s="32"/>
      <x:c r="F86" s="32"/>
      <x:c r="G86" s="32"/>
      <x:c r="H86" s="32"/>
      <x:c r="I86" s="32"/>
      <x:c r="J86" s="32"/>
      <x:c r="K86" s="32"/>
      <x:c r="L86" s="32"/>
      <x:c r="M86" s="32"/>
      <x:c r="N86" s="32"/>
      <x:c r="O86" s="32"/>
      <x:c r="P86" s="32"/>
      <x:c r="Q86" s="32"/>
      <x:c r="R86" s="32"/>
      <x:c r="S86" s="32"/>
      <x:c r="T86" s="43" t="str">
        <x:f>IFERROR(S86/L86,"")</x:f>
      </x:c>
      <x:c r="U86" s="32"/>
      <x:c r="V86" s="32"/>
      <x:c r="W86" s="32"/>
      <x:c r="X86" s="32"/>
      <x:c r="Y86" s="32"/>
      <x:c r="Z86" s="32"/>
      <x:c r="AA86" s="32"/>
      <x:c r="AB86" s="32"/>
      <x:c r="AC86" s="32"/>
      <x:c r="AD86" s="32"/>
      <x:c r="AE86" s="32"/>
      <x:c r="AF86" s="32"/>
      <x:c r="AG86" s="32"/>
      <x:c r="AH86" s="32"/>
      <x:c r="AI86" s="32"/>
      <x:c r="AJ86" s="32"/>
      <x:c r="AK86" s="32"/>
      <x:c r="AL86" s="32"/>
      <x:c r="AM86" s="32"/>
      <x:c r="AN86" s="32"/>
      <x:c r="AO86" s="32"/>
      <x:c r="AP86" s="32"/>
      <x:c r="AQ86" s="32"/>
      <x:c r="AR86" s="32"/>
      <x:c r="AS86" s="32"/>
      <x:c r="AT86" s="32"/>
      <x:c r="AU86" s="32"/>
      <x:c r="AV86" s="32"/>
      <x:c r="AW86" s="32"/>
      <x:c r="AX86" s="32"/>
      <x:c r="AZ86" s="32"/>
      <x:c r="BA86" s="32"/>
      <x:c r="BB86" s="32"/>
      <x:c r="BC86" s="32"/>
      <x:c r="BD86" s="32"/>
      <x:c r="BE86" s="32"/>
      <x:c r="BF86" s="32"/>
      <x:c r="BG86" s="32"/>
      <x:c r="BH86" s="32"/>
      <x:c r="BI86" s="32"/>
      <x:c r="BJ86" s="32"/>
      <x:c r="BK86" s="32"/>
      <x:c r="BL86" s="32"/>
      <x:c r="BM86" s="32"/>
    </x:row>
    <x:row r="87">
      <x:c r="A87" s="32"/>
      <x:c r="B87" s="32"/>
      <x:c r="C87" s="42"/>
      <x:c r="D87" s="32"/>
      <x:c r="E87" s="32"/>
      <x:c r="F87" s="32"/>
      <x:c r="G87" s="32"/>
      <x:c r="H87" s="32"/>
      <x:c r="I87" s="32"/>
      <x:c r="J87" s="32"/>
      <x:c r="K87" s="32"/>
      <x:c r="L87" s="32"/>
      <x:c r="M87" s="32"/>
      <x:c r="N87" s="32"/>
      <x:c r="O87" s="32"/>
      <x:c r="P87" s="32"/>
      <x:c r="Q87" s="32"/>
      <x:c r="R87" s="32"/>
      <x:c r="S87" s="32"/>
      <x:c r="T87" s="43" t="str">
        <x:f>IFERROR(S87/L87,"")</x:f>
      </x:c>
      <x:c r="U87" s="32"/>
      <x:c r="V87" s="32"/>
      <x:c r="W87" s="32"/>
      <x:c r="X87" s="32"/>
      <x:c r="Y87" s="32"/>
      <x:c r="Z87" s="32"/>
      <x:c r="AA87" s="32"/>
      <x:c r="AB87" s="32"/>
      <x:c r="AC87" s="32"/>
      <x:c r="AD87" s="32"/>
      <x:c r="AE87" s="32"/>
      <x:c r="AF87" s="32"/>
      <x:c r="AG87" s="32"/>
      <x:c r="AH87" s="32"/>
      <x:c r="AI87" s="32"/>
      <x:c r="AJ87" s="32"/>
      <x:c r="AK87" s="32"/>
      <x:c r="AL87" s="32"/>
      <x:c r="AM87" s="32"/>
      <x:c r="AN87" s="32"/>
      <x:c r="AO87" s="32"/>
      <x:c r="AP87" s="32"/>
      <x:c r="AQ87" s="32"/>
      <x:c r="AR87" s="32"/>
      <x:c r="AS87" s="32"/>
      <x:c r="AT87" s="32"/>
      <x:c r="AU87" s="32"/>
      <x:c r="AV87" s="32"/>
      <x:c r="AW87" s="32"/>
      <x:c r="AX87" s="32"/>
      <x:c r="AZ87" s="32"/>
      <x:c r="BA87" s="32"/>
      <x:c r="BB87" s="32"/>
      <x:c r="BC87" s="32"/>
      <x:c r="BD87" s="32"/>
      <x:c r="BE87" s="32"/>
      <x:c r="BF87" s="32"/>
      <x:c r="BG87" s="32"/>
      <x:c r="BH87" s="32"/>
      <x:c r="BI87" s="32"/>
      <x:c r="BJ87" s="32"/>
      <x:c r="BK87" s="32"/>
      <x:c r="BL87" s="32"/>
      <x:c r="BM87" s="32"/>
    </x:row>
    <x:row r="88">
      <x:c r="A88" s="32"/>
      <x:c r="B88" s="32"/>
      <x:c r="C88" s="42"/>
      <x:c r="D88" s="32"/>
      <x:c r="E88" s="32"/>
      <x:c r="F88" s="32"/>
      <x:c r="G88" s="32"/>
      <x:c r="H88" s="32"/>
      <x:c r="I88" s="32"/>
      <x:c r="J88" s="32"/>
      <x:c r="K88" s="32"/>
      <x:c r="L88" s="32"/>
      <x:c r="M88" s="32"/>
      <x:c r="N88" s="32"/>
      <x:c r="O88" s="32"/>
      <x:c r="P88" s="32"/>
      <x:c r="Q88" s="32"/>
      <x:c r="R88" s="32"/>
      <x:c r="S88" s="32"/>
      <x:c r="T88" s="43" t="str">
        <x:f>IFERROR(S88/L88,"")</x:f>
      </x:c>
      <x:c r="U88" s="32"/>
      <x:c r="V88" s="32"/>
      <x:c r="W88" s="32"/>
      <x:c r="X88" s="32"/>
      <x:c r="Y88" s="32"/>
      <x:c r="Z88" s="32"/>
      <x:c r="AA88" s="32"/>
      <x:c r="AB88" s="32"/>
      <x:c r="AC88" s="32"/>
      <x:c r="AD88" s="32"/>
      <x:c r="AE88" s="32"/>
      <x:c r="AF88" s="32"/>
      <x:c r="AG88" s="32"/>
      <x:c r="AH88" s="32"/>
      <x:c r="AI88" s="32"/>
      <x:c r="AJ88" s="32"/>
      <x:c r="AK88" s="32"/>
      <x:c r="AL88" s="32"/>
      <x:c r="AM88" s="32"/>
      <x:c r="AN88" s="32"/>
      <x:c r="AO88" s="32"/>
      <x:c r="AP88" s="32"/>
      <x:c r="AQ88" s="32"/>
      <x:c r="AR88" s="32"/>
      <x:c r="AS88" s="32"/>
      <x:c r="AT88" s="32"/>
      <x:c r="AU88" s="32"/>
      <x:c r="AV88" s="32"/>
      <x:c r="AW88" s="32"/>
      <x:c r="AX88" s="32"/>
      <x:c r="AZ88" s="32"/>
      <x:c r="BA88" s="32"/>
      <x:c r="BB88" s="32"/>
      <x:c r="BC88" s="32"/>
      <x:c r="BD88" s="32"/>
      <x:c r="BE88" s="32"/>
      <x:c r="BF88" s="32"/>
      <x:c r="BG88" s="32"/>
      <x:c r="BH88" s="32"/>
      <x:c r="BI88" s="32"/>
      <x:c r="BJ88" s="32"/>
      <x:c r="BK88" s="32"/>
      <x:c r="BL88" s="32"/>
      <x:c r="BM88" s="32"/>
    </x:row>
    <x:row r="89">
      <x:c r="A89" s="32"/>
      <x:c r="B89" s="32"/>
      <x:c r="C89" s="42"/>
      <x:c r="D89" s="32"/>
      <x:c r="E89" s="32"/>
      <x:c r="F89" s="32"/>
      <x:c r="G89" s="32"/>
      <x:c r="H89" s="32"/>
      <x:c r="I89" s="32"/>
      <x:c r="J89" s="32"/>
      <x:c r="K89" s="32"/>
      <x:c r="L89" s="32"/>
      <x:c r="M89" s="32"/>
      <x:c r="N89" s="32"/>
      <x:c r="O89" s="32"/>
      <x:c r="P89" s="32"/>
      <x:c r="Q89" s="32"/>
      <x:c r="R89" s="32"/>
      <x:c r="S89" s="32"/>
      <x:c r="T89" s="43" t="str">
        <x:f>IFERROR(S89/L89,"")</x:f>
      </x:c>
      <x:c r="U89" s="32"/>
      <x:c r="V89" s="32"/>
      <x:c r="W89" s="32"/>
      <x:c r="X89" s="32"/>
      <x:c r="Y89" s="32"/>
      <x:c r="Z89" s="32"/>
      <x:c r="AA89" s="32"/>
      <x:c r="AB89" s="32"/>
      <x:c r="AC89" s="32"/>
      <x:c r="AD89" s="32"/>
      <x:c r="AE89" s="32"/>
      <x:c r="AF89" s="32"/>
      <x:c r="AG89" s="32"/>
      <x:c r="AH89" s="32"/>
      <x:c r="AI89" s="32"/>
      <x:c r="AJ89" s="32"/>
      <x:c r="AK89" s="32"/>
      <x:c r="AL89" s="32"/>
      <x:c r="AM89" s="32"/>
      <x:c r="AN89" s="32"/>
      <x:c r="AO89" s="32"/>
      <x:c r="AP89" s="32"/>
      <x:c r="AQ89" s="32"/>
      <x:c r="AR89" s="32"/>
      <x:c r="AS89" s="32"/>
      <x:c r="AT89" s="32"/>
      <x:c r="AU89" s="32"/>
      <x:c r="AV89" s="32"/>
      <x:c r="AW89" s="32"/>
      <x:c r="AX89" s="32"/>
      <x:c r="AZ89" s="32"/>
      <x:c r="BA89" s="32"/>
      <x:c r="BB89" s="32"/>
      <x:c r="BC89" s="32"/>
      <x:c r="BD89" s="32"/>
      <x:c r="BE89" s="32"/>
      <x:c r="BF89" s="32"/>
      <x:c r="BG89" s="32"/>
      <x:c r="BH89" s="32"/>
      <x:c r="BI89" s="32"/>
      <x:c r="BJ89" s="32"/>
      <x:c r="BK89" s="32"/>
      <x:c r="BL89" s="32"/>
      <x:c r="BM89" s="32"/>
    </x:row>
    <x:row r="90">
      <x:c r="A90" s="32"/>
      <x:c r="B90" s="32"/>
      <x:c r="C90" s="42"/>
      <x:c r="D90" s="32"/>
      <x:c r="E90" s="32"/>
      <x:c r="F90" s="32"/>
      <x:c r="G90" s="32"/>
      <x:c r="H90" s="32"/>
      <x:c r="I90" s="32"/>
      <x:c r="J90" s="32"/>
      <x:c r="K90" s="32"/>
      <x:c r="L90" s="32"/>
      <x:c r="M90" s="32"/>
      <x:c r="N90" s="32"/>
      <x:c r="O90" s="32"/>
      <x:c r="P90" s="32"/>
      <x:c r="Q90" s="32"/>
      <x:c r="R90" s="32"/>
      <x:c r="S90" s="32"/>
      <x:c r="T90" s="43" t="str">
        <x:f>IFERROR(S90/L90,"")</x:f>
      </x:c>
      <x:c r="U90" s="32"/>
      <x:c r="V90" s="32"/>
      <x:c r="W90" s="32"/>
      <x:c r="X90" s="32"/>
      <x:c r="Y90" s="32"/>
      <x:c r="Z90" s="32"/>
      <x:c r="AA90" s="32"/>
      <x:c r="AB90" s="32"/>
      <x:c r="AC90" s="32"/>
      <x:c r="AD90" s="32"/>
      <x:c r="AE90" s="32"/>
      <x:c r="AF90" s="32"/>
      <x:c r="AG90" s="32"/>
      <x:c r="AH90" s="32"/>
      <x:c r="AI90" s="32"/>
      <x:c r="AJ90" s="32"/>
      <x:c r="AK90" s="32"/>
      <x:c r="AL90" s="32"/>
      <x:c r="AM90" s="32"/>
      <x:c r="AN90" s="32"/>
      <x:c r="AO90" s="32"/>
      <x:c r="AP90" s="32"/>
      <x:c r="AQ90" s="32"/>
      <x:c r="AR90" s="32"/>
      <x:c r="AS90" s="32"/>
      <x:c r="AT90" s="32"/>
      <x:c r="AU90" s="32"/>
      <x:c r="AV90" s="32"/>
      <x:c r="AW90" s="32"/>
      <x:c r="AX90" s="32"/>
      <x:c r="AZ90" s="32"/>
      <x:c r="BA90" s="32"/>
      <x:c r="BB90" s="32"/>
      <x:c r="BC90" s="32"/>
      <x:c r="BD90" s="32"/>
      <x:c r="BE90" s="32"/>
      <x:c r="BF90" s="32"/>
      <x:c r="BG90" s="32"/>
      <x:c r="BH90" s="32"/>
      <x:c r="BI90" s="32"/>
      <x:c r="BJ90" s="32"/>
      <x:c r="BK90" s="32"/>
      <x:c r="BL90" s="32"/>
      <x:c r="BM90" s="32"/>
    </x:row>
    <x:row r="91">
      <x:c r="A91" s="32"/>
      <x:c r="B91" s="32"/>
      <x:c r="C91" s="42"/>
      <x:c r="D91" s="32"/>
      <x:c r="E91" s="32"/>
      <x:c r="F91" s="32"/>
      <x:c r="G91" s="32"/>
      <x:c r="H91" s="32"/>
      <x:c r="I91" s="32"/>
      <x:c r="J91" s="32"/>
      <x:c r="K91" s="32"/>
      <x:c r="L91" s="32"/>
      <x:c r="M91" s="32"/>
      <x:c r="N91" s="32"/>
      <x:c r="O91" s="32"/>
      <x:c r="P91" s="32"/>
      <x:c r="Q91" s="32"/>
      <x:c r="R91" s="32"/>
      <x:c r="S91" s="32"/>
      <x:c r="T91" s="43" t="str">
        <x:f>IFERROR(S91/L91,"")</x:f>
      </x:c>
      <x:c r="U91" s="32"/>
      <x:c r="V91" s="32"/>
      <x:c r="W91" s="32"/>
      <x:c r="X91" s="32"/>
      <x:c r="Y91" s="32"/>
      <x:c r="Z91" s="32"/>
      <x:c r="AA91" s="32"/>
      <x:c r="AB91" s="32"/>
      <x:c r="AC91" s="32"/>
      <x:c r="AD91" s="32"/>
      <x:c r="AE91" s="32"/>
      <x:c r="AF91" s="32"/>
      <x:c r="AG91" s="32"/>
      <x:c r="AH91" s="32"/>
      <x:c r="AI91" s="32"/>
      <x:c r="AJ91" s="32"/>
      <x:c r="AK91" s="32"/>
      <x:c r="AL91" s="32"/>
      <x:c r="AM91" s="32"/>
      <x:c r="AN91" s="32"/>
      <x:c r="AO91" s="32"/>
      <x:c r="AP91" s="32"/>
      <x:c r="AQ91" s="32"/>
      <x:c r="AR91" s="32"/>
      <x:c r="AS91" s="32"/>
      <x:c r="AT91" s="32"/>
      <x:c r="AU91" s="32"/>
      <x:c r="AV91" s="32"/>
      <x:c r="AW91" s="32"/>
      <x:c r="AX91" s="32"/>
      <x:c r="AZ91" s="32"/>
      <x:c r="BA91" s="32"/>
      <x:c r="BB91" s="32"/>
      <x:c r="BC91" s="32"/>
      <x:c r="BD91" s="32"/>
      <x:c r="BE91" s="32"/>
      <x:c r="BF91" s="32"/>
      <x:c r="BG91" s="32"/>
      <x:c r="BH91" s="32"/>
      <x:c r="BI91" s="32"/>
      <x:c r="BJ91" s="32"/>
      <x:c r="BK91" s="32"/>
      <x:c r="BL91" s="32"/>
      <x:c r="BM91" s="32"/>
    </x:row>
    <x:row r="92">
      <x:c r="A92" s="32"/>
      <x:c r="B92" s="32"/>
      <x:c r="C92" s="42"/>
      <x:c r="D92" s="32"/>
      <x:c r="E92" s="32"/>
      <x:c r="F92" s="32"/>
      <x:c r="G92" s="32"/>
      <x:c r="H92" s="32"/>
      <x:c r="I92" s="32"/>
      <x:c r="J92" s="32"/>
      <x:c r="K92" s="32"/>
      <x:c r="L92" s="32"/>
      <x:c r="M92" s="32"/>
      <x:c r="N92" s="32"/>
      <x:c r="O92" s="32"/>
      <x:c r="P92" s="32"/>
      <x:c r="Q92" s="32"/>
      <x:c r="R92" s="32"/>
      <x:c r="S92" s="32"/>
      <x:c r="T92" s="43" t="str">
        <x:f>IFERROR(S92/L92,"")</x:f>
      </x:c>
      <x:c r="U92" s="32"/>
      <x:c r="V92" s="32"/>
      <x:c r="W92" s="32"/>
      <x:c r="X92" s="32"/>
      <x:c r="Y92" s="32"/>
      <x:c r="Z92" s="32"/>
      <x:c r="AA92" s="32"/>
      <x:c r="AB92" s="32"/>
      <x:c r="AC92" s="32"/>
      <x:c r="AD92" s="32"/>
      <x:c r="AE92" s="32"/>
      <x:c r="AF92" s="32"/>
      <x:c r="AG92" s="32"/>
      <x:c r="AH92" s="32"/>
      <x:c r="AI92" s="32"/>
      <x:c r="AJ92" s="32"/>
      <x:c r="AK92" s="32"/>
      <x:c r="AL92" s="32"/>
      <x:c r="AM92" s="32"/>
      <x:c r="AN92" s="32"/>
      <x:c r="AO92" s="32"/>
      <x:c r="AP92" s="32"/>
      <x:c r="AQ92" s="32"/>
      <x:c r="AR92" s="32"/>
      <x:c r="AS92" s="32"/>
      <x:c r="AT92" s="32"/>
      <x:c r="AU92" s="32"/>
      <x:c r="AV92" s="32"/>
      <x:c r="AW92" s="32"/>
      <x:c r="AX92" s="32"/>
      <x:c r="AZ92" s="32"/>
      <x:c r="BA92" s="32"/>
      <x:c r="BB92" s="32"/>
      <x:c r="BC92" s="32"/>
      <x:c r="BD92" s="32"/>
      <x:c r="BE92" s="32"/>
      <x:c r="BF92" s="32"/>
      <x:c r="BG92" s="32"/>
      <x:c r="BH92" s="32"/>
      <x:c r="BI92" s="32"/>
      <x:c r="BJ92" s="32"/>
      <x:c r="BK92" s="32"/>
      <x:c r="BL92" s="32"/>
      <x:c r="BM92" s="32"/>
    </x:row>
    <x:row r="93">
      <x:c r="A93" s="32"/>
      <x:c r="B93" s="32"/>
      <x:c r="C93" s="42"/>
      <x:c r="D93" s="32"/>
      <x:c r="E93" s="32"/>
      <x:c r="F93" s="32"/>
      <x:c r="G93" s="32"/>
      <x:c r="H93" s="32"/>
      <x:c r="I93" s="32"/>
      <x:c r="J93" s="32"/>
      <x:c r="K93" s="32"/>
      <x:c r="L93" s="32"/>
      <x:c r="M93" s="32"/>
      <x:c r="N93" s="32"/>
      <x:c r="O93" s="32"/>
      <x:c r="P93" s="32"/>
      <x:c r="Q93" s="32"/>
      <x:c r="R93" s="32"/>
      <x:c r="S93" s="32"/>
      <x:c r="T93" s="43" t="str">
        <x:f>IFERROR(S93/L93,"")</x:f>
      </x:c>
      <x:c r="U93" s="32"/>
      <x:c r="V93" s="32"/>
      <x:c r="W93" s="32"/>
      <x:c r="X93" s="32"/>
      <x:c r="Y93" s="32"/>
      <x:c r="Z93" s="32"/>
      <x:c r="AA93" s="32"/>
      <x:c r="AB93" s="32"/>
      <x:c r="AC93" s="32"/>
      <x:c r="AD93" s="32"/>
      <x:c r="AE93" s="32"/>
      <x:c r="AF93" s="32"/>
      <x:c r="AG93" s="32"/>
      <x:c r="AH93" s="32"/>
      <x:c r="AI93" s="32"/>
      <x:c r="AJ93" s="32"/>
      <x:c r="AK93" s="32"/>
      <x:c r="AL93" s="32"/>
      <x:c r="AM93" s="32"/>
      <x:c r="AN93" s="32"/>
      <x:c r="AO93" s="32"/>
      <x:c r="AP93" s="32"/>
      <x:c r="AQ93" s="32"/>
      <x:c r="AR93" s="32"/>
      <x:c r="AS93" s="32"/>
      <x:c r="AT93" s="32"/>
      <x:c r="AU93" s="32"/>
      <x:c r="AV93" s="32"/>
      <x:c r="AW93" s="32"/>
      <x:c r="AX93" s="32"/>
      <x:c r="AZ93" s="32"/>
      <x:c r="BA93" s="32"/>
      <x:c r="BB93" s="32"/>
      <x:c r="BC93" s="32"/>
      <x:c r="BD93" s="32"/>
      <x:c r="BE93" s="32"/>
      <x:c r="BF93" s="32"/>
      <x:c r="BG93" s="32"/>
      <x:c r="BH93" s="32"/>
      <x:c r="BI93" s="32"/>
      <x:c r="BJ93" s="32"/>
      <x:c r="BK93" s="32"/>
      <x:c r="BL93" s="32"/>
      <x:c r="BM93" s="32"/>
    </x:row>
    <x:row r="94">
      <x:c r="A94" s="32"/>
      <x:c r="B94" s="32"/>
      <x:c r="C94" s="42"/>
      <x:c r="D94" s="32"/>
      <x:c r="E94" s="32"/>
      <x:c r="F94" s="32"/>
      <x:c r="G94" s="32"/>
      <x:c r="H94" s="32"/>
      <x:c r="I94" s="32"/>
      <x:c r="J94" s="32"/>
      <x:c r="K94" s="32"/>
      <x:c r="L94" s="32"/>
      <x:c r="M94" s="32"/>
      <x:c r="N94" s="32"/>
      <x:c r="O94" s="32"/>
      <x:c r="P94" s="32"/>
      <x:c r="Q94" s="32"/>
      <x:c r="R94" s="32"/>
      <x:c r="S94" s="32"/>
      <x:c r="T94" s="43" t="str">
        <x:f>IFERROR(S94/L94,"")</x:f>
      </x:c>
      <x:c r="U94" s="32"/>
      <x:c r="V94" s="32"/>
      <x:c r="W94" s="32"/>
      <x:c r="X94" s="32"/>
      <x:c r="Y94" s="32"/>
      <x:c r="Z94" s="32"/>
      <x:c r="AA94" s="32"/>
      <x:c r="AB94" s="32"/>
      <x:c r="AC94" s="32"/>
      <x:c r="AD94" s="32"/>
      <x:c r="AE94" s="32"/>
      <x:c r="AF94" s="32"/>
      <x:c r="AG94" s="32"/>
      <x:c r="AH94" s="32"/>
      <x:c r="AI94" s="32"/>
      <x:c r="AJ94" s="32"/>
      <x:c r="AK94" s="32"/>
      <x:c r="AL94" s="32"/>
      <x:c r="AM94" s="32"/>
      <x:c r="AN94" s="32"/>
      <x:c r="AO94" s="32"/>
      <x:c r="AP94" s="32"/>
      <x:c r="AQ94" s="32"/>
      <x:c r="AR94" s="32"/>
      <x:c r="AS94" s="32"/>
      <x:c r="AT94" s="32"/>
      <x:c r="AU94" s="32"/>
      <x:c r="AV94" s="32"/>
      <x:c r="AW94" s="32"/>
      <x:c r="AX94" s="32"/>
      <x:c r="AZ94" s="32"/>
      <x:c r="BA94" s="32"/>
      <x:c r="BB94" s="32"/>
      <x:c r="BC94" s="32"/>
      <x:c r="BD94" s="32"/>
      <x:c r="BE94" s="32"/>
      <x:c r="BF94" s="32"/>
      <x:c r="BG94" s="32"/>
      <x:c r="BH94" s="32"/>
      <x:c r="BI94" s="32"/>
      <x:c r="BJ94" s="32"/>
      <x:c r="BK94" s="32"/>
      <x:c r="BL94" s="32"/>
      <x:c r="BM94" s="32"/>
    </x:row>
    <x:row r="95">
      <x:c r="A95" s="32"/>
      <x:c r="B95" s="32"/>
      <x:c r="C95" s="42"/>
      <x:c r="D95" s="32"/>
      <x:c r="E95" s="32"/>
      <x:c r="F95" s="32"/>
      <x:c r="G95" s="32"/>
      <x:c r="H95" s="32"/>
      <x:c r="I95" s="32"/>
      <x:c r="J95" s="32"/>
      <x:c r="K95" s="32"/>
      <x:c r="L95" s="32"/>
      <x:c r="M95" s="32"/>
      <x:c r="N95" s="32"/>
      <x:c r="O95" s="32"/>
      <x:c r="P95" s="32"/>
      <x:c r="Q95" s="32"/>
      <x:c r="R95" s="32"/>
      <x:c r="S95" s="32"/>
      <x:c r="T95" s="43" t="str">
        <x:f>IFERROR(S95/L95,"")</x:f>
      </x:c>
      <x:c r="U95" s="32"/>
      <x:c r="V95" s="32"/>
      <x:c r="W95" s="32"/>
      <x:c r="X95" s="32"/>
      <x:c r="Y95" s="32"/>
      <x:c r="Z95" s="32"/>
      <x:c r="AA95" s="32"/>
      <x:c r="AB95" s="32"/>
      <x:c r="AC95" s="32"/>
      <x:c r="AD95" s="32"/>
      <x:c r="AE95" s="32"/>
      <x:c r="AF95" s="32"/>
      <x:c r="AG95" s="32"/>
      <x:c r="AH95" s="32"/>
      <x:c r="AI95" s="32"/>
      <x:c r="AJ95" s="32"/>
      <x:c r="AK95" s="32"/>
      <x:c r="AL95" s="32"/>
      <x:c r="AM95" s="32"/>
      <x:c r="AN95" s="32"/>
      <x:c r="AO95" s="32"/>
      <x:c r="AP95" s="32"/>
      <x:c r="AQ95" s="32"/>
      <x:c r="AR95" s="32"/>
      <x:c r="AS95" s="32"/>
      <x:c r="AT95" s="32"/>
      <x:c r="AU95" s="32"/>
      <x:c r="AV95" s="32"/>
      <x:c r="AW95" s="32"/>
      <x:c r="AX95" s="32"/>
      <x:c r="AZ95" s="32"/>
      <x:c r="BA95" s="32"/>
      <x:c r="BB95" s="32"/>
      <x:c r="BC95" s="32"/>
      <x:c r="BD95" s="32"/>
      <x:c r="BE95" s="32"/>
      <x:c r="BF95" s="32"/>
      <x:c r="BG95" s="32"/>
      <x:c r="BH95" s="32"/>
      <x:c r="BI95" s="32"/>
      <x:c r="BJ95" s="32"/>
      <x:c r="BK95" s="32"/>
      <x:c r="BL95" s="32"/>
      <x:c r="BM95" s="32"/>
    </x:row>
    <x:row r="96">
      <x:c r="A96" s="32"/>
      <x:c r="B96" s="32"/>
      <x:c r="C96" s="42"/>
      <x:c r="D96" s="32"/>
      <x:c r="E96" s="32"/>
      <x:c r="F96" s="32"/>
      <x:c r="G96" s="32"/>
      <x:c r="H96" s="32"/>
      <x:c r="I96" s="32"/>
      <x:c r="J96" s="32"/>
      <x:c r="K96" s="32"/>
      <x:c r="L96" s="32"/>
      <x:c r="M96" s="32"/>
      <x:c r="N96" s="32"/>
      <x:c r="O96" s="32"/>
      <x:c r="P96" s="32"/>
      <x:c r="Q96" s="32"/>
      <x:c r="R96" s="32"/>
      <x:c r="S96" s="32"/>
      <x:c r="T96" s="43" t="str">
        <x:f>IFERROR(S96/L96,"")</x:f>
      </x:c>
      <x:c r="U96" s="32"/>
      <x:c r="V96" s="32"/>
      <x:c r="W96" s="32"/>
      <x:c r="X96" s="32"/>
      <x:c r="Y96" s="32"/>
      <x:c r="Z96" s="32"/>
      <x:c r="AA96" s="32"/>
      <x:c r="AB96" s="32"/>
      <x:c r="AC96" s="32"/>
      <x:c r="AD96" s="32"/>
      <x:c r="AE96" s="32"/>
      <x:c r="AF96" s="32"/>
      <x:c r="AG96" s="32"/>
      <x:c r="AH96" s="32"/>
      <x:c r="AI96" s="32"/>
      <x:c r="AJ96" s="32"/>
      <x:c r="AK96" s="32"/>
      <x:c r="AL96" s="32"/>
      <x:c r="AM96" s="32"/>
      <x:c r="AN96" s="32"/>
      <x:c r="AO96" s="32"/>
      <x:c r="AP96" s="32"/>
      <x:c r="AQ96" s="32"/>
      <x:c r="AR96" s="32"/>
      <x:c r="AS96" s="32"/>
      <x:c r="AT96" s="32"/>
      <x:c r="AU96" s="32"/>
      <x:c r="AV96" s="32"/>
      <x:c r="AW96" s="32"/>
      <x:c r="AX96" s="32"/>
      <x:c r="AZ96" s="32"/>
      <x:c r="BA96" s="32"/>
      <x:c r="BB96" s="32"/>
      <x:c r="BC96" s="32"/>
      <x:c r="BD96" s="32"/>
      <x:c r="BE96" s="32"/>
      <x:c r="BF96" s="32"/>
      <x:c r="BG96" s="32"/>
      <x:c r="BH96" s="32"/>
      <x:c r="BI96" s="32"/>
      <x:c r="BJ96" s="32"/>
      <x:c r="BK96" s="32"/>
      <x:c r="BL96" s="32"/>
      <x:c r="BM96" s="32"/>
    </x:row>
    <x:row r="97">
      <x:c r="A97" s="32"/>
      <x:c r="B97" s="32"/>
      <x:c r="C97" s="42"/>
      <x:c r="D97" s="32"/>
      <x:c r="E97" s="32"/>
      <x:c r="F97" s="32"/>
      <x:c r="G97" s="32"/>
      <x:c r="H97" s="32"/>
      <x:c r="I97" s="32"/>
      <x:c r="J97" s="32"/>
      <x:c r="K97" s="32"/>
      <x:c r="L97" s="32"/>
      <x:c r="M97" s="32"/>
      <x:c r="N97" s="32"/>
      <x:c r="O97" s="32"/>
      <x:c r="P97" s="32"/>
      <x:c r="Q97" s="32"/>
      <x:c r="R97" s="32"/>
      <x:c r="S97" s="32"/>
      <x:c r="T97" s="43" t="str">
        <x:f>IFERROR(S97/L97,"")</x:f>
      </x:c>
      <x:c r="U97" s="32"/>
      <x:c r="V97" s="32"/>
      <x:c r="W97" s="32"/>
      <x:c r="X97" s="32"/>
      <x:c r="Y97" s="32"/>
      <x:c r="Z97" s="32"/>
      <x:c r="AA97" s="32"/>
      <x:c r="AB97" s="32"/>
      <x:c r="AC97" s="32"/>
      <x:c r="AD97" s="32"/>
      <x:c r="AE97" s="32"/>
      <x:c r="AF97" s="32"/>
      <x:c r="AG97" s="32"/>
      <x:c r="AH97" s="32"/>
      <x:c r="AI97" s="32"/>
      <x:c r="AJ97" s="32"/>
      <x:c r="AK97" s="32"/>
      <x:c r="AL97" s="32"/>
      <x:c r="AM97" s="32"/>
      <x:c r="AN97" s="32"/>
      <x:c r="AO97" s="32"/>
      <x:c r="AP97" s="32"/>
      <x:c r="AQ97" s="32"/>
      <x:c r="AR97" s="32"/>
      <x:c r="AS97" s="32"/>
      <x:c r="AT97" s="32"/>
      <x:c r="AU97" s="32"/>
      <x:c r="AV97" s="32"/>
      <x:c r="AW97" s="32"/>
      <x:c r="AX97" s="32"/>
      <x:c r="AZ97" s="32"/>
      <x:c r="BA97" s="32"/>
      <x:c r="BB97" s="32"/>
      <x:c r="BC97" s="32"/>
      <x:c r="BD97" s="32"/>
      <x:c r="BE97" s="32"/>
      <x:c r="BF97" s="32"/>
      <x:c r="BG97" s="32"/>
      <x:c r="BH97" s="32"/>
      <x:c r="BI97" s="32"/>
      <x:c r="BJ97" s="32"/>
      <x:c r="BK97" s="32"/>
      <x:c r="BL97" s="32"/>
      <x:c r="BM97" s="32"/>
    </x:row>
    <x:row r="98">
      <x:c r="A98" s="32"/>
      <x:c r="B98" s="32"/>
      <x:c r="C98" s="42"/>
      <x:c r="D98" s="32"/>
      <x:c r="E98" s="32"/>
      <x:c r="F98" s="32"/>
      <x:c r="G98" s="32"/>
      <x:c r="H98" s="32"/>
      <x:c r="I98" s="32"/>
      <x:c r="J98" s="32"/>
      <x:c r="K98" s="32"/>
      <x:c r="L98" s="32"/>
      <x:c r="M98" s="32"/>
      <x:c r="N98" s="32"/>
      <x:c r="O98" s="32"/>
      <x:c r="P98" s="32"/>
      <x:c r="Q98" s="32"/>
      <x:c r="R98" s="32"/>
      <x:c r="S98" s="32"/>
      <x:c r="T98" s="43" t="str">
        <x:f>IFERROR(S98/L98,"")</x:f>
      </x:c>
      <x:c r="U98" s="32"/>
      <x:c r="V98" s="32"/>
      <x:c r="W98" s="32"/>
      <x:c r="X98" s="32"/>
      <x:c r="Y98" s="32"/>
      <x:c r="Z98" s="32"/>
      <x:c r="AA98" s="32"/>
      <x:c r="AB98" s="32"/>
      <x:c r="AC98" s="32"/>
      <x:c r="AD98" s="32"/>
      <x:c r="AE98" s="32"/>
      <x:c r="AF98" s="32"/>
      <x:c r="AG98" s="32"/>
      <x:c r="AH98" s="32"/>
      <x:c r="AI98" s="32"/>
      <x:c r="AJ98" s="32"/>
      <x:c r="AK98" s="32"/>
      <x:c r="AL98" s="32"/>
      <x:c r="AM98" s="32"/>
      <x:c r="AN98" s="32"/>
      <x:c r="AO98" s="32"/>
      <x:c r="AP98" s="32"/>
      <x:c r="AQ98" s="32"/>
      <x:c r="AR98" s="32"/>
      <x:c r="AS98" s="32"/>
      <x:c r="AT98" s="32"/>
      <x:c r="AU98" s="32"/>
      <x:c r="AV98" s="32"/>
      <x:c r="AW98" s="32"/>
      <x:c r="AX98" s="32"/>
      <x:c r="AZ98" s="32"/>
      <x:c r="BA98" s="32"/>
      <x:c r="BB98" s="32"/>
      <x:c r="BC98" s="32"/>
      <x:c r="BD98" s="32"/>
      <x:c r="BE98" s="32"/>
      <x:c r="BF98" s="32"/>
      <x:c r="BG98" s="32"/>
      <x:c r="BH98" s="32"/>
      <x:c r="BI98" s="32"/>
      <x:c r="BJ98" s="32"/>
      <x:c r="BK98" s="32"/>
      <x:c r="BL98" s="32"/>
      <x:c r="BM98" s="32"/>
    </x:row>
    <x:row r="99">
      <x:c r="A99" s="32"/>
      <x:c r="B99" s="32"/>
      <x:c r="C99" s="42"/>
      <x:c r="D99" s="32"/>
      <x:c r="E99" s="32"/>
      <x:c r="F99" s="32"/>
      <x:c r="G99" s="32"/>
      <x:c r="H99" s="32"/>
      <x:c r="I99" s="32"/>
      <x:c r="J99" s="32"/>
      <x:c r="K99" s="32"/>
      <x:c r="L99" s="32"/>
      <x:c r="M99" s="32"/>
      <x:c r="N99" s="32"/>
      <x:c r="O99" s="32"/>
      <x:c r="P99" s="32"/>
      <x:c r="Q99" s="32"/>
      <x:c r="R99" s="32"/>
      <x:c r="S99" s="32"/>
      <x:c r="T99" s="43" t="str">
        <x:f>IFERROR(S99/L99,"")</x:f>
      </x:c>
      <x:c r="U99" s="32"/>
      <x:c r="V99" s="32"/>
      <x:c r="W99" s="32"/>
      <x:c r="X99" s="32"/>
      <x:c r="Y99" s="32"/>
      <x:c r="Z99" s="32"/>
      <x:c r="AA99" s="32"/>
      <x:c r="AB99" s="32"/>
      <x:c r="AC99" s="32"/>
      <x:c r="AD99" s="32"/>
      <x:c r="AE99" s="32"/>
      <x:c r="AF99" s="32"/>
      <x:c r="AG99" s="32"/>
      <x:c r="AH99" s="32"/>
      <x:c r="AI99" s="32"/>
      <x:c r="AJ99" s="32"/>
      <x:c r="AK99" s="32"/>
      <x:c r="AL99" s="32"/>
      <x:c r="AM99" s="32"/>
      <x:c r="AN99" s="32"/>
      <x:c r="AO99" s="32"/>
      <x:c r="AP99" s="32"/>
      <x:c r="AQ99" s="32"/>
      <x:c r="AR99" s="32"/>
      <x:c r="AS99" s="32"/>
      <x:c r="AT99" s="32"/>
      <x:c r="AU99" s="32"/>
      <x:c r="AV99" s="32"/>
      <x:c r="AW99" s="32"/>
      <x:c r="AX99" s="32"/>
      <x:c r="AZ99" s="32"/>
      <x:c r="BA99" s="32"/>
      <x:c r="BB99" s="32"/>
      <x:c r="BC99" s="32"/>
      <x:c r="BD99" s="32"/>
      <x:c r="BE99" s="32"/>
      <x:c r="BF99" s="32"/>
      <x:c r="BG99" s="32"/>
      <x:c r="BH99" s="32"/>
      <x:c r="BI99" s="32"/>
      <x:c r="BJ99" s="32"/>
      <x:c r="BK99" s="32"/>
      <x:c r="BL99" s="32"/>
      <x:c r="BM99" s="32"/>
    </x:row>
    <x:row r="100">
      <x:c r="A100" s="32"/>
      <x:c r="B100" s="32"/>
      <x:c r="C100" s="42"/>
      <x:c r="D100" s="32"/>
      <x:c r="E100" s="32"/>
      <x:c r="F100" s="32"/>
      <x:c r="G100" s="32"/>
      <x:c r="H100" s="32"/>
      <x:c r="I100" s="32"/>
      <x:c r="J100" s="32"/>
      <x:c r="K100" s="32"/>
      <x:c r="L100" s="32"/>
      <x:c r="M100" s="32"/>
      <x:c r="N100" s="32"/>
      <x:c r="O100" s="32"/>
      <x:c r="P100" s="32"/>
      <x:c r="Q100" s="32"/>
      <x:c r="R100" s="32"/>
      <x:c r="S100" s="32"/>
      <x:c r="T100" s="43" t="str">
        <x:f>IFERROR(S100/L100,"")</x:f>
      </x:c>
      <x:c r="U100" s="32"/>
      <x:c r="V100" s="32"/>
      <x:c r="W100" s="32"/>
      <x:c r="X100" s="32"/>
      <x:c r="Y100" s="32"/>
      <x:c r="Z100" s="32"/>
      <x:c r="AA100" s="32"/>
      <x:c r="AB100" s="32"/>
      <x:c r="AC100" s="32"/>
      <x:c r="AD100" s="32"/>
      <x:c r="AE100" s="32"/>
      <x:c r="AF100" s="32"/>
      <x:c r="AG100" s="32"/>
      <x:c r="AH100" s="32"/>
      <x:c r="AI100" s="32"/>
      <x:c r="AJ100" s="32"/>
      <x:c r="AK100" s="32"/>
      <x:c r="AL100" s="32"/>
      <x:c r="AM100" s="32"/>
      <x:c r="AN100" s="32"/>
      <x:c r="AO100" s="32"/>
      <x:c r="AP100" s="32"/>
      <x:c r="AQ100" s="32"/>
      <x:c r="AR100" s="32"/>
      <x:c r="AS100" s="32"/>
      <x:c r="AT100" s="32"/>
      <x:c r="AU100" s="32"/>
      <x:c r="AV100" s="32"/>
      <x:c r="AW100" s="32"/>
      <x:c r="AX100" s="32"/>
      <x:c r="AZ100" s="32"/>
      <x:c r="BA100" s="32"/>
      <x:c r="BB100" s="32"/>
      <x:c r="BC100" s="32"/>
      <x:c r="BD100" s="32"/>
      <x:c r="BE100" s="32"/>
      <x:c r="BF100" s="32"/>
      <x:c r="BG100" s="32"/>
      <x:c r="BH100" s="32"/>
      <x:c r="BI100" s="32"/>
      <x:c r="BJ100" s="32"/>
      <x:c r="BK100" s="32"/>
      <x:c r="BL100" s="32"/>
      <x:c r="BM100" s="32"/>
    </x:row>
    <x:row r="101">
      <x:c r="A101" s="32"/>
      <x:c r="B101" s="32"/>
      <x:c r="C101" s="42"/>
      <x:c r="D101" s="32"/>
      <x:c r="E101" s="32"/>
      <x:c r="F101" s="32"/>
      <x:c r="G101" s="32"/>
      <x:c r="H101" s="32"/>
      <x:c r="I101" s="32"/>
      <x:c r="J101" s="32"/>
      <x:c r="K101" s="32"/>
      <x:c r="L101" s="32"/>
      <x:c r="M101" s="32"/>
      <x:c r="N101" s="32"/>
      <x:c r="O101" s="32"/>
      <x:c r="P101" s="32"/>
      <x:c r="Q101" s="32"/>
      <x:c r="R101" s="32"/>
      <x:c r="S101" s="32"/>
      <x:c r="T101" s="43" t="str">
        <x:f>IFERROR(S101/L101,"")</x:f>
      </x:c>
      <x:c r="U101" s="32"/>
      <x:c r="V101" s="32"/>
      <x:c r="W101" s="32"/>
      <x:c r="X101" s="32"/>
      <x:c r="Y101" s="32"/>
      <x:c r="Z101" s="32"/>
      <x:c r="AA101" s="32"/>
      <x:c r="AB101" s="32"/>
      <x:c r="AC101" s="32"/>
      <x:c r="AD101" s="32"/>
      <x:c r="AE101" s="32"/>
      <x:c r="AF101" s="32"/>
      <x:c r="AG101" s="32"/>
      <x:c r="AH101" s="32"/>
      <x:c r="AI101" s="32"/>
      <x:c r="AJ101" s="32"/>
      <x:c r="AK101" s="32"/>
      <x:c r="AL101" s="32"/>
      <x:c r="AM101" s="32"/>
      <x:c r="AN101" s="32"/>
      <x:c r="AO101" s="32"/>
      <x:c r="AP101" s="32"/>
      <x:c r="AQ101" s="32"/>
      <x:c r="AR101" s="32"/>
      <x:c r="AS101" s="32"/>
      <x:c r="AT101" s="32"/>
      <x:c r="AU101" s="32"/>
      <x:c r="AV101" s="32"/>
      <x:c r="AW101" s="32"/>
      <x:c r="AX101" s="32"/>
      <x:c r="AZ101" s="32"/>
      <x:c r="BA101" s="32"/>
      <x:c r="BB101" s="32"/>
      <x:c r="BC101" s="32"/>
      <x:c r="BD101" s="32"/>
      <x:c r="BE101" s="32"/>
      <x:c r="BF101" s="32"/>
      <x:c r="BG101" s="32"/>
      <x:c r="BH101" s="32"/>
      <x:c r="BI101" s="32"/>
      <x:c r="BJ101" s="32"/>
      <x:c r="BK101" s="32"/>
      <x:c r="BL101" s="32"/>
      <x:c r="BM101" s="32"/>
    </x:row>
    <x:row r="102">
      <x:c r="A102" s="32"/>
      <x:c r="B102" s="32"/>
      <x:c r="C102" s="42"/>
      <x:c r="D102" s="32"/>
      <x:c r="E102" s="32"/>
      <x:c r="F102" s="32"/>
      <x:c r="G102" s="32"/>
      <x:c r="H102" s="32"/>
      <x:c r="I102" s="32"/>
      <x:c r="J102" s="32"/>
      <x:c r="K102" s="32"/>
      <x:c r="L102" s="32"/>
      <x:c r="M102" s="32"/>
      <x:c r="N102" s="32"/>
      <x:c r="O102" s="32"/>
      <x:c r="P102" s="32"/>
      <x:c r="Q102" s="32"/>
      <x:c r="R102" s="32"/>
      <x:c r="S102" s="32"/>
      <x:c r="T102" s="43" t="str">
        <x:f>IFERROR(S102/L102,"")</x:f>
      </x:c>
      <x:c r="U102" s="32"/>
      <x:c r="V102" s="32"/>
      <x:c r="W102" s="32"/>
      <x:c r="X102" s="32"/>
      <x:c r="Y102" s="32"/>
      <x:c r="Z102" s="32"/>
      <x:c r="AA102" s="32"/>
      <x:c r="AB102" s="32"/>
      <x:c r="AC102" s="32"/>
      <x:c r="AD102" s="32"/>
      <x:c r="AE102" s="32"/>
      <x:c r="AF102" s="32"/>
      <x:c r="AG102" s="32"/>
      <x:c r="AH102" s="32"/>
      <x:c r="AI102" s="32"/>
      <x:c r="AJ102" s="32"/>
      <x:c r="AK102" s="32"/>
      <x:c r="AL102" s="32"/>
      <x:c r="AM102" s="32"/>
      <x:c r="AN102" s="32"/>
      <x:c r="AO102" s="32"/>
      <x:c r="AP102" s="32"/>
      <x:c r="AQ102" s="32"/>
      <x:c r="AR102" s="32"/>
      <x:c r="AS102" s="32"/>
      <x:c r="AT102" s="32"/>
      <x:c r="AU102" s="32"/>
      <x:c r="AV102" s="32"/>
      <x:c r="AW102" s="32"/>
      <x:c r="AX102" s="32"/>
      <x:c r="AZ102" s="32"/>
      <x:c r="BA102" s="32"/>
      <x:c r="BB102" s="32"/>
      <x:c r="BC102" s="32"/>
      <x:c r="BD102" s="32"/>
      <x:c r="BE102" s="32"/>
      <x:c r="BF102" s="32"/>
      <x:c r="BG102" s="32"/>
      <x:c r="BH102" s="32"/>
      <x:c r="BI102" s="32"/>
      <x:c r="BJ102" s="32"/>
      <x:c r="BK102" s="32"/>
      <x:c r="BL102" s="32"/>
      <x:c r="BM102" s="32"/>
    </x:row>
    <x:row r="103">
      <x:c r="A103" s="32"/>
      <x:c r="B103" s="32"/>
      <x:c r="C103" s="42"/>
      <x:c r="D103" s="32"/>
      <x:c r="E103" s="32"/>
      <x:c r="F103" s="32"/>
      <x:c r="G103" s="32"/>
      <x:c r="H103" s="32"/>
      <x:c r="I103" s="32"/>
      <x:c r="J103" s="32"/>
      <x:c r="K103" s="32"/>
      <x:c r="L103" s="32"/>
      <x:c r="M103" s="32"/>
      <x:c r="N103" s="32"/>
      <x:c r="O103" s="32"/>
      <x:c r="P103" s="32"/>
      <x:c r="Q103" s="32"/>
      <x:c r="R103" s="32"/>
      <x:c r="S103" s="32"/>
      <x:c r="T103" s="43" t="str">
        <x:f>IFERROR(S103/L103,"")</x:f>
      </x:c>
      <x:c r="U103" s="32"/>
      <x:c r="V103" s="32"/>
      <x:c r="W103" s="32"/>
      <x:c r="X103" s="32"/>
      <x:c r="Y103" s="32"/>
      <x:c r="Z103" s="32"/>
      <x:c r="AA103" s="32"/>
      <x:c r="AB103" s="32"/>
      <x:c r="AC103" s="32"/>
      <x:c r="AD103" s="32"/>
      <x:c r="AE103" s="32"/>
      <x:c r="AF103" s="32"/>
      <x:c r="AG103" s="32"/>
      <x:c r="AH103" s="32"/>
      <x:c r="AI103" s="32"/>
      <x:c r="AJ103" s="32"/>
      <x:c r="AK103" s="32"/>
      <x:c r="AL103" s="32"/>
      <x:c r="AM103" s="32"/>
      <x:c r="AN103" s="32"/>
      <x:c r="AO103" s="32"/>
      <x:c r="AP103" s="32"/>
      <x:c r="AQ103" s="32"/>
      <x:c r="AR103" s="32"/>
      <x:c r="AS103" s="32"/>
      <x:c r="AT103" s="32"/>
      <x:c r="AU103" s="32"/>
      <x:c r="AV103" s="32"/>
      <x:c r="AW103" s="32"/>
      <x:c r="AX103" s="32"/>
      <x:c r="AZ103" s="32"/>
      <x:c r="BA103" s="32"/>
      <x:c r="BB103" s="32"/>
      <x:c r="BC103" s="32"/>
      <x:c r="BD103" s="32"/>
      <x:c r="BE103" s="32"/>
      <x:c r="BF103" s="32"/>
      <x:c r="BG103" s="32"/>
      <x:c r="BH103" s="32"/>
      <x:c r="BI103" s="32"/>
      <x:c r="BJ103" s="32"/>
      <x:c r="BK103" s="32"/>
      <x:c r="BL103" s="32"/>
      <x:c r="BM103" s="32"/>
    </x:row>
    <x:row r="104">
      <x:c r="A104" s="32"/>
      <x:c r="B104" s="32"/>
      <x:c r="C104" s="42"/>
      <x:c r="D104" s="32"/>
      <x:c r="E104" s="32"/>
      <x:c r="F104" s="32"/>
      <x:c r="G104" s="32"/>
      <x:c r="H104" s="32"/>
      <x:c r="I104" s="32"/>
      <x:c r="J104" s="32"/>
      <x:c r="K104" s="32"/>
      <x:c r="L104" s="32"/>
      <x:c r="M104" s="32"/>
      <x:c r="N104" s="32"/>
      <x:c r="O104" s="32"/>
      <x:c r="P104" s="32"/>
      <x:c r="Q104" s="32"/>
      <x:c r="R104" s="32"/>
      <x:c r="S104" s="32"/>
      <x:c r="T104" s="43" t="str">
        <x:f>IFERROR(S104/L104,"")</x:f>
      </x:c>
      <x:c r="U104" s="32"/>
      <x:c r="V104" s="32"/>
      <x:c r="W104" s="32"/>
      <x:c r="X104" s="32"/>
      <x:c r="Y104" s="32"/>
      <x:c r="Z104" s="32"/>
      <x:c r="AA104" s="32"/>
      <x:c r="AB104" s="32"/>
      <x:c r="AC104" s="32"/>
      <x:c r="AD104" s="32"/>
      <x:c r="AE104" s="32"/>
      <x:c r="AF104" s="32"/>
      <x:c r="AG104" s="32"/>
      <x:c r="AH104" s="32"/>
      <x:c r="AI104" s="32"/>
      <x:c r="AJ104" s="32"/>
      <x:c r="AK104" s="32"/>
      <x:c r="AL104" s="32"/>
      <x:c r="AM104" s="32"/>
      <x:c r="AN104" s="32"/>
      <x:c r="AO104" s="32"/>
      <x:c r="AP104" s="32"/>
      <x:c r="AQ104" s="32"/>
      <x:c r="AR104" s="32"/>
      <x:c r="AS104" s="32"/>
      <x:c r="AT104" s="32"/>
      <x:c r="AU104" s="32"/>
      <x:c r="AV104" s="32"/>
      <x:c r="AW104" s="32"/>
      <x:c r="AX104" s="32"/>
      <x:c r="AZ104" s="32"/>
      <x:c r="BA104" s="32"/>
      <x:c r="BB104" s="32"/>
      <x:c r="BC104" s="32"/>
      <x:c r="BD104" s="32"/>
      <x:c r="BE104" s="32"/>
      <x:c r="BF104" s="32"/>
      <x:c r="BG104" s="32"/>
      <x:c r="BH104" s="32"/>
      <x:c r="BI104" s="32"/>
      <x:c r="BJ104" s="32"/>
      <x:c r="BK104" s="32"/>
      <x:c r="BL104" s="32"/>
      <x:c r="BM104" s="32"/>
    </x:row>
    <x:row r="105">
      <x:c r="A105" s="32"/>
      <x:c r="B105" s="32"/>
      <x:c r="C105" s="42"/>
      <x:c r="D105" s="32"/>
      <x:c r="E105" s="32"/>
      <x:c r="F105" s="32"/>
      <x:c r="G105" s="32"/>
      <x:c r="H105" s="32"/>
      <x:c r="I105" s="32"/>
      <x:c r="J105" s="32"/>
      <x:c r="K105" s="32"/>
      <x:c r="L105" s="32"/>
      <x:c r="M105" s="32"/>
      <x:c r="N105" s="32"/>
      <x:c r="O105" s="32"/>
      <x:c r="P105" s="32"/>
      <x:c r="Q105" s="32"/>
      <x:c r="R105" s="32"/>
      <x:c r="S105" s="32"/>
      <x:c r="T105" s="43" t="str">
        <x:f>IFERROR(S105/L105,"")</x:f>
      </x:c>
      <x:c r="U105" s="32"/>
      <x:c r="V105" s="32"/>
      <x:c r="W105" s="32"/>
      <x:c r="X105" s="32"/>
      <x:c r="Y105" s="32"/>
      <x:c r="Z105" s="32"/>
      <x:c r="AA105" s="32"/>
      <x:c r="AB105" s="32"/>
      <x:c r="AC105" s="32"/>
      <x:c r="AD105" s="32"/>
      <x:c r="AE105" s="32"/>
      <x:c r="AF105" s="32"/>
      <x:c r="AG105" s="32"/>
      <x:c r="AH105" s="32"/>
      <x:c r="AI105" s="32"/>
      <x:c r="AJ105" s="32"/>
      <x:c r="AK105" s="32"/>
      <x:c r="AL105" s="32"/>
      <x:c r="AM105" s="32"/>
      <x:c r="AN105" s="32"/>
      <x:c r="AO105" s="32"/>
      <x:c r="AP105" s="32"/>
      <x:c r="AQ105" s="32"/>
      <x:c r="AR105" s="32"/>
      <x:c r="AS105" s="32"/>
      <x:c r="AT105" s="32"/>
      <x:c r="AU105" s="32"/>
      <x:c r="AV105" s="32"/>
      <x:c r="AW105" s="32"/>
      <x:c r="AX105" s="32"/>
      <x:c r="AZ105" s="32"/>
      <x:c r="BA105" s="32"/>
      <x:c r="BB105" s="32"/>
      <x:c r="BC105" s="32"/>
      <x:c r="BD105" s="32"/>
      <x:c r="BE105" s="32"/>
      <x:c r="BF105" s="32"/>
      <x:c r="BG105" s="32"/>
      <x:c r="BH105" s="32"/>
      <x:c r="BI105" s="32"/>
      <x:c r="BJ105" s="32"/>
      <x:c r="BK105" s="32"/>
      <x:c r="BL105" s="32"/>
      <x:c r="BM105" s="32"/>
    </x:row>
    <x:row r="106">
      <x:c r="A106" s="32"/>
      <x:c r="B106" s="32"/>
      <x:c r="C106" s="42"/>
      <x:c r="D106" s="32"/>
      <x:c r="E106" s="32"/>
      <x:c r="F106" s="32"/>
      <x:c r="G106" s="32"/>
      <x:c r="H106" s="32"/>
      <x:c r="I106" s="32"/>
      <x:c r="J106" s="32"/>
      <x:c r="K106" s="32"/>
      <x:c r="L106" s="32"/>
      <x:c r="M106" s="32"/>
      <x:c r="N106" s="32"/>
      <x:c r="O106" s="32"/>
      <x:c r="P106" s="32"/>
      <x:c r="Q106" s="32"/>
      <x:c r="R106" s="32"/>
      <x:c r="S106" s="32"/>
      <x:c r="T106" s="43" t="str">
        <x:f>IFERROR(S106/L106,"")</x:f>
      </x:c>
      <x:c r="U106" s="32"/>
      <x:c r="V106" s="32"/>
      <x:c r="W106" s="32"/>
      <x:c r="X106" s="32"/>
      <x:c r="Y106" s="32"/>
      <x:c r="Z106" s="32"/>
      <x:c r="AA106" s="32"/>
      <x:c r="AB106" s="32"/>
      <x:c r="AC106" s="32"/>
      <x:c r="AD106" s="32"/>
      <x:c r="AE106" s="32"/>
      <x:c r="AF106" s="32"/>
      <x:c r="AG106" s="32"/>
      <x:c r="AH106" s="32"/>
      <x:c r="AI106" s="32"/>
      <x:c r="AJ106" s="32"/>
      <x:c r="AK106" s="32"/>
      <x:c r="AL106" s="32"/>
      <x:c r="AM106" s="32"/>
      <x:c r="AN106" s="32"/>
      <x:c r="AO106" s="32"/>
      <x:c r="AP106" s="32"/>
      <x:c r="AQ106" s="32"/>
      <x:c r="AR106" s="32"/>
      <x:c r="AS106" s="32"/>
      <x:c r="AT106" s="32"/>
      <x:c r="AU106" s="32"/>
      <x:c r="AV106" s="32"/>
      <x:c r="AW106" s="32"/>
      <x:c r="AX106" s="32"/>
      <x:c r="AZ106" s="32"/>
      <x:c r="BA106" s="32"/>
      <x:c r="BB106" s="32"/>
      <x:c r="BC106" s="32"/>
      <x:c r="BD106" s="32"/>
      <x:c r="BE106" s="32"/>
      <x:c r="BF106" s="32"/>
      <x:c r="BG106" s="32"/>
      <x:c r="BH106" s="32"/>
      <x:c r="BI106" s="32"/>
      <x:c r="BJ106" s="32"/>
      <x:c r="BK106" s="32"/>
      <x:c r="BL106" s="32"/>
      <x:c r="BM106" s="32"/>
    </x:row>
    <x:row r="107">
      <x:c r="A107" s="32"/>
      <x:c r="B107" s="32"/>
      <x:c r="C107" s="42"/>
      <x:c r="D107" s="32"/>
      <x:c r="E107" s="32"/>
      <x:c r="F107" s="32"/>
      <x:c r="G107" s="32"/>
      <x:c r="H107" s="32"/>
      <x:c r="I107" s="32"/>
      <x:c r="J107" s="32"/>
      <x:c r="K107" s="32"/>
      <x:c r="L107" s="32"/>
      <x:c r="M107" s="32"/>
      <x:c r="N107" s="32"/>
      <x:c r="O107" s="32"/>
      <x:c r="P107" s="32"/>
      <x:c r="Q107" s="32"/>
      <x:c r="R107" s="32"/>
      <x:c r="S107" s="32"/>
      <x:c r="T107" s="43" t="str">
        <x:f>IFERROR(S107/L107,"")</x:f>
      </x:c>
      <x:c r="U107" s="32"/>
      <x:c r="V107" s="32"/>
      <x:c r="W107" s="32"/>
      <x:c r="X107" s="32"/>
      <x:c r="Y107" s="32"/>
      <x:c r="Z107" s="32"/>
      <x:c r="AA107" s="32"/>
      <x:c r="AB107" s="32"/>
      <x:c r="AC107" s="32"/>
      <x:c r="AD107" s="32"/>
      <x:c r="AE107" s="32"/>
      <x:c r="AF107" s="32"/>
      <x:c r="AG107" s="32"/>
      <x:c r="AH107" s="32"/>
      <x:c r="AI107" s="32"/>
      <x:c r="AJ107" s="32"/>
      <x:c r="AK107" s="32"/>
      <x:c r="AL107" s="32"/>
      <x:c r="AM107" s="32"/>
      <x:c r="AN107" s="32"/>
      <x:c r="AO107" s="32"/>
      <x:c r="AP107" s="32"/>
      <x:c r="AQ107" s="32"/>
      <x:c r="AR107" s="32"/>
      <x:c r="AS107" s="32"/>
      <x:c r="AT107" s="32"/>
      <x:c r="AU107" s="32"/>
      <x:c r="AV107" s="32"/>
      <x:c r="AW107" s="32"/>
      <x:c r="AX107" s="32"/>
      <x:c r="AZ107" s="32"/>
      <x:c r="BA107" s="32"/>
      <x:c r="BB107" s="32"/>
      <x:c r="BC107" s="32"/>
      <x:c r="BD107" s="32"/>
      <x:c r="BE107" s="32"/>
      <x:c r="BF107" s="32"/>
      <x:c r="BG107" s="32"/>
      <x:c r="BH107" s="32"/>
      <x:c r="BI107" s="32"/>
      <x:c r="BJ107" s="32"/>
      <x:c r="BK107" s="32"/>
      <x:c r="BL107" s="32"/>
      <x:c r="BM107" s="32"/>
    </x:row>
    <x:row r="108">
      <x:c r="A108" s="32"/>
      <x:c r="B108" s="32"/>
      <x:c r="C108" s="42"/>
      <x:c r="D108" s="32"/>
      <x:c r="E108" s="32"/>
      <x:c r="F108" s="32"/>
      <x:c r="G108" s="32"/>
      <x:c r="H108" s="32"/>
      <x:c r="I108" s="32"/>
      <x:c r="J108" s="32"/>
      <x:c r="K108" s="32"/>
      <x:c r="L108" s="32"/>
      <x:c r="M108" s="32"/>
      <x:c r="N108" s="32"/>
      <x:c r="O108" s="32"/>
      <x:c r="P108" s="32"/>
      <x:c r="Q108" s="32"/>
      <x:c r="R108" s="32"/>
      <x:c r="S108" s="32"/>
      <x:c r="T108" s="43" t="str">
        <x:f>IFERROR(S108/L108,"")</x:f>
      </x:c>
      <x:c r="U108" s="32"/>
      <x:c r="V108" s="32"/>
      <x:c r="W108" s="32"/>
      <x:c r="X108" s="32"/>
      <x:c r="Y108" s="32"/>
      <x:c r="Z108" s="32"/>
      <x:c r="AA108" s="32"/>
      <x:c r="AB108" s="32"/>
      <x:c r="AC108" s="32"/>
      <x:c r="AD108" s="32"/>
      <x:c r="AE108" s="32"/>
      <x:c r="AF108" s="32"/>
      <x:c r="AG108" s="32"/>
      <x:c r="AH108" s="32"/>
      <x:c r="AI108" s="32"/>
      <x:c r="AJ108" s="32"/>
      <x:c r="AK108" s="32"/>
      <x:c r="AL108" s="32"/>
      <x:c r="AM108" s="32"/>
      <x:c r="AN108" s="32"/>
      <x:c r="AO108" s="32"/>
      <x:c r="AP108" s="32"/>
      <x:c r="AQ108" s="32"/>
      <x:c r="AR108" s="32"/>
      <x:c r="AS108" s="32"/>
      <x:c r="AT108" s="32"/>
      <x:c r="AU108" s="32"/>
      <x:c r="AV108" s="32"/>
      <x:c r="AW108" s="32"/>
      <x:c r="AX108" s="32"/>
      <x:c r="AZ108" s="32"/>
      <x:c r="BA108" s="32"/>
      <x:c r="BB108" s="32"/>
      <x:c r="BC108" s="32"/>
      <x:c r="BD108" s="32"/>
      <x:c r="BE108" s="32"/>
      <x:c r="BF108" s="32"/>
      <x:c r="BG108" s="32"/>
      <x:c r="BH108" s="32"/>
      <x:c r="BI108" s="32"/>
      <x:c r="BJ108" s="32"/>
      <x:c r="BK108" s="32"/>
      <x:c r="BL108" s="32"/>
      <x:c r="BM108" s="32"/>
    </x:row>
    <x:row r="109">
      <x:c r="A109" s="32"/>
      <x:c r="B109" s="32"/>
      <x:c r="C109" s="42"/>
      <x:c r="D109" s="32"/>
      <x:c r="E109" s="32"/>
      <x:c r="F109" s="32"/>
      <x:c r="G109" s="32"/>
      <x:c r="H109" s="32"/>
      <x:c r="I109" s="32"/>
      <x:c r="J109" s="32"/>
      <x:c r="K109" s="32"/>
      <x:c r="L109" s="32"/>
      <x:c r="M109" s="32"/>
      <x:c r="N109" s="32"/>
      <x:c r="O109" s="32"/>
      <x:c r="P109" s="32"/>
      <x:c r="Q109" s="32"/>
      <x:c r="R109" s="32"/>
      <x:c r="S109" s="32"/>
      <x:c r="T109" s="43" t="str">
        <x:f>IFERROR(S109/L109,"")</x:f>
      </x:c>
      <x:c r="U109" s="32"/>
      <x:c r="V109" s="32"/>
      <x:c r="W109" s="32"/>
      <x:c r="X109" s="32"/>
      <x:c r="Y109" s="32"/>
      <x:c r="Z109" s="32"/>
      <x:c r="AA109" s="32"/>
      <x:c r="AB109" s="32"/>
      <x:c r="AC109" s="32"/>
      <x:c r="AD109" s="32"/>
      <x:c r="AE109" s="32"/>
      <x:c r="AF109" s="32"/>
      <x:c r="AG109" s="32"/>
      <x:c r="AH109" s="32"/>
      <x:c r="AI109" s="32"/>
      <x:c r="AJ109" s="32"/>
      <x:c r="AK109" s="32"/>
      <x:c r="AL109" s="32"/>
      <x:c r="AM109" s="32"/>
      <x:c r="AN109" s="32"/>
      <x:c r="AO109" s="32"/>
      <x:c r="AP109" s="32"/>
      <x:c r="AQ109" s="32"/>
      <x:c r="AR109" s="32"/>
      <x:c r="AS109" s="32"/>
      <x:c r="AT109" s="32"/>
      <x:c r="AU109" s="32"/>
      <x:c r="AV109" s="32"/>
      <x:c r="AW109" s="32"/>
      <x:c r="AX109" s="32"/>
      <x:c r="AZ109" s="32"/>
      <x:c r="BA109" s="32"/>
      <x:c r="BB109" s="32"/>
      <x:c r="BC109" s="32"/>
      <x:c r="BD109" s="32"/>
      <x:c r="BE109" s="32"/>
      <x:c r="BF109" s="32"/>
      <x:c r="BG109" s="32"/>
      <x:c r="BH109" s="32"/>
      <x:c r="BI109" s="32"/>
      <x:c r="BJ109" s="32"/>
      <x:c r="BK109" s="32"/>
      <x:c r="BL109" s="32"/>
      <x:c r="BM109" s="32"/>
    </x:row>
    <x:row r="110">
      <x:c r="A110" s="32"/>
      <x:c r="B110" s="32"/>
      <x:c r="C110" s="42"/>
      <x:c r="D110" s="32"/>
      <x:c r="E110" s="32"/>
      <x:c r="F110" s="32"/>
      <x:c r="G110" s="32"/>
      <x:c r="H110" s="32"/>
      <x:c r="I110" s="32"/>
      <x:c r="J110" s="32"/>
      <x:c r="K110" s="32"/>
      <x:c r="L110" s="32"/>
      <x:c r="M110" s="32"/>
      <x:c r="N110" s="32"/>
      <x:c r="O110" s="32"/>
      <x:c r="P110" s="32"/>
      <x:c r="Q110" s="32"/>
      <x:c r="R110" s="32"/>
      <x:c r="S110" s="32"/>
      <x:c r="T110" s="43" t="str">
        <x:f>IFERROR(S110/L110,"")</x:f>
      </x:c>
      <x:c r="U110" s="32"/>
      <x:c r="V110" s="32"/>
      <x:c r="W110" s="32"/>
      <x:c r="X110" s="32"/>
      <x:c r="Y110" s="32"/>
      <x:c r="Z110" s="32"/>
      <x:c r="AA110" s="32"/>
      <x:c r="AB110" s="32"/>
      <x:c r="AC110" s="32"/>
      <x:c r="AD110" s="32"/>
      <x:c r="AE110" s="32"/>
      <x:c r="AF110" s="32"/>
      <x:c r="AG110" s="32"/>
      <x:c r="AH110" s="32"/>
      <x:c r="AI110" s="32"/>
      <x:c r="AJ110" s="32"/>
      <x:c r="AK110" s="32"/>
      <x:c r="AL110" s="32"/>
      <x:c r="AM110" s="32"/>
      <x:c r="AN110" s="32"/>
      <x:c r="AO110" s="32"/>
      <x:c r="AP110" s="32"/>
      <x:c r="AQ110" s="32"/>
      <x:c r="AR110" s="32"/>
      <x:c r="AS110" s="32"/>
      <x:c r="AT110" s="32"/>
      <x:c r="AU110" s="32"/>
      <x:c r="AV110" s="32"/>
      <x:c r="AW110" s="32"/>
      <x:c r="AX110" s="32"/>
      <x:c r="AZ110" s="32"/>
      <x:c r="BA110" s="32"/>
      <x:c r="BB110" s="32"/>
      <x:c r="BC110" s="32"/>
      <x:c r="BD110" s="32"/>
      <x:c r="BE110" s="32"/>
      <x:c r="BF110" s="32"/>
      <x:c r="BG110" s="32"/>
      <x:c r="BH110" s="32"/>
      <x:c r="BI110" s="32"/>
      <x:c r="BJ110" s="32"/>
      <x:c r="BK110" s="32"/>
      <x:c r="BL110" s="32"/>
      <x:c r="BM110" s="32"/>
    </x:row>
    <x:row r="111">
      <x:c r="A111" s="32"/>
      <x:c r="B111" s="32"/>
      <x:c r="C111" s="42"/>
      <x:c r="D111" s="32"/>
      <x:c r="E111" s="32"/>
      <x:c r="F111" s="32"/>
      <x:c r="G111" s="32"/>
      <x:c r="H111" s="32"/>
      <x:c r="I111" s="32"/>
      <x:c r="J111" s="32"/>
      <x:c r="K111" s="32"/>
      <x:c r="L111" s="32"/>
      <x:c r="M111" s="32"/>
      <x:c r="N111" s="32"/>
      <x:c r="O111" s="32"/>
      <x:c r="P111" s="32"/>
      <x:c r="Q111" s="32"/>
      <x:c r="R111" s="32"/>
      <x:c r="S111" s="32"/>
      <x:c r="T111" s="43" t="str">
        <x:f>IFERROR(S111/L111,"")</x:f>
      </x:c>
      <x:c r="U111" s="32"/>
      <x:c r="V111" s="32"/>
      <x:c r="W111" s="32"/>
      <x:c r="X111" s="32"/>
      <x:c r="Y111" s="32"/>
      <x:c r="Z111" s="32"/>
      <x:c r="AA111" s="32"/>
      <x:c r="AB111" s="32"/>
      <x:c r="AC111" s="32"/>
      <x:c r="AD111" s="32"/>
      <x:c r="AE111" s="32"/>
      <x:c r="AF111" s="32"/>
      <x:c r="AG111" s="32"/>
      <x:c r="AH111" s="32"/>
      <x:c r="AI111" s="32"/>
      <x:c r="AJ111" s="32"/>
      <x:c r="AK111" s="32"/>
      <x:c r="AL111" s="32"/>
      <x:c r="AM111" s="32"/>
      <x:c r="AN111" s="32"/>
      <x:c r="AO111" s="32"/>
      <x:c r="AP111" s="32"/>
      <x:c r="AQ111" s="32"/>
      <x:c r="AR111" s="32"/>
      <x:c r="AS111" s="32"/>
      <x:c r="AT111" s="32"/>
      <x:c r="AU111" s="32"/>
      <x:c r="AV111" s="32"/>
      <x:c r="AW111" s="32"/>
      <x:c r="AX111" s="32"/>
      <x:c r="AZ111" s="32"/>
      <x:c r="BA111" s="32"/>
      <x:c r="BB111" s="32"/>
      <x:c r="BC111" s="32"/>
      <x:c r="BD111" s="32"/>
      <x:c r="BE111" s="32"/>
      <x:c r="BF111" s="32"/>
      <x:c r="BG111" s="32"/>
      <x:c r="BH111" s="32"/>
      <x:c r="BI111" s="32"/>
      <x:c r="BJ111" s="32"/>
      <x:c r="BK111" s="32"/>
      <x:c r="BL111" s="32"/>
      <x:c r="BM111" s="32"/>
    </x:row>
    <x:row r="112">
      <x:c r="A112" s="32"/>
      <x:c r="B112" s="32"/>
      <x:c r="C112" s="42"/>
      <x:c r="D112" s="32"/>
      <x:c r="E112" s="32"/>
      <x:c r="F112" s="32"/>
      <x:c r="G112" s="32"/>
      <x:c r="H112" s="32"/>
      <x:c r="I112" s="32"/>
      <x:c r="J112" s="32"/>
      <x:c r="K112" s="32"/>
      <x:c r="L112" s="32"/>
      <x:c r="M112" s="32"/>
      <x:c r="N112" s="32"/>
      <x:c r="O112" s="32"/>
      <x:c r="P112" s="32"/>
      <x:c r="Q112" s="32"/>
      <x:c r="R112" s="32"/>
      <x:c r="S112" s="32"/>
      <x:c r="T112" s="43" t="str">
        <x:f>IFERROR(S112/L112,"")</x:f>
      </x:c>
      <x:c r="U112" s="32"/>
      <x:c r="V112" s="32"/>
      <x:c r="W112" s="32"/>
      <x:c r="X112" s="32"/>
      <x:c r="Y112" s="32"/>
      <x:c r="Z112" s="32"/>
      <x:c r="AA112" s="32"/>
      <x:c r="AB112" s="32"/>
      <x:c r="AC112" s="32"/>
      <x:c r="AD112" s="32"/>
      <x:c r="AE112" s="32"/>
      <x:c r="AF112" s="32"/>
      <x:c r="AG112" s="32"/>
      <x:c r="AH112" s="32"/>
      <x:c r="AI112" s="32"/>
      <x:c r="AJ112" s="32"/>
      <x:c r="AK112" s="32"/>
      <x:c r="AL112" s="32"/>
      <x:c r="AM112" s="32"/>
      <x:c r="AN112" s="32"/>
      <x:c r="AO112" s="32"/>
      <x:c r="AP112" s="32"/>
      <x:c r="AQ112" s="32"/>
      <x:c r="AR112" s="32"/>
      <x:c r="AS112" s="32"/>
      <x:c r="AT112" s="32"/>
      <x:c r="AU112" s="32"/>
      <x:c r="AV112" s="32"/>
      <x:c r="AW112" s="32"/>
      <x:c r="AX112" s="32"/>
      <x:c r="AZ112" s="32"/>
      <x:c r="BA112" s="32"/>
      <x:c r="BB112" s="32"/>
      <x:c r="BC112" s="32"/>
      <x:c r="BD112" s="32"/>
      <x:c r="BE112" s="32"/>
      <x:c r="BF112" s="32"/>
      <x:c r="BG112" s="32"/>
      <x:c r="BH112" s="32"/>
      <x:c r="BI112" s="32"/>
      <x:c r="BJ112" s="32"/>
      <x:c r="BK112" s="32"/>
      <x:c r="BL112" s="32"/>
      <x:c r="BM112" s="32"/>
    </x:row>
    <x:row r="113">
      <x:c r="A113" s="32"/>
      <x:c r="B113" s="32"/>
      <x:c r="C113" s="42"/>
      <x:c r="D113" s="32"/>
      <x:c r="E113" s="32"/>
      <x:c r="F113" s="32"/>
      <x:c r="G113" s="32"/>
      <x:c r="H113" s="32"/>
      <x:c r="I113" s="32"/>
      <x:c r="J113" s="32"/>
      <x:c r="K113" s="32"/>
      <x:c r="L113" s="32"/>
      <x:c r="M113" s="32"/>
      <x:c r="N113" s="32"/>
      <x:c r="O113" s="32"/>
      <x:c r="P113" s="32"/>
      <x:c r="Q113" s="32"/>
      <x:c r="R113" s="32"/>
      <x:c r="S113" s="32"/>
      <x:c r="T113" s="43" t="str">
        <x:f>IFERROR(S113/L113,"")</x:f>
      </x:c>
      <x:c r="U113" s="32"/>
      <x:c r="V113" s="32"/>
      <x:c r="W113" s="32"/>
      <x:c r="X113" s="32"/>
      <x:c r="Y113" s="32"/>
      <x:c r="Z113" s="32"/>
      <x:c r="AA113" s="32"/>
      <x:c r="AB113" s="32"/>
      <x:c r="AC113" s="32"/>
      <x:c r="AD113" s="32"/>
      <x:c r="AE113" s="32"/>
      <x:c r="AF113" s="32"/>
      <x:c r="AG113" s="32"/>
      <x:c r="AH113" s="32"/>
      <x:c r="AI113" s="32"/>
      <x:c r="AJ113" s="32"/>
      <x:c r="AK113" s="32"/>
      <x:c r="AL113" s="32"/>
      <x:c r="AM113" s="32"/>
      <x:c r="AN113" s="32"/>
      <x:c r="AO113" s="32"/>
      <x:c r="AP113" s="32"/>
      <x:c r="AQ113" s="32"/>
      <x:c r="AR113" s="32"/>
      <x:c r="AS113" s="32"/>
      <x:c r="AT113" s="32"/>
      <x:c r="AU113" s="32"/>
      <x:c r="AV113" s="32"/>
      <x:c r="AW113" s="32"/>
      <x:c r="AX113" s="32"/>
      <x:c r="AZ113" s="32"/>
      <x:c r="BA113" s="32"/>
      <x:c r="BB113" s="32"/>
      <x:c r="BC113" s="32"/>
      <x:c r="BD113" s="32"/>
      <x:c r="BE113" s="32"/>
      <x:c r="BF113" s="32"/>
      <x:c r="BG113" s="32"/>
      <x:c r="BH113" s="32"/>
      <x:c r="BI113" s="32"/>
      <x:c r="BJ113" s="32"/>
      <x:c r="BK113" s="32"/>
      <x:c r="BL113" s="32"/>
      <x:c r="BM113" s="32"/>
    </x:row>
    <x:row r="114">
      <x:c r="A114" s="32"/>
      <x:c r="B114" s="32"/>
      <x:c r="C114" s="42"/>
      <x:c r="D114" s="32"/>
      <x:c r="E114" s="32"/>
      <x:c r="F114" s="32"/>
      <x:c r="G114" s="32"/>
      <x:c r="H114" s="32"/>
      <x:c r="I114" s="32"/>
      <x:c r="J114" s="32"/>
      <x:c r="K114" s="32"/>
      <x:c r="L114" s="32"/>
      <x:c r="M114" s="32"/>
      <x:c r="N114" s="32"/>
      <x:c r="O114" s="32"/>
      <x:c r="P114" s="32"/>
      <x:c r="Q114" s="32"/>
      <x:c r="R114" s="32"/>
      <x:c r="S114" s="32"/>
      <x:c r="T114" s="43" t="str">
        <x:f>IFERROR(S114/L114,"")</x:f>
      </x:c>
      <x:c r="U114" s="32"/>
      <x:c r="V114" s="32"/>
      <x:c r="W114" s="32"/>
      <x:c r="X114" s="32"/>
      <x:c r="Y114" s="32"/>
      <x:c r="Z114" s="32"/>
      <x:c r="AA114" s="32"/>
      <x:c r="AB114" s="32"/>
      <x:c r="AC114" s="32"/>
      <x:c r="AD114" s="32"/>
      <x:c r="AE114" s="32"/>
      <x:c r="AF114" s="32"/>
      <x:c r="AG114" s="32"/>
      <x:c r="AH114" s="32"/>
      <x:c r="AI114" s="32"/>
      <x:c r="AJ114" s="32"/>
      <x:c r="AK114" s="32"/>
      <x:c r="AL114" s="32"/>
      <x:c r="AM114" s="32"/>
      <x:c r="AN114" s="32"/>
      <x:c r="AO114" s="32"/>
      <x:c r="AP114" s="32"/>
      <x:c r="AQ114" s="32"/>
      <x:c r="AR114" s="32"/>
      <x:c r="AS114" s="32"/>
      <x:c r="AT114" s="32"/>
      <x:c r="AU114" s="32"/>
      <x:c r="AV114" s="32"/>
      <x:c r="AW114" s="32"/>
      <x:c r="AX114" s="32"/>
      <x:c r="AZ114" s="32"/>
      <x:c r="BA114" s="32"/>
      <x:c r="BB114" s="32"/>
      <x:c r="BC114" s="32"/>
      <x:c r="BD114" s="32"/>
      <x:c r="BE114" s="32"/>
      <x:c r="BF114" s="32"/>
      <x:c r="BG114" s="32"/>
      <x:c r="BH114" s="32"/>
      <x:c r="BI114" s="32"/>
      <x:c r="BJ114" s="32"/>
      <x:c r="BK114" s="32"/>
      <x:c r="BL114" s="32"/>
      <x:c r="BM114" s="32"/>
    </x:row>
    <x:row r="115">
      <x:c r="A115" s="32"/>
      <x:c r="B115" s="32"/>
      <x:c r="C115" s="42"/>
      <x:c r="D115" s="32"/>
      <x:c r="E115" s="32"/>
      <x:c r="F115" s="32"/>
      <x:c r="G115" s="32"/>
      <x:c r="H115" s="32"/>
      <x:c r="I115" s="32"/>
      <x:c r="J115" s="32"/>
      <x:c r="K115" s="32"/>
      <x:c r="L115" s="32"/>
      <x:c r="M115" s="32"/>
      <x:c r="N115" s="32"/>
      <x:c r="O115" s="32"/>
      <x:c r="P115" s="32"/>
      <x:c r="Q115" s="32"/>
      <x:c r="R115" s="32"/>
      <x:c r="S115" s="32"/>
      <x:c r="T115" s="43" t="str">
        <x:f>IFERROR(S115/L115,"")</x:f>
      </x:c>
      <x:c r="U115" s="32"/>
      <x:c r="V115" s="32"/>
      <x:c r="W115" s="32"/>
      <x:c r="X115" s="32"/>
      <x:c r="Y115" s="32"/>
      <x:c r="Z115" s="32"/>
      <x:c r="AA115" s="32"/>
      <x:c r="AB115" s="32"/>
      <x:c r="AC115" s="32"/>
      <x:c r="AD115" s="32"/>
      <x:c r="AE115" s="32"/>
      <x:c r="AF115" s="32"/>
      <x:c r="AG115" s="32"/>
      <x:c r="AH115" s="32"/>
      <x:c r="AI115" s="32"/>
      <x:c r="AJ115" s="32"/>
      <x:c r="AK115" s="32"/>
      <x:c r="AL115" s="32"/>
      <x:c r="AM115" s="32"/>
      <x:c r="AN115" s="32"/>
      <x:c r="AO115" s="32"/>
      <x:c r="AP115" s="32"/>
      <x:c r="AQ115" s="32"/>
      <x:c r="AR115" s="32"/>
      <x:c r="AS115" s="32"/>
      <x:c r="AT115" s="32"/>
      <x:c r="AU115" s="32"/>
      <x:c r="AV115" s="32"/>
      <x:c r="AW115" s="32"/>
      <x:c r="AX115" s="32"/>
      <x:c r="AZ115" s="32"/>
      <x:c r="BA115" s="32"/>
      <x:c r="BB115" s="32"/>
      <x:c r="BC115" s="32"/>
      <x:c r="BD115" s="32"/>
      <x:c r="BE115" s="32"/>
      <x:c r="BF115" s="32"/>
      <x:c r="BG115" s="32"/>
      <x:c r="BH115" s="32"/>
      <x:c r="BI115" s="32"/>
      <x:c r="BJ115" s="32"/>
      <x:c r="BK115" s="32"/>
      <x:c r="BL115" s="32"/>
      <x:c r="BM115" s="32"/>
    </x:row>
    <x:row r="116">
      <x:c r="A116" s="32"/>
      <x:c r="B116" s="32"/>
      <x:c r="C116" s="42"/>
      <x:c r="D116" s="32"/>
      <x:c r="E116" s="32"/>
      <x:c r="F116" s="32"/>
      <x:c r="G116" s="32"/>
      <x:c r="H116" s="32"/>
      <x:c r="I116" s="32"/>
      <x:c r="J116" s="32"/>
      <x:c r="K116" s="32"/>
      <x:c r="L116" s="32"/>
      <x:c r="M116" s="32"/>
      <x:c r="N116" s="32"/>
      <x:c r="O116" s="32"/>
      <x:c r="P116" s="32"/>
      <x:c r="Q116" s="32"/>
      <x:c r="R116" s="32"/>
      <x:c r="S116" s="32"/>
      <x:c r="T116" s="43" t="str">
        <x:f>IFERROR(S116/L116,"")</x:f>
      </x:c>
      <x:c r="U116" s="32"/>
      <x:c r="V116" s="32"/>
      <x:c r="W116" s="32"/>
      <x:c r="X116" s="32"/>
      <x:c r="Y116" s="32"/>
      <x:c r="Z116" s="32"/>
      <x:c r="AA116" s="32"/>
      <x:c r="AB116" s="32"/>
      <x:c r="AC116" s="32"/>
      <x:c r="AD116" s="32"/>
      <x:c r="AE116" s="32"/>
      <x:c r="AF116" s="32"/>
      <x:c r="AG116" s="32"/>
      <x:c r="AH116" s="32"/>
      <x:c r="AI116" s="32"/>
      <x:c r="AJ116" s="32"/>
      <x:c r="AK116" s="32"/>
      <x:c r="AL116" s="32"/>
      <x:c r="AM116" s="32"/>
      <x:c r="AN116" s="32"/>
      <x:c r="AO116" s="32"/>
      <x:c r="AP116" s="32"/>
      <x:c r="AQ116" s="32"/>
      <x:c r="AR116" s="32"/>
      <x:c r="AS116" s="32"/>
      <x:c r="AT116" s="32"/>
      <x:c r="AU116" s="32"/>
      <x:c r="AV116" s="32"/>
      <x:c r="AW116" s="32"/>
      <x:c r="AX116" s="32"/>
      <x:c r="AZ116" s="32"/>
      <x:c r="BA116" s="32"/>
      <x:c r="BB116" s="32"/>
      <x:c r="BC116" s="32"/>
      <x:c r="BD116" s="32"/>
      <x:c r="BE116" s="32"/>
      <x:c r="BF116" s="32"/>
      <x:c r="BG116" s="32"/>
      <x:c r="BH116" s="32"/>
      <x:c r="BI116" s="32"/>
      <x:c r="BJ116" s="32"/>
      <x:c r="BK116" s="32"/>
      <x:c r="BL116" s="32"/>
      <x:c r="BM116" s="32"/>
    </x:row>
    <x:row r="117">
      <x:c r="A117" s="32"/>
      <x:c r="B117" s="32"/>
      <x:c r="C117" s="42"/>
      <x:c r="D117" s="32"/>
      <x:c r="E117" s="32"/>
      <x:c r="F117" s="32"/>
      <x:c r="G117" s="32"/>
      <x:c r="H117" s="32"/>
      <x:c r="I117" s="32"/>
      <x:c r="J117" s="32"/>
      <x:c r="K117" s="32"/>
      <x:c r="L117" s="32"/>
      <x:c r="M117" s="32"/>
      <x:c r="N117" s="32"/>
      <x:c r="O117" s="32"/>
      <x:c r="P117" s="32"/>
      <x:c r="Q117" s="32"/>
      <x:c r="R117" s="32"/>
      <x:c r="S117" s="32"/>
      <x:c r="T117" s="43" t="str">
        <x:f>IFERROR(S117/L117,"")</x:f>
      </x:c>
      <x:c r="U117" s="32"/>
      <x:c r="V117" s="32"/>
      <x:c r="W117" s="32"/>
      <x:c r="X117" s="32"/>
      <x:c r="Y117" s="32"/>
      <x:c r="Z117" s="32"/>
      <x:c r="AA117" s="32"/>
      <x:c r="AB117" s="32"/>
      <x:c r="AC117" s="32"/>
      <x:c r="AD117" s="32"/>
      <x:c r="AE117" s="32"/>
      <x:c r="AF117" s="32"/>
      <x:c r="AG117" s="32"/>
      <x:c r="AH117" s="32"/>
      <x:c r="AI117" s="32"/>
      <x:c r="AJ117" s="32"/>
      <x:c r="AK117" s="32"/>
      <x:c r="AL117" s="32"/>
      <x:c r="AM117" s="32"/>
      <x:c r="AN117" s="32"/>
      <x:c r="AO117" s="32"/>
      <x:c r="AP117" s="32"/>
      <x:c r="AQ117" s="32"/>
      <x:c r="AR117" s="32"/>
      <x:c r="AS117" s="32"/>
      <x:c r="AT117" s="32"/>
      <x:c r="AU117" s="32"/>
      <x:c r="AV117" s="32"/>
      <x:c r="AW117" s="32"/>
      <x:c r="AX117" s="32"/>
      <x:c r="AZ117" s="32"/>
      <x:c r="BA117" s="32"/>
      <x:c r="BB117" s="32"/>
      <x:c r="BC117" s="32"/>
      <x:c r="BD117" s="32"/>
      <x:c r="BE117" s="32"/>
      <x:c r="BF117" s="32"/>
      <x:c r="BG117" s="32"/>
      <x:c r="BH117" s="32"/>
      <x:c r="BI117" s="32"/>
      <x:c r="BJ117" s="32"/>
      <x:c r="BK117" s="32"/>
      <x:c r="BL117" s="32"/>
      <x:c r="BM117" s="32"/>
    </x:row>
    <x:row r="118">
      <x:c r="A118" s="32"/>
      <x:c r="B118" s="32"/>
      <x:c r="C118" s="42"/>
      <x:c r="D118" s="32"/>
      <x:c r="E118" s="32"/>
      <x:c r="F118" s="32"/>
      <x:c r="G118" s="32"/>
      <x:c r="H118" s="32"/>
      <x:c r="I118" s="32"/>
      <x:c r="J118" s="32"/>
      <x:c r="K118" s="32"/>
      <x:c r="L118" s="32"/>
      <x:c r="M118" s="32"/>
      <x:c r="N118" s="32"/>
      <x:c r="O118" s="32"/>
      <x:c r="P118" s="32"/>
      <x:c r="Q118" s="32"/>
      <x:c r="R118" s="32"/>
      <x:c r="S118" s="32"/>
      <x:c r="T118" s="43" t="str">
        <x:f>IFERROR(S118/L118,"")</x:f>
      </x:c>
      <x:c r="U118" s="32"/>
      <x:c r="V118" s="32"/>
      <x:c r="W118" s="32"/>
      <x:c r="X118" s="32"/>
      <x:c r="Y118" s="32"/>
      <x:c r="Z118" s="32"/>
      <x:c r="AA118" s="32"/>
      <x:c r="AB118" s="32"/>
      <x:c r="AC118" s="32"/>
      <x:c r="AD118" s="32"/>
      <x:c r="AE118" s="32"/>
      <x:c r="AF118" s="32"/>
      <x:c r="AG118" s="32"/>
      <x:c r="AH118" s="32"/>
      <x:c r="AI118" s="32"/>
      <x:c r="AJ118" s="32"/>
      <x:c r="AK118" s="32"/>
      <x:c r="AL118" s="32"/>
      <x:c r="AM118" s="32"/>
      <x:c r="AN118" s="32"/>
      <x:c r="AO118" s="32"/>
      <x:c r="AP118" s="32"/>
      <x:c r="AQ118" s="32"/>
      <x:c r="AR118" s="32"/>
      <x:c r="AS118" s="32"/>
      <x:c r="AT118" s="32"/>
      <x:c r="AU118" s="32"/>
      <x:c r="AV118" s="32"/>
      <x:c r="AW118" s="32"/>
      <x:c r="AX118" s="32"/>
      <x:c r="AZ118" s="32"/>
      <x:c r="BA118" s="32"/>
      <x:c r="BB118" s="32"/>
      <x:c r="BC118" s="32"/>
      <x:c r="BD118" s="32"/>
      <x:c r="BE118" s="32"/>
      <x:c r="BF118" s="32"/>
      <x:c r="BG118" s="32"/>
      <x:c r="BH118" s="32"/>
      <x:c r="BI118" s="32"/>
      <x:c r="BJ118" s="32"/>
      <x:c r="BK118" s="32"/>
      <x:c r="BL118" s="32"/>
      <x:c r="BM118" s="32"/>
    </x:row>
    <x:row r="119">
      <x:c r="A119" s="32"/>
      <x:c r="B119" s="32"/>
      <x:c r="C119" s="42"/>
      <x:c r="D119" s="32"/>
      <x:c r="E119" s="32"/>
      <x:c r="F119" s="32"/>
      <x:c r="G119" s="32"/>
      <x:c r="H119" s="32"/>
      <x:c r="I119" s="32"/>
      <x:c r="J119" s="32"/>
      <x:c r="K119" s="32"/>
      <x:c r="L119" s="32"/>
      <x:c r="M119" s="32"/>
      <x:c r="N119" s="32"/>
      <x:c r="O119" s="32"/>
      <x:c r="P119" s="32"/>
      <x:c r="Q119" s="32"/>
      <x:c r="R119" s="32"/>
      <x:c r="S119" s="32"/>
      <x:c r="T119" s="43" t="str">
        <x:f>IFERROR(S119/L119,"")</x:f>
      </x:c>
      <x:c r="U119" s="32"/>
      <x:c r="V119" s="32"/>
      <x:c r="W119" s="32"/>
      <x:c r="X119" s="32"/>
      <x:c r="Y119" s="32"/>
      <x:c r="Z119" s="32"/>
      <x:c r="AA119" s="32"/>
      <x:c r="AB119" s="32"/>
      <x:c r="AC119" s="32"/>
      <x:c r="AD119" s="32"/>
      <x:c r="AE119" s="32"/>
      <x:c r="AF119" s="32"/>
      <x:c r="AG119" s="32"/>
      <x:c r="AH119" s="32"/>
      <x:c r="AI119" s="32"/>
      <x:c r="AJ119" s="32"/>
      <x:c r="AK119" s="32"/>
      <x:c r="AL119" s="32"/>
      <x:c r="AM119" s="32"/>
      <x:c r="AN119" s="32"/>
      <x:c r="AO119" s="32"/>
      <x:c r="AP119" s="32"/>
      <x:c r="AQ119" s="32"/>
      <x:c r="AR119" s="32"/>
      <x:c r="AS119" s="32"/>
      <x:c r="AT119" s="32"/>
      <x:c r="AU119" s="32"/>
      <x:c r="AV119" s="32"/>
      <x:c r="AW119" s="32"/>
      <x:c r="AX119" s="32"/>
      <x:c r="AZ119" s="32"/>
      <x:c r="BA119" s="32"/>
      <x:c r="BB119" s="32"/>
      <x:c r="BC119" s="32"/>
      <x:c r="BD119" s="32"/>
      <x:c r="BE119" s="32"/>
      <x:c r="BF119" s="32"/>
      <x:c r="BG119" s="32"/>
      <x:c r="BH119" s="32"/>
      <x:c r="BI119" s="32"/>
      <x:c r="BJ119" s="32"/>
      <x:c r="BK119" s="32"/>
      <x:c r="BL119" s="32"/>
      <x:c r="BM119" s="32"/>
    </x:row>
    <x:row r="120">
      <x:c r="A120" s="32"/>
      <x:c r="B120" s="32"/>
      <x:c r="C120" s="42"/>
      <x:c r="D120" s="32"/>
      <x:c r="E120" s="32"/>
      <x:c r="F120" s="32"/>
      <x:c r="G120" s="32"/>
      <x:c r="H120" s="32"/>
      <x:c r="I120" s="32"/>
      <x:c r="J120" s="32"/>
      <x:c r="K120" s="32"/>
      <x:c r="L120" s="32"/>
      <x:c r="M120" s="32"/>
      <x:c r="N120" s="32"/>
      <x:c r="O120" s="32"/>
      <x:c r="P120" s="32"/>
      <x:c r="Q120" s="32"/>
      <x:c r="R120" s="32"/>
      <x:c r="S120" s="32"/>
      <x:c r="T120" s="43" t="str">
        <x:f>IFERROR(S120/L120,"")</x:f>
      </x:c>
      <x:c r="U120" s="32"/>
      <x:c r="V120" s="32"/>
      <x:c r="W120" s="32"/>
      <x:c r="X120" s="32"/>
      <x:c r="Y120" s="32"/>
      <x:c r="Z120" s="32"/>
      <x:c r="AA120" s="32"/>
      <x:c r="AB120" s="32"/>
      <x:c r="AC120" s="32"/>
      <x:c r="AD120" s="32"/>
      <x:c r="AE120" s="32"/>
      <x:c r="AF120" s="32"/>
      <x:c r="AG120" s="32"/>
      <x:c r="AH120" s="32"/>
      <x:c r="AI120" s="32"/>
      <x:c r="AJ120" s="32"/>
      <x:c r="AK120" s="32"/>
      <x:c r="AL120" s="32"/>
      <x:c r="AM120" s="32"/>
      <x:c r="AN120" s="32"/>
      <x:c r="AO120" s="32"/>
      <x:c r="AP120" s="32"/>
      <x:c r="AQ120" s="32"/>
      <x:c r="AR120" s="32"/>
      <x:c r="AS120" s="32"/>
      <x:c r="AT120" s="32"/>
      <x:c r="AU120" s="32"/>
      <x:c r="AV120" s="32"/>
      <x:c r="AW120" s="32"/>
      <x:c r="AX120" s="32"/>
      <x:c r="AZ120" s="32"/>
      <x:c r="BA120" s="32"/>
      <x:c r="BB120" s="32"/>
      <x:c r="BC120" s="32"/>
      <x:c r="BD120" s="32"/>
      <x:c r="BE120" s="32"/>
      <x:c r="BF120" s="32"/>
      <x:c r="BG120" s="32"/>
      <x:c r="BH120" s="32"/>
      <x:c r="BI120" s="32"/>
      <x:c r="BJ120" s="32"/>
      <x:c r="BK120" s="32"/>
      <x:c r="BL120" s="32"/>
      <x:c r="BM120" s="32"/>
    </x:row>
    <x:row r="121">
      <x:c r="A121" s="32"/>
      <x:c r="B121" s="32"/>
      <x:c r="C121" s="42"/>
      <x:c r="D121" s="32"/>
      <x:c r="E121" s="32"/>
      <x:c r="F121" s="32"/>
      <x:c r="G121" s="32"/>
      <x:c r="H121" s="32"/>
      <x:c r="I121" s="32"/>
      <x:c r="J121" s="32"/>
      <x:c r="K121" s="32"/>
      <x:c r="L121" s="32"/>
      <x:c r="M121" s="32"/>
      <x:c r="N121" s="32"/>
      <x:c r="O121" s="32"/>
      <x:c r="P121" s="32"/>
      <x:c r="Q121" s="32"/>
      <x:c r="R121" s="32"/>
      <x:c r="S121" s="32"/>
      <x:c r="T121" s="43" t="str">
        <x:f>IFERROR(S121/L121,"")</x:f>
      </x:c>
      <x:c r="U121" s="32"/>
      <x:c r="V121" s="32"/>
      <x:c r="W121" s="32"/>
      <x:c r="X121" s="32"/>
      <x:c r="Y121" s="32"/>
      <x:c r="Z121" s="32"/>
      <x:c r="AA121" s="32"/>
      <x:c r="AB121" s="32"/>
      <x:c r="AC121" s="32"/>
      <x:c r="AD121" s="32"/>
      <x:c r="AE121" s="32"/>
      <x:c r="AF121" s="32"/>
      <x:c r="AG121" s="32"/>
      <x:c r="AH121" s="32"/>
      <x:c r="AI121" s="32"/>
      <x:c r="AJ121" s="32"/>
      <x:c r="AK121" s="32"/>
      <x:c r="AL121" s="32"/>
      <x:c r="AM121" s="32"/>
      <x:c r="AN121" s="32"/>
      <x:c r="AO121" s="32"/>
      <x:c r="AP121" s="32"/>
      <x:c r="AQ121" s="32"/>
      <x:c r="AR121" s="32"/>
      <x:c r="AS121" s="32"/>
      <x:c r="AT121" s="32"/>
      <x:c r="AU121" s="32"/>
      <x:c r="AV121" s="32"/>
      <x:c r="AW121" s="32"/>
      <x:c r="AX121" s="32"/>
      <x:c r="AZ121" s="32"/>
      <x:c r="BA121" s="32"/>
      <x:c r="BB121" s="32"/>
      <x:c r="BC121" s="32"/>
      <x:c r="BD121" s="32"/>
      <x:c r="BE121" s="32"/>
      <x:c r="BF121" s="32"/>
      <x:c r="BG121" s="32"/>
      <x:c r="BH121" s="32"/>
      <x:c r="BI121" s="32"/>
      <x:c r="BJ121" s="32"/>
      <x:c r="BK121" s="32"/>
      <x:c r="BL121" s="32"/>
      <x:c r="BM121" s="32"/>
    </x:row>
    <x:row r="122">
      <x:c r="A122" s="32"/>
      <x:c r="B122" s="32"/>
      <x:c r="C122" s="42"/>
      <x:c r="D122" s="32"/>
      <x:c r="E122" s="32"/>
      <x:c r="F122" s="32"/>
      <x:c r="G122" s="32"/>
      <x:c r="H122" s="32"/>
      <x:c r="I122" s="32"/>
      <x:c r="J122" s="32"/>
      <x:c r="K122" s="32"/>
      <x:c r="L122" s="32"/>
      <x:c r="M122" s="32"/>
      <x:c r="N122" s="32"/>
      <x:c r="O122" s="32"/>
      <x:c r="P122" s="32"/>
      <x:c r="Q122" s="32"/>
      <x:c r="R122" s="32"/>
      <x:c r="S122" s="32"/>
      <x:c r="T122" s="43" t="str">
        <x:f>IFERROR(S122/L122,"")</x:f>
      </x:c>
      <x:c r="U122" s="32"/>
      <x:c r="V122" s="32"/>
      <x:c r="W122" s="32"/>
      <x:c r="X122" s="32"/>
      <x:c r="Y122" s="32"/>
      <x:c r="Z122" s="32"/>
      <x:c r="AA122" s="32"/>
      <x:c r="AB122" s="32"/>
      <x:c r="AC122" s="32"/>
      <x:c r="AD122" s="32"/>
      <x:c r="AE122" s="32"/>
      <x:c r="AF122" s="32"/>
      <x:c r="AG122" s="32"/>
      <x:c r="AH122" s="32"/>
      <x:c r="AI122" s="32"/>
      <x:c r="AJ122" s="32"/>
      <x:c r="AK122" s="32"/>
      <x:c r="AL122" s="32"/>
      <x:c r="AM122" s="32"/>
      <x:c r="AN122" s="32"/>
      <x:c r="AO122" s="32"/>
      <x:c r="AP122" s="32"/>
      <x:c r="AQ122" s="32"/>
      <x:c r="AR122" s="32"/>
      <x:c r="AS122" s="32"/>
      <x:c r="AT122" s="32"/>
      <x:c r="AU122" s="32"/>
      <x:c r="AV122" s="32"/>
      <x:c r="AW122" s="32"/>
      <x:c r="AX122" s="32"/>
      <x:c r="AZ122" s="32"/>
      <x:c r="BA122" s="32"/>
      <x:c r="BB122" s="32"/>
      <x:c r="BC122" s="32"/>
      <x:c r="BD122" s="32"/>
      <x:c r="BE122" s="32"/>
      <x:c r="BF122" s="32"/>
      <x:c r="BG122" s="32"/>
      <x:c r="BH122" s="32"/>
      <x:c r="BI122" s="32"/>
      <x:c r="BJ122" s="32"/>
      <x:c r="BK122" s="32"/>
      <x:c r="BL122" s="32"/>
      <x:c r="BM122" s="32"/>
    </x:row>
    <x:row r="123">
      <x:c r="A123" s="32"/>
      <x:c r="B123" s="32"/>
      <x:c r="C123" s="42"/>
      <x:c r="D123" s="32"/>
      <x:c r="E123" s="32"/>
      <x:c r="F123" s="32"/>
      <x:c r="G123" s="32"/>
      <x:c r="H123" s="32"/>
      <x:c r="I123" s="32"/>
      <x:c r="J123" s="32"/>
      <x:c r="K123" s="32"/>
      <x:c r="L123" s="32"/>
      <x:c r="M123" s="32"/>
      <x:c r="N123" s="32"/>
      <x:c r="O123" s="32"/>
      <x:c r="P123" s="32"/>
      <x:c r="Q123" s="32"/>
      <x:c r="R123" s="32"/>
      <x:c r="S123" s="32"/>
      <x:c r="T123" s="43" t="str">
        <x:f>IFERROR(S123/L123,"")</x:f>
      </x:c>
      <x:c r="U123" s="32"/>
      <x:c r="V123" s="32"/>
      <x:c r="W123" s="32"/>
      <x:c r="X123" s="32"/>
      <x:c r="Y123" s="32"/>
      <x:c r="Z123" s="32"/>
      <x:c r="AA123" s="32"/>
      <x:c r="AB123" s="32"/>
      <x:c r="AC123" s="32"/>
      <x:c r="AD123" s="32"/>
      <x:c r="AE123" s="32"/>
      <x:c r="AF123" s="32"/>
      <x:c r="AG123" s="32"/>
      <x:c r="AH123" s="32"/>
      <x:c r="AI123" s="32"/>
      <x:c r="AJ123" s="32"/>
      <x:c r="AK123" s="32"/>
      <x:c r="AL123" s="32"/>
      <x:c r="AM123" s="32"/>
      <x:c r="AN123" s="32"/>
      <x:c r="AO123" s="32"/>
      <x:c r="AP123" s="32"/>
      <x:c r="AQ123" s="32"/>
      <x:c r="AR123" s="32"/>
      <x:c r="AS123" s="32"/>
      <x:c r="AT123" s="32"/>
      <x:c r="AU123" s="32"/>
      <x:c r="AV123" s="32"/>
      <x:c r="AW123" s="32"/>
      <x:c r="AX123" s="32"/>
      <x:c r="AZ123" s="32"/>
      <x:c r="BA123" s="32"/>
      <x:c r="BB123" s="32"/>
      <x:c r="BC123" s="32"/>
      <x:c r="BD123" s="32"/>
      <x:c r="BE123" s="32"/>
      <x:c r="BF123" s="32"/>
      <x:c r="BG123" s="32"/>
      <x:c r="BH123" s="32"/>
      <x:c r="BI123" s="32"/>
      <x:c r="BJ123" s="32"/>
      <x:c r="BK123" s="32"/>
      <x:c r="BL123" s="32"/>
      <x:c r="BM123" s="32"/>
    </x:row>
    <x:row r="124">
      <x:c r="A124" s="32"/>
      <x:c r="B124" s="32"/>
      <x:c r="C124" s="42"/>
      <x:c r="D124" s="32"/>
      <x:c r="E124" s="32"/>
      <x:c r="F124" s="32"/>
      <x:c r="G124" s="32"/>
      <x:c r="H124" s="32"/>
      <x:c r="I124" s="32"/>
      <x:c r="J124" s="32"/>
      <x:c r="K124" s="32"/>
      <x:c r="L124" s="32"/>
      <x:c r="M124" s="32"/>
      <x:c r="N124" s="32"/>
      <x:c r="O124" s="32"/>
      <x:c r="P124" s="32"/>
      <x:c r="Q124" s="32"/>
      <x:c r="R124" s="32"/>
      <x:c r="S124" s="32"/>
      <x:c r="T124" s="43" t="str">
        <x:f>IFERROR(S124/L124,"")</x:f>
      </x:c>
      <x:c r="U124" s="32"/>
      <x:c r="V124" s="32"/>
      <x:c r="W124" s="32"/>
      <x:c r="X124" s="32"/>
      <x:c r="Y124" s="32"/>
      <x:c r="Z124" s="32"/>
      <x:c r="AA124" s="32"/>
      <x:c r="AB124" s="32"/>
      <x:c r="AC124" s="32"/>
      <x:c r="AD124" s="32"/>
      <x:c r="AE124" s="32"/>
      <x:c r="AF124" s="32"/>
      <x:c r="AG124" s="32"/>
      <x:c r="AH124" s="32"/>
      <x:c r="AI124" s="32"/>
      <x:c r="AJ124" s="32"/>
      <x:c r="AK124" s="32"/>
      <x:c r="AL124" s="32"/>
      <x:c r="AM124" s="32"/>
      <x:c r="AN124" s="32"/>
      <x:c r="AO124" s="32"/>
      <x:c r="AP124" s="32"/>
      <x:c r="AQ124" s="32"/>
      <x:c r="AR124" s="32"/>
      <x:c r="AS124" s="32"/>
      <x:c r="AT124" s="32"/>
      <x:c r="AU124" s="32"/>
      <x:c r="AV124" s="32"/>
      <x:c r="AW124" s="32"/>
      <x:c r="AX124" s="32"/>
      <x:c r="AZ124" s="32"/>
      <x:c r="BA124" s="32"/>
      <x:c r="BB124" s="32"/>
      <x:c r="BC124" s="32"/>
      <x:c r="BD124" s="32"/>
      <x:c r="BE124" s="32"/>
      <x:c r="BF124" s="32"/>
      <x:c r="BG124" s="32"/>
      <x:c r="BH124" s="32"/>
      <x:c r="BI124" s="32"/>
      <x:c r="BJ124" s="32"/>
      <x:c r="BK124" s="32"/>
      <x:c r="BL124" s="32"/>
      <x:c r="BM124" s="32"/>
    </x:row>
    <x:row r="125">
      <x:c r="A125" s="32"/>
      <x:c r="B125" s="32"/>
      <x:c r="C125" s="42"/>
      <x:c r="D125" s="32"/>
      <x:c r="E125" s="32"/>
      <x:c r="F125" s="32"/>
      <x:c r="G125" s="32"/>
      <x:c r="H125" s="32"/>
      <x:c r="I125" s="32"/>
      <x:c r="J125" s="32"/>
      <x:c r="K125" s="32"/>
      <x:c r="L125" s="32"/>
      <x:c r="M125" s="32"/>
      <x:c r="N125" s="32"/>
      <x:c r="O125" s="32"/>
      <x:c r="P125" s="32"/>
      <x:c r="Q125" s="32"/>
      <x:c r="R125" s="32"/>
      <x:c r="S125" s="32"/>
      <x:c r="T125" s="43" t="str">
        <x:f>IFERROR(S125/L125,"")</x:f>
      </x:c>
      <x:c r="U125" s="32"/>
      <x:c r="V125" s="32"/>
      <x:c r="W125" s="32"/>
      <x:c r="X125" s="32"/>
      <x:c r="Y125" s="32"/>
      <x:c r="Z125" s="32"/>
      <x:c r="AA125" s="32"/>
      <x:c r="AB125" s="32"/>
      <x:c r="AC125" s="32"/>
      <x:c r="AD125" s="32"/>
      <x:c r="AE125" s="32"/>
      <x:c r="AF125" s="32"/>
      <x:c r="AG125" s="32"/>
      <x:c r="AH125" s="32"/>
      <x:c r="AI125" s="32"/>
      <x:c r="AJ125" s="32"/>
      <x:c r="AK125" s="32"/>
      <x:c r="AL125" s="32"/>
      <x:c r="AM125" s="32"/>
      <x:c r="AN125" s="32"/>
      <x:c r="AO125" s="32"/>
      <x:c r="AP125" s="32"/>
      <x:c r="AQ125" s="32"/>
      <x:c r="AR125" s="32"/>
      <x:c r="AS125" s="32"/>
      <x:c r="AT125" s="32"/>
      <x:c r="AU125" s="32"/>
      <x:c r="AV125" s="32"/>
      <x:c r="AW125" s="32"/>
      <x:c r="AX125" s="32"/>
      <x:c r="AZ125" s="32"/>
      <x:c r="BA125" s="32"/>
      <x:c r="BB125" s="32"/>
      <x:c r="BC125" s="32"/>
      <x:c r="BD125" s="32"/>
      <x:c r="BE125" s="32"/>
      <x:c r="BF125" s="32"/>
      <x:c r="BG125" s="32"/>
      <x:c r="BH125" s="32"/>
      <x:c r="BI125" s="32"/>
      <x:c r="BJ125" s="32"/>
      <x:c r="BK125" s="32"/>
      <x:c r="BL125" s="32"/>
      <x:c r="BM125" s="32"/>
    </x:row>
    <x:row r="126">
      <x:c r="A126" s="32"/>
      <x:c r="B126" s="32"/>
      <x:c r="C126" s="42"/>
      <x:c r="D126" s="32"/>
      <x:c r="E126" s="32"/>
      <x:c r="F126" s="32"/>
      <x:c r="G126" s="32"/>
      <x:c r="H126" s="32"/>
      <x:c r="I126" s="32"/>
      <x:c r="J126" s="32"/>
      <x:c r="K126" s="32"/>
      <x:c r="L126" s="32"/>
      <x:c r="M126" s="32"/>
      <x:c r="N126" s="32"/>
      <x:c r="O126" s="32"/>
      <x:c r="P126" s="32"/>
      <x:c r="Q126" s="32"/>
      <x:c r="R126" s="32"/>
      <x:c r="S126" s="32"/>
      <x:c r="T126" s="43" t="str">
        <x:f>IFERROR(S126/L126,"")</x:f>
      </x:c>
      <x:c r="U126" s="32"/>
      <x:c r="V126" s="32"/>
      <x:c r="W126" s="32"/>
      <x:c r="X126" s="32"/>
      <x:c r="Y126" s="32"/>
      <x:c r="Z126" s="32"/>
      <x:c r="AA126" s="32"/>
      <x:c r="AB126" s="32"/>
      <x:c r="AC126" s="32"/>
      <x:c r="AD126" s="32"/>
      <x:c r="AE126" s="32"/>
      <x:c r="AF126" s="32"/>
      <x:c r="AG126" s="32"/>
      <x:c r="AH126" s="32"/>
      <x:c r="AI126" s="32"/>
      <x:c r="AJ126" s="32"/>
      <x:c r="AK126" s="32"/>
      <x:c r="AL126" s="32"/>
      <x:c r="AM126" s="32"/>
      <x:c r="AN126" s="32"/>
      <x:c r="AO126" s="32"/>
      <x:c r="AP126" s="32"/>
      <x:c r="AQ126" s="32"/>
      <x:c r="AR126" s="32"/>
      <x:c r="AS126" s="32"/>
      <x:c r="AT126" s="32"/>
      <x:c r="AU126" s="32"/>
      <x:c r="AV126" s="32"/>
      <x:c r="AW126" s="32"/>
      <x:c r="AX126" s="32"/>
      <x:c r="AZ126" s="32"/>
      <x:c r="BA126" s="32"/>
      <x:c r="BB126" s="32"/>
      <x:c r="BC126" s="32"/>
      <x:c r="BD126" s="32"/>
      <x:c r="BE126" s="32"/>
      <x:c r="BF126" s="32"/>
      <x:c r="BG126" s="32"/>
      <x:c r="BH126" s="32"/>
      <x:c r="BI126" s="32"/>
      <x:c r="BJ126" s="32"/>
      <x:c r="BK126" s="32"/>
      <x:c r="BL126" s="32"/>
      <x:c r="BM126" s="32"/>
    </x:row>
    <x:row r="127">
      <x:c r="A127" s="32"/>
      <x:c r="B127" s="32"/>
      <x:c r="C127" s="42"/>
      <x:c r="D127" s="32"/>
      <x:c r="E127" s="32"/>
      <x:c r="F127" s="32"/>
      <x:c r="G127" s="32"/>
      <x:c r="H127" s="32"/>
      <x:c r="I127" s="32"/>
      <x:c r="J127" s="32"/>
      <x:c r="K127" s="32"/>
      <x:c r="L127" s="32"/>
      <x:c r="M127" s="32"/>
      <x:c r="N127" s="32"/>
      <x:c r="O127" s="32"/>
      <x:c r="P127" s="32"/>
      <x:c r="Q127" s="32"/>
      <x:c r="R127" s="32"/>
      <x:c r="S127" s="32"/>
      <x:c r="T127" s="43" t="str">
        <x:f>IFERROR(S127/L127,"")</x:f>
      </x:c>
      <x:c r="U127" s="32"/>
      <x:c r="V127" s="32"/>
      <x:c r="W127" s="32"/>
      <x:c r="X127" s="32"/>
      <x:c r="Y127" s="32"/>
      <x:c r="Z127" s="32"/>
      <x:c r="AA127" s="32"/>
      <x:c r="AB127" s="32"/>
      <x:c r="AC127" s="32"/>
      <x:c r="AD127" s="32"/>
      <x:c r="AE127" s="32"/>
      <x:c r="AF127" s="32"/>
      <x:c r="AG127" s="32"/>
      <x:c r="AH127" s="32"/>
      <x:c r="AI127" s="32"/>
      <x:c r="AJ127" s="32"/>
      <x:c r="AK127" s="32"/>
      <x:c r="AL127" s="32"/>
      <x:c r="AM127" s="32"/>
      <x:c r="AN127" s="32"/>
      <x:c r="AO127" s="32"/>
      <x:c r="AP127" s="32"/>
      <x:c r="AQ127" s="32"/>
      <x:c r="AR127" s="32"/>
      <x:c r="AS127" s="32"/>
      <x:c r="AT127" s="32"/>
      <x:c r="AU127" s="32"/>
      <x:c r="AV127" s="32"/>
      <x:c r="AW127" s="32"/>
      <x:c r="AX127" s="32"/>
      <x:c r="AZ127" s="32"/>
      <x:c r="BA127" s="32"/>
      <x:c r="BB127" s="32"/>
      <x:c r="BC127" s="32"/>
      <x:c r="BD127" s="32"/>
      <x:c r="BE127" s="32"/>
      <x:c r="BF127" s="32"/>
      <x:c r="BG127" s="32"/>
      <x:c r="BH127" s="32"/>
      <x:c r="BI127" s="32"/>
      <x:c r="BJ127" s="32"/>
      <x:c r="BK127" s="32"/>
      <x:c r="BL127" s="32"/>
      <x:c r="BM127" s="32"/>
    </x:row>
    <x:row r="128">
      <x:c r="A128" s="32"/>
      <x:c r="B128" s="32"/>
      <x:c r="C128" s="42"/>
      <x:c r="D128" s="32"/>
      <x:c r="E128" s="32"/>
      <x:c r="F128" s="32"/>
      <x:c r="G128" s="32"/>
      <x:c r="H128" s="32"/>
      <x:c r="I128" s="32"/>
      <x:c r="J128" s="32"/>
      <x:c r="K128" s="32"/>
      <x:c r="L128" s="32"/>
      <x:c r="M128" s="32"/>
      <x:c r="N128" s="32"/>
      <x:c r="O128" s="32"/>
      <x:c r="P128" s="32"/>
      <x:c r="Q128" s="32"/>
      <x:c r="R128" s="32"/>
      <x:c r="S128" s="32"/>
      <x:c r="T128" s="43" t="str">
        <x:f>IFERROR(S128/L128,"")</x:f>
      </x:c>
      <x:c r="U128" s="32"/>
      <x:c r="V128" s="32"/>
      <x:c r="W128" s="32"/>
      <x:c r="X128" s="32"/>
      <x:c r="Y128" s="32"/>
      <x:c r="Z128" s="32"/>
      <x:c r="AA128" s="32"/>
      <x:c r="AB128" s="32"/>
      <x:c r="AC128" s="32"/>
      <x:c r="AD128" s="32"/>
      <x:c r="AE128" s="32"/>
      <x:c r="AF128" s="32"/>
      <x:c r="AG128" s="32"/>
      <x:c r="AH128" s="32"/>
      <x:c r="AI128" s="32"/>
      <x:c r="AJ128" s="32"/>
      <x:c r="AK128" s="32"/>
      <x:c r="AL128" s="32"/>
      <x:c r="AM128" s="32"/>
      <x:c r="AN128" s="32"/>
      <x:c r="AO128" s="32"/>
      <x:c r="AP128" s="32"/>
      <x:c r="AQ128" s="32"/>
      <x:c r="AR128" s="32"/>
      <x:c r="AS128" s="32"/>
      <x:c r="AT128" s="32"/>
      <x:c r="AU128" s="32"/>
      <x:c r="AV128" s="32"/>
      <x:c r="AW128" s="32"/>
      <x:c r="AX128" s="32"/>
      <x:c r="AZ128" s="32"/>
      <x:c r="BA128" s="32"/>
      <x:c r="BB128" s="32"/>
      <x:c r="BC128" s="32"/>
      <x:c r="BD128" s="32"/>
      <x:c r="BE128" s="32"/>
      <x:c r="BF128" s="32"/>
      <x:c r="BG128" s="32"/>
      <x:c r="BH128" s="32"/>
      <x:c r="BI128" s="32"/>
      <x:c r="BJ128" s="32"/>
      <x:c r="BK128" s="32"/>
      <x:c r="BL128" s="32"/>
      <x:c r="BM128" s="32"/>
    </x:row>
    <x:row r="129">
      <x:c r="A129" s="32"/>
      <x:c r="B129" s="32"/>
      <x:c r="C129" s="42"/>
      <x:c r="D129" s="32"/>
      <x:c r="E129" s="32"/>
      <x:c r="F129" s="32"/>
      <x:c r="G129" s="32"/>
      <x:c r="H129" s="32"/>
      <x:c r="I129" s="32"/>
      <x:c r="J129" s="32"/>
      <x:c r="K129" s="32"/>
      <x:c r="L129" s="32"/>
      <x:c r="M129" s="32"/>
      <x:c r="N129" s="32"/>
      <x:c r="O129" s="32"/>
      <x:c r="P129" s="32"/>
      <x:c r="Q129" s="32"/>
      <x:c r="R129" s="32"/>
      <x:c r="S129" s="32"/>
      <x:c r="T129" s="43" t="str">
        <x:f>IFERROR(S129/L129,"")</x:f>
      </x:c>
      <x:c r="U129" s="32"/>
      <x:c r="V129" s="32"/>
      <x:c r="W129" s="32"/>
      <x:c r="X129" s="32"/>
      <x:c r="Y129" s="32"/>
      <x:c r="Z129" s="32"/>
      <x:c r="AA129" s="32"/>
      <x:c r="AB129" s="32"/>
      <x:c r="AC129" s="32"/>
      <x:c r="AD129" s="32"/>
      <x:c r="AE129" s="32"/>
      <x:c r="AF129" s="32"/>
      <x:c r="AG129" s="32"/>
      <x:c r="AH129" s="32"/>
      <x:c r="AI129" s="32"/>
      <x:c r="AJ129" s="32"/>
      <x:c r="AK129" s="32"/>
      <x:c r="AL129" s="32"/>
      <x:c r="AM129" s="32"/>
      <x:c r="AN129" s="32"/>
      <x:c r="AO129" s="32"/>
      <x:c r="AP129" s="32"/>
      <x:c r="AQ129" s="32"/>
      <x:c r="AR129" s="32"/>
      <x:c r="AS129" s="32"/>
      <x:c r="AT129" s="32"/>
      <x:c r="AU129" s="32"/>
      <x:c r="AV129" s="32"/>
      <x:c r="AW129" s="32"/>
      <x:c r="AX129" s="32"/>
      <x:c r="AZ129" s="32"/>
      <x:c r="BA129" s="32"/>
      <x:c r="BB129" s="32"/>
      <x:c r="BC129" s="32"/>
      <x:c r="BD129" s="32"/>
      <x:c r="BE129" s="32"/>
      <x:c r="BF129" s="32"/>
      <x:c r="BG129" s="32"/>
      <x:c r="BH129" s="32"/>
      <x:c r="BI129" s="32"/>
      <x:c r="BJ129" s="32"/>
      <x:c r="BK129" s="32"/>
      <x:c r="BL129" s="32"/>
      <x:c r="BM129" s="32"/>
    </x:row>
    <x:row r="130">
      <x:c r="A130" s="32"/>
      <x:c r="B130" s="32"/>
      <x:c r="C130" s="42"/>
      <x:c r="D130" s="32"/>
      <x:c r="E130" s="32"/>
      <x:c r="F130" s="32"/>
      <x:c r="G130" s="32"/>
      <x:c r="H130" s="32"/>
      <x:c r="I130" s="32"/>
      <x:c r="J130" s="32"/>
      <x:c r="K130" s="32"/>
      <x:c r="L130" s="32"/>
      <x:c r="M130" s="32"/>
      <x:c r="N130" s="32"/>
      <x:c r="O130" s="32"/>
      <x:c r="P130" s="32"/>
      <x:c r="Q130" s="32"/>
      <x:c r="R130" s="32"/>
      <x:c r="S130" s="32"/>
      <x:c r="T130" s="43" t="str">
        <x:f>IFERROR(S130/L130,"")</x:f>
      </x:c>
      <x:c r="U130" s="32"/>
      <x:c r="V130" s="32"/>
      <x:c r="W130" s="32"/>
      <x:c r="X130" s="32"/>
      <x:c r="Y130" s="32"/>
      <x:c r="Z130" s="32"/>
      <x:c r="AA130" s="32"/>
      <x:c r="AB130" s="32"/>
      <x:c r="AC130" s="32"/>
      <x:c r="AD130" s="32"/>
      <x:c r="AE130" s="32"/>
      <x:c r="AF130" s="32"/>
      <x:c r="AG130" s="32"/>
      <x:c r="AH130" s="32"/>
      <x:c r="AI130" s="32"/>
      <x:c r="AJ130" s="32"/>
      <x:c r="AK130" s="32"/>
      <x:c r="AL130" s="32"/>
      <x:c r="AM130" s="32"/>
      <x:c r="AN130" s="32"/>
      <x:c r="AO130" s="32"/>
      <x:c r="AP130" s="32"/>
      <x:c r="AQ130" s="32"/>
      <x:c r="AR130" s="32"/>
      <x:c r="AS130" s="32"/>
      <x:c r="AT130" s="32"/>
      <x:c r="AU130" s="32"/>
      <x:c r="AV130" s="32"/>
      <x:c r="AW130" s="32"/>
      <x:c r="AX130" s="32"/>
      <x:c r="AZ130" s="32"/>
      <x:c r="BA130" s="32"/>
      <x:c r="BB130" s="32"/>
      <x:c r="BC130" s="32"/>
      <x:c r="BD130" s="32"/>
      <x:c r="BE130" s="32"/>
      <x:c r="BF130" s="32"/>
      <x:c r="BG130" s="32"/>
      <x:c r="BH130" s="32"/>
      <x:c r="BI130" s="32"/>
      <x:c r="BJ130" s="32"/>
      <x:c r="BK130" s="32"/>
      <x:c r="BL130" s="32"/>
      <x:c r="BM130" s="32"/>
    </x:row>
    <x:row r="131">
      <x:c r="A131" s="32"/>
      <x:c r="B131" s="32"/>
      <x:c r="C131" s="42"/>
      <x:c r="D131" s="32"/>
      <x:c r="E131" s="32"/>
      <x:c r="F131" s="32"/>
      <x:c r="G131" s="32"/>
      <x:c r="H131" s="32"/>
      <x:c r="I131" s="32"/>
      <x:c r="J131" s="32"/>
      <x:c r="K131" s="32"/>
      <x:c r="L131" s="32"/>
      <x:c r="M131" s="32"/>
      <x:c r="N131" s="32"/>
      <x:c r="O131" s="32"/>
      <x:c r="P131" s="32"/>
      <x:c r="Q131" s="32"/>
      <x:c r="R131" s="32"/>
      <x:c r="S131" s="32"/>
      <x:c r="T131" s="43" t="str">
        <x:f>IFERROR(S131/L131,"")</x:f>
      </x:c>
      <x:c r="U131" s="32"/>
      <x:c r="V131" s="32"/>
      <x:c r="W131" s="32"/>
      <x:c r="X131" s="32"/>
      <x:c r="Y131" s="32"/>
      <x:c r="Z131" s="32"/>
      <x:c r="AA131" s="32"/>
      <x:c r="AB131" s="32"/>
      <x:c r="AC131" s="32"/>
      <x:c r="AD131" s="32"/>
      <x:c r="AE131" s="32"/>
      <x:c r="AF131" s="32"/>
      <x:c r="AG131" s="32"/>
      <x:c r="AH131" s="32"/>
      <x:c r="AI131" s="32"/>
      <x:c r="AJ131" s="32"/>
      <x:c r="AK131" s="32"/>
      <x:c r="AL131" s="32"/>
      <x:c r="AM131" s="32"/>
      <x:c r="AN131" s="32"/>
      <x:c r="AO131" s="32"/>
      <x:c r="AP131" s="32"/>
      <x:c r="AQ131" s="32"/>
      <x:c r="AR131" s="32"/>
      <x:c r="AS131" s="32"/>
      <x:c r="AT131" s="32"/>
      <x:c r="AU131" s="32"/>
      <x:c r="AV131" s="32"/>
      <x:c r="AW131" s="32"/>
      <x:c r="AX131" s="32"/>
      <x:c r="AZ131" s="32"/>
      <x:c r="BA131" s="32"/>
      <x:c r="BB131" s="32"/>
      <x:c r="BC131" s="32"/>
      <x:c r="BD131" s="32"/>
      <x:c r="BE131" s="32"/>
      <x:c r="BF131" s="32"/>
      <x:c r="BG131" s="32"/>
      <x:c r="BH131" s="32"/>
      <x:c r="BI131" s="32"/>
      <x:c r="BJ131" s="32"/>
      <x:c r="BK131" s="32"/>
      <x:c r="BL131" s="32"/>
      <x:c r="BM131" s="32"/>
    </x:row>
    <x:row r="132">
      <x:c r="A132" s="32"/>
      <x:c r="B132" s="32"/>
      <x:c r="C132" s="42"/>
      <x:c r="D132" s="32"/>
      <x:c r="E132" s="32"/>
      <x:c r="F132" s="32"/>
      <x:c r="G132" s="32"/>
      <x:c r="H132" s="32"/>
      <x:c r="I132" s="32"/>
      <x:c r="J132" s="32"/>
      <x:c r="K132" s="32"/>
      <x:c r="L132" s="32"/>
      <x:c r="M132" s="32"/>
      <x:c r="N132" s="32"/>
      <x:c r="O132" s="32"/>
      <x:c r="P132" s="32"/>
      <x:c r="Q132" s="32"/>
      <x:c r="R132" s="32"/>
      <x:c r="S132" s="32"/>
      <x:c r="T132" s="43" t="str">
        <x:f>IFERROR(S132/L132,"")</x:f>
      </x:c>
      <x:c r="U132" s="32"/>
      <x:c r="V132" s="32"/>
      <x:c r="W132" s="32"/>
      <x:c r="X132" s="32"/>
      <x:c r="Y132" s="32"/>
      <x:c r="Z132" s="32"/>
      <x:c r="AA132" s="32"/>
      <x:c r="AB132" s="32"/>
      <x:c r="AC132" s="32"/>
      <x:c r="AD132" s="32"/>
      <x:c r="AE132" s="32"/>
      <x:c r="AF132" s="32"/>
      <x:c r="AG132" s="32"/>
      <x:c r="AH132" s="32"/>
      <x:c r="AI132" s="32"/>
      <x:c r="AJ132" s="32"/>
      <x:c r="AK132" s="32"/>
      <x:c r="AL132" s="32"/>
      <x:c r="AM132" s="32"/>
      <x:c r="AN132" s="32"/>
      <x:c r="AO132" s="32"/>
      <x:c r="AP132" s="32"/>
      <x:c r="AQ132" s="32"/>
      <x:c r="AR132" s="32"/>
      <x:c r="AS132" s="32"/>
      <x:c r="AT132" s="32"/>
      <x:c r="AU132" s="32"/>
      <x:c r="AV132" s="32"/>
      <x:c r="AW132" s="32"/>
      <x:c r="AX132" s="32"/>
      <x:c r="AZ132" s="32"/>
      <x:c r="BA132" s="32"/>
      <x:c r="BB132" s="32"/>
      <x:c r="BC132" s="32"/>
      <x:c r="BD132" s="32"/>
      <x:c r="BE132" s="32"/>
      <x:c r="BF132" s="32"/>
      <x:c r="BG132" s="32"/>
      <x:c r="BH132" s="32"/>
      <x:c r="BI132" s="32"/>
      <x:c r="BJ132" s="32"/>
      <x:c r="BK132" s="32"/>
      <x:c r="BL132" s="32"/>
      <x:c r="BM132" s="32"/>
    </x:row>
    <x:row r="133">
      <x:c r="A133" s="32"/>
      <x:c r="B133" s="32"/>
      <x:c r="C133" s="42"/>
      <x:c r="D133" s="32"/>
      <x:c r="E133" s="32"/>
      <x:c r="F133" s="32"/>
      <x:c r="G133" s="32"/>
      <x:c r="H133" s="32"/>
      <x:c r="I133" s="32"/>
      <x:c r="J133" s="32"/>
      <x:c r="K133" s="32"/>
      <x:c r="L133" s="32"/>
      <x:c r="M133" s="32"/>
      <x:c r="N133" s="32"/>
      <x:c r="O133" s="32"/>
      <x:c r="P133" s="32"/>
      <x:c r="Q133" s="32"/>
      <x:c r="R133" s="32"/>
      <x:c r="S133" s="32"/>
      <x:c r="T133" s="43" t="str">
        <x:f>IFERROR(S133/L133,"")</x:f>
      </x:c>
      <x:c r="U133" s="32"/>
      <x:c r="V133" s="32"/>
      <x:c r="W133" s="32"/>
      <x:c r="X133" s="32"/>
      <x:c r="Y133" s="32"/>
      <x:c r="Z133" s="32"/>
      <x:c r="AA133" s="32"/>
      <x:c r="AB133" s="32"/>
      <x:c r="AC133" s="32"/>
      <x:c r="AD133" s="32"/>
      <x:c r="AE133" s="32"/>
      <x:c r="AF133" s="32"/>
      <x:c r="AG133" s="32"/>
      <x:c r="AH133" s="32"/>
      <x:c r="AI133" s="32"/>
      <x:c r="AJ133" s="32"/>
      <x:c r="AK133" s="32"/>
      <x:c r="AL133" s="32"/>
      <x:c r="AM133" s="32"/>
      <x:c r="AN133" s="32"/>
      <x:c r="AO133" s="32"/>
      <x:c r="AP133" s="32"/>
      <x:c r="AQ133" s="32"/>
      <x:c r="AR133" s="32"/>
      <x:c r="AS133" s="32"/>
      <x:c r="AT133" s="32"/>
      <x:c r="AU133" s="32"/>
      <x:c r="AV133" s="32"/>
      <x:c r="AW133" s="32"/>
      <x:c r="AX133" s="32"/>
      <x:c r="AZ133" s="32"/>
      <x:c r="BA133" s="32"/>
      <x:c r="BB133" s="32"/>
      <x:c r="BC133" s="32"/>
      <x:c r="BD133" s="32"/>
      <x:c r="BE133" s="32"/>
      <x:c r="BF133" s="32"/>
      <x:c r="BG133" s="32"/>
      <x:c r="BH133" s="32"/>
      <x:c r="BI133" s="32"/>
      <x:c r="BJ133" s="32"/>
      <x:c r="BK133" s="32"/>
      <x:c r="BL133" s="32"/>
      <x:c r="BM133" s="32"/>
    </x:row>
    <x:row r="134">
      <x:c r="A134" s="32"/>
      <x:c r="B134" s="32"/>
      <x:c r="C134" s="42"/>
      <x:c r="D134" s="32"/>
      <x:c r="E134" s="32"/>
      <x:c r="F134" s="32"/>
      <x:c r="G134" s="32"/>
      <x:c r="H134" s="32"/>
      <x:c r="I134" s="32"/>
      <x:c r="J134" s="32"/>
      <x:c r="K134" s="32"/>
      <x:c r="L134" s="32"/>
      <x:c r="M134" s="32"/>
      <x:c r="N134" s="32"/>
      <x:c r="O134" s="32"/>
      <x:c r="P134" s="32"/>
      <x:c r="Q134" s="32"/>
      <x:c r="R134" s="32"/>
      <x:c r="S134" s="32"/>
      <x:c r="T134" s="43" t="str">
        <x:f>IFERROR(S134/L134,"")</x:f>
      </x:c>
      <x:c r="U134" s="32"/>
      <x:c r="V134" s="32"/>
      <x:c r="W134" s="32"/>
      <x:c r="X134" s="32"/>
      <x:c r="Y134" s="32"/>
      <x:c r="Z134" s="32"/>
      <x:c r="AA134" s="32"/>
      <x:c r="AB134" s="32"/>
      <x:c r="AC134" s="32"/>
      <x:c r="AD134" s="32"/>
      <x:c r="AE134" s="32"/>
      <x:c r="AF134" s="32"/>
      <x:c r="AG134" s="32"/>
      <x:c r="AH134" s="32"/>
      <x:c r="AI134" s="32"/>
      <x:c r="AJ134" s="32"/>
      <x:c r="AK134" s="32"/>
      <x:c r="AL134" s="32"/>
      <x:c r="AM134" s="32"/>
      <x:c r="AN134" s="32"/>
      <x:c r="AO134" s="32"/>
      <x:c r="AP134" s="32"/>
      <x:c r="AQ134" s="32"/>
      <x:c r="AR134" s="32"/>
      <x:c r="AS134" s="32"/>
      <x:c r="AT134" s="32"/>
      <x:c r="AU134" s="32"/>
      <x:c r="AV134" s="32"/>
      <x:c r="AW134" s="32"/>
      <x:c r="AX134" s="32"/>
      <x:c r="AZ134" s="32"/>
      <x:c r="BA134" s="32"/>
      <x:c r="BB134" s="32"/>
      <x:c r="BC134" s="32"/>
      <x:c r="BD134" s="32"/>
      <x:c r="BE134" s="32"/>
      <x:c r="BF134" s="32"/>
      <x:c r="BG134" s="32"/>
      <x:c r="BH134" s="32"/>
      <x:c r="BI134" s="32"/>
      <x:c r="BJ134" s="32"/>
      <x:c r="BK134" s="32"/>
      <x:c r="BL134" s="32"/>
      <x:c r="BM134" s="32"/>
    </x:row>
    <x:row r="135">
      <x:c r="A135" s="32"/>
      <x:c r="B135" s="32"/>
      <x:c r="C135" s="42"/>
      <x:c r="D135" s="32"/>
      <x:c r="E135" s="32"/>
      <x:c r="F135" s="32"/>
      <x:c r="G135" s="32"/>
      <x:c r="H135" s="32"/>
      <x:c r="I135" s="32"/>
      <x:c r="J135" s="32"/>
      <x:c r="K135" s="32"/>
      <x:c r="L135" s="32"/>
      <x:c r="M135" s="32"/>
      <x:c r="N135" s="32"/>
      <x:c r="O135" s="32"/>
      <x:c r="P135" s="32"/>
      <x:c r="Q135" s="32"/>
      <x:c r="R135" s="32"/>
      <x:c r="S135" s="32"/>
      <x:c r="T135" s="43" t="str">
        <x:f>IFERROR(S135/L135,"")</x:f>
      </x:c>
      <x:c r="U135" s="32"/>
      <x:c r="V135" s="32"/>
      <x:c r="W135" s="32"/>
      <x:c r="X135" s="32"/>
      <x:c r="Y135" s="32"/>
      <x:c r="Z135" s="32"/>
      <x:c r="AA135" s="32"/>
      <x:c r="AB135" s="32"/>
      <x:c r="AC135" s="32"/>
      <x:c r="AD135" s="32"/>
      <x:c r="AE135" s="32"/>
      <x:c r="AF135" s="32"/>
      <x:c r="AG135" s="32"/>
      <x:c r="AH135" s="32"/>
      <x:c r="AI135" s="32"/>
      <x:c r="AJ135" s="32"/>
      <x:c r="AK135" s="32"/>
      <x:c r="AL135" s="32"/>
      <x:c r="AM135" s="32"/>
      <x:c r="AN135" s="32"/>
      <x:c r="AO135" s="32"/>
      <x:c r="AP135" s="32"/>
      <x:c r="AQ135" s="32"/>
      <x:c r="AR135" s="32"/>
      <x:c r="AS135" s="32"/>
      <x:c r="AT135" s="32"/>
      <x:c r="AU135" s="32"/>
      <x:c r="AV135" s="32"/>
      <x:c r="AW135" s="32"/>
      <x:c r="AX135" s="32"/>
      <x:c r="AZ135" s="32"/>
      <x:c r="BA135" s="32"/>
      <x:c r="BB135" s="32"/>
      <x:c r="BC135" s="32"/>
      <x:c r="BD135" s="32"/>
      <x:c r="BE135" s="32"/>
      <x:c r="BF135" s="32"/>
      <x:c r="BG135" s="32"/>
      <x:c r="BH135" s="32"/>
      <x:c r="BI135" s="32"/>
      <x:c r="BJ135" s="32"/>
      <x:c r="BK135" s="32"/>
      <x:c r="BL135" s="32"/>
      <x:c r="BM135" s="32"/>
    </x:row>
    <x:row r="136">
      <x:c r="A136" s="32"/>
      <x:c r="B136" s="32"/>
      <x:c r="C136" s="42"/>
      <x:c r="D136" s="32"/>
      <x:c r="E136" s="32"/>
      <x:c r="F136" s="32"/>
      <x:c r="G136" s="32"/>
      <x:c r="H136" s="32"/>
      <x:c r="I136" s="32"/>
      <x:c r="J136" s="32"/>
      <x:c r="K136" s="32"/>
      <x:c r="L136" s="32"/>
      <x:c r="M136" s="32"/>
      <x:c r="N136" s="32"/>
      <x:c r="O136" s="32"/>
      <x:c r="P136" s="32"/>
      <x:c r="Q136" s="32"/>
      <x:c r="R136" s="32"/>
      <x:c r="S136" s="32"/>
      <x:c r="T136" s="43" t="str">
        <x:f>IFERROR(S136/L136,"")</x:f>
      </x:c>
      <x:c r="U136" s="32"/>
      <x:c r="V136" s="32"/>
      <x:c r="W136" s="32"/>
      <x:c r="X136" s="32"/>
      <x:c r="Y136" s="32"/>
      <x:c r="Z136" s="32"/>
      <x:c r="AA136" s="32"/>
      <x:c r="AB136" s="32"/>
      <x:c r="AC136" s="32"/>
      <x:c r="AD136" s="32"/>
      <x:c r="AE136" s="32"/>
      <x:c r="AF136" s="32"/>
      <x:c r="AG136" s="32"/>
      <x:c r="AH136" s="32"/>
      <x:c r="AI136" s="32"/>
      <x:c r="AJ136" s="32"/>
      <x:c r="AK136" s="32"/>
      <x:c r="AL136" s="32"/>
      <x:c r="AM136" s="32"/>
      <x:c r="AN136" s="32"/>
      <x:c r="AO136" s="32"/>
      <x:c r="AP136" s="32"/>
      <x:c r="AQ136" s="32"/>
      <x:c r="AR136" s="32"/>
      <x:c r="AS136" s="32"/>
      <x:c r="AT136" s="32"/>
      <x:c r="AU136" s="32"/>
      <x:c r="AV136" s="32"/>
      <x:c r="AW136" s="32"/>
      <x:c r="AX136" s="32"/>
      <x:c r="AZ136" s="32"/>
      <x:c r="BA136" s="32"/>
      <x:c r="BB136" s="32"/>
      <x:c r="BC136" s="32"/>
      <x:c r="BD136" s="32"/>
      <x:c r="BE136" s="32"/>
      <x:c r="BF136" s="32"/>
      <x:c r="BG136" s="32"/>
      <x:c r="BH136" s="32"/>
      <x:c r="BI136" s="32"/>
      <x:c r="BJ136" s="32"/>
      <x:c r="BK136" s="32"/>
      <x:c r="BL136" s="32"/>
      <x:c r="BM136" s="32"/>
    </x:row>
    <x:row r="137">
      <x:c r="A137" s="32"/>
      <x:c r="B137" s="32"/>
      <x:c r="C137" s="42"/>
      <x:c r="D137" s="32"/>
      <x:c r="E137" s="32"/>
      <x:c r="F137" s="32"/>
      <x:c r="G137" s="32"/>
      <x:c r="H137" s="32"/>
      <x:c r="I137" s="32"/>
      <x:c r="J137" s="32"/>
      <x:c r="K137" s="32"/>
      <x:c r="L137" s="32"/>
      <x:c r="M137" s="32"/>
      <x:c r="N137" s="32"/>
      <x:c r="O137" s="32"/>
      <x:c r="P137" s="32"/>
      <x:c r="Q137" s="32"/>
      <x:c r="R137" s="32"/>
      <x:c r="S137" s="32"/>
      <x:c r="T137" s="43" t="str">
        <x:f>IFERROR(S137/L137,"")</x:f>
      </x:c>
      <x:c r="U137" s="32"/>
      <x:c r="V137" s="32"/>
      <x:c r="W137" s="32"/>
      <x:c r="X137" s="32"/>
      <x:c r="Y137" s="32"/>
      <x:c r="Z137" s="32"/>
      <x:c r="AA137" s="32"/>
      <x:c r="AB137" s="32"/>
      <x:c r="AC137" s="32"/>
      <x:c r="AD137" s="32"/>
      <x:c r="AE137" s="32"/>
      <x:c r="AF137" s="32"/>
      <x:c r="AG137" s="32"/>
      <x:c r="AH137" s="32"/>
      <x:c r="AI137" s="32"/>
      <x:c r="AJ137" s="32"/>
      <x:c r="AK137" s="32"/>
      <x:c r="AL137" s="32"/>
      <x:c r="AM137" s="32"/>
      <x:c r="AN137" s="32"/>
      <x:c r="AO137" s="32"/>
      <x:c r="AP137" s="32"/>
      <x:c r="AQ137" s="32"/>
      <x:c r="AR137" s="32"/>
      <x:c r="AS137" s="32"/>
      <x:c r="AT137" s="32"/>
      <x:c r="AU137" s="32"/>
      <x:c r="AV137" s="32"/>
      <x:c r="AW137" s="32"/>
      <x:c r="AX137" s="32"/>
      <x:c r="AZ137" s="32"/>
      <x:c r="BA137" s="32"/>
      <x:c r="BB137" s="32"/>
      <x:c r="BC137" s="32"/>
      <x:c r="BD137" s="32"/>
      <x:c r="BE137" s="32"/>
      <x:c r="BF137" s="32"/>
      <x:c r="BG137" s="32"/>
      <x:c r="BH137" s="32"/>
      <x:c r="BI137" s="32"/>
      <x:c r="BJ137" s="32"/>
      <x:c r="BK137" s="32"/>
      <x:c r="BL137" s="32"/>
      <x:c r="BM137" s="32"/>
    </x:row>
    <x:row r="138">
      <x:c r="A138" s="32"/>
      <x:c r="B138" s="32"/>
      <x:c r="C138" s="42"/>
      <x:c r="D138" s="32"/>
      <x:c r="E138" s="32"/>
      <x:c r="F138" s="32"/>
      <x:c r="G138" s="32"/>
      <x:c r="H138" s="32"/>
      <x:c r="I138" s="32"/>
      <x:c r="J138" s="32"/>
      <x:c r="K138" s="32"/>
      <x:c r="L138" s="32"/>
      <x:c r="M138" s="32"/>
      <x:c r="N138" s="32"/>
      <x:c r="O138" s="32"/>
      <x:c r="P138" s="32"/>
      <x:c r="Q138" s="32"/>
      <x:c r="R138" s="32"/>
      <x:c r="S138" s="32"/>
      <x:c r="T138" s="43" t="str">
        <x:f>IFERROR(S138/L138,"")</x:f>
      </x:c>
      <x:c r="U138" s="32"/>
      <x:c r="V138" s="32"/>
      <x:c r="W138" s="32"/>
      <x:c r="X138" s="32"/>
      <x:c r="Y138" s="32"/>
      <x:c r="Z138" s="32"/>
      <x:c r="AA138" s="32"/>
      <x:c r="AB138" s="32"/>
      <x:c r="AC138" s="32"/>
      <x:c r="AD138" s="32"/>
      <x:c r="AE138" s="32"/>
      <x:c r="AF138" s="32"/>
      <x:c r="AG138" s="32"/>
      <x:c r="AH138" s="32"/>
      <x:c r="AI138" s="32"/>
      <x:c r="AJ138" s="32"/>
      <x:c r="AK138" s="32"/>
      <x:c r="AL138" s="32"/>
      <x:c r="AM138" s="32"/>
      <x:c r="AN138" s="32"/>
      <x:c r="AO138" s="32"/>
      <x:c r="AP138" s="32"/>
      <x:c r="AQ138" s="32"/>
      <x:c r="AR138" s="32"/>
      <x:c r="AS138" s="32"/>
      <x:c r="AT138" s="32"/>
      <x:c r="AU138" s="32"/>
      <x:c r="AV138" s="32"/>
      <x:c r="AW138" s="32"/>
      <x:c r="AX138" s="32"/>
      <x:c r="AZ138" s="32"/>
      <x:c r="BA138" s="32"/>
      <x:c r="BB138" s="32"/>
      <x:c r="BC138" s="32"/>
      <x:c r="BD138" s="32"/>
      <x:c r="BE138" s="32"/>
      <x:c r="BF138" s="32"/>
      <x:c r="BG138" s="32"/>
      <x:c r="BH138" s="32"/>
      <x:c r="BI138" s="32"/>
      <x:c r="BJ138" s="32"/>
      <x:c r="BK138" s="32"/>
      <x:c r="BL138" s="32"/>
      <x:c r="BM138" s="32"/>
    </x:row>
    <x:row r="139">
      <x:c r="A139" s="32"/>
      <x:c r="B139" s="32"/>
      <x:c r="C139" s="42"/>
      <x:c r="D139" s="32"/>
      <x:c r="E139" s="32"/>
      <x:c r="F139" s="32"/>
      <x:c r="G139" s="32"/>
      <x:c r="H139" s="32"/>
      <x:c r="I139" s="32"/>
      <x:c r="J139" s="32"/>
      <x:c r="K139" s="32"/>
      <x:c r="L139" s="32"/>
      <x:c r="M139" s="32"/>
      <x:c r="N139" s="32"/>
      <x:c r="O139" s="32"/>
      <x:c r="P139" s="32"/>
      <x:c r="Q139" s="32"/>
      <x:c r="R139" s="32"/>
      <x:c r="S139" s="32"/>
      <x:c r="T139" s="43" t="str">
        <x:f>IFERROR(S139/L139,"")</x:f>
      </x:c>
      <x:c r="U139" s="32"/>
      <x:c r="V139" s="32"/>
      <x:c r="W139" s="32"/>
      <x:c r="X139" s="32"/>
      <x:c r="Y139" s="32"/>
      <x:c r="Z139" s="32"/>
      <x:c r="AA139" s="32"/>
      <x:c r="AB139" s="32"/>
      <x:c r="AC139" s="32"/>
      <x:c r="AD139" s="32"/>
      <x:c r="AE139" s="32"/>
      <x:c r="AF139" s="32"/>
      <x:c r="AG139" s="32"/>
      <x:c r="AH139" s="32"/>
      <x:c r="AI139" s="32"/>
      <x:c r="AJ139" s="32"/>
      <x:c r="AK139" s="32"/>
      <x:c r="AL139" s="32"/>
      <x:c r="AM139" s="32"/>
      <x:c r="AN139" s="32"/>
      <x:c r="AO139" s="32"/>
      <x:c r="AP139" s="32"/>
      <x:c r="AQ139" s="32"/>
      <x:c r="AR139" s="32"/>
      <x:c r="AS139" s="32"/>
      <x:c r="AT139" s="32"/>
      <x:c r="AU139" s="32"/>
      <x:c r="AV139" s="32"/>
      <x:c r="AW139" s="32"/>
      <x:c r="AX139" s="32"/>
      <x:c r="AZ139" s="32"/>
      <x:c r="BA139" s="32"/>
      <x:c r="BB139" s="32"/>
      <x:c r="BC139" s="32"/>
      <x:c r="BD139" s="32"/>
      <x:c r="BE139" s="32"/>
      <x:c r="BF139" s="32"/>
      <x:c r="BG139" s="32"/>
      <x:c r="BH139" s="32"/>
      <x:c r="BI139" s="32"/>
      <x:c r="BJ139" s="32"/>
      <x:c r="BK139" s="32"/>
      <x:c r="BL139" s="32"/>
      <x:c r="BM139" s="32"/>
    </x:row>
    <x:row r="140">
      <x:c r="A140" s="32"/>
      <x:c r="B140" s="32"/>
      <x:c r="C140" s="42"/>
      <x:c r="D140" s="32"/>
      <x:c r="E140" s="32"/>
      <x:c r="F140" s="32"/>
      <x:c r="G140" s="32"/>
      <x:c r="H140" s="32"/>
      <x:c r="I140" s="32"/>
      <x:c r="J140" s="32"/>
      <x:c r="K140" s="32"/>
      <x:c r="L140" s="32"/>
      <x:c r="M140" s="32"/>
      <x:c r="N140" s="32"/>
      <x:c r="O140" s="32"/>
      <x:c r="P140" s="32"/>
      <x:c r="Q140" s="32"/>
      <x:c r="R140" s="32"/>
      <x:c r="S140" s="32"/>
      <x:c r="T140" s="43" t="str">
        <x:f>IFERROR(S140/L140,"")</x:f>
      </x:c>
      <x:c r="U140" s="32"/>
      <x:c r="V140" s="32"/>
      <x:c r="W140" s="32"/>
      <x:c r="X140" s="32"/>
      <x:c r="Y140" s="32"/>
      <x:c r="Z140" s="32"/>
      <x:c r="AA140" s="32"/>
      <x:c r="AB140" s="32"/>
      <x:c r="AC140" s="32"/>
      <x:c r="AD140" s="32"/>
      <x:c r="AE140" s="32"/>
      <x:c r="AF140" s="32"/>
      <x:c r="AG140" s="32"/>
      <x:c r="AH140" s="32"/>
      <x:c r="AI140" s="32"/>
      <x:c r="AJ140" s="32"/>
      <x:c r="AK140" s="32"/>
      <x:c r="AL140" s="32"/>
      <x:c r="AM140" s="32"/>
      <x:c r="AN140" s="32"/>
      <x:c r="AO140" s="32"/>
      <x:c r="AP140" s="32"/>
      <x:c r="AQ140" s="32"/>
      <x:c r="AR140" s="32"/>
      <x:c r="AS140" s="32"/>
      <x:c r="AT140" s="32"/>
      <x:c r="AU140" s="32"/>
      <x:c r="AV140" s="32"/>
      <x:c r="AW140" s="32"/>
      <x:c r="AX140" s="32"/>
      <x:c r="AZ140" s="32"/>
      <x:c r="BA140" s="32"/>
      <x:c r="BB140" s="32"/>
      <x:c r="BC140" s="32"/>
      <x:c r="BD140" s="32"/>
      <x:c r="BE140" s="32"/>
      <x:c r="BF140" s="32"/>
      <x:c r="BG140" s="32"/>
      <x:c r="BH140" s="32"/>
      <x:c r="BI140" s="32"/>
      <x:c r="BJ140" s="32"/>
      <x:c r="BK140" s="32"/>
      <x:c r="BL140" s="32"/>
      <x:c r="BM140" s="32"/>
    </x:row>
    <x:row r="141">
      <x:c r="A141" s="32"/>
      <x:c r="B141" s="32"/>
      <x:c r="C141" s="42"/>
      <x:c r="D141" s="32"/>
      <x:c r="E141" s="32"/>
      <x:c r="F141" s="32"/>
      <x:c r="G141" s="32"/>
      <x:c r="H141" s="32"/>
      <x:c r="I141" s="32"/>
      <x:c r="J141" s="32"/>
      <x:c r="K141" s="32"/>
      <x:c r="L141" s="32"/>
      <x:c r="M141" s="32"/>
      <x:c r="N141" s="32"/>
      <x:c r="O141" s="32"/>
      <x:c r="P141" s="32"/>
      <x:c r="Q141" s="32"/>
      <x:c r="R141" s="32"/>
      <x:c r="S141" s="32"/>
      <x:c r="T141" s="43" t="str">
        <x:f>IFERROR(S141/L141,"")</x:f>
      </x:c>
      <x:c r="U141" s="32"/>
      <x:c r="V141" s="32"/>
      <x:c r="W141" s="32"/>
      <x:c r="X141" s="32"/>
      <x:c r="Y141" s="32"/>
      <x:c r="Z141" s="32"/>
      <x:c r="AA141" s="32"/>
      <x:c r="AB141" s="32"/>
      <x:c r="AC141" s="32"/>
      <x:c r="AD141" s="32"/>
      <x:c r="AE141" s="32"/>
      <x:c r="AF141" s="32"/>
      <x:c r="AG141" s="32"/>
      <x:c r="AH141" s="32"/>
      <x:c r="AI141" s="32"/>
      <x:c r="AJ141" s="32"/>
      <x:c r="AK141" s="32"/>
      <x:c r="AL141" s="32"/>
      <x:c r="AM141" s="32"/>
      <x:c r="AN141" s="32"/>
      <x:c r="AO141" s="32"/>
      <x:c r="AP141" s="32"/>
      <x:c r="AQ141" s="32"/>
      <x:c r="AR141" s="32"/>
      <x:c r="AS141" s="32"/>
      <x:c r="AT141" s="32"/>
      <x:c r="AU141" s="32"/>
      <x:c r="AV141" s="32"/>
      <x:c r="AW141" s="32"/>
      <x:c r="AX141" s="32"/>
      <x:c r="AZ141" s="32"/>
      <x:c r="BA141" s="32"/>
      <x:c r="BB141" s="32"/>
      <x:c r="BC141" s="32"/>
      <x:c r="BD141" s="32"/>
      <x:c r="BE141" s="32"/>
      <x:c r="BF141" s="32"/>
      <x:c r="BG141" s="32"/>
      <x:c r="BH141" s="32"/>
      <x:c r="BI141" s="32"/>
      <x:c r="BJ141" s="32"/>
      <x:c r="BK141" s="32"/>
      <x:c r="BL141" s="32"/>
      <x:c r="BM141" s="32"/>
    </x:row>
    <x:row r="142">
      <x:c r="A142" s="32"/>
      <x:c r="B142" s="32"/>
      <x:c r="C142" s="42"/>
      <x:c r="D142" s="32"/>
      <x:c r="E142" s="32"/>
      <x:c r="F142" s="32"/>
      <x:c r="G142" s="32"/>
      <x:c r="H142" s="32"/>
      <x:c r="I142" s="32"/>
      <x:c r="J142" s="32"/>
      <x:c r="K142" s="32"/>
      <x:c r="L142" s="32"/>
      <x:c r="M142" s="32"/>
      <x:c r="N142" s="32"/>
      <x:c r="O142" s="32"/>
      <x:c r="P142" s="32"/>
      <x:c r="Q142" s="32"/>
      <x:c r="R142" s="32"/>
      <x:c r="S142" s="32"/>
      <x:c r="T142" s="43" t="str">
        <x:f>IFERROR(S142/L142,"")</x:f>
      </x:c>
      <x:c r="U142" s="32"/>
      <x:c r="V142" s="32"/>
      <x:c r="W142" s="32"/>
      <x:c r="X142" s="32"/>
      <x:c r="Y142" s="32"/>
      <x:c r="Z142" s="32"/>
      <x:c r="AA142" s="32"/>
      <x:c r="AB142" s="32"/>
      <x:c r="AC142" s="32"/>
      <x:c r="AD142" s="32"/>
      <x:c r="AE142" s="32"/>
      <x:c r="AF142" s="32"/>
      <x:c r="AG142" s="32"/>
      <x:c r="AH142" s="32"/>
      <x:c r="AI142" s="32"/>
      <x:c r="AJ142" s="32"/>
      <x:c r="AK142" s="32"/>
      <x:c r="AL142" s="32"/>
      <x:c r="AM142" s="32"/>
      <x:c r="AN142" s="32"/>
      <x:c r="AO142" s="32"/>
      <x:c r="AP142" s="32"/>
      <x:c r="AQ142" s="32"/>
      <x:c r="AR142" s="32"/>
      <x:c r="AS142" s="32"/>
      <x:c r="AT142" s="32"/>
      <x:c r="AU142" s="32"/>
      <x:c r="AV142" s="32"/>
      <x:c r="AW142" s="32"/>
      <x:c r="AX142" s="32"/>
      <x:c r="AZ142" s="32"/>
      <x:c r="BA142" s="32"/>
      <x:c r="BB142" s="32"/>
      <x:c r="BC142" s="32"/>
      <x:c r="BD142" s="32"/>
      <x:c r="BE142" s="32"/>
      <x:c r="BF142" s="32"/>
      <x:c r="BG142" s="32"/>
      <x:c r="BH142" s="32"/>
      <x:c r="BI142" s="32"/>
      <x:c r="BJ142" s="32"/>
      <x:c r="BK142" s="32"/>
      <x:c r="BL142" s="32"/>
      <x:c r="BM142" s="32"/>
    </x:row>
    <x:row r="143">
      <x:c r="A143" s="32"/>
      <x:c r="B143" s="32"/>
      <x:c r="C143" s="42"/>
      <x:c r="D143" s="32"/>
      <x:c r="E143" s="32"/>
      <x:c r="F143" s="32"/>
      <x:c r="G143" s="32"/>
      <x:c r="H143" s="32"/>
      <x:c r="I143" s="32"/>
      <x:c r="J143" s="32"/>
      <x:c r="K143" s="32"/>
      <x:c r="L143" s="32"/>
      <x:c r="M143" s="32"/>
      <x:c r="N143" s="32"/>
      <x:c r="O143" s="32"/>
      <x:c r="P143" s="32"/>
      <x:c r="Q143" s="32"/>
      <x:c r="R143" s="32"/>
      <x:c r="S143" s="32"/>
      <x:c r="T143" s="43" t="str">
        <x:f>IFERROR(S143/L143,"")</x:f>
      </x:c>
      <x:c r="U143" s="32"/>
      <x:c r="V143" s="32"/>
      <x:c r="W143" s="32"/>
      <x:c r="X143" s="32"/>
      <x:c r="Y143" s="32"/>
      <x:c r="Z143" s="32"/>
      <x:c r="AA143" s="32"/>
      <x:c r="AB143" s="32"/>
      <x:c r="AC143" s="32"/>
      <x:c r="AD143" s="32"/>
      <x:c r="AE143" s="32"/>
      <x:c r="AF143" s="32"/>
      <x:c r="AG143" s="32"/>
      <x:c r="AH143" s="32"/>
      <x:c r="AI143" s="32"/>
      <x:c r="AJ143" s="32"/>
      <x:c r="AK143" s="32"/>
      <x:c r="AL143" s="32"/>
      <x:c r="AM143" s="32"/>
      <x:c r="AN143" s="32"/>
      <x:c r="AO143" s="32"/>
      <x:c r="AP143" s="32"/>
      <x:c r="AQ143" s="32"/>
      <x:c r="AR143" s="32"/>
      <x:c r="AS143" s="32"/>
      <x:c r="AT143" s="32"/>
      <x:c r="AU143" s="32"/>
      <x:c r="AV143" s="32"/>
      <x:c r="AW143" s="32"/>
      <x:c r="AX143" s="32"/>
      <x:c r="AZ143" s="32"/>
      <x:c r="BA143" s="32"/>
      <x:c r="BB143" s="32"/>
      <x:c r="BC143" s="32"/>
      <x:c r="BD143" s="32"/>
      <x:c r="BE143" s="32"/>
      <x:c r="BF143" s="32"/>
      <x:c r="BG143" s="32"/>
      <x:c r="BH143" s="32"/>
      <x:c r="BI143" s="32"/>
      <x:c r="BJ143" s="32"/>
      <x:c r="BK143" s="32"/>
      <x:c r="BL143" s="32"/>
      <x:c r="BM143" s="32"/>
    </x:row>
    <x:row r="144">
      <x:c r="A144" s="32"/>
      <x:c r="B144" s="32"/>
      <x:c r="C144" s="42"/>
      <x:c r="D144" s="32"/>
      <x:c r="E144" s="32"/>
      <x:c r="F144" s="32"/>
      <x:c r="G144" s="32"/>
      <x:c r="H144" s="32"/>
      <x:c r="I144" s="32"/>
      <x:c r="J144" s="32"/>
      <x:c r="K144" s="32"/>
      <x:c r="L144" s="32"/>
      <x:c r="M144" s="32"/>
      <x:c r="N144" s="32"/>
      <x:c r="O144" s="32"/>
      <x:c r="P144" s="32"/>
      <x:c r="Q144" s="32"/>
      <x:c r="R144" s="32"/>
      <x:c r="S144" s="32"/>
      <x:c r="T144" s="43" t="str">
        <x:f>IFERROR(S144/L144,"")</x:f>
      </x:c>
      <x:c r="U144" s="32"/>
      <x:c r="V144" s="32"/>
      <x:c r="W144" s="32"/>
      <x:c r="X144" s="32"/>
      <x:c r="Y144" s="32"/>
      <x:c r="Z144" s="32"/>
      <x:c r="AA144" s="32"/>
      <x:c r="AB144" s="32"/>
      <x:c r="AC144" s="32"/>
      <x:c r="AD144" s="32"/>
      <x:c r="AE144" s="32"/>
      <x:c r="AF144" s="32"/>
      <x:c r="AG144" s="32"/>
      <x:c r="AH144" s="32"/>
      <x:c r="AI144" s="32"/>
      <x:c r="AJ144" s="32"/>
      <x:c r="AK144" s="32"/>
      <x:c r="AL144" s="32"/>
      <x:c r="AM144" s="32"/>
      <x:c r="AN144" s="32"/>
      <x:c r="AO144" s="32"/>
      <x:c r="AP144" s="32"/>
      <x:c r="AQ144" s="32"/>
      <x:c r="AR144" s="32"/>
      <x:c r="AS144" s="32"/>
      <x:c r="AT144" s="32"/>
      <x:c r="AU144" s="32"/>
      <x:c r="AV144" s="32"/>
      <x:c r="AW144" s="32"/>
      <x:c r="AX144" s="32"/>
      <x:c r="AZ144" s="32"/>
      <x:c r="BA144" s="32"/>
      <x:c r="BB144" s="32"/>
      <x:c r="BC144" s="32"/>
      <x:c r="BD144" s="32"/>
      <x:c r="BE144" s="32"/>
      <x:c r="BF144" s="32"/>
      <x:c r="BG144" s="32"/>
      <x:c r="BH144" s="32"/>
      <x:c r="BI144" s="32"/>
      <x:c r="BJ144" s="32"/>
      <x:c r="BK144" s="32"/>
      <x:c r="BL144" s="32"/>
      <x:c r="BM144" s="32"/>
    </x:row>
    <x:row r="145">
      <x:c r="A145" s="32"/>
      <x:c r="B145" s="32"/>
      <x:c r="C145" s="42"/>
      <x:c r="D145" s="32"/>
      <x:c r="E145" s="32"/>
      <x:c r="F145" s="32"/>
      <x:c r="G145" s="32"/>
      <x:c r="H145" s="32"/>
      <x:c r="I145" s="32"/>
      <x:c r="J145" s="32"/>
      <x:c r="K145" s="32"/>
      <x:c r="L145" s="32"/>
      <x:c r="M145" s="32"/>
      <x:c r="N145" s="32"/>
      <x:c r="O145" s="32"/>
      <x:c r="P145" s="32"/>
      <x:c r="Q145" s="32"/>
      <x:c r="R145" s="32"/>
      <x:c r="S145" s="32"/>
      <x:c r="T145" s="43" t="str">
        <x:f>IFERROR(S145/L145,"")</x:f>
      </x:c>
      <x:c r="U145" s="32"/>
      <x:c r="V145" s="32"/>
      <x:c r="W145" s="32"/>
      <x:c r="X145" s="32"/>
      <x:c r="Y145" s="32"/>
      <x:c r="Z145" s="32"/>
      <x:c r="AA145" s="32"/>
      <x:c r="AB145" s="32"/>
      <x:c r="AC145" s="32"/>
      <x:c r="AD145" s="32"/>
      <x:c r="AE145" s="32"/>
      <x:c r="AF145" s="32"/>
      <x:c r="AG145" s="32"/>
      <x:c r="AH145" s="32"/>
      <x:c r="AI145" s="32"/>
      <x:c r="AJ145" s="32"/>
      <x:c r="AK145" s="32"/>
      <x:c r="AL145" s="32"/>
      <x:c r="AM145" s="32"/>
      <x:c r="AN145" s="32"/>
      <x:c r="AO145" s="32"/>
      <x:c r="AP145" s="32"/>
      <x:c r="AQ145" s="32"/>
      <x:c r="AR145" s="32"/>
      <x:c r="AS145" s="32"/>
      <x:c r="AT145" s="32"/>
      <x:c r="AU145" s="32"/>
      <x:c r="AV145" s="32"/>
      <x:c r="AW145" s="32"/>
      <x:c r="AX145" s="32"/>
      <x:c r="AZ145" s="32"/>
      <x:c r="BA145" s="32"/>
      <x:c r="BB145" s="32"/>
      <x:c r="BC145" s="32"/>
      <x:c r="BD145" s="32"/>
      <x:c r="BE145" s="32"/>
      <x:c r="BF145" s="32"/>
      <x:c r="BG145" s="32"/>
      <x:c r="BH145" s="32"/>
      <x:c r="BI145" s="32"/>
      <x:c r="BJ145" s="32"/>
      <x:c r="BK145" s="32"/>
      <x:c r="BL145" s="32"/>
      <x:c r="BM145" s="32"/>
    </x:row>
    <x:row r="146">
      <x:c r="A146" s="32"/>
      <x:c r="B146" s="32"/>
      <x:c r="C146" s="42"/>
      <x:c r="D146" s="32"/>
      <x:c r="E146" s="32"/>
      <x:c r="F146" s="32"/>
      <x:c r="G146" s="32"/>
      <x:c r="H146" s="32"/>
      <x:c r="I146" s="32"/>
      <x:c r="J146" s="32"/>
      <x:c r="K146" s="32"/>
      <x:c r="L146" s="32"/>
      <x:c r="M146" s="32"/>
      <x:c r="N146" s="32"/>
      <x:c r="O146" s="32"/>
      <x:c r="P146" s="32"/>
      <x:c r="Q146" s="32"/>
      <x:c r="R146" s="32"/>
      <x:c r="S146" s="32"/>
      <x:c r="T146" s="43" t="str">
        <x:f>IFERROR(S146/L146,"")</x:f>
      </x:c>
      <x:c r="U146" s="32"/>
      <x:c r="V146" s="32"/>
      <x:c r="W146" s="32"/>
      <x:c r="X146" s="32"/>
      <x:c r="Y146" s="32"/>
      <x:c r="Z146" s="32"/>
      <x:c r="AA146" s="32"/>
      <x:c r="AB146" s="32"/>
      <x:c r="AC146" s="32"/>
      <x:c r="AD146" s="32"/>
      <x:c r="AE146" s="32"/>
      <x:c r="AF146" s="32"/>
      <x:c r="AG146" s="32"/>
      <x:c r="AH146" s="32"/>
      <x:c r="AI146" s="32"/>
      <x:c r="AJ146" s="32"/>
      <x:c r="AK146" s="32"/>
      <x:c r="AL146" s="32"/>
      <x:c r="AM146" s="32"/>
      <x:c r="AN146" s="32"/>
      <x:c r="AO146" s="32"/>
      <x:c r="AP146" s="32"/>
      <x:c r="AQ146" s="32"/>
      <x:c r="AR146" s="32"/>
      <x:c r="AS146" s="32"/>
      <x:c r="AT146" s="32"/>
      <x:c r="AU146" s="32"/>
      <x:c r="AV146" s="32"/>
      <x:c r="AW146" s="32"/>
      <x:c r="AX146" s="32"/>
      <x:c r="AZ146" s="32"/>
      <x:c r="BA146" s="32"/>
      <x:c r="BB146" s="32"/>
      <x:c r="BC146" s="32"/>
      <x:c r="BD146" s="32"/>
      <x:c r="BE146" s="32"/>
      <x:c r="BF146" s="32"/>
      <x:c r="BG146" s="32"/>
      <x:c r="BH146" s="32"/>
      <x:c r="BI146" s="32"/>
      <x:c r="BJ146" s="32"/>
      <x:c r="BK146" s="32"/>
      <x:c r="BL146" s="32"/>
      <x:c r="BM146" s="32"/>
    </x:row>
    <x:row r="147">
      <x:c r="A147" s="32"/>
      <x:c r="B147" s="32"/>
      <x:c r="C147" s="42"/>
      <x:c r="D147" s="32"/>
      <x:c r="E147" s="32"/>
      <x:c r="F147" s="32"/>
      <x:c r="G147" s="32"/>
      <x:c r="H147" s="32"/>
      <x:c r="I147" s="32"/>
      <x:c r="J147" s="32"/>
      <x:c r="K147" s="32"/>
      <x:c r="L147" s="32"/>
      <x:c r="M147" s="32"/>
      <x:c r="N147" s="32"/>
      <x:c r="O147" s="32"/>
      <x:c r="P147" s="32"/>
      <x:c r="Q147" s="32"/>
      <x:c r="R147" s="32"/>
      <x:c r="S147" s="32"/>
      <x:c r="T147" s="43" t="str">
        <x:f>IFERROR(S147/L147,"")</x:f>
      </x:c>
      <x:c r="U147" s="32"/>
      <x:c r="V147" s="32"/>
      <x:c r="W147" s="32"/>
      <x:c r="X147" s="32"/>
      <x:c r="Y147" s="32"/>
      <x:c r="Z147" s="32"/>
      <x:c r="AA147" s="32"/>
      <x:c r="AB147" s="32"/>
      <x:c r="AC147" s="32"/>
      <x:c r="AD147" s="32"/>
      <x:c r="AE147" s="32"/>
      <x:c r="AF147" s="32"/>
      <x:c r="AG147" s="32"/>
      <x:c r="AH147" s="32"/>
      <x:c r="AI147" s="32"/>
      <x:c r="AJ147" s="32"/>
      <x:c r="AK147" s="32"/>
      <x:c r="AL147" s="32"/>
      <x:c r="AM147" s="32"/>
      <x:c r="AN147" s="32"/>
      <x:c r="AO147" s="32"/>
      <x:c r="AP147" s="32"/>
      <x:c r="AQ147" s="32"/>
      <x:c r="AR147" s="32"/>
      <x:c r="AS147" s="32"/>
      <x:c r="AT147" s="32"/>
      <x:c r="AU147" s="32"/>
      <x:c r="AV147" s="32"/>
      <x:c r="AW147" s="32"/>
      <x:c r="AX147" s="32"/>
      <x:c r="AZ147" s="32"/>
      <x:c r="BA147" s="32"/>
      <x:c r="BB147" s="32"/>
      <x:c r="BC147" s="32"/>
      <x:c r="BD147" s="32"/>
      <x:c r="BE147" s="32"/>
      <x:c r="BF147" s="32"/>
      <x:c r="BG147" s="32"/>
      <x:c r="BH147" s="32"/>
      <x:c r="BI147" s="32"/>
      <x:c r="BJ147" s="32"/>
      <x:c r="BK147" s="32"/>
      <x:c r="BL147" s="32"/>
      <x:c r="BM147" s="32"/>
    </x:row>
    <x:row r="148">
      <x:c r="A148" s="32"/>
      <x:c r="B148" s="32"/>
      <x:c r="C148" s="42"/>
      <x:c r="D148" s="32"/>
      <x:c r="E148" s="32"/>
      <x:c r="F148" s="32"/>
      <x:c r="G148" s="32"/>
      <x:c r="H148" s="32"/>
      <x:c r="I148" s="32"/>
      <x:c r="J148" s="32"/>
      <x:c r="K148" s="32"/>
      <x:c r="L148" s="32"/>
      <x:c r="M148" s="32"/>
      <x:c r="N148" s="32"/>
      <x:c r="O148" s="32"/>
      <x:c r="P148" s="32"/>
      <x:c r="Q148" s="32"/>
      <x:c r="R148" s="32"/>
      <x:c r="S148" s="32"/>
      <x:c r="T148" s="43" t="str">
        <x:f>IFERROR(S148/L148,"")</x:f>
      </x:c>
      <x:c r="U148" s="32"/>
      <x:c r="V148" s="32"/>
      <x:c r="W148" s="32"/>
      <x:c r="X148" s="32"/>
      <x:c r="Y148" s="32"/>
      <x:c r="Z148" s="32"/>
      <x:c r="AA148" s="32"/>
      <x:c r="AB148" s="32"/>
      <x:c r="AC148" s="32"/>
      <x:c r="AD148" s="32"/>
      <x:c r="AE148" s="32"/>
      <x:c r="AF148" s="32"/>
      <x:c r="AG148" s="32"/>
      <x:c r="AH148" s="32"/>
      <x:c r="AI148" s="32"/>
      <x:c r="AJ148" s="32"/>
      <x:c r="AK148" s="32"/>
      <x:c r="AL148" s="32"/>
      <x:c r="AM148" s="32"/>
      <x:c r="AN148" s="32"/>
      <x:c r="AO148" s="32"/>
      <x:c r="AP148" s="32"/>
      <x:c r="AQ148" s="32"/>
      <x:c r="AR148" s="32"/>
      <x:c r="AS148" s="32"/>
      <x:c r="AT148" s="32"/>
      <x:c r="AU148" s="32"/>
      <x:c r="AV148" s="32"/>
      <x:c r="AW148" s="32"/>
      <x:c r="AX148" s="32"/>
      <x:c r="AZ148" s="32"/>
      <x:c r="BA148" s="32"/>
      <x:c r="BB148" s="32"/>
      <x:c r="BC148" s="32"/>
      <x:c r="BD148" s="32"/>
      <x:c r="BE148" s="32"/>
      <x:c r="BF148" s="32"/>
      <x:c r="BG148" s="32"/>
      <x:c r="BH148" s="32"/>
      <x:c r="BI148" s="32"/>
      <x:c r="BJ148" s="32"/>
      <x:c r="BK148" s="32"/>
      <x:c r="BL148" s="32"/>
      <x:c r="BM148" s="32"/>
    </x:row>
    <x:row r="149">
      <x:c r="A149" s="32"/>
      <x:c r="B149" s="32"/>
      <x:c r="C149" s="42"/>
      <x:c r="D149" s="32"/>
      <x:c r="E149" s="32"/>
      <x:c r="F149" s="32"/>
      <x:c r="G149" s="32"/>
      <x:c r="H149" s="32"/>
      <x:c r="I149" s="32"/>
      <x:c r="J149" s="32"/>
      <x:c r="K149" s="32"/>
      <x:c r="L149" s="32"/>
      <x:c r="M149" s="32"/>
      <x:c r="N149" s="32"/>
      <x:c r="O149" s="32"/>
      <x:c r="P149" s="32"/>
      <x:c r="Q149" s="32"/>
      <x:c r="R149" s="32"/>
      <x:c r="S149" s="32"/>
      <x:c r="T149" s="43" t="str">
        <x:f>IFERROR(S149/L149,"")</x:f>
      </x:c>
      <x:c r="U149" s="32"/>
      <x:c r="V149" s="32"/>
      <x:c r="W149" s="32"/>
      <x:c r="X149" s="32"/>
      <x:c r="Y149" s="32"/>
      <x:c r="Z149" s="32"/>
      <x:c r="AA149" s="32"/>
      <x:c r="AB149" s="32"/>
      <x:c r="AC149" s="32"/>
      <x:c r="AD149" s="32"/>
      <x:c r="AE149" s="32"/>
      <x:c r="AF149" s="32"/>
      <x:c r="AG149" s="32"/>
      <x:c r="AH149" s="32"/>
      <x:c r="AI149" s="32"/>
      <x:c r="AJ149" s="32"/>
      <x:c r="AK149" s="32"/>
      <x:c r="AL149" s="32"/>
      <x:c r="AM149" s="32"/>
      <x:c r="AN149" s="32"/>
      <x:c r="AO149" s="32"/>
      <x:c r="AP149" s="32"/>
      <x:c r="AQ149" s="32"/>
      <x:c r="AR149" s="32"/>
      <x:c r="AS149" s="32"/>
      <x:c r="AT149" s="32"/>
      <x:c r="AU149" s="32"/>
      <x:c r="AV149" s="32"/>
      <x:c r="AW149" s="32"/>
      <x:c r="AX149" s="32"/>
      <x:c r="AZ149" s="32"/>
      <x:c r="BA149" s="32"/>
      <x:c r="BB149" s="32"/>
      <x:c r="BC149" s="32"/>
      <x:c r="BD149" s="32"/>
      <x:c r="BE149" s="32"/>
      <x:c r="BF149" s="32"/>
      <x:c r="BG149" s="32"/>
      <x:c r="BH149" s="32"/>
      <x:c r="BI149" s="32"/>
      <x:c r="BJ149" s="32"/>
      <x:c r="BK149" s="32"/>
      <x:c r="BL149" s="32"/>
      <x:c r="BM149" s="32"/>
    </x:row>
    <x:row r="150">
      <x:c r="A150" s="32"/>
      <x:c r="B150" s="32"/>
      <x:c r="C150" s="42"/>
      <x:c r="D150" s="32"/>
      <x:c r="E150" s="32"/>
      <x:c r="F150" s="32"/>
      <x:c r="G150" s="32"/>
      <x:c r="H150" s="32"/>
      <x:c r="I150" s="32"/>
      <x:c r="J150" s="32"/>
      <x:c r="K150" s="32"/>
      <x:c r="L150" s="32"/>
      <x:c r="M150" s="32"/>
      <x:c r="N150" s="32"/>
      <x:c r="O150" s="32"/>
      <x:c r="P150" s="32"/>
      <x:c r="Q150" s="32"/>
      <x:c r="R150" s="32"/>
      <x:c r="S150" s="32"/>
      <x:c r="T150" s="43" t="str">
        <x:f>IFERROR(S150/L150,"")</x:f>
      </x:c>
      <x:c r="U150" s="32"/>
      <x:c r="V150" s="32"/>
      <x:c r="W150" s="32"/>
      <x:c r="X150" s="32"/>
      <x:c r="Y150" s="32"/>
      <x:c r="Z150" s="32"/>
      <x:c r="AA150" s="32"/>
      <x:c r="AB150" s="32"/>
      <x:c r="AC150" s="32"/>
      <x:c r="AD150" s="32"/>
      <x:c r="AE150" s="32"/>
      <x:c r="AF150" s="32"/>
      <x:c r="AG150" s="32"/>
      <x:c r="AH150" s="32"/>
      <x:c r="AI150" s="32"/>
      <x:c r="AJ150" s="32"/>
      <x:c r="AK150" s="32"/>
      <x:c r="AL150" s="32"/>
      <x:c r="AM150" s="32"/>
      <x:c r="AN150" s="32"/>
      <x:c r="AO150" s="32"/>
      <x:c r="AP150" s="32"/>
      <x:c r="AQ150" s="32"/>
      <x:c r="AR150" s="32"/>
      <x:c r="AS150" s="32"/>
      <x:c r="AT150" s="32"/>
      <x:c r="AU150" s="32"/>
      <x:c r="AV150" s="32"/>
      <x:c r="AW150" s="32"/>
      <x:c r="AX150" s="32"/>
      <x:c r="AZ150" s="32"/>
      <x:c r="BA150" s="32"/>
      <x:c r="BB150" s="32"/>
      <x:c r="BC150" s="32"/>
      <x:c r="BD150" s="32"/>
      <x:c r="BE150" s="32"/>
      <x:c r="BF150" s="32"/>
      <x:c r="BG150" s="32"/>
      <x:c r="BH150" s="32"/>
      <x:c r="BI150" s="32"/>
      <x:c r="BJ150" s="32"/>
      <x:c r="BK150" s="32"/>
      <x:c r="BL150" s="32"/>
      <x:c r="BM150" s="32"/>
    </x:row>
    <x:row r="151">
      <x:c r="A151" s="32"/>
      <x:c r="B151" s="32"/>
      <x:c r="C151" s="42"/>
      <x:c r="D151" s="32"/>
      <x:c r="E151" s="32"/>
      <x:c r="F151" s="32"/>
      <x:c r="G151" s="32"/>
      <x:c r="H151" s="32"/>
      <x:c r="I151" s="32"/>
      <x:c r="J151" s="32"/>
      <x:c r="K151" s="32"/>
      <x:c r="L151" s="32"/>
      <x:c r="M151" s="32"/>
      <x:c r="N151" s="32"/>
      <x:c r="O151" s="32"/>
      <x:c r="P151" s="32"/>
      <x:c r="Q151" s="32"/>
      <x:c r="R151" s="32"/>
      <x:c r="S151" s="32"/>
      <x:c r="T151" s="43" t="str">
        <x:f>IFERROR(S151/L151,"")</x:f>
      </x:c>
      <x:c r="U151" s="32"/>
      <x:c r="V151" s="32"/>
      <x:c r="W151" s="32"/>
      <x:c r="X151" s="32"/>
      <x:c r="Y151" s="32"/>
      <x:c r="Z151" s="32"/>
      <x:c r="AA151" s="32"/>
      <x:c r="AB151" s="32"/>
      <x:c r="AC151" s="32"/>
      <x:c r="AD151" s="32"/>
      <x:c r="AE151" s="32"/>
      <x:c r="AF151" s="32"/>
      <x:c r="AG151" s="32"/>
      <x:c r="AH151" s="32"/>
      <x:c r="AI151" s="32"/>
      <x:c r="AJ151" s="32"/>
      <x:c r="AK151" s="32"/>
      <x:c r="AL151" s="32"/>
      <x:c r="AM151" s="32"/>
      <x:c r="AN151" s="32"/>
      <x:c r="AO151" s="32"/>
      <x:c r="AP151" s="32"/>
      <x:c r="AQ151" s="32"/>
      <x:c r="AR151" s="32"/>
      <x:c r="AS151" s="32"/>
      <x:c r="AT151" s="32"/>
      <x:c r="AU151" s="32"/>
      <x:c r="AV151" s="32"/>
      <x:c r="AW151" s="32"/>
      <x:c r="AX151" s="32"/>
      <x:c r="AZ151" s="32"/>
      <x:c r="BA151" s="32"/>
      <x:c r="BB151" s="32"/>
      <x:c r="BC151" s="32"/>
      <x:c r="BD151" s="32"/>
      <x:c r="BE151" s="32"/>
      <x:c r="BF151" s="32"/>
      <x:c r="BG151" s="32"/>
      <x:c r="BH151" s="32"/>
      <x:c r="BI151" s="32"/>
      <x:c r="BJ151" s="32"/>
      <x:c r="BK151" s="32"/>
      <x:c r="BL151" s="32"/>
      <x:c r="BM151" s="32"/>
    </x:row>
    <x:row r="152">
      <x:c r="A152" s="32"/>
      <x:c r="B152" s="32"/>
      <x:c r="C152" s="42"/>
      <x:c r="D152" s="32"/>
      <x:c r="E152" s="32"/>
      <x:c r="F152" s="32"/>
      <x:c r="G152" s="32"/>
      <x:c r="H152" s="32"/>
      <x:c r="I152" s="32"/>
      <x:c r="J152" s="32"/>
      <x:c r="K152" s="32"/>
      <x:c r="L152" s="32"/>
      <x:c r="M152" s="32"/>
      <x:c r="N152" s="32"/>
      <x:c r="O152" s="32"/>
      <x:c r="P152" s="32"/>
      <x:c r="Q152" s="32"/>
      <x:c r="R152" s="32"/>
      <x:c r="S152" s="32"/>
      <x:c r="T152" s="43" t="str">
        <x:f>IFERROR(S152/L152,"")</x:f>
      </x:c>
      <x:c r="U152" s="32"/>
      <x:c r="V152" s="32"/>
      <x:c r="W152" s="32"/>
      <x:c r="X152" s="32"/>
      <x:c r="Y152" s="32"/>
      <x:c r="Z152" s="32"/>
      <x:c r="AA152" s="32"/>
      <x:c r="AB152" s="32"/>
      <x:c r="AC152" s="32"/>
      <x:c r="AD152" s="32"/>
      <x:c r="AE152" s="32"/>
      <x:c r="AF152" s="32"/>
      <x:c r="AG152" s="32"/>
      <x:c r="AH152" s="32"/>
      <x:c r="AI152" s="32"/>
      <x:c r="AJ152" s="32"/>
      <x:c r="AK152" s="32"/>
      <x:c r="AL152" s="32"/>
      <x:c r="AM152" s="32"/>
      <x:c r="AN152" s="32"/>
      <x:c r="AO152" s="32"/>
      <x:c r="AP152" s="32"/>
      <x:c r="AQ152" s="32"/>
      <x:c r="AR152" s="32"/>
      <x:c r="AS152" s="32"/>
      <x:c r="AT152" s="32"/>
      <x:c r="AU152" s="32"/>
      <x:c r="AV152" s="32"/>
      <x:c r="AW152" s="32"/>
      <x:c r="AX152" s="32"/>
      <x:c r="AZ152" s="32"/>
      <x:c r="BA152" s="32"/>
      <x:c r="BB152" s="32"/>
      <x:c r="BC152" s="32"/>
      <x:c r="BD152" s="32"/>
      <x:c r="BE152" s="32"/>
      <x:c r="BF152" s="32"/>
      <x:c r="BG152" s="32"/>
      <x:c r="BH152" s="32"/>
      <x:c r="BI152" s="32"/>
      <x:c r="BJ152" s="32"/>
      <x:c r="BK152" s="32"/>
      <x:c r="BL152" s="32"/>
      <x:c r="BM152" s="32"/>
    </x:row>
    <x:row r="153">
      <x:c r="A153" s="32"/>
      <x:c r="B153" s="32"/>
      <x:c r="C153" s="42"/>
      <x:c r="D153" s="32"/>
      <x:c r="E153" s="32"/>
      <x:c r="F153" s="32"/>
      <x:c r="G153" s="32"/>
      <x:c r="H153" s="32"/>
      <x:c r="I153" s="32"/>
      <x:c r="J153" s="32"/>
      <x:c r="K153" s="32"/>
      <x:c r="L153" s="32"/>
      <x:c r="M153" s="32"/>
      <x:c r="N153" s="32"/>
      <x:c r="O153" s="32"/>
      <x:c r="P153" s="32"/>
      <x:c r="Q153" s="32"/>
      <x:c r="R153" s="32"/>
      <x:c r="S153" s="32"/>
      <x:c r="T153" s="43" t="str">
        <x:f>IFERROR(S153/L153,"")</x:f>
      </x:c>
      <x:c r="U153" s="32"/>
      <x:c r="V153" s="32"/>
      <x:c r="W153" s="32"/>
      <x:c r="X153" s="32"/>
      <x:c r="Y153" s="32"/>
      <x:c r="Z153" s="32"/>
      <x:c r="AA153" s="32"/>
      <x:c r="AB153" s="32"/>
      <x:c r="AC153" s="32"/>
      <x:c r="AD153" s="32"/>
      <x:c r="AE153" s="32"/>
      <x:c r="AF153" s="32"/>
      <x:c r="AG153" s="32"/>
      <x:c r="AH153" s="32"/>
      <x:c r="AI153" s="32"/>
      <x:c r="AJ153" s="32"/>
      <x:c r="AK153" s="32"/>
      <x:c r="AL153" s="32"/>
      <x:c r="AM153" s="32"/>
      <x:c r="AN153" s="32"/>
      <x:c r="AO153" s="32"/>
      <x:c r="AP153" s="32"/>
      <x:c r="AQ153" s="32"/>
      <x:c r="AR153" s="32"/>
      <x:c r="AS153" s="32"/>
      <x:c r="AT153" s="32"/>
      <x:c r="AU153" s="32"/>
      <x:c r="AV153" s="32"/>
      <x:c r="AW153" s="32"/>
      <x:c r="AX153" s="32"/>
      <x:c r="AZ153" s="32"/>
      <x:c r="BA153" s="32"/>
      <x:c r="BB153" s="32"/>
      <x:c r="BC153" s="32"/>
      <x:c r="BD153" s="32"/>
      <x:c r="BE153" s="32"/>
      <x:c r="BF153" s="32"/>
      <x:c r="BG153" s="32"/>
      <x:c r="BH153" s="32"/>
      <x:c r="BI153" s="32"/>
      <x:c r="BJ153" s="32"/>
      <x:c r="BK153" s="32"/>
      <x:c r="BL153" s="32"/>
      <x:c r="BM153" s="32"/>
    </x:row>
    <x:row r="154">
      <x:c r="A154" s="32"/>
      <x:c r="B154" s="32"/>
      <x:c r="C154" s="42"/>
      <x:c r="D154" s="32"/>
      <x:c r="E154" s="32"/>
      <x:c r="F154" s="32"/>
      <x:c r="G154" s="32"/>
      <x:c r="H154" s="32"/>
      <x:c r="I154" s="32"/>
      <x:c r="J154" s="32"/>
      <x:c r="K154" s="32"/>
      <x:c r="L154" s="32"/>
      <x:c r="M154" s="32"/>
      <x:c r="N154" s="32"/>
      <x:c r="O154" s="32"/>
      <x:c r="P154" s="32"/>
      <x:c r="Q154" s="32"/>
      <x:c r="R154" s="32"/>
      <x:c r="S154" s="32"/>
      <x:c r="T154" s="43" t="str">
        <x:f>IFERROR(S154/L154,"")</x:f>
      </x:c>
      <x:c r="U154" s="32"/>
      <x:c r="V154" s="32"/>
      <x:c r="W154" s="32"/>
      <x:c r="X154" s="32"/>
      <x:c r="Y154" s="32"/>
      <x:c r="Z154" s="32"/>
      <x:c r="AA154" s="32"/>
      <x:c r="AB154" s="32"/>
      <x:c r="AC154" s="32"/>
      <x:c r="AD154" s="32"/>
      <x:c r="AE154" s="32"/>
      <x:c r="AF154" s="32"/>
      <x:c r="AG154" s="32"/>
      <x:c r="AH154" s="32"/>
      <x:c r="AI154" s="32"/>
      <x:c r="AJ154" s="32"/>
      <x:c r="AK154" s="32"/>
      <x:c r="AL154" s="32"/>
      <x:c r="AM154" s="32"/>
      <x:c r="AN154" s="32"/>
      <x:c r="AO154" s="32"/>
      <x:c r="AP154" s="32"/>
      <x:c r="AQ154" s="32"/>
      <x:c r="AR154" s="32"/>
      <x:c r="AS154" s="32"/>
      <x:c r="AT154" s="32"/>
      <x:c r="AU154" s="32"/>
      <x:c r="AV154" s="32"/>
      <x:c r="AW154" s="32"/>
      <x:c r="AX154" s="32"/>
      <x:c r="AZ154" s="32"/>
      <x:c r="BA154" s="32"/>
      <x:c r="BB154" s="32"/>
      <x:c r="BC154" s="32"/>
      <x:c r="BD154" s="32"/>
      <x:c r="BE154" s="32"/>
      <x:c r="BF154" s="32"/>
      <x:c r="BG154" s="32"/>
      <x:c r="BH154" s="32"/>
      <x:c r="BI154" s="32"/>
      <x:c r="BJ154" s="32"/>
      <x:c r="BK154" s="32"/>
      <x:c r="BL154" s="32"/>
      <x:c r="BM154" s="32"/>
    </x:row>
    <x:row r="155">
      <x:c r="A155" s="32"/>
      <x:c r="B155" s="32"/>
      <x:c r="C155" s="42"/>
      <x:c r="D155" s="32"/>
      <x:c r="E155" s="32"/>
      <x:c r="F155" s="32"/>
      <x:c r="G155" s="32"/>
      <x:c r="H155" s="32"/>
      <x:c r="I155" s="32"/>
      <x:c r="J155" s="32"/>
      <x:c r="K155" s="32"/>
      <x:c r="L155" s="32"/>
      <x:c r="M155" s="32"/>
      <x:c r="N155" s="32"/>
      <x:c r="O155" s="32"/>
      <x:c r="P155" s="32"/>
      <x:c r="Q155" s="32"/>
      <x:c r="R155" s="32"/>
      <x:c r="S155" s="32"/>
      <x:c r="T155" s="43" t="str">
        <x:f>IFERROR(S155/L155,"")</x:f>
      </x:c>
      <x:c r="U155" s="32"/>
      <x:c r="V155" s="32"/>
      <x:c r="W155" s="32"/>
      <x:c r="X155" s="32"/>
      <x:c r="Y155" s="32"/>
      <x:c r="Z155" s="32"/>
      <x:c r="AA155" s="32"/>
      <x:c r="AB155" s="32"/>
      <x:c r="AC155" s="32"/>
      <x:c r="AD155" s="32"/>
      <x:c r="AE155" s="32"/>
      <x:c r="AF155" s="32"/>
      <x:c r="AG155" s="32"/>
      <x:c r="AH155" s="32"/>
      <x:c r="AI155" s="32"/>
      <x:c r="AJ155" s="32"/>
      <x:c r="AK155" s="32"/>
      <x:c r="AL155" s="32"/>
      <x:c r="AM155" s="32"/>
      <x:c r="AN155" s="32"/>
      <x:c r="AO155" s="32"/>
      <x:c r="AP155" s="32"/>
      <x:c r="AQ155" s="32"/>
      <x:c r="AR155" s="32"/>
      <x:c r="AS155" s="32"/>
      <x:c r="AT155" s="32"/>
      <x:c r="AU155" s="32"/>
      <x:c r="AV155" s="32"/>
      <x:c r="AW155" s="32"/>
      <x:c r="AX155" s="32"/>
      <x:c r="AZ155" s="32"/>
      <x:c r="BA155" s="32"/>
      <x:c r="BB155" s="32"/>
      <x:c r="BC155" s="32"/>
      <x:c r="BD155" s="32"/>
      <x:c r="BE155" s="32"/>
      <x:c r="BF155" s="32"/>
      <x:c r="BG155" s="32"/>
      <x:c r="BH155" s="32"/>
      <x:c r="BI155" s="32"/>
      <x:c r="BJ155" s="32"/>
      <x:c r="BK155" s="32"/>
      <x:c r="BL155" s="32"/>
      <x:c r="BM155" s="32"/>
    </x:row>
    <x:row r="156">
      <x:c r="A156" s="32"/>
      <x:c r="B156" s="32"/>
      <x:c r="C156" s="42"/>
      <x:c r="D156" s="32"/>
      <x:c r="E156" s="32"/>
      <x:c r="F156" s="32"/>
      <x:c r="G156" s="32"/>
      <x:c r="H156" s="32"/>
      <x:c r="I156" s="32"/>
      <x:c r="J156" s="32"/>
      <x:c r="K156" s="32"/>
      <x:c r="L156" s="32"/>
      <x:c r="M156" s="32"/>
      <x:c r="N156" s="32"/>
      <x:c r="O156" s="32"/>
      <x:c r="P156" s="32"/>
      <x:c r="Q156" s="32"/>
      <x:c r="R156" s="32"/>
      <x:c r="S156" s="32"/>
      <x:c r="T156" s="43" t="str">
        <x:f>IFERROR(S156/L156,"")</x:f>
      </x:c>
      <x:c r="U156" s="32"/>
      <x:c r="V156" s="32"/>
      <x:c r="W156" s="32"/>
      <x:c r="X156" s="32"/>
      <x:c r="Y156" s="32"/>
      <x:c r="Z156" s="32"/>
      <x:c r="AA156" s="32"/>
      <x:c r="AB156" s="32"/>
      <x:c r="AC156" s="32"/>
      <x:c r="AD156" s="32"/>
      <x:c r="AE156" s="32"/>
      <x:c r="AF156" s="32"/>
      <x:c r="AG156" s="32"/>
      <x:c r="AH156" s="32"/>
      <x:c r="AI156" s="32"/>
      <x:c r="AJ156" s="32"/>
      <x:c r="AK156" s="32"/>
      <x:c r="AL156" s="32"/>
      <x:c r="AM156" s="32"/>
      <x:c r="AN156" s="32"/>
      <x:c r="AO156" s="32"/>
      <x:c r="AP156" s="32"/>
      <x:c r="AQ156" s="32"/>
      <x:c r="AR156" s="32"/>
      <x:c r="AS156" s="32"/>
      <x:c r="AT156" s="32"/>
      <x:c r="AU156" s="32"/>
      <x:c r="AV156" s="32"/>
      <x:c r="AW156" s="32"/>
      <x:c r="AX156" s="32"/>
      <x:c r="AZ156" s="32"/>
      <x:c r="BA156" s="32"/>
      <x:c r="BB156" s="32"/>
      <x:c r="BC156" s="32"/>
      <x:c r="BD156" s="32"/>
      <x:c r="BE156" s="32"/>
      <x:c r="BF156" s="32"/>
      <x:c r="BG156" s="32"/>
      <x:c r="BH156" s="32"/>
      <x:c r="BI156" s="32"/>
      <x:c r="BJ156" s="32"/>
      <x:c r="BK156" s="32"/>
      <x:c r="BL156" s="32"/>
      <x:c r="BM156" s="32"/>
    </x:row>
    <x:row r="157">
      <x:c r="A157" s="32"/>
      <x:c r="B157" s="32"/>
      <x:c r="C157" s="42"/>
      <x:c r="D157" s="32"/>
      <x:c r="E157" s="32"/>
      <x:c r="F157" s="32"/>
      <x:c r="G157" s="32"/>
      <x:c r="H157" s="32"/>
      <x:c r="I157" s="32"/>
      <x:c r="J157" s="32"/>
      <x:c r="K157" s="32"/>
      <x:c r="L157" s="32"/>
      <x:c r="M157" s="32"/>
      <x:c r="N157" s="32"/>
      <x:c r="O157" s="32"/>
      <x:c r="P157" s="32"/>
      <x:c r="Q157" s="32"/>
      <x:c r="R157" s="32"/>
      <x:c r="S157" s="32"/>
      <x:c r="T157" s="43" t="str">
        <x:f>IFERROR(S157/L157,"")</x:f>
      </x:c>
      <x:c r="U157" s="32"/>
      <x:c r="V157" s="32"/>
      <x:c r="W157" s="32"/>
      <x:c r="X157" s="32"/>
      <x:c r="Y157" s="32"/>
      <x:c r="Z157" s="32"/>
      <x:c r="AA157" s="32"/>
      <x:c r="AB157" s="32"/>
      <x:c r="AC157" s="32"/>
      <x:c r="AD157" s="32"/>
      <x:c r="AE157" s="32"/>
      <x:c r="AF157" s="32"/>
      <x:c r="AG157" s="32"/>
      <x:c r="AH157" s="32"/>
      <x:c r="AI157" s="32"/>
      <x:c r="AJ157" s="32"/>
      <x:c r="AK157" s="32"/>
      <x:c r="AL157" s="32"/>
      <x:c r="AM157" s="32"/>
      <x:c r="AN157" s="32"/>
      <x:c r="AO157" s="32"/>
      <x:c r="AP157" s="32"/>
      <x:c r="AQ157" s="32"/>
      <x:c r="AR157" s="32"/>
      <x:c r="AS157" s="32"/>
      <x:c r="AT157" s="32"/>
      <x:c r="AU157" s="32"/>
      <x:c r="AV157" s="32"/>
      <x:c r="AW157" s="32"/>
      <x:c r="AX157" s="32"/>
      <x:c r="AZ157" s="32"/>
      <x:c r="BA157" s="32"/>
      <x:c r="BB157" s="32"/>
      <x:c r="BC157" s="32"/>
      <x:c r="BD157" s="32"/>
      <x:c r="BE157" s="32"/>
      <x:c r="BF157" s="32"/>
      <x:c r="BG157" s="32"/>
      <x:c r="BH157" s="32"/>
      <x:c r="BI157" s="32"/>
      <x:c r="BJ157" s="32"/>
      <x:c r="BK157" s="32"/>
      <x:c r="BL157" s="32"/>
      <x:c r="BM157" s="32"/>
    </x:row>
    <x:row r="158">
      <x:c r="A158" s="32"/>
      <x:c r="B158" s="32"/>
      <x:c r="C158" s="42"/>
      <x:c r="D158" s="32"/>
      <x:c r="E158" s="32"/>
      <x:c r="F158" s="32"/>
      <x:c r="G158" s="32"/>
      <x:c r="H158" s="32"/>
      <x:c r="I158" s="32"/>
      <x:c r="J158" s="32"/>
      <x:c r="K158" s="32"/>
      <x:c r="L158" s="32"/>
      <x:c r="M158" s="32"/>
      <x:c r="N158" s="32"/>
      <x:c r="O158" s="32"/>
      <x:c r="P158" s="32"/>
      <x:c r="Q158" s="32"/>
      <x:c r="R158" s="32"/>
      <x:c r="S158" s="32"/>
      <x:c r="T158" s="43" t="str">
        <x:f>IFERROR(S158/L158,"")</x:f>
      </x:c>
      <x:c r="U158" s="32"/>
      <x:c r="V158" s="32"/>
      <x:c r="W158" s="32"/>
      <x:c r="X158" s="32"/>
      <x:c r="Y158" s="32"/>
      <x:c r="Z158" s="32"/>
      <x:c r="AA158" s="32"/>
      <x:c r="AB158" s="32"/>
      <x:c r="AC158" s="32"/>
      <x:c r="AD158" s="32"/>
      <x:c r="AE158" s="32"/>
      <x:c r="AF158" s="32"/>
      <x:c r="AG158" s="32"/>
      <x:c r="AH158" s="32"/>
      <x:c r="AI158" s="32"/>
      <x:c r="AJ158" s="32"/>
      <x:c r="AK158" s="32"/>
      <x:c r="AL158" s="32"/>
      <x:c r="AM158" s="32"/>
      <x:c r="AN158" s="32"/>
      <x:c r="AO158" s="32"/>
      <x:c r="AP158" s="32"/>
      <x:c r="AQ158" s="32"/>
      <x:c r="AR158" s="32"/>
      <x:c r="AS158" s="32"/>
      <x:c r="AT158" s="32"/>
      <x:c r="AU158" s="32"/>
      <x:c r="AV158" s="32"/>
      <x:c r="AW158" s="32"/>
      <x:c r="AX158" s="32"/>
      <x:c r="AZ158" s="32"/>
      <x:c r="BA158" s="32"/>
      <x:c r="BB158" s="32"/>
      <x:c r="BC158" s="32"/>
      <x:c r="BD158" s="32"/>
      <x:c r="BE158" s="32"/>
      <x:c r="BF158" s="32"/>
      <x:c r="BG158" s="32"/>
      <x:c r="BH158" s="32"/>
      <x:c r="BI158" s="32"/>
      <x:c r="BJ158" s="32"/>
      <x:c r="BK158" s="32"/>
      <x:c r="BL158" s="32"/>
      <x:c r="BM158" s="32"/>
    </x:row>
    <x:row r="159">
      <x:c r="A159" s="32"/>
      <x:c r="B159" s="32"/>
      <x:c r="C159" s="42"/>
      <x:c r="D159" s="32"/>
      <x:c r="E159" s="32"/>
      <x:c r="F159" s="32"/>
      <x:c r="G159" s="32"/>
      <x:c r="H159" s="32"/>
      <x:c r="I159" s="32"/>
      <x:c r="J159" s="32"/>
      <x:c r="K159" s="32"/>
      <x:c r="L159" s="32"/>
      <x:c r="M159" s="32"/>
      <x:c r="N159" s="32"/>
      <x:c r="O159" s="32"/>
      <x:c r="P159" s="32"/>
      <x:c r="Q159" s="32"/>
      <x:c r="R159" s="32"/>
      <x:c r="S159" s="32"/>
      <x:c r="T159" s="43" t="str">
        <x:f>IFERROR(S159/L159,"")</x:f>
      </x:c>
      <x:c r="U159" s="32"/>
      <x:c r="V159" s="32"/>
      <x:c r="W159" s="32"/>
      <x:c r="X159" s="32"/>
      <x:c r="Y159" s="32"/>
      <x:c r="Z159" s="32"/>
      <x:c r="AA159" s="32"/>
      <x:c r="AB159" s="32"/>
      <x:c r="AC159" s="32"/>
      <x:c r="AD159" s="32"/>
      <x:c r="AE159" s="32"/>
      <x:c r="AF159" s="32"/>
      <x:c r="AG159" s="32"/>
      <x:c r="AH159" s="32"/>
      <x:c r="AI159" s="32"/>
      <x:c r="AJ159" s="32"/>
      <x:c r="AK159" s="32"/>
      <x:c r="AL159" s="32"/>
      <x:c r="AM159" s="32"/>
      <x:c r="AN159" s="32"/>
      <x:c r="AO159" s="32"/>
      <x:c r="AP159" s="32"/>
      <x:c r="AQ159" s="32"/>
      <x:c r="AR159" s="32"/>
      <x:c r="AS159" s="32"/>
      <x:c r="AT159" s="32"/>
      <x:c r="AU159" s="32"/>
      <x:c r="AV159" s="32"/>
      <x:c r="AW159" s="32"/>
      <x:c r="AX159" s="32"/>
      <x:c r="AZ159" s="32"/>
      <x:c r="BA159" s="32"/>
      <x:c r="BB159" s="32"/>
      <x:c r="BC159" s="32"/>
      <x:c r="BD159" s="32"/>
      <x:c r="BE159" s="32"/>
      <x:c r="BF159" s="32"/>
      <x:c r="BG159" s="32"/>
      <x:c r="BH159" s="32"/>
      <x:c r="BI159" s="32"/>
      <x:c r="BJ159" s="32"/>
      <x:c r="BK159" s="32"/>
      <x:c r="BL159" s="32"/>
      <x:c r="BM159" s="32"/>
    </x:row>
    <x:row r="160">
      <x:c r="A160" s="32"/>
      <x:c r="B160" s="32"/>
      <x:c r="C160" s="42"/>
      <x:c r="D160" s="32"/>
      <x:c r="E160" s="32"/>
      <x:c r="F160" s="32"/>
      <x:c r="G160" s="32"/>
      <x:c r="H160" s="32"/>
      <x:c r="I160" s="32"/>
      <x:c r="J160" s="32"/>
      <x:c r="K160" s="32"/>
      <x:c r="L160" s="32"/>
      <x:c r="M160" s="32"/>
      <x:c r="N160" s="32"/>
      <x:c r="O160" s="32"/>
      <x:c r="P160" s="32"/>
      <x:c r="Q160" s="32"/>
      <x:c r="R160" s="32"/>
      <x:c r="S160" s="32"/>
      <x:c r="T160" s="43" t="str">
        <x:f>IFERROR(S160/L160,"")</x:f>
      </x:c>
      <x:c r="U160" s="32"/>
      <x:c r="V160" s="32"/>
      <x:c r="W160" s="32"/>
      <x:c r="X160" s="32"/>
      <x:c r="Y160" s="32"/>
      <x:c r="Z160" s="32"/>
      <x:c r="AA160" s="32"/>
      <x:c r="AB160" s="32"/>
      <x:c r="AC160" s="32"/>
      <x:c r="AD160" s="32"/>
      <x:c r="AE160" s="32"/>
      <x:c r="AF160" s="32"/>
      <x:c r="AG160" s="32"/>
      <x:c r="AH160" s="32"/>
      <x:c r="AI160" s="32"/>
      <x:c r="AJ160" s="32"/>
      <x:c r="AK160" s="32"/>
      <x:c r="AL160" s="32"/>
      <x:c r="AM160" s="32"/>
      <x:c r="AN160" s="32"/>
      <x:c r="AO160" s="32"/>
      <x:c r="AP160" s="32"/>
      <x:c r="AQ160" s="32"/>
      <x:c r="AR160" s="32"/>
      <x:c r="AS160" s="32"/>
      <x:c r="AT160" s="32"/>
      <x:c r="AU160" s="32"/>
      <x:c r="AV160" s="32"/>
      <x:c r="AW160" s="32"/>
      <x:c r="AX160" s="32"/>
      <x:c r="AZ160" s="32"/>
      <x:c r="BA160" s="32"/>
      <x:c r="BB160" s="32"/>
      <x:c r="BC160" s="32"/>
      <x:c r="BD160" s="32"/>
      <x:c r="BE160" s="32"/>
      <x:c r="BF160" s="32"/>
      <x:c r="BG160" s="32"/>
      <x:c r="BH160" s="32"/>
      <x:c r="BI160" s="32"/>
      <x:c r="BJ160" s="32"/>
      <x:c r="BK160" s="32"/>
      <x:c r="BL160" s="32"/>
      <x:c r="BM160" s="32"/>
    </x:row>
    <x:row r="161">
      <x:c r="A161" s="32"/>
      <x:c r="B161" s="32"/>
      <x:c r="C161" s="42"/>
      <x:c r="D161" s="32"/>
      <x:c r="E161" s="32"/>
      <x:c r="F161" s="32"/>
      <x:c r="G161" s="32"/>
      <x:c r="H161" s="32"/>
      <x:c r="I161" s="32"/>
      <x:c r="J161" s="32"/>
      <x:c r="K161" s="32"/>
      <x:c r="L161" s="32"/>
      <x:c r="M161" s="32"/>
      <x:c r="N161" s="32"/>
      <x:c r="O161" s="32"/>
      <x:c r="P161" s="32"/>
      <x:c r="Q161" s="32"/>
      <x:c r="R161" s="32"/>
      <x:c r="S161" s="32"/>
      <x:c r="T161" s="43" t="str">
        <x:f>IFERROR(S161/L161,"")</x:f>
      </x:c>
      <x:c r="U161" s="32"/>
      <x:c r="V161" s="32"/>
      <x:c r="W161" s="32"/>
      <x:c r="X161" s="32"/>
      <x:c r="Y161" s="32"/>
      <x:c r="Z161" s="32"/>
      <x:c r="AA161" s="32"/>
      <x:c r="AB161" s="32"/>
      <x:c r="AC161" s="32"/>
      <x:c r="AD161" s="32"/>
      <x:c r="AE161" s="32"/>
      <x:c r="AF161" s="32"/>
      <x:c r="AG161" s="32"/>
      <x:c r="AH161" s="32"/>
      <x:c r="AI161" s="32"/>
      <x:c r="AJ161" s="32"/>
      <x:c r="AK161" s="32"/>
      <x:c r="AL161" s="32"/>
      <x:c r="AM161" s="32"/>
      <x:c r="AN161" s="32"/>
      <x:c r="AO161" s="32"/>
      <x:c r="AP161" s="32"/>
      <x:c r="AQ161" s="32"/>
      <x:c r="AR161" s="32"/>
      <x:c r="AS161" s="32"/>
      <x:c r="AT161" s="32"/>
      <x:c r="AU161" s="32"/>
      <x:c r="AV161" s="32"/>
      <x:c r="AW161" s="32"/>
      <x:c r="AX161" s="32"/>
      <x:c r="AZ161" s="32"/>
      <x:c r="BA161" s="32"/>
      <x:c r="BB161" s="32"/>
      <x:c r="BC161" s="32"/>
      <x:c r="BD161" s="32"/>
      <x:c r="BE161" s="32"/>
      <x:c r="BF161" s="32"/>
      <x:c r="BG161" s="32"/>
      <x:c r="BH161" s="32"/>
      <x:c r="BI161" s="32"/>
      <x:c r="BJ161" s="32"/>
      <x:c r="BK161" s="32"/>
      <x:c r="BL161" s="32"/>
      <x:c r="BM161" s="32"/>
    </x:row>
    <x:row r="162">
      <x:c r="A162" s="32"/>
      <x:c r="B162" s="32"/>
      <x:c r="C162" s="42"/>
      <x:c r="D162" s="32"/>
      <x:c r="E162" s="32"/>
      <x:c r="F162" s="32"/>
      <x:c r="G162" s="32"/>
      <x:c r="H162" s="32"/>
      <x:c r="I162" s="32"/>
      <x:c r="J162" s="32"/>
      <x:c r="K162" s="32"/>
      <x:c r="L162" s="32"/>
      <x:c r="M162" s="32"/>
      <x:c r="N162" s="32"/>
      <x:c r="O162" s="32"/>
      <x:c r="P162" s="32"/>
      <x:c r="Q162" s="32"/>
      <x:c r="R162" s="32"/>
      <x:c r="S162" s="32"/>
      <x:c r="T162" s="43" t="str">
        <x:f>IFERROR(S162/L162,"")</x:f>
      </x:c>
      <x:c r="U162" s="32"/>
      <x:c r="V162" s="32"/>
      <x:c r="W162" s="32"/>
      <x:c r="X162" s="32"/>
      <x:c r="Y162" s="32"/>
      <x:c r="Z162" s="32"/>
      <x:c r="AA162" s="32"/>
      <x:c r="AB162" s="32"/>
      <x:c r="AC162" s="32"/>
      <x:c r="AD162" s="32"/>
      <x:c r="AE162" s="32"/>
      <x:c r="AF162" s="32"/>
      <x:c r="AG162" s="32"/>
      <x:c r="AH162" s="32"/>
      <x:c r="AI162" s="32"/>
      <x:c r="AJ162" s="32"/>
      <x:c r="AK162" s="32"/>
      <x:c r="AL162" s="32"/>
      <x:c r="AM162" s="32"/>
      <x:c r="AN162" s="32"/>
      <x:c r="AO162" s="32"/>
      <x:c r="AP162" s="32"/>
      <x:c r="AQ162" s="32"/>
      <x:c r="AR162" s="32"/>
      <x:c r="AS162" s="32"/>
      <x:c r="AT162" s="32"/>
      <x:c r="AU162" s="32"/>
      <x:c r="AV162" s="32"/>
      <x:c r="AW162" s="32"/>
      <x:c r="AX162" s="32"/>
      <x:c r="AZ162" s="32"/>
      <x:c r="BA162" s="32"/>
      <x:c r="BB162" s="32"/>
      <x:c r="BC162" s="32"/>
      <x:c r="BD162" s="32"/>
      <x:c r="BE162" s="32"/>
      <x:c r="BF162" s="32"/>
      <x:c r="BG162" s="32"/>
      <x:c r="BH162" s="32"/>
      <x:c r="BI162" s="32"/>
      <x:c r="BJ162" s="32"/>
      <x:c r="BK162" s="32"/>
      <x:c r="BL162" s="32"/>
      <x:c r="BM162" s="32"/>
    </x:row>
    <x:row r="163">
      <x:c r="A163" s="32"/>
      <x:c r="B163" s="32"/>
      <x:c r="C163" s="42"/>
      <x:c r="D163" s="32"/>
      <x:c r="E163" s="32"/>
      <x:c r="F163" s="32"/>
      <x:c r="G163" s="32"/>
      <x:c r="H163" s="32"/>
      <x:c r="I163" s="32"/>
      <x:c r="J163" s="32"/>
      <x:c r="K163" s="32"/>
      <x:c r="L163" s="32"/>
      <x:c r="M163" s="32"/>
      <x:c r="N163" s="32"/>
      <x:c r="O163" s="32"/>
      <x:c r="P163" s="32"/>
      <x:c r="Q163" s="32"/>
      <x:c r="R163" s="32"/>
      <x:c r="S163" s="32"/>
      <x:c r="T163" s="43" t="str">
        <x:f>IFERROR(S163/L163,"")</x:f>
      </x:c>
      <x:c r="U163" s="32"/>
      <x:c r="V163" s="32"/>
      <x:c r="W163" s="32"/>
      <x:c r="X163" s="32"/>
      <x:c r="Y163" s="32"/>
      <x:c r="Z163" s="32"/>
      <x:c r="AA163" s="32"/>
      <x:c r="AB163" s="32"/>
      <x:c r="AC163" s="32"/>
      <x:c r="AD163" s="32"/>
      <x:c r="AE163" s="32"/>
      <x:c r="AF163" s="32"/>
      <x:c r="AG163" s="32"/>
      <x:c r="AH163" s="32"/>
      <x:c r="AI163" s="32"/>
      <x:c r="AJ163" s="32"/>
      <x:c r="AK163" s="32"/>
      <x:c r="AL163" s="32"/>
      <x:c r="AM163" s="32"/>
      <x:c r="AN163" s="32"/>
      <x:c r="AO163" s="32"/>
      <x:c r="AP163" s="32"/>
      <x:c r="AQ163" s="32"/>
      <x:c r="AR163" s="32"/>
      <x:c r="AS163" s="32"/>
      <x:c r="AT163" s="32"/>
      <x:c r="AU163" s="32"/>
      <x:c r="AV163" s="32"/>
      <x:c r="AW163" s="32"/>
      <x:c r="AX163" s="32"/>
      <x:c r="AZ163" s="32"/>
      <x:c r="BA163" s="32"/>
      <x:c r="BB163" s="32"/>
      <x:c r="BC163" s="32"/>
      <x:c r="BD163" s="32"/>
      <x:c r="BE163" s="32"/>
      <x:c r="BF163" s="32"/>
      <x:c r="BG163" s="32"/>
      <x:c r="BH163" s="32"/>
      <x:c r="BI163" s="32"/>
      <x:c r="BJ163" s="32"/>
      <x:c r="BK163" s="32"/>
      <x:c r="BL163" s="32"/>
      <x:c r="BM163" s="32"/>
    </x:row>
    <x:row r="164">
      <x:c r="A164" s="32"/>
      <x:c r="B164" s="32"/>
      <x:c r="C164" s="42"/>
      <x:c r="D164" s="32"/>
      <x:c r="E164" s="32"/>
      <x:c r="F164" s="32"/>
      <x:c r="G164" s="32"/>
      <x:c r="H164" s="32"/>
      <x:c r="I164" s="32"/>
      <x:c r="J164" s="32"/>
      <x:c r="K164" s="32"/>
      <x:c r="L164" s="32"/>
      <x:c r="M164" s="32"/>
      <x:c r="N164" s="32"/>
      <x:c r="O164" s="32"/>
      <x:c r="P164" s="32"/>
      <x:c r="Q164" s="32"/>
      <x:c r="R164" s="32"/>
      <x:c r="S164" s="32"/>
      <x:c r="T164" s="43" t="str">
        <x:f>IFERROR(S164/L164,"")</x:f>
      </x:c>
      <x:c r="U164" s="32"/>
      <x:c r="V164" s="32"/>
      <x:c r="W164" s="32"/>
      <x:c r="X164" s="32"/>
      <x:c r="Y164" s="32"/>
      <x:c r="Z164" s="32"/>
      <x:c r="AA164" s="32"/>
      <x:c r="AB164" s="32"/>
      <x:c r="AC164" s="32"/>
      <x:c r="AD164" s="32"/>
      <x:c r="AE164" s="32"/>
      <x:c r="AF164" s="32"/>
      <x:c r="AG164" s="32"/>
      <x:c r="AH164" s="32"/>
      <x:c r="AI164" s="32"/>
      <x:c r="AJ164" s="32"/>
      <x:c r="AK164" s="32"/>
      <x:c r="AL164" s="32"/>
      <x:c r="AM164" s="32"/>
      <x:c r="AN164" s="32"/>
      <x:c r="AO164" s="32"/>
      <x:c r="AP164" s="32"/>
      <x:c r="AQ164" s="32"/>
      <x:c r="AR164" s="32"/>
      <x:c r="AS164" s="32"/>
      <x:c r="AT164" s="32"/>
      <x:c r="AU164" s="32"/>
      <x:c r="AV164" s="32"/>
      <x:c r="AW164" s="32"/>
      <x:c r="AX164" s="32"/>
      <x:c r="AZ164" s="32"/>
      <x:c r="BA164" s="32"/>
      <x:c r="BB164" s="32"/>
      <x:c r="BC164" s="32"/>
      <x:c r="BD164" s="32"/>
      <x:c r="BE164" s="32"/>
      <x:c r="BF164" s="32"/>
      <x:c r="BG164" s="32"/>
      <x:c r="BH164" s="32"/>
      <x:c r="BI164" s="32"/>
      <x:c r="BJ164" s="32"/>
      <x:c r="BK164" s="32"/>
      <x:c r="BL164" s="32"/>
      <x:c r="BM164" s="32"/>
    </x:row>
    <x:row r="165">
      <x:c r="A165" s="32"/>
      <x:c r="B165" s="32"/>
      <x:c r="C165" s="42"/>
      <x:c r="D165" s="32"/>
      <x:c r="E165" s="32"/>
      <x:c r="F165" s="32"/>
      <x:c r="G165" s="32"/>
      <x:c r="H165" s="32"/>
      <x:c r="I165" s="32"/>
      <x:c r="J165" s="32"/>
      <x:c r="K165" s="32"/>
      <x:c r="L165" s="32"/>
      <x:c r="M165" s="32"/>
      <x:c r="N165" s="32"/>
      <x:c r="O165" s="32"/>
      <x:c r="P165" s="32"/>
      <x:c r="Q165" s="32"/>
      <x:c r="R165" s="32"/>
      <x:c r="S165" s="32"/>
      <x:c r="T165" s="43" t="str">
        <x:f>IFERROR(S165/L165,"")</x:f>
      </x:c>
      <x:c r="U165" s="32"/>
      <x:c r="V165" s="32"/>
      <x:c r="W165" s="32"/>
      <x:c r="X165" s="32"/>
      <x:c r="Y165" s="32"/>
      <x:c r="Z165" s="32"/>
      <x:c r="AA165" s="32"/>
      <x:c r="AB165" s="32"/>
      <x:c r="AC165" s="32"/>
      <x:c r="AD165" s="32"/>
      <x:c r="AE165" s="32"/>
      <x:c r="AF165" s="32"/>
      <x:c r="AG165" s="32"/>
      <x:c r="AH165" s="32"/>
      <x:c r="AI165" s="32"/>
      <x:c r="AJ165" s="32"/>
      <x:c r="AK165" s="32"/>
      <x:c r="AL165" s="32"/>
      <x:c r="AM165" s="32"/>
      <x:c r="AN165" s="32"/>
      <x:c r="AO165" s="32"/>
      <x:c r="AP165" s="32"/>
      <x:c r="AQ165" s="32"/>
      <x:c r="AR165" s="32"/>
      <x:c r="AS165" s="32"/>
      <x:c r="AT165" s="32"/>
      <x:c r="AU165" s="32"/>
      <x:c r="AV165" s="32"/>
      <x:c r="AW165" s="32"/>
      <x:c r="AX165" s="32"/>
      <x:c r="AZ165" s="32"/>
      <x:c r="BA165" s="32"/>
      <x:c r="BB165" s="32"/>
      <x:c r="BC165" s="32"/>
      <x:c r="BD165" s="32"/>
      <x:c r="BE165" s="32"/>
      <x:c r="BF165" s="32"/>
      <x:c r="BG165" s="32"/>
      <x:c r="BH165" s="32"/>
      <x:c r="BI165" s="32"/>
      <x:c r="BJ165" s="32"/>
      <x:c r="BK165" s="32"/>
      <x:c r="BL165" s="32"/>
      <x:c r="BM165" s="32"/>
    </x:row>
    <x:row r="166">
      <x:c r="A166" s="32"/>
      <x:c r="B166" s="32"/>
      <x:c r="C166" s="42"/>
      <x:c r="D166" s="32"/>
      <x:c r="E166" s="32"/>
      <x:c r="F166" s="32"/>
      <x:c r="G166" s="32"/>
      <x:c r="H166" s="32"/>
      <x:c r="I166" s="32"/>
      <x:c r="J166" s="32"/>
      <x:c r="K166" s="32"/>
      <x:c r="L166" s="32"/>
      <x:c r="M166" s="32"/>
      <x:c r="N166" s="32"/>
      <x:c r="O166" s="32"/>
      <x:c r="P166" s="32"/>
      <x:c r="Q166" s="32"/>
      <x:c r="R166" s="32"/>
      <x:c r="S166" s="32"/>
      <x:c r="T166" s="43" t="str">
        <x:f>IFERROR(S166/L166,"")</x:f>
      </x:c>
      <x:c r="U166" s="32"/>
      <x:c r="V166" s="32"/>
      <x:c r="W166" s="32"/>
      <x:c r="X166" s="32"/>
      <x:c r="Y166" s="32"/>
      <x:c r="Z166" s="32"/>
      <x:c r="AA166" s="32"/>
      <x:c r="AB166" s="32"/>
      <x:c r="AC166" s="32"/>
      <x:c r="AD166" s="32"/>
      <x:c r="AE166" s="32"/>
      <x:c r="AF166" s="32"/>
      <x:c r="AG166" s="32"/>
      <x:c r="AH166" s="32"/>
      <x:c r="AI166" s="32"/>
      <x:c r="AJ166" s="32"/>
      <x:c r="AK166" s="32"/>
      <x:c r="AL166" s="32"/>
      <x:c r="AM166" s="32"/>
      <x:c r="AN166" s="32"/>
      <x:c r="AO166" s="32"/>
      <x:c r="AP166" s="32"/>
      <x:c r="AQ166" s="32"/>
      <x:c r="AR166" s="32"/>
      <x:c r="AS166" s="32"/>
      <x:c r="AT166" s="32"/>
      <x:c r="AU166" s="32"/>
      <x:c r="AV166" s="32"/>
      <x:c r="AW166" s="32"/>
      <x:c r="AX166" s="32"/>
      <x:c r="AZ166" s="32"/>
      <x:c r="BA166" s="32"/>
      <x:c r="BB166" s="32"/>
      <x:c r="BC166" s="32"/>
      <x:c r="BD166" s="32"/>
      <x:c r="BE166" s="32"/>
      <x:c r="BF166" s="32"/>
      <x:c r="BG166" s="32"/>
      <x:c r="BH166" s="32"/>
      <x:c r="BI166" s="32"/>
      <x:c r="BJ166" s="32"/>
      <x:c r="BK166" s="32"/>
      <x:c r="BL166" s="32"/>
      <x:c r="BM166" s="32"/>
    </x:row>
    <x:row r="167">
      <x:c r="A167" s="32"/>
      <x:c r="B167" s="32"/>
      <x:c r="C167" s="42"/>
      <x:c r="D167" s="32"/>
      <x:c r="E167" s="32"/>
      <x:c r="F167" s="32"/>
      <x:c r="G167" s="32"/>
      <x:c r="H167" s="32"/>
      <x:c r="I167" s="32"/>
      <x:c r="J167" s="32"/>
      <x:c r="K167" s="32"/>
      <x:c r="L167" s="32"/>
      <x:c r="M167" s="32"/>
      <x:c r="N167" s="32"/>
      <x:c r="O167" s="32"/>
      <x:c r="P167" s="32"/>
      <x:c r="Q167" s="32"/>
      <x:c r="R167" s="32"/>
      <x:c r="S167" s="32"/>
      <x:c r="T167" s="43" t="str">
        <x:f>IFERROR(S167/L167,"")</x:f>
      </x:c>
      <x:c r="U167" s="32"/>
      <x:c r="V167" s="32"/>
      <x:c r="W167" s="32"/>
      <x:c r="X167" s="32"/>
      <x:c r="Y167" s="32"/>
      <x:c r="Z167" s="32"/>
      <x:c r="AA167" s="32"/>
      <x:c r="AB167" s="32"/>
      <x:c r="AC167" s="32"/>
      <x:c r="AD167" s="32"/>
      <x:c r="AE167" s="32"/>
      <x:c r="AF167" s="32"/>
      <x:c r="AG167" s="32"/>
      <x:c r="AH167" s="32"/>
      <x:c r="AI167" s="32"/>
      <x:c r="AJ167" s="32"/>
      <x:c r="AK167" s="32"/>
      <x:c r="AL167" s="32"/>
      <x:c r="AM167" s="32"/>
      <x:c r="AN167" s="32"/>
      <x:c r="AO167" s="32"/>
      <x:c r="AP167" s="32"/>
      <x:c r="AQ167" s="32"/>
      <x:c r="AR167" s="32"/>
      <x:c r="AS167" s="32"/>
      <x:c r="AT167" s="32"/>
      <x:c r="AU167" s="32"/>
      <x:c r="AV167" s="32"/>
      <x:c r="AW167" s="32"/>
      <x:c r="AX167" s="32"/>
      <x:c r="AZ167" s="32"/>
      <x:c r="BA167" s="32"/>
      <x:c r="BB167" s="32"/>
      <x:c r="BC167" s="32"/>
      <x:c r="BD167" s="32"/>
      <x:c r="BE167" s="32"/>
      <x:c r="BF167" s="32"/>
      <x:c r="BG167" s="32"/>
      <x:c r="BH167" s="32"/>
      <x:c r="BI167" s="32"/>
      <x:c r="BJ167" s="32"/>
      <x:c r="BK167" s="32"/>
      <x:c r="BL167" s="32"/>
      <x:c r="BM167" s="32"/>
    </x:row>
    <x:row r="168">
      <x:c r="A168" s="32"/>
      <x:c r="B168" s="32"/>
      <x:c r="C168" s="42"/>
      <x:c r="D168" s="32"/>
      <x:c r="E168" s="32"/>
      <x:c r="F168" s="32"/>
      <x:c r="G168" s="32"/>
      <x:c r="H168" s="32"/>
      <x:c r="I168" s="32"/>
      <x:c r="J168" s="32"/>
      <x:c r="K168" s="32"/>
      <x:c r="L168" s="32"/>
      <x:c r="M168" s="32"/>
      <x:c r="N168" s="32"/>
      <x:c r="O168" s="32"/>
      <x:c r="P168" s="32"/>
      <x:c r="Q168" s="32"/>
      <x:c r="R168" s="32"/>
      <x:c r="S168" s="32"/>
      <x:c r="T168" s="43" t="str">
        <x:f>IFERROR(S168/L168,"")</x:f>
      </x:c>
      <x:c r="U168" s="32"/>
      <x:c r="V168" s="32"/>
      <x:c r="W168" s="32"/>
      <x:c r="X168" s="32"/>
      <x:c r="Y168" s="32"/>
      <x:c r="Z168" s="32"/>
      <x:c r="AA168" s="32"/>
      <x:c r="AB168" s="32"/>
      <x:c r="AC168" s="32"/>
      <x:c r="AD168" s="32"/>
      <x:c r="AE168" s="32"/>
      <x:c r="AF168" s="32"/>
      <x:c r="AG168" s="32"/>
      <x:c r="AH168" s="32"/>
      <x:c r="AI168" s="32"/>
      <x:c r="AJ168" s="32"/>
      <x:c r="AK168" s="32"/>
      <x:c r="AL168" s="32"/>
      <x:c r="AM168" s="32"/>
      <x:c r="AN168" s="32"/>
      <x:c r="AO168" s="32"/>
      <x:c r="AP168" s="32"/>
      <x:c r="AQ168" s="32"/>
      <x:c r="AR168" s="32"/>
      <x:c r="AS168" s="32"/>
      <x:c r="AT168" s="32"/>
      <x:c r="AU168" s="32"/>
      <x:c r="AV168" s="32"/>
      <x:c r="AW168" s="32"/>
      <x:c r="AX168" s="32"/>
      <x:c r="AZ168" s="32"/>
      <x:c r="BA168" s="32"/>
      <x:c r="BB168" s="32"/>
      <x:c r="BC168" s="32"/>
      <x:c r="BD168" s="32"/>
      <x:c r="BE168" s="32"/>
      <x:c r="BF168" s="32"/>
      <x:c r="BG168" s="32"/>
      <x:c r="BH168" s="32"/>
      <x:c r="BI168" s="32"/>
      <x:c r="BJ168" s="32"/>
      <x:c r="BK168" s="32"/>
      <x:c r="BL168" s="32"/>
      <x:c r="BM168" s="32"/>
    </x:row>
    <x:row r="169">
      <x:c r="A169" s="32"/>
      <x:c r="B169" s="32"/>
      <x:c r="C169" s="42"/>
      <x:c r="D169" s="32"/>
      <x:c r="E169" s="32"/>
      <x:c r="F169" s="32"/>
      <x:c r="G169" s="32"/>
      <x:c r="H169" s="32"/>
      <x:c r="I169" s="32"/>
      <x:c r="J169" s="32"/>
      <x:c r="K169" s="32"/>
      <x:c r="L169" s="32"/>
      <x:c r="M169" s="32"/>
      <x:c r="N169" s="32"/>
      <x:c r="O169" s="32"/>
      <x:c r="P169" s="32"/>
      <x:c r="Q169" s="32"/>
      <x:c r="R169" s="32"/>
      <x:c r="S169" s="32"/>
      <x:c r="T169" s="43" t="str">
        <x:f>IFERROR(S169/L169,"")</x:f>
      </x:c>
      <x:c r="U169" s="32"/>
      <x:c r="V169" s="32"/>
      <x:c r="W169" s="32"/>
      <x:c r="X169" s="32"/>
      <x:c r="Y169" s="32"/>
      <x:c r="Z169" s="32"/>
      <x:c r="AA169" s="32"/>
      <x:c r="AB169" s="32"/>
      <x:c r="AC169" s="32"/>
      <x:c r="AD169" s="32"/>
      <x:c r="AE169" s="32"/>
      <x:c r="AF169" s="32"/>
      <x:c r="AG169" s="32"/>
      <x:c r="AH169" s="32"/>
      <x:c r="AI169" s="32"/>
      <x:c r="AJ169" s="32"/>
      <x:c r="AK169" s="32"/>
      <x:c r="AL169" s="32"/>
      <x:c r="AM169" s="32"/>
      <x:c r="AN169" s="32"/>
      <x:c r="AO169" s="32"/>
      <x:c r="AP169" s="32"/>
      <x:c r="AQ169" s="32"/>
      <x:c r="AR169" s="32"/>
      <x:c r="AS169" s="32"/>
      <x:c r="AT169" s="32"/>
      <x:c r="AU169" s="32"/>
      <x:c r="AV169" s="32"/>
      <x:c r="AW169" s="32"/>
      <x:c r="AX169" s="32"/>
      <x:c r="AZ169" s="32"/>
      <x:c r="BA169" s="32"/>
      <x:c r="BB169" s="32"/>
      <x:c r="BC169" s="32"/>
      <x:c r="BD169" s="32"/>
      <x:c r="BE169" s="32"/>
      <x:c r="BF169" s="32"/>
      <x:c r="BG169" s="32"/>
      <x:c r="BH169" s="32"/>
      <x:c r="BI169" s="32"/>
      <x:c r="BJ169" s="32"/>
      <x:c r="BK169" s="32"/>
      <x:c r="BL169" s="32"/>
      <x:c r="BM169" s="32"/>
    </x:row>
    <x:row r="170">
      <x:c r="A170" s="32"/>
      <x:c r="B170" s="32"/>
      <x:c r="C170" s="42"/>
      <x:c r="D170" s="32"/>
      <x:c r="E170" s="32"/>
      <x:c r="F170" s="32"/>
      <x:c r="G170" s="32"/>
      <x:c r="H170" s="32"/>
      <x:c r="I170" s="32"/>
      <x:c r="J170" s="32"/>
      <x:c r="K170" s="32"/>
      <x:c r="L170" s="32"/>
      <x:c r="M170" s="32"/>
      <x:c r="N170" s="32"/>
      <x:c r="O170" s="32"/>
      <x:c r="P170" s="32"/>
      <x:c r="Q170" s="32"/>
      <x:c r="R170" s="32"/>
      <x:c r="S170" s="32"/>
      <x:c r="T170" s="43" t="str">
        <x:f>IFERROR(S170/L170,"")</x:f>
      </x:c>
      <x:c r="U170" s="32"/>
      <x:c r="V170" s="32"/>
      <x:c r="W170" s="32"/>
      <x:c r="X170" s="32"/>
      <x:c r="Y170" s="32"/>
      <x:c r="Z170" s="32"/>
      <x:c r="AA170" s="32"/>
      <x:c r="AB170" s="32"/>
      <x:c r="AC170" s="32"/>
      <x:c r="AD170" s="32"/>
      <x:c r="AE170" s="32"/>
      <x:c r="AF170" s="32"/>
      <x:c r="AG170" s="32"/>
      <x:c r="AH170" s="32"/>
      <x:c r="AI170" s="32"/>
      <x:c r="AJ170" s="32"/>
      <x:c r="AK170" s="32"/>
      <x:c r="AL170" s="32"/>
      <x:c r="AM170" s="32"/>
      <x:c r="AN170" s="32"/>
      <x:c r="AO170" s="32"/>
      <x:c r="AP170" s="32"/>
      <x:c r="AQ170" s="32"/>
      <x:c r="AR170" s="32"/>
      <x:c r="AS170" s="32"/>
      <x:c r="AT170" s="32"/>
      <x:c r="AU170" s="32"/>
      <x:c r="AV170" s="32"/>
      <x:c r="AW170" s="32"/>
      <x:c r="AX170" s="32"/>
      <x:c r="AZ170" s="32"/>
      <x:c r="BA170" s="32"/>
      <x:c r="BB170" s="32"/>
      <x:c r="BC170" s="32"/>
      <x:c r="BD170" s="32"/>
      <x:c r="BE170" s="32"/>
      <x:c r="BF170" s="32"/>
      <x:c r="BG170" s="32"/>
      <x:c r="BH170" s="32"/>
      <x:c r="BI170" s="32"/>
      <x:c r="BJ170" s="32"/>
      <x:c r="BK170" s="32"/>
      <x:c r="BL170" s="32"/>
      <x:c r="BM170" s="32"/>
    </x:row>
    <x:row r="171">
      <x:c r="A171" s="32"/>
      <x:c r="B171" s="32"/>
      <x:c r="C171" s="42"/>
      <x:c r="D171" s="32"/>
      <x:c r="E171" s="32"/>
      <x:c r="F171" s="32"/>
      <x:c r="G171" s="32"/>
      <x:c r="H171" s="32"/>
      <x:c r="I171" s="32"/>
      <x:c r="J171" s="32"/>
      <x:c r="K171" s="32"/>
      <x:c r="L171" s="32"/>
      <x:c r="M171" s="32"/>
      <x:c r="N171" s="32"/>
      <x:c r="O171" s="32"/>
      <x:c r="P171" s="32"/>
      <x:c r="Q171" s="32"/>
      <x:c r="R171" s="32"/>
      <x:c r="S171" s="32"/>
      <x:c r="T171" s="43" t="str">
        <x:f>IFERROR(S171/L171,"")</x:f>
      </x:c>
      <x:c r="U171" s="32"/>
      <x:c r="V171" s="32"/>
      <x:c r="W171" s="32"/>
      <x:c r="X171" s="32"/>
      <x:c r="Y171" s="32"/>
      <x:c r="Z171" s="32"/>
      <x:c r="AA171" s="32"/>
      <x:c r="AB171" s="32"/>
      <x:c r="AC171" s="32"/>
      <x:c r="AD171" s="32"/>
      <x:c r="AE171" s="32"/>
      <x:c r="AF171" s="32"/>
      <x:c r="AG171" s="32"/>
      <x:c r="AH171" s="32"/>
      <x:c r="AI171" s="32"/>
      <x:c r="AJ171" s="32"/>
      <x:c r="AK171" s="32"/>
      <x:c r="AL171" s="32"/>
      <x:c r="AM171" s="32"/>
      <x:c r="AN171" s="32"/>
      <x:c r="AO171" s="32"/>
      <x:c r="AP171" s="32"/>
      <x:c r="AQ171" s="32"/>
      <x:c r="AR171" s="32"/>
      <x:c r="AS171" s="32"/>
      <x:c r="AT171" s="32"/>
      <x:c r="AU171" s="32"/>
      <x:c r="AV171" s="32"/>
      <x:c r="AW171" s="32"/>
      <x:c r="AX171" s="32"/>
      <x:c r="AZ171" s="32"/>
      <x:c r="BA171" s="32"/>
      <x:c r="BB171" s="32"/>
      <x:c r="BC171" s="32"/>
      <x:c r="BD171" s="32"/>
      <x:c r="BE171" s="32"/>
      <x:c r="BF171" s="32"/>
      <x:c r="BG171" s="32"/>
      <x:c r="BH171" s="32"/>
      <x:c r="BI171" s="32"/>
      <x:c r="BJ171" s="32"/>
      <x:c r="BK171" s="32"/>
      <x:c r="BL171" s="32"/>
      <x:c r="BM171" s="32"/>
    </x:row>
    <x:row r="172">
      <x:c r="A172" s="32"/>
      <x:c r="B172" s="32"/>
      <x:c r="C172" s="42"/>
      <x:c r="D172" s="32"/>
      <x:c r="E172" s="32"/>
      <x:c r="F172" s="32"/>
      <x:c r="G172" s="32"/>
      <x:c r="H172" s="32"/>
      <x:c r="I172" s="32"/>
      <x:c r="J172" s="32"/>
      <x:c r="K172" s="32"/>
      <x:c r="L172" s="32"/>
      <x:c r="M172" s="32"/>
      <x:c r="N172" s="32"/>
      <x:c r="O172" s="32"/>
      <x:c r="P172" s="32"/>
      <x:c r="Q172" s="32"/>
      <x:c r="R172" s="32"/>
      <x:c r="S172" s="32"/>
      <x:c r="T172" s="43" t="str">
        <x:f>IFERROR(S172/L172,"")</x:f>
      </x:c>
      <x:c r="U172" s="32"/>
      <x:c r="V172" s="32"/>
      <x:c r="W172" s="32"/>
      <x:c r="X172" s="32"/>
      <x:c r="Y172" s="32"/>
      <x:c r="Z172" s="32"/>
      <x:c r="AA172" s="32"/>
      <x:c r="AB172" s="32"/>
      <x:c r="AC172" s="32"/>
      <x:c r="AD172" s="32"/>
      <x:c r="AE172" s="32"/>
      <x:c r="AF172" s="32"/>
      <x:c r="AG172" s="32"/>
      <x:c r="AH172" s="32"/>
      <x:c r="AI172" s="32"/>
      <x:c r="AJ172" s="32"/>
      <x:c r="AK172" s="32"/>
      <x:c r="AL172" s="32"/>
      <x:c r="AM172" s="32"/>
      <x:c r="AN172" s="32"/>
      <x:c r="AO172" s="32"/>
      <x:c r="AP172" s="32"/>
      <x:c r="AQ172" s="32"/>
      <x:c r="AR172" s="32"/>
      <x:c r="AS172" s="32"/>
      <x:c r="AT172" s="32"/>
      <x:c r="AU172" s="32"/>
      <x:c r="AV172" s="32"/>
      <x:c r="AW172" s="32"/>
      <x:c r="AX172" s="32"/>
      <x:c r="AZ172" s="32"/>
      <x:c r="BA172" s="32"/>
      <x:c r="BB172" s="32"/>
      <x:c r="BC172" s="32"/>
      <x:c r="BD172" s="32"/>
      <x:c r="BE172" s="32"/>
      <x:c r="BF172" s="32"/>
      <x:c r="BG172" s="32"/>
      <x:c r="BH172" s="32"/>
      <x:c r="BI172" s="32"/>
      <x:c r="BJ172" s="32"/>
      <x:c r="BK172" s="32"/>
      <x:c r="BL172" s="32"/>
      <x:c r="BM172" s="32"/>
    </x:row>
    <x:row r="173">
      <x:c r="A173" s="32"/>
      <x:c r="B173" s="32"/>
      <x:c r="C173" s="42"/>
      <x:c r="D173" s="32"/>
      <x:c r="E173" s="32"/>
      <x:c r="F173" s="32"/>
      <x:c r="G173" s="32"/>
      <x:c r="H173" s="32"/>
      <x:c r="I173" s="32"/>
      <x:c r="J173" s="32"/>
      <x:c r="K173" s="32"/>
      <x:c r="L173" s="32"/>
      <x:c r="M173" s="32"/>
      <x:c r="N173" s="32"/>
      <x:c r="O173" s="32"/>
      <x:c r="P173" s="32"/>
      <x:c r="Q173" s="32"/>
      <x:c r="R173" s="32"/>
      <x:c r="S173" s="32"/>
      <x:c r="T173" s="43" t="str">
        <x:f>IFERROR(S173/L173,"")</x:f>
      </x:c>
      <x:c r="U173" s="32"/>
      <x:c r="V173" s="32"/>
      <x:c r="W173" s="32"/>
      <x:c r="X173" s="32"/>
      <x:c r="Y173" s="32"/>
      <x:c r="Z173" s="32"/>
      <x:c r="AA173" s="32"/>
      <x:c r="AB173" s="32"/>
      <x:c r="AC173" s="32"/>
      <x:c r="AD173" s="32"/>
      <x:c r="AE173" s="32"/>
      <x:c r="AF173" s="32"/>
      <x:c r="AG173" s="32"/>
      <x:c r="AH173" s="32"/>
      <x:c r="AI173" s="32"/>
      <x:c r="AJ173" s="32"/>
      <x:c r="AK173" s="32"/>
      <x:c r="AL173" s="32"/>
      <x:c r="AM173" s="32"/>
      <x:c r="AN173" s="32"/>
      <x:c r="AO173" s="32"/>
      <x:c r="AP173" s="32"/>
      <x:c r="AQ173" s="32"/>
      <x:c r="AR173" s="32"/>
      <x:c r="AS173" s="32"/>
      <x:c r="AT173" s="32"/>
      <x:c r="AU173" s="32"/>
      <x:c r="AV173" s="32"/>
      <x:c r="AW173" s="32"/>
      <x:c r="AX173" s="32"/>
      <x:c r="AZ173" s="32"/>
      <x:c r="BA173" s="32"/>
      <x:c r="BB173" s="32"/>
      <x:c r="BC173" s="32"/>
      <x:c r="BD173" s="32"/>
      <x:c r="BE173" s="32"/>
      <x:c r="BF173" s="32"/>
      <x:c r="BG173" s="32"/>
      <x:c r="BH173" s="32"/>
      <x:c r="BI173" s="32"/>
      <x:c r="BJ173" s="32"/>
      <x:c r="BK173" s="32"/>
      <x:c r="BL173" s="32"/>
      <x:c r="BM173" s="32"/>
    </x:row>
    <x:row r="174">
      <x:c r="A174" s="32"/>
      <x:c r="B174" s="32"/>
      <x:c r="C174" s="42"/>
      <x:c r="D174" s="32"/>
      <x:c r="E174" s="32"/>
      <x:c r="F174" s="32"/>
      <x:c r="G174" s="32"/>
      <x:c r="H174" s="32"/>
      <x:c r="I174" s="32"/>
      <x:c r="J174" s="32"/>
      <x:c r="K174" s="32"/>
      <x:c r="L174" s="32"/>
      <x:c r="M174" s="32"/>
      <x:c r="N174" s="32"/>
      <x:c r="O174" s="32"/>
      <x:c r="P174" s="32"/>
      <x:c r="Q174" s="32"/>
      <x:c r="R174" s="32"/>
      <x:c r="S174" s="32"/>
      <x:c r="T174" s="43" t="str">
        <x:f>IFERROR(S174/L174,"")</x:f>
      </x:c>
      <x:c r="U174" s="32"/>
      <x:c r="V174" s="32"/>
      <x:c r="W174" s="32"/>
      <x:c r="X174" s="32"/>
      <x:c r="Y174" s="32"/>
      <x:c r="Z174" s="32"/>
      <x:c r="AA174" s="32"/>
      <x:c r="AB174" s="32"/>
      <x:c r="AC174" s="32"/>
      <x:c r="AD174" s="32"/>
      <x:c r="AE174" s="32"/>
      <x:c r="AF174" s="32"/>
      <x:c r="AG174" s="32"/>
      <x:c r="AH174" s="32"/>
      <x:c r="AI174" s="32"/>
      <x:c r="AJ174" s="32"/>
      <x:c r="AK174" s="32"/>
      <x:c r="AL174" s="32"/>
      <x:c r="AM174" s="32"/>
      <x:c r="AN174" s="32"/>
      <x:c r="AO174" s="32"/>
      <x:c r="AP174" s="32"/>
      <x:c r="AQ174" s="32"/>
      <x:c r="AR174" s="32"/>
      <x:c r="AS174" s="32"/>
      <x:c r="AT174" s="32"/>
      <x:c r="AU174" s="32"/>
      <x:c r="AV174" s="32"/>
      <x:c r="AW174" s="32"/>
      <x:c r="AX174" s="32"/>
      <x:c r="AZ174" s="32"/>
      <x:c r="BA174" s="32"/>
      <x:c r="BB174" s="32"/>
      <x:c r="BC174" s="32"/>
      <x:c r="BD174" s="32"/>
      <x:c r="BE174" s="32"/>
      <x:c r="BF174" s="32"/>
      <x:c r="BG174" s="32"/>
      <x:c r="BH174" s="32"/>
      <x:c r="BI174" s="32"/>
      <x:c r="BJ174" s="32"/>
      <x:c r="BK174" s="32"/>
      <x:c r="BL174" s="32"/>
      <x:c r="BM174" s="32"/>
    </x:row>
    <x:row r="175">
      <x:c r="A175" s="32"/>
      <x:c r="B175" s="32"/>
      <x:c r="C175" s="42"/>
      <x:c r="D175" s="32"/>
      <x:c r="E175" s="32"/>
      <x:c r="F175" s="32"/>
      <x:c r="G175" s="32"/>
      <x:c r="H175" s="32"/>
      <x:c r="I175" s="32"/>
      <x:c r="J175" s="32"/>
      <x:c r="K175" s="32"/>
      <x:c r="L175" s="32"/>
      <x:c r="M175" s="32"/>
      <x:c r="N175" s="32"/>
      <x:c r="O175" s="32"/>
      <x:c r="P175" s="32"/>
      <x:c r="Q175" s="32"/>
      <x:c r="R175" s="32"/>
      <x:c r="S175" s="32"/>
      <x:c r="T175" s="43" t="str">
        <x:f>IFERROR(S175/L175,"")</x:f>
      </x:c>
      <x:c r="U175" s="32"/>
      <x:c r="V175" s="32"/>
      <x:c r="W175" s="32"/>
      <x:c r="X175" s="32"/>
      <x:c r="Y175" s="32"/>
      <x:c r="Z175" s="32"/>
      <x:c r="AA175" s="32"/>
      <x:c r="AB175" s="32"/>
      <x:c r="AC175" s="32"/>
      <x:c r="AD175" s="32"/>
      <x:c r="AE175" s="32"/>
      <x:c r="AF175" s="32"/>
      <x:c r="AG175" s="32"/>
      <x:c r="AH175" s="32"/>
      <x:c r="AI175" s="32"/>
      <x:c r="AJ175" s="32"/>
      <x:c r="AK175" s="32"/>
      <x:c r="AL175" s="32"/>
      <x:c r="AM175" s="32"/>
      <x:c r="AN175" s="32"/>
      <x:c r="AO175" s="32"/>
      <x:c r="AP175" s="32"/>
      <x:c r="AQ175" s="32"/>
      <x:c r="AR175" s="32"/>
      <x:c r="AS175" s="32"/>
      <x:c r="AT175" s="32"/>
      <x:c r="AU175" s="32"/>
      <x:c r="AV175" s="32"/>
      <x:c r="AW175" s="32"/>
      <x:c r="AX175" s="32"/>
      <x:c r="AZ175" s="32"/>
      <x:c r="BA175" s="32"/>
      <x:c r="BB175" s="32"/>
      <x:c r="BC175" s="32"/>
      <x:c r="BD175" s="32"/>
      <x:c r="BE175" s="32"/>
      <x:c r="BF175" s="32"/>
      <x:c r="BG175" s="32"/>
      <x:c r="BH175" s="32"/>
      <x:c r="BI175" s="32"/>
      <x:c r="BJ175" s="32"/>
      <x:c r="BK175" s="32"/>
      <x:c r="BL175" s="32"/>
      <x:c r="BM175" s="32"/>
    </x:row>
    <x:row r="176">
      <x:c r="A176" s="32"/>
      <x:c r="B176" s="32"/>
      <x:c r="C176" s="42"/>
      <x:c r="D176" s="32"/>
      <x:c r="E176" s="32"/>
      <x:c r="F176" s="32"/>
      <x:c r="G176" s="32"/>
      <x:c r="H176" s="32"/>
      <x:c r="I176" s="32"/>
      <x:c r="J176" s="32"/>
      <x:c r="K176" s="32"/>
      <x:c r="L176" s="32"/>
      <x:c r="M176" s="32"/>
      <x:c r="N176" s="32"/>
      <x:c r="O176" s="32"/>
      <x:c r="P176" s="32"/>
      <x:c r="Q176" s="32"/>
      <x:c r="R176" s="32"/>
      <x:c r="S176" s="32"/>
      <x:c r="T176" s="43" t="str">
        <x:f>IFERROR(S176/L176,"")</x:f>
      </x:c>
      <x:c r="U176" s="32"/>
      <x:c r="V176" s="32"/>
      <x:c r="W176" s="32"/>
      <x:c r="X176" s="32"/>
      <x:c r="Y176" s="32"/>
      <x:c r="Z176" s="32"/>
      <x:c r="AA176" s="32"/>
      <x:c r="AB176" s="32"/>
      <x:c r="AC176" s="32"/>
      <x:c r="AD176" s="32"/>
      <x:c r="AE176" s="32"/>
      <x:c r="AF176" s="32"/>
      <x:c r="AG176" s="32"/>
      <x:c r="AH176" s="32"/>
      <x:c r="AI176" s="32"/>
      <x:c r="AJ176" s="32"/>
      <x:c r="AK176" s="32"/>
      <x:c r="AL176" s="32"/>
      <x:c r="AM176" s="32"/>
      <x:c r="AN176" s="32"/>
      <x:c r="AO176" s="32"/>
      <x:c r="AP176" s="32"/>
      <x:c r="AQ176" s="32"/>
      <x:c r="AR176" s="32"/>
      <x:c r="AS176" s="32"/>
      <x:c r="AT176" s="32"/>
      <x:c r="AU176" s="32"/>
      <x:c r="AV176" s="32"/>
      <x:c r="AW176" s="32"/>
      <x:c r="AX176" s="32"/>
      <x:c r="AZ176" s="32"/>
      <x:c r="BA176" s="32"/>
      <x:c r="BB176" s="32"/>
      <x:c r="BC176" s="32"/>
      <x:c r="BD176" s="32"/>
      <x:c r="BE176" s="32"/>
      <x:c r="BF176" s="32"/>
      <x:c r="BG176" s="32"/>
      <x:c r="BH176" s="32"/>
      <x:c r="BI176" s="32"/>
      <x:c r="BJ176" s="32"/>
      <x:c r="BK176" s="32"/>
      <x:c r="BL176" s="32"/>
      <x:c r="BM176" s="32"/>
    </x:row>
    <x:row r="177">
      <x:c r="A177" s="32"/>
      <x:c r="B177" s="32"/>
      <x:c r="C177" s="42"/>
      <x:c r="D177" s="32"/>
      <x:c r="E177" s="32"/>
      <x:c r="F177" s="32"/>
      <x:c r="G177" s="32"/>
      <x:c r="H177" s="32"/>
      <x:c r="I177" s="32"/>
      <x:c r="J177" s="32"/>
      <x:c r="K177" s="32"/>
      <x:c r="L177" s="32"/>
      <x:c r="M177" s="32"/>
      <x:c r="N177" s="32"/>
      <x:c r="O177" s="32"/>
      <x:c r="P177" s="32"/>
      <x:c r="Q177" s="32"/>
      <x:c r="R177" s="32"/>
      <x:c r="S177" s="32"/>
      <x:c r="T177" s="43" t="str">
        <x:f>IFERROR(S177/L177,"")</x:f>
      </x:c>
      <x:c r="U177" s="32"/>
      <x:c r="V177" s="32"/>
      <x:c r="W177" s="32"/>
      <x:c r="X177" s="32"/>
      <x:c r="Y177" s="32"/>
      <x:c r="Z177" s="32"/>
      <x:c r="AA177" s="32"/>
      <x:c r="AB177" s="32"/>
      <x:c r="AC177" s="32"/>
      <x:c r="AD177" s="32"/>
      <x:c r="AE177" s="32"/>
      <x:c r="AF177" s="32"/>
      <x:c r="AG177" s="32"/>
      <x:c r="AH177" s="32"/>
      <x:c r="AI177" s="32"/>
      <x:c r="AJ177" s="32"/>
      <x:c r="AK177" s="32"/>
      <x:c r="AL177" s="32"/>
      <x:c r="AM177" s="32"/>
      <x:c r="AN177" s="32"/>
      <x:c r="AO177" s="32"/>
      <x:c r="AP177" s="32"/>
      <x:c r="AQ177" s="32"/>
      <x:c r="AR177" s="32"/>
      <x:c r="AS177" s="32"/>
      <x:c r="AT177" s="32"/>
      <x:c r="AU177" s="32"/>
      <x:c r="AV177" s="32"/>
      <x:c r="AW177" s="32"/>
      <x:c r="AX177" s="32"/>
      <x:c r="AZ177" s="32"/>
      <x:c r="BA177" s="32"/>
      <x:c r="BB177" s="32"/>
      <x:c r="BC177" s="32"/>
      <x:c r="BD177" s="32"/>
      <x:c r="BE177" s="32"/>
      <x:c r="BF177" s="32"/>
      <x:c r="BG177" s="32"/>
      <x:c r="BH177" s="32"/>
      <x:c r="BI177" s="32"/>
      <x:c r="BJ177" s="32"/>
      <x:c r="BK177" s="32"/>
      <x:c r="BL177" s="32"/>
      <x:c r="BM177" s="32"/>
    </x:row>
    <x:row r="178">
      <x:c r="A178" s="32"/>
      <x:c r="B178" s="32"/>
      <x:c r="C178" s="42"/>
      <x:c r="D178" s="32"/>
      <x:c r="E178" s="32"/>
      <x:c r="F178" s="32"/>
      <x:c r="G178" s="32"/>
      <x:c r="H178" s="32"/>
      <x:c r="I178" s="32"/>
      <x:c r="J178" s="32"/>
      <x:c r="K178" s="32"/>
      <x:c r="L178" s="32"/>
      <x:c r="M178" s="32"/>
      <x:c r="N178" s="32"/>
      <x:c r="O178" s="32"/>
      <x:c r="P178" s="32"/>
      <x:c r="Q178" s="32"/>
      <x:c r="R178" s="32"/>
      <x:c r="S178" s="32"/>
      <x:c r="T178" s="43" t="str">
        <x:f>IFERROR(S178/L178,"")</x:f>
      </x:c>
      <x:c r="U178" s="32"/>
      <x:c r="V178" s="32"/>
      <x:c r="W178" s="32"/>
      <x:c r="X178" s="32"/>
      <x:c r="Y178" s="32"/>
      <x:c r="Z178" s="32"/>
      <x:c r="AA178" s="32"/>
      <x:c r="AB178" s="32"/>
      <x:c r="AC178" s="32"/>
      <x:c r="AD178" s="32"/>
      <x:c r="AE178" s="32"/>
      <x:c r="AF178" s="32"/>
      <x:c r="AG178" s="32"/>
      <x:c r="AH178" s="32"/>
      <x:c r="AI178" s="32"/>
      <x:c r="AJ178" s="32"/>
      <x:c r="AK178" s="32"/>
      <x:c r="AL178" s="32"/>
      <x:c r="AM178" s="32"/>
      <x:c r="AN178" s="32"/>
      <x:c r="AO178" s="32"/>
      <x:c r="AP178" s="32"/>
      <x:c r="AQ178" s="32"/>
      <x:c r="AR178" s="32"/>
      <x:c r="AS178" s="32"/>
      <x:c r="AT178" s="32"/>
      <x:c r="AU178" s="32"/>
      <x:c r="AV178" s="32"/>
      <x:c r="AW178" s="32"/>
      <x:c r="AX178" s="32"/>
      <x:c r="AZ178" s="32"/>
      <x:c r="BA178" s="32"/>
      <x:c r="BB178" s="32"/>
      <x:c r="BC178" s="32"/>
      <x:c r="BD178" s="32"/>
      <x:c r="BE178" s="32"/>
      <x:c r="BF178" s="32"/>
      <x:c r="BG178" s="32"/>
      <x:c r="BH178" s="32"/>
      <x:c r="BI178" s="32"/>
      <x:c r="BJ178" s="32"/>
      <x:c r="BK178" s="32"/>
      <x:c r="BL178" s="32"/>
      <x:c r="BM178" s="32"/>
    </x:row>
    <x:row r="179">
      <x:c r="A179" s="32"/>
      <x:c r="B179" s="32"/>
      <x:c r="C179" s="42"/>
      <x:c r="D179" s="32"/>
      <x:c r="E179" s="32"/>
      <x:c r="F179" s="32"/>
      <x:c r="G179" s="32"/>
      <x:c r="H179" s="32"/>
      <x:c r="I179" s="32"/>
      <x:c r="J179" s="32"/>
      <x:c r="K179" s="32"/>
      <x:c r="L179" s="32"/>
      <x:c r="M179" s="32"/>
      <x:c r="N179" s="32"/>
      <x:c r="O179" s="32"/>
      <x:c r="P179" s="32"/>
      <x:c r="Q179" s="32"/>
      <x:c r="R179" s="32"/>
      <x:c r="S179" s="32"/>
      <x:c r="T179" s="43" t="str">
        <x:f>IFERROR(S179/L179,"")</x:f>
      </x:c>
      <x:c r="U179" s="32"/>
      <x:c r="V179" s="32"/>
      <x:c r="W179" s="32"/>
      <x:c r="X179" s="32"/>
      <x:c r="Y179" s="32"/>
      <x:c r="Z179" s="32"/>
      <x:c r="AA179" s="32"/>
      <x:c r="AB179" s="32"/>
      <x:c r="AC179" s="32"/>
      <x:c r="AD179" s="32"/>
      <x:c r="AE179" s="32"/>
      <x:c r="AF179" s="32"/>
      <x:c r="AG179" s="32"/>
      <x:c r="AH179" s="32"/>
      <x:c r="AI179" s="32"/>
      <x:c r="AJ179" s="32"/>
      <x:c r="AK179" s="32"/>
      <x:c r="AL179" s="32"/>
      <x:c r="AM179" s="32"/>
      <x:c r="AN179" s="32"/>
      <x:c r="AO179" s="32"/>
      <x:c r="AP179" s="32"/>
      <x:c r="AQ179" s="32"/>
      <x:c r="AR179" s="32"/>
      <x:c r="AS179" s="32"/>
      <x:c r="AT179" s="32"/>
      <x:c r="AU179" s="32"/>
      <x:c r="AV179" s="32"/>
      <x:c r="AW179" s="32"/>
      <x:c r="AX179" s="32"/>
      <x:c r="AZ179" s="32"/>
      <x:c r="BA179" s="32"/>
      <x:c r="BB179" s="32"/>
      <x:c r="BC179" s="32"/>
      <x:c r="BD179" s="32"/>
      <x:c r="BE179" s="32"/>
      <x:c r="BF179" s="32"/>
      <x:c r="BG179" s="32"/>
      <x:c r="BH179" s="32"/>
      <x:c r="BI179" s="32"/>
      <x:c r="BJ179" s="32"/>
      <x:c r="BK179" s="32"/>
      <x:c r="BL179" s="32"/>
      <x:c r="BM179" s="32"/>
    </x:row>
    <x:row r="180">
      <x:c r="A180" s="32"/>
      <x:c r="B180" s="32"/>
      <x:c r="C180" s="42"/>
      <x:c r="D180" s="32"/>
      <x:c r="E180" s="32"/>
      <x:c r="F180" s="32"/>
      <x:c r="G180" s="32"/>
      <x:c r="H180" s="32"/>
      <x:c r="I180" s="32"/>
      <x:c r="J180" s="32"/>
      <x:c r="K180" s="32"/>
      <x:c r="L180" s="32"/>
      <x:c r="M180" s="32"/>
      <x:c r="N180" s="32"/>
      <x:c r="O180" s="32"/>
      <x:c r="P180" s="32"/>
      <x:c r="Q180" s="32"/>
      <x:c r="R180" s="32"/>
      <x:c r="S180" s="32"/>
      <x:c r="T180" s="43" t="str">
        <x:f>IFERROR(S180/L180,"")</x:f>
      </x:c>
      <x:c r="U180" s="32"/>
      <x:c r="V180" s="32"/>
      <x:c r="W180" s="32"/>
      <x:c r="X180" s="32"/>
      <x:c r="Y180" s="32"/>
      <x:c r="Z180" s="32"/>
      <x:c r="AA180" s="32"/>
      <x:c r="AB180" s="32"/>
      <x:c r="AC180" s="32"/>
      <x:c r="AD180" s="32"/>
      <x:c r="AE180" s="32"/>
      <x:c r="AF180" s="32"/>
      <x:c r="AG180" s="32"/>
      <x:c r="AH180" s="32"/>
      <x:c r="AI180" s="32"/>
      <x:c r="AJ180" s="32"/>
      <x:c r="AK180" s="32"/>
      <x:c r="AL180" s="32"/>
      <x:c r="AM180" s="32"/>
      <x:c r="AN180" s="32"/>
      <x:c r="AO180" s="32"/>
      <x:c r="AP180" s="32"/>
      <x:c r="AQ180" s="32"/>
      <x:c r="AR180" s="32"/>
      <x:c r="AS180" s="32"/>
      <x:c r="AT180" s="32"/>
      <x:c r="AU180" s="32"/>
      <x:c r="AV180" s="32"/>
      <x:c r="AW180" s="32"/>
      <x:c r="AX180" s="32"/>
      <x:c r="AZ180" s="32"/>
      <x:c r="BA180" s="32"/>
      <x:c r="BB180" s="32"/>
      <x:c r="BC180" s="32"/>
      <x:c r="BD180" s="32"/>
      <x:c r="BE180" s="32"/>
      <x:c r="BF180" s="32"/>
      <x:c r="BG180" s="32"/>
      <x:c r="BH180" s="32"/>
      <x:c r="BI180" s="32"/>
      <x:c r="BJ180" s="32"/>
      <x:c r="BK180" s="32"/>
      <x:c r="BL180" s="32"/>
      <x:c r="BM180" s="32"/>
    </x:row>
    <x:row r="181">
      <x:c r="A181" s="32"/>
      <x:c r="B181" s="32"/>
      <x:c r="C181" s="42"/>
      <x:c r="D181" s="32"/>
      <x:c r="E181" s="32"/>
      <x:c r="F181" s="32"/>
      <x:c r="G181" s="32"/>
      <x:c r="H181" s="32"/>
      <x:c r="I181" s="32"/>
      <x:c r="J181" s="32"/>
      <x:c r="K181" s="32"/>
      <x:c r="L181" s="32"/>
      <x:c r="M181" s="32"/>
      <x:c r="N181" s="32"/>
      <x:c r="O181" s="32"/>
      <x:c r="P181" s="32"/>
      <x:c r="Q181" s="32"/>
      <x:c r="R181" s="32"/>
      <x:c r="S181" s="32"/>
      <x:c r="T181" s="43" t="str">
        <x:f>IFERROR(S181/L181,"")</x:f>
      </x:c>
      <x:c r="U181" s="32"/>
      <x:c r="V181" s="32"/>
      <x:c r="W181" s="32"/>
      <x:c r="X181" s="32"/>
      <x:c r="Y181" s="32"/>
      <x:c r="Z181" s="32"/>
      <x:c r="AA181" s="32"/>
      <x:c r="AB181" s="32"/>
      <x:c r="AC181" s="32"/>
      <x:c r="AD181" s="32"/>
      <x:c r="AE181" s="32"/>
      <x:c r="AF181" s="32"/>
      <x:c r="AG181" s="32"/>
      <x:c r="AH181" s="32"/>
      <x:c r="AI181" s="32"/>
      <x:c r="AJ181" s="32"/>
      <x:c r="AK181" s="32"/>
      <x:c r="AL181" s="32"/>
      <x:c r="AM181" s="32"/>
      <x:c r="AN181" s="32"/>
      <x:c r="AO181" s="32"/>
      <x:c r="AP181" s="32"/>
      <x:c r="AQ181" s="32"/>
      <x:c r="AR181" s="32"/>
      <x:c r="AS181" s="32"/>
      <x:c r="AT181" s="32"/>
      <x:c r="AU181" s="32"/>
      <x:c r="AV181" s="32"/>
      <x:c r="AW181" s="32"/>
      <x:c r="AX181" s="32"/>
      <x:c r="AZ181" s="32"/>
      <x:c r="BA181" s="32"/>
      <x:c r="BB181" s="32"/>
      <x:c r="BC181" s="32"/>
      <x:c r="BD181" s="32"/>
      <x:c r="BE181" s="32"/>
      <x:c r="BF181" s="32"/>
      <x:c r="BG181" s="32"/>
      <x:c r="BH181" s="32"/>
      <x:c r="BI181" s="32"/>
      <x:c r="BJ181" s="32"/>
      <x:c r="BK181" s="32"/>
      <x:c r="BL181" s="32"/>
      <x:c r="BM181" s="32"/>
    </x:row>
    <x:row r="182">
      <x:c r="A182" s="32"/>
      <x:c r="B182" s="32"/>
      <x:c r="C182" s="42"/>
      <x:c r="D182" s="32"/>
      <x:c r="E182" s="32"/>
      <x:c r="F182" s="32"/>
      <x:c r="G182" s="32"/>
      <x:c r="H182" s="32"/>
      <x:c r="I182" s="32"/>
      <x:c r="J182" s="32"/>
      <x:c r="K182" s="32"/>
      <x:c r="L182" s="32"/>
      <x:c r="M182" s="32"/>
      <x:c r="N182" s="32"/>
      <x:c r="O182" s="32"/>
      <x:c r="P182" s="32"/>
      <x:c r="Q182" s="32"/>
      <x:c r="R182" s="32"/>
      <x:c r="S182" s="32"/>
      <x:c r="T182" s="43" t="str">
        <x:f>IFERROR(S182/L182,"")</x:f>
      </x:c>
      <x:c r="U182" s="32"/>
      <x:c r="V182" s="32"/>
      <x:c r="W182" s="32"/>
      <x:c r="X182" s="32"/>
      <x:c r="Y182" s="32"/>
      <x:c r="Z182" s="32"/>
      <x:c r="AA182" s="32"/>
      <x:c r="AB182" s="32"/>
      <x:c r="AC182" s="32"/>
      <x:c r="AD182" s="32"/>
      <x:c r="AE182" s="32"/>
      <x:c r="AF182" s="32"/>
      <x:c r="AG182" s="32"/>
      <x:c r="AH182" s="32"/>
      <x:c r="AI182" s="32"/>
      <x:c r="AJ182" s="32"/>
      <x:c r="AK182" s="32"/>
      <x:c r="AL182" s="32"/>
      <x:c r="AM182" s="32"/>
      <x:c r="AN182" s="32"/>
      <x:c r="AO182" s="32"/>
      <x:c r="AP182" s="32"/>
      <x:c r="AQ182" s="32"/>
      <x:c r="AR182" s="32"/>
      <x:c r="AS182" s="32"/>
      <x:c r="AT182" s="32"/>
      <x:c r="AU182" s="32"/>
      <x:c r="AV182" s="32"/>
      <x:c r="AW182" s="32"/>
      <x:c r="AX182" s="32"/>
      <x:c r="AZ182" s="32"/>
      <x:c r="BA182" s="32"/>
      <x:c r="BB182" s="32"/>
      <x:c r="BC182" s="32"/>
      <x:c r="BD182" s="32"/>
      <x:c r="BE182" s="32"/>
      <x:c r="BF182" s="32"/>
      <x:c r="BG182" s="32"/>
      <x:c r="BH182" s="32"/>
      <x:c r="BI182" s="32"/>
      <x:c r="BJ182" s="32"/>
      <x:c r="BK182" s="32"/>
      <x:c r="BL182" s="32"/>
      <x:c r="BM182" s="32"/>
    </x:row>
    <x:row r="183">
      <x:c r="A183" s="32"/>
      <x:c r="B183" s="32"/>
      <x:c r="C183" s="42"/>
      <x:c r="D183" s="32"/>
      <x:c r="E183" s="32"/>
      <x:c r="F183" s="32"/>
      <x:c r="G183" s="32"/>
      <x:c r="H183" s="32"/>
      <x:c r="I183" s="32"/>
      <x:c r="J183" s="32"/>
      <x:c r="K183" s="32"/>
      <x:c r="L183" s="32"/>
      <x:c r="M183" s="32"/>
      <x:c r="N183" s="32"/>
      <x:c r="O183" s="32"/>
      <x:c r="P183" s="32"/>
      <x:c r="Q183" s="32"/>
      <x:c r="R183" s="32"/>
      <x:c r="S183" s="32"/>
      <x:c r="T183" s="43" t="str">
        <x:f>IFERROR(S183/L183,"")</x:f>
      </x:c>
      <x:c r="U183" s="32"/>
      <x:c r="V183" s="32"/>
      <x:c r="W183" s="32"/>
      <x:c r="X183" s="32"/>
      <x:c r="Y183" s="32"/>
      <x:c r="Z183" s="32"/>
      <x:c r="AA183" s="32"/>
      <x:c r="AB183" s="32"/>
      <x:c r="AC183" s="32"/>
      <x:c r="AD183" s="32"/>
      <x:c r="AE183" s="32"/>
      <x:c r="AF183" s="32"/>
      <x:c r="AG183" s="32"/>
      <x:c r="AH183" s="32"/>
      <x:c r="AI183" s="32"/>
      <x:c r="AJ183" s="32"/>
      <x:c r="AK183" s="32"/>
      <x:c r="AL183" s="32"/>
      <x:c r="AM183" s="32"/>
      <x:c r="AN183" s="32"/>
      <x:c r="AO183" s="32"/>
      <x:c r="AP183" s="32"/>
      <x:c r="AQ183" s="32"/>
      <x:c r="AR183" s="32"/>
      <x:c r="AS183" s="32"/>
      <x:c r="AT183" s="32"/>
      <x:c r="AU183" s="32"/>
      <x:c r="AV183" s="32"/>
      <x:c r="AW183" s="32"/>
      <x:c r="AX183" s="32"/>
      <x:c r="AZ183" s="32"/>
      <x:c r="BA183" s="32"/>
      <x:c r="BB183" s="32"/>
      <x:c r="BC183" s="32"/>
      <x:c r="BD183" s="32"/>
      <x:c r="BE183" s="32"/>
      <x:c r="BF183" s="32"/>
      <x:c r="BG183" s="32"/>
      <x:c r="BH183" s="32"/>
      <x:c r="BI183" s="32"/>
      <x:c r="BJ183" s="32"/>
      <x:c r="BK183" s="32"/>
      <x:c r="BL183" s="32"/>
      <x:c r="BM183" s="32"/>
    </x:row>
    <x:row r="184">
      <x:c r="A184" s="32"/>
      <x:c r="B184" s="32"/>
      <x:c r="C184" s="42"/>
      <x:c r="D184" s="32"/>
      <x:c r="E184" s="32"/>
      <x:c r="F184" s="32"/>
      <x:c r="G184" s="32"/>
      <x:c r="H184" s="32"/>
      <x:c r="I184" s="32"/>
      <x:c r="J184" s="32"/>
      <x:c r="K184" s="32"/>
      <x:c r="L184" s="32"/>
      <x:c r="M184" s="32"/>
      <x:c r="N184" s="32"/>
      <x:c r="O184" s="32"/>
      <x:c r="P184" s="32"/>
      <x:c r="Q184" s="32"/>
      <x:c r="R184" s="32"/>
      <x:c r="S184" s="32"/>
      <x:c r="T184" s="43" t="str">
        <x:f>IFERROR(S184/L184,"")</x:f>
      </x:c>
      <x:c r="U184" s="32"/>
      <x:c r="V184" s="32"/>
      <x:c r="W184" s="32"/>
      <x:c r="X184" s="32"/>
      <x:c r="Y184" s="32"/>
      <x:c r="Z184" s="32"/>
      <x:c r="AA184" s="32"/>
      <x:c r="AB184" s="32"/>
      <x:c r="AC184" s="32"/>
      <x:c r="AD184" s="32"/>
      <x:c r="AE184" s="32"/>
      <x:c r="AF184" s="32"/>
      <x:c r="AG184" s="32"/>
      <x:c r="AH184" s="32"/>
      <x:c r="AI184" s="32"/>
      <x:c r="AJ184" s="32"/>
      <x:c r="AK184" s="32"/>
      <x:c r="AL184" s="32"/>
      <x:c r="AM184" s="32"/>
      <x:c r="AN184" s="32"/>
      <x:c r="AO184" s="32"/>
      <x:c r="AP184" s="32"/>
      <x:c r="AQ184" s="32"/>
      <x:c r="AR184" s="32"/>
      <x:c r="AS184" s="32"/>
      <x:c r="AT184" s="32"/>
      <x:c r="AU184" s="32"/>
      <x:c r="AV184" s="32"/>
      <x:c r="AW184" s="32"/>
      <x:c r="AX184" s="32"/>
      <x:c r="AZ184" s="32"/>
      <x:c r="BA184" s="32"/>
      <x:c r="BB184" s="32"/>
      <x:c r="BC184" s="32"/>
      <x:c r="BD184" s="32"/>
      <x:c r="BE184" s="32"/>
      <x:c r="BF184" s="32"/>
      <x:c r="BG184" s="32"/>
      <x:c r="BH184" s="32"/>
      <x:c r="BI184" s="32"/>
      <x:c r="BJ184" s="32"/>
      <x:c r="BK184" s="32"/>
      <x:c r="BL184" s="32"/>
      <x:c r="BM184" s="32"/>
    </x:row>
    <x:row r="185">
      <x:c r="A185" s="32"/>
      <x:c r="B185" s="32"/>
      <x:c r="C185" s="42"/>
      <x:c r="D185" s="32"/>
      <x:c r="E185" s="32"/>
      <x:c r="F185" s="32"/>
      <x:c r="G185" s="32"/>
      <x:c r="H185" s="32"/>
      <x:c r="I185" s="32"/>
      <x:c r="J185" s="32"/>
      <x:c r="K185" s="32"/>
      <x:c r="L185" s="32"/>
      <x:c r="M185" s="32"/>
      <x:c r="N185" s="32"/>
      <x:c r="O185" s="32"/>
      <x:c r="P185" s="32"/>
      <x:c r="Q185" s="32"/>
      <x:c r="R185" s="32"/>
      <x:c r="S185" s="32"/>
      <x:c r="T185" s="43" t="str">
        <x:f>IFERROR(S185/L185,"")</x:f>
      </x:c>
      <x:c r="U185" s="32"/>
      <x:c r="V185" s="32"/>
      <x:c r="W185" s="32"/>
      <x:c r="X185" s="32"/>
      <x:c r="Y185" s="32"/>
      <x:c r="Z185" s="32"/>
      <x:c r="AA185" s="32"/>
      <x:c r="AB185" s="32"/>
      <x:c r="AC185" s="32"/>
      <x:c r="AD185" s="32"/>
      <x:c r="AE185" s="32"/>
      <x:c r="AF185" s="32"/>
      <x:c r="AG185" s="32"/>
      <x:c r="AH185" s="32"/>
      <x:c r="AI185" s="32"/>
      <x:c r="AJ185" s="32"/>
      <x:c r="AK185" s="32"/>
      <x:c r="AL185" s="32"/>
      <x:c r="AM185" s="32"/>
      <x:c r="AN185" s="32"/>
      <x:c r="AO185" s="32"/>
      <x:c r="AP185" s="32"/>
      <x:c r="AQ185" s="32"/>
      <x:c r="AR185" s="32"/>
      <x:c r="AS185" s="32"/>
      <x:c r="AT185" s="32"/>
      <x:c r="AU185" s="32"/>
      <x:c r="AV185" s="32"/>
      <x:c r="AW185" s="32"/>
      <x:c r="AX185" s="32"/>
      <x:c r="AZ185" s="32"/>
      <x:c r="BA185" s="32"/>
      <x:c r="BB185" s="32"/>
      <x:c r="BC185" s="32"/>
      <x:c r="BD185" s="32"/>
      <x:c r="BE185" s="32"/>
      <x:c r="BF185" s="32"/>
      <x:c r="BG185" s="32"/>
      <x:c r="BH185" s="32"/>
      <x:c r="BI185" s="32"/>
      <x:c r="BJ185" s="32"/>
      <x:c r="BK185" s="32"/>
      <x:c r="BL185" s="32"/>
      <x:c r="BM185" s="32"/>
    </x:row>
    <x:row r="186">
      <x:c r="A186" s="32"/>
      <x:c r="B186" s="32"/>
      <x:c r="C186" s="42"/>
      <x:c r="D186" s="32"/>
      <x:c r="E186" s="32"/>
      <x:c r="F186" s="32"/>
      <x:c r="G186" s="32"/>
      <x:c r="H186" s="32"/>
      <x:c r="I186" s="32"/>
      <x:c r="J186" s="32"/>
      <x:c r="K186" s="32"/>
      <x:c r="L186" s="32"/>
      <x:c r="M186" s="32"/>
      <x:c r="N186" s="32"/>
      <x:c r="O186" s="32"/>
      <x:c r="P186" s="32"/>
      <x:c r="Q186" s="32"/>
      <x:c r="R186" s="32"/>
      <x:c r="S186" s="32"/>
      <x:c r="T186" s="43" t="str">
        <x:f>IFERROR(S186/L186,"")</x:f>
      </x:c>
      <x:c r="U186" s="32"/>
      <x:c r="V186" s="32"/>
      <x:c r="W186" s="32"/>
      <x:c r="X186" s="32"/>
      <x:c r="Y186" s="32"/>
      <x:c r="Z186" s="32"/>
      <x:c r="AA186" s="32"/>
      <x:c r="AB186" s="32"/>
      <x:c r="AC186" s="32"/>
      <x:c r="AD186" s="32"/>
      <x:c r="AE186" s="32"/>
      <x:c r="AF186" s="32"/>
      <x:c r="AG186" s="32"/>
      <x:c r="AH186" s="32"/>
      <x:c r="AI186" s="32"/>
      <x:c r="AJ186" s="32"/>
      <x:c r="AK186" s="32"/>
      <x:c r="AL186" s="32"/>
      <x:c r="AM186" s="32"/>
      <x:c r="AN186" s="32"/>
      <x:c r="AO186" s="32"/>
      <x:c r="AP186" s="32"/>
      <x:c r="AQ186" s="32"/>
      <x:c r="AR186" s="32"/>
      <x:c r="AS186" s="32"/>
      <x:c r="AT186" s="32"/>
      <x:c r="AU186" s="32"/>
      <x:c r="AV186" s="32"/>
      <x:c r="AW186" s="32"/>
      <x:c r="AX186" s="32"/>
      <x:c r="AZ186" s="32"/>
      <x:c r="BA186" s="32"/>
      <x:c r="BB186" s="32"/>
      <x:c r="BC186" s="32"/>
      <x:c r="BD186" s="32"/>
      <x:c r="BE186" s="32"/>
      <x:c r="BF186" s="32"/>
      <x:c r="BG186" s="32"/>
      <x:c r="BH186" s="32"/>
      <x:c r="BI186" s="32"/>
      <x:c r="BJ186" s="32"/>
      <x:c r="BK186" s="32"/>
      <x:c r="BL186" s="32"/>
      <x:c r="BM186" s="32"/>
    </x:row>
    <x:row r="187">
      <x:c r="A187" s="32"/>
      <x:c r="B187" s="32"/>
      <x:c r="C187" s="42"/>
      <x:c r="D187" s="32"/>
      <x:c r="E187" s="32"/>
      <x:c r="F187" s="32"/>
      <x:c r="G187" s="32"/>
      <x:c r="H187" s="32"/>
      <x:c r="I187" s="32"/>
      <x:c r="J187" s="32"/>
      <x:c r="K187" s="32"/>
      <x:c r="L187" s="32"/>
      <x:c r="M187" s="32"/>
      <x:c r="N187" s="32"/>
      <x:c r="O187" s="32"/>
      <x:c r="P187" s="32"/>
      <x:c r="Q187" s="32"/>
      <x:c r="R187" s="32"/>
      <x:c r="S187" s="32"/>
      <x:c r="T187" s="43" t="str">
        <x:f>IFERROR(S187/L187,"")</x:f>
      </x:c>
      <x:c r="U187" s="32"/>
      <x:c r="V187" s="32"/>
      <x:c r="W187" s="32"/>
      <x:c r="X187" s="32"/>
      <x:c r="Y187" s="32"/>
      <x:c r="Z187" s="32"/>
      <x:c r="AA187" s="32"/>
      <x:c r="AB187" s="32"/>
      <x:c r="AC187" s="32"/>
      <x:c r="AD187" s="32"/>
      <x:c r="AE187" s="32"/>
      <x:c r="AF187" s="32"/>
      <x:c r="AG187" s="32"/>
      <x:c r="AH187" s="32"/>
      <x:c r="AI187" s="32"/>
      <x:c r="AJ187" s="32"/>
      <x:c r="AK187" s="32"/>
      <x:c r="AL187" s="32"/>
      <x:c r="AM187" s="32"/>
      <x:c r="AN187" s="32"/>
      <x:c r="AO187" s="32"/>
      <x:c r="AP187" s="32"/>
      <x:c r="AQ187" s="32"/>
      <x:c r="AR187" s="32"/>
      <x:c r="AS187" s="32"/>
      <x:c r="AT187" s="32"/>
      <x:c r="AU187" s="32"/>
      <x:c r="AV187" s="32"/>
      <x:c r="AW187" s="32"/>
      <x:c r="AX187" s="32"/>
      <x:c r="AZ187" s="32"/>
      <x:c r="BA187" s="32"/>
      <x:c r="BB187" s="32"/>
      <x:c r="BC187" s="32"/>
      <x:c r="BD187" s="32"/>
      <x:c r="BE187" s="32"/>
      <x:c r="BF187" s="32"/>
      <x:c r="BG187" s="32"/>
      <x:c r="BH187" s="32"/>
      <x:c r="BI187" s="32"/>
      <x:c r="BJ187" s="32"/>
      <x:c r="BK187" s="32"/>
      <x:c r="BL187" s="32"/>
      <x:c r="BM187" s="32"/>
    </x:row>
    <x:row r="188">
      <x:c r="A188" s="32"/>
      <x:c r="B188" s="32"/>
      <x:c r="C188" s="42"/>
      <x:c r="D188" s="32"/>
      <x:c r="E188" s="32"/>
      <x:c r="F188" s="32"/>
      <x:c r="G188" s="32"/>
      <x:c r="H188" s="32"/>
      <x:c r="I188" s="32"/>
      <x:c r="J188" s="32"/>
      <x:c r="K188" s="32"/>
      <x:c r="L188" s="32"/>
      <x:c r="M188" s="32"/>
      <x:c r="N188" s="32"/>
      <x:c r="O188" s="32"/>
      <x:c r="P188" s="32"/>
      <x:c r="Q188" s="32"/>
      <x:c r="R188" s="32"/>
      <x:c r="S188" s="32"/>
      <x:c r="T188" s="43" t="str">
        <x:f>IFERROR(S188/L188,"")</x:f>
      </x:c>
      <x:c r="U188" s="32"/>
      <x:c r="V188" s="32"/>
      <x:c r="W188" s="32"/>
      <x:c r="X188" s="32"/>
      <x:c r="Y188" s="32"/>
      <x:c r="Z188" s="32"/>
      <x:c r="AA188" s="32"/>
      <x:c r="AB188" s="32"/>
      <x:c r="AC188" s="32"/>
      <x:c r="AD188" s="32"/>
      <x:c r="AE188" s="32"/>
      <x:c r="AF188" s="32"/>
      <x:c r="AG188" s="32"/>
      <x:c r="AH188" s="32"/>
      <x:c r="AI188" s="32"/>
      <x:c r="AJ188" s="32"/>
      <x:c r="AK188" s="32"/>
      <x:c r="AL188" s="32"/>
      <x:c r="AM188" s="32"/>
      <x:c r="AN188" s="32"/>
      <x:c r="AO188" s="32"/>
      <x:c r="AP188" s="32"/>
      <x:c r="AQ188" s="32"/>
      <x:c r="AR188" s="32"/>
      <x:c r="AS188" s="32"/>
      <x:c r="AT188" s="32"/>
      <x:c r="AU188" s="32"/>
      <x:c r="AV188" s="32"/>
      <x:c r="AW188" s="32"/>
      <x:c r="AX188" s="32"/>
      <x:c r="AZ188" s="32"/>
      <x:c r="BA188" s="32"/>
      <x:c r="BB188" s="32"/>
      <x:c r="BC188" s="32"/>
      <x:c r="BD188" s="32"/>
      <x:c r="BE188" s="32"/>
      <x:c r="BF188" s="32"/>
      <x:c r="BG188" s="32"/>
      <x:c r="BH188" s="32"/>
      <x:c r="BI188" s="32"/>
      <x:c r="BJ188" s="32"/>
      <x:c r="BK188" s="32"/>
      <x:c r="BL188" s="32"/>
      <x:c r="BM188" s="32"/>
    </x:row>
    <x:row r="189">
      <x:c r="A189" s="32"/>
      <x:c r="B189" s="32"/>
      <x:c r="C189" s="42"/>
      <x:c r="D189" s="32"/>
      <x:c r="E189" s="32"/>
      <x:c r="F189" s="32"/>
      <x:c r="G189" s="32"/>
      <x:c r="H189" s="32"/>
      <x:c r="I189" s="32"/>
      <x:c r="J189" s="32"/>
      <x:c r="K189" s="32"/>
      <x:c r="L189" s="32"/>
      <x:c r="M189" s="32"/>
      <x:c r="N189" s="32"/>
      <x:c r="O189" s="32"/>
      <x:c r="P189" s="32"/>
      <x:c r="Q189" s="32"/>
      <x:c r="R189" s="32"/>
      <x:c r="S189" s="32"/>
      <x:c r="T189" s="43" t="str">
        <x:f>IFERROR(S189/L189,"")</x:f>
      </x:c>
      <x:c r="U189" s="32"/>
      <x:c r="V189" s="32"/>
      <x:c r="W189" s="32"/>
      <x:c r="X189" s="32"/>
      <x:c r="Y189" s="32"/>
      <x:c r="Z189" s="32"/>
      <x:c r="AA189" s="32"/>
      <x:c r="AB189" s="32"/>
      <x:c r="AC189" s="32"/>
      <x:c r="AD189" s="32"/>
      <x:c r="AE189" s="32"/>
      <x:c r="AF189" s="32"/>
      <x:c r="AG189" s="32"/>
      <x:c r="AH189" s="32"/>
      <x:c r="AI189" s="32"/>
      <x:c r="AJ189" s="32"/>
      <x:c r="AK189" s="32"/>
      <x:c r="AL189" s="32"/>
      <x:c r="AM189" s="32"/>
      <x:c r="AN189" s="32"/>
      <x:c r="AO189" s="32"/>
      <x:c r="AP189" s="32"/>
      <x:c r="AQ189" s="32"/>
      <x:c r="AR189" s="32"/>
      <x:c r="AS189" s="32"/>
      <x:c r="AT189" s="32"/>
      <x:c r="AU189" s="32"/>
      <x:c r="AV189" s="32"/>
      <x:c r="AW189" s="32"/>
      <x:c r="AX189" s="32"/>
      <x:c r="AZ189" s="32"/>
      <x:c r="BA189" s="32"/>
      <x:c r="BB189" s="32"/>
      <x:c r="BC189" s="32"/>
      <x:c r="BD189" s="32"/>
      <x:c r="BE189" s="32"/>
      <x:c r="BF189" s="32"/>
      <x:c r="BG189" s="32"/>
      <x:c r="BH189" s="32"/>
      <x:c r="BI189" s="32"/>
      <x:c r="BJ189" s="32"/>
      <x:c r="BK189" s="32"/>
      <x:c r="BL189" s="32"/>
      <x:c r="BM189" s="32"/>
    </x:row>
    <x:row r="190">
      <x:c r="A190" s="32"/>
      <x:c r="B190" s="32"/>
      <x:c r="C190" s="42"/>
      <x:c r="D190" s="32"/>
      <x:c r="E190" s="32"/>
      <x:c r="F190" s="32"/>
      <x:c r="G190" s="32"/>
      <x:c r="H190" s="32"/>
      <x:c r="I190" s="32"/>
      <x:c r="J190" s="32"/>
      <x:c r="K190" s="32"/>
      <x:c r="L190" s="32"/>
      <x:c r="M190" s="32"/>
      <x:c r="N190" s="32"/>
      <x:c r="O190" s="32"/>
      <x:c r="P190" s="32"/>
      <x:c r="Q190" s="32"/>
      <x:c r="R190" s="32"/>
      <x:c r="S190" s="32"/>
      <x:c r="T190" s="43" t="str">
        <x:f>IFERROR(S190/L190,"")</x:f>
      </x:c>
      <x:c r="U190" s="32"/>
      <x:c r="V190" s="32"/>
      <x:c r="W190" s="32"/>
      <x:c r="X190" s="32"/>
      <x:c r="Y190" s="32"/>
      <x:c r="Z190" s="32"/>
      <x:c r="AA190" s="32"/>
      <x:c r="AB190" s="32"/>
      <x:c r="AC190" s="32"/>
      <x:c r="AD190" s="32"/>
      <x:c r="AE190" s="32"/>
      <x:c r="AF190" s="32"/>
      <x:c r="AG190" s="32"/>
      <x:c r="AH190" s="32"/>
      <x:c r="AI190" s="32"/>
      <x:c r="AJ190" s="32"/>
      <x:c r="AK190" s="32"/>
      <x:c r="AL190" s="32"/>
      <x:c r="AM190" s="32"/>
      <x:c r="AN190" s="32"/>
      <x:c r="AO190" s="32"/>
      <x:c r="AP190" s="32"/>
      <x:c r="AQ190" s="32"/>
      <x:c r="AR190" s="32"/>
      <x:c r="AS190" s="32"/>
      <x:c r="AT190" s="32"/>
      <x:c r="AU190" s="32"/>
      <x:c r="AV190" s="32"/>
      <x:c r="AW190" s="32"/>
      <x:c r="AX190" s="32"/>
      <x:c r="AZ190" s="32"/>
      <x:c r="BA190" s="32"/>
      <x:c r="BB190" s="32"/>
      <x:c r="BC190" s="32"/>
      <x:c r="BD190" s="32"/>
      <x:c r="BE190" s="32"/>
      <x:c r="BF190" s="32"/>
      <x:c r="BG190" s="32"/>
      <x:c r="BH190" s="32"/>
      <x:c r="BI190" s="32"/>
      <x:c r="BJ190" s="32"/>
      <x:c r="BK190" s="32"/>
      <x:c r="BL190" s="32"/>
      <x:c r="BM190" s="32"/>
    </x:row>
    <x:row r="191">
      <x:c r="A191" s="32"/>
      <x:c r="B191" s="32"/>
      <x:c r="C191" s="42"/>
      <x:c r="D191" s="32"/>
      <x:c r="E191" s="32"/>
      <x:c r="F191" s="32"/>
      <x:c r="G191" s="32"/>
      <x:c r="H191" s="32"/>
      <x:c r="I191" s="32"/>
      <x:c r="J191" s="32"/>
      <x:c r="K191" s="32"/>
      <x:c r="L191" s="32"/>
      <x:c r="M191" s="32"/>
      <x:c r="N191" s="32"/>
      <x:c r="O191" s="32"/>
      <x:c r="P191" s="32"/>
      <x:c r="Q191" s="32"/>
      <x:c r="R191" s="32"/>
      <x:c r="S191" s="32"/>
      <x:c r="T191" s="43" t="str">
        <x:f>IFERROR(S191/L191,"")</x:f>
      </x:c>
      <x:c r="U191" s="32"/>
      <x:c r="V191" s="32"/>
      <x:c r="W191" s="32"/>
      <x:c r="X191" s="32"/>
      <x:c r="Y191" s="32"/>
      <x:c r="Z191" s="32"/>
      <x:c r="AA191" s="32"/>
      <x:c r="AB191" s="32"/>
      <x:c r="AC191" s="32"/>
      <x:c r="AD191" s="32"/>
      <x:c r="AE191" s="32"/>
      <x:c r="AF191" s="32"/>
      <x:c r="AG191" s="32"/>
      <x:c r="AH191" s="32"/>
      <x:c r="AI191" s="32"/>
      <x:c r="AJ191" s="32"/>
      <x:c r="AK191" s="32"/>
      <x:c r="AL191" s="32"/>
      <x:c r="AM191" s="32"/>
      <x:c r="AN191" s="32"/>
      <x:c r="AO191" s="32"/>
      <x:c r="AP191" s="32"/>
      <x:c r="AQ191" s="32"/>
      <x:c r="AR191" s="32"/>
      <x:c r="AS191" s="32"/>
      <x:c r="AT191" s="32"/>
      <x:c r="AU191" s="32"/>
      <x:c r="AV191" s="32"/>
      <x:c r="AW191" s="32"/>
      <x:c r="AX191" s="32"/>
      <x:c r="AZ191" s="32"/>
      <x:c r="BA191" s="32"/>
      <x:c r="BB191" s="32"/>
      <x:c r="BC191" s="32"/>
      <x:c r="BD191" s="32"/>
      <x:c r="BE191" s="32"/>
      <x:c r="BF191" s="32"/>
      <x:c r="BG191" s="32"/>
      <x:c r="BH191" s="32"/>
      <x:c r="BI191" s="32"/>
      <x:c r="BJ191" s="32"/>
      <x:c r="BK191" s="32"/>
      <x:c r="BL191" s="32"/>
      <x:c r="BM191" s="32"/>
    </x:row>
    <x:row r="192">
      <x:c r="A192" s="32"/>
      <x:c r="B192" s="32"/>
      <x:c r="C192" s="42"/>
      <x:c r="D192" s="32"/>
      <x:c r="E192" s="32"/>
      <x:c r="F192" s="32"/>
      <x:c r="G192" s="32"/>
      <x:c r="H192" s="32"/>
      <x:c r="I192" s="32"/>
      <x:c r="J192" s="32"/>
      <x:c r="K192" s="32"/>
      <x:c r="L192" s="32"/>
      <x:c r="M192" s="32"/>
      <x:c r="N192" s="32"/>
      <x:c r="O192" s="32"/>
      <x:c r="P192" s="32"/>
      <x:c r="Q192" s="32"/>
      <x:c r="R192" s="32"/>
      <x:c r="S192" s="32"/>
      <x:c r="T192" s="43" t="str">
        <x:f>IFERROR(S192/L192,"")</x:f>
      </x:c>
      <x:c r="U192" s="32"/>
      <x:c r="V192" s="32"/>
      <x:c r="W192" s="32"/>
      <x:c r="X192" s="32"/>
      <x:c r="Y192" s="32"/>
      <x:c r="Z192" s="32"/>
      <x:c r="AA192" s="32"/>
      <x:c r="AB192" s="32"/>
      <x:c r="AC192" s="32"/>
      <x:c r="AD192" s="32"/>
      <x:c r="AE192" s="32"/>
      <x:c r="AF192" s="32"/>
      <x:c r="AG192" s="32"/>
      <x:c r="AH192" s="32"/>
      <x:c r="AI192" s="32"/>
      <x:c r="AJ192" s="32"/>
      <x:c r="AK192" s="32"/>
      <x:c r="AL192" s="32"/>
      <x:c r="AM192" s="32"/>
      <x:c r="AN192" s="32"/>
      <x:c r="AO192" s="32"/>
      <x:c r="AP192" s="32"/>
      <x:c r="AQ192" s="32"/>
      <x:c r="AR192" s="32"/>
      <x:c r="AS192" s="32"/>
      <x:c r="AT192" s="32"/>
      <x:c r="AU192" s="32"/>
      <x:c r="AV192" s="32"/>
      <x:c r="AW192" s="32"/>
      <x:c r="AX192" s="32"/>
      <x:c r="AZ192" s="32"/>
      <x:c r="BA192" s="32"/>
      <x:c r="BB192" s="32"/>
      <x:c r="BC192" s="32"/>
      <x:c r="BD192" s="32"/>
      <x:c r="BE192" s="32"/>
      <x:c r="BF192" s="32"/>
      <x:c r="BG192" s="32"/>
      <x:c r="BH192" s="32"/>
      <x:c r="BI192" s="32"/>
      <x:c r="BJ192" s="32"/>
      <x:c r="BK192" s="32"/>
      <x:c r="BL192" s="32"/>
      <x:c r="BM192" s="32"/>
    </x:row>
    <x:row r="193">
      <x:c r="A193" s="32"/>
      <x:c r="B193" s="32"/>
      <x:c r="C193" s="42"/>
      <x:c r="D193" s="32"/>
      <x:c r="E193" s="32"/>
      <x:c r="F193" s="32"/>
      <x:c r="G193" s="32"/>
      <x:c r="H193" s="32"/>
      <x:c r="I193" s="32"/>
      <x:c r="J193" s="32"/>
      <x:c r="K193" s="32"/>
      <x:c r="L193" s="32"/>
      <x:c r="M193" s="32"/>
      <x:c r="N193" s="32"/>
      <x:c r="O193" s="32"/>
      <x:c r="P193" s="32"/>
      <x:c r="Q193" s="32"/>
      <x:c r="R193" s="32"/>
      <x:c r="S193" s="32"/>
      <x:c r="T193" s="43" t="str">
        <x:f>IFERROR(S193/L193,"")</x:f>
      </x:c>
      <x:c r="U193" s="32"/>
      <x:c r="V193" s="32"/>
      <x:c r="W193" s="32"/>
      <x:c r="X193" s="32"/>
      <x:c r="Y193" s="32"/>
      <x:c r="Z193" s="32"/>
      <x:c r="AA193" s="32"/>
      <x:c r="AB193" s="32"/>
      <x:c r="AC193" s="32"/>
      <x:c r="AD193" s="32"/>
      <x:c r="AE193" s="32"/>
      <x:c r="AF193" s="32"/>
      <x:c r="AG193" s="32"/>
      <x:c r="AH193" s="32"/>
      <x:c r="AI193" s="32"/>
      <x:c r="AJ193" s="32"/>
      <x:c r="AK193" s="32"/>
      <x:c r="AL193" s="32"/>
      <x:c r="AM193" s="32"/>
      <x:c r="AN193" s="32"/>
      <x:c r="AO193" s="32"/>
      <x:c r="AP193" s="32"/>
      <x:c r="AQ193" s="32"/>
      <x:c r="AR193" s="32"/>
      <x:c r="AS193" s="32"/>
      <x:c r="AT193" s="32"/>
      <x:c r="AU193" s="32"/>
      <x:c r="AV193" s="32"/>
      <x:c r="AW193" s="32"/>
      <x:c r="AX193" s="32"/>
      <x:c r="AZ193" s="32"/>
      <x:c r="BA193" s="32"/>
      <x:c r="BB193" s="32"/>
      <x:c r="BC193" s="32"/>
      <x:c r="BD193" s="32"/>
      <x:c r="BE193" s="32"/>
      <x:c r="BF193" s="32"/>
      <x:c r="BG193" s="32"/>
      <x:c r="BH193" s="32"/>
      <x:c r="BI193" s="32"/>
      <x:c r="BJ193" s="32"/>
      <x:c r="BK193" s="32"/>
      <x:c r="BL193" s="32"/>
      <x:c r="BM193" s="32"/>
    </x:row>
    <x:row r="194">
      <x:c r="A194" s="32"/>
      <x:c r="B194" s="32"/>
      <x:c r="C194" s="42"/>
      <x:c r="D194" s="32"/>
      <x:c r="E194" s="32"/>
      <x:c r="F194" s="32"/>
      <x:c r="G194" s="32"/>
      <x:c r="H194" s="32"/>
      <x:c r="I194" s="32"/>
      <x:c r="J194" s="32"/>
      <x:c r="K194" s="32"/>
      <x:c r="L194" s="32"/>
      <x:c r="M194" s="32"/>
      <x:c r="N194" s="32"/>
      <x:c r="O194" s="32"/>
      <x:c r="P194" s="32"/>
      <x:c r="Q194" s="32"/>
      <x:c r="R194" s="32"/>
      <x:c r="S194" s="32"/>
      <x:c r="T194" s="43" t="str">
        <x:f>IFERROR(S194/L194,"")</x:f>
      </x:c>
      <x:c r="U194" s="32"/>
      <x:c r="V194" s="32"/>
      <x:c r="W194" s="32"/>
      <x:c r="X194" s="32"/>
      <x:c r="Y194" s="32"/>
      <x:c r="Z194" s="32"/>
      <x:c r="AA194" s="32"/>
      <x:c r="AB194" s="32"/>
      <x:c r="AC194" s="32"/>
      <x:c r="AD194" s="32"/>
      <x:c r="AE194" s="32"/>
      <x:c r="AF194" s="32"/>
      <x:c r="AG194" s="32"/>
      <x:c r="AH194" s="32"/>
      <x:c r="AI194" s="32"/>
      <x:c r="AJ194" s="32"/>
      <x:c r="AK194" s="32"/>
      <x:c r="AL194" s="32"/>
      <x:c r="AM194" s="32"/>
      <x:c r="AN194" s="32"/>
      <x:c r="AO194" s="32"/>
      <x:c r="AP194" s="32"/>
      <x:c r="AQ194" s="32"/>
      <x:c r="AR194" s="32"/>
      <x:c r="AS194" s="32"/>
      <x:c r="AT194" s="32"/>
      <x:c r="AU194" s="32"/>
      <x:c r="AV194" s="32"/>
      <x:c r="AW194" s="32"/>
      <x:c r="AX194" s="32"/>
      <x:c r="AZ194" s="32"/>
      <x:c r="BA194" s="32"/>
      <x:c r="BB194" s="32"/>
      <x:c r="BC194" s="32"/>
      <x:c r="BD194" s="32"/>
      <x:c r="BE194" s="32"/>
      <x:c r="BF194" s="32"/>
      <x:c r="BG194" s="32"/>
      <x:c r="BH194" s="32"/>
      <x:c r="BI194" s="32"/>
      <x:c r="BJ194" s="32"/>
      <x:c r="BK194" s="32"/>
      <x:c r="BL194" s="32"/>
      <x:c r="BM194" s="32"/>
    </x:row>
    <x:row r="195">
      <x:c r="A195" s="32"/>
      <x:c r="B195" s="32"/>
      <x:c r="C195" s="42"/>
      <x:c r="D195" s="32"/>
      <x:c r="E195" s="32"/>
      <x:c r="F195" s="32"/>
      <x:c r="G195" s="32"/>
      <x:c r="H195" s="32"/>
      <x:c r="I195" s="32"/>
      <x:c r="J195" s="32"/>
      <x:c r="K195" s="32"/>
      <x:c r="L195" s="32"/>
      <x:c r="M195" s="32"/>
      <x:c r="N195" s="32"/>
      <x:c r="O195" s="32"/>
      <x:c r="P195" s="32"/>
      <x:c r="Q195" s="32"/>
      <x:c r="R195" s="32"/>
      <x:c r="S195" s="32"/>
      <x:c r="T195" s="43" t="str">
        <x:f>IFERROR(S195/L195,"")</x:f>
      </x:c>
      <x:c r="U195" s="32"/>
      <x:c r="V195" s="32"/>
      <x:c r="W195" s="32"/>
      <x:c r="X195" s="32"/>
      <x:c r="Y195" s="32"/>
      <x:c r="Z195" s="32"/>
      <x:c r="AA195" s="32"/>
      <x:c r="AB195" s="32"/>
      <x:c r="AC195" s="32"/>
      <x:c r="AD195" s="32"/>
      <x:c r="AE195" s="32"/>
      <x:c r="AF195" s="32"/>
      <x:c r="AG195" s="32"/>
      <x:c r="AH195" s="32"/>
      <x:c r="AI195" s="32"/>
      <x:c r="AJ195" s="32"/>
      <x:c r="AK195" s="32"/>
      <x:c r="AL195" s="32"/>
      <x:c r="AM195" s="32"/>
      <x:c r="AN195" s="32"/>
      <x:c r="AO195" s="32"/>
      <x:c r="AP195" s="32"/>
      <x:c r="AQ195" s="32"/>
      <x:c r="AR195" s="32"/>
      <x:c r="AS195" s="32"/>
      <x:c r="AT195" s="32"/>
      <x:c r="AU195" s="32"/>
      <x:c r="AV195" s="32"/>
      <x:c r="AW195" s="32"/>
      <x:c r="AX195" s="32"/>
      <x:c r="AZ195" s="32"/>
      <x:c r="BA195" s="32"/>
      <x:c r="BB195" s="32"/>
      <x:c r="BC195" s="32"/>
      <x:c r="BD195" s="32"/>
      <x:c r="BE195" s="32"/>
      <x:c r="BF195" s="32"/>
      <x:c r="BG195" s="32"/>
      <x:c r="BH195" s="32"/>
      <x:c r="BI195" s="32"/>
      <x:c r="BJ195" s="32"/>
      <x:c r="BK195" s="32"/>
      <x:c r="BL195" s="32"/>
      <x:c r="BM195" s="32"/>
    </x:row>
    <x:row r="196">
      <x:c r="A196" s="32"/>
      <x:c r="B196" s="32"/>
      <x:c r="C196" s="42"/>
      <x:c r="D196" s="32"/>
      <x:c r="E196" s="32"/>
      <x:c r="F196" s="32"/>
      <x:c r="G196" s="32"/>
      <x:c r="H196" s="32"/>
      <x:c r="I196" s="32"/>
      <x:c r="J196" s="32"/>
      <x:c r="K196" s="32"/>
      <x:c r="L196" s="32"/>
      <x:c r="M196" s="32"/>
      <x:c r="N196" s="32"/>
      <x:c r="O196" s="32"/>
      <x:c r="P196" s="32"/>
      <x:c r="Q196" s="32"/>
      <x:c r="R196" s="32"/>
      <x:c r="S196" s="32"/>
      <x:c r="T196" s="43" t="str">
        <x:f>IFERROR(S196/L196,"")</x:f>
      </x:c>
      <x:c r="U196" s="32"/>
      <x:c r="V196" s="32"/>
      <x:c r="W196" s="32"/>
      <x:c r="X196" s="32"/>
      <x:c r="Y196" s="32"/>
      <x:c r="Z196" s="32"/>
      <x:c r="AA196" s="32"/>
      <x:c r="AB196" s="32"/>
      <x:c r="AC196" s="32"/>
      <x:c r="AD196" s="32"/>
      <x:c r="AE196" s="32"/>
      <x:c r="AF196" s="32"/>
      <x:c r="AG196" s="32"/>
      <x:c r="AH196" s="32"/>
      <x:c r="AI196" s="32"/>
      <x:c r="AJ196" s="32"/>
      <x:c r="AK196" s="32"/>
      <x:c r="AL196" s="32"/>
      <x:c r="AM196" s="32"/>
      <x:c r="AN196" s="32"/>
      <x:c r="AO196" s="32"/>
      <x:c r="AP196" s="32"/>
      <x:c r="AQ196" s="32"/>
      <x:c r="AR196" s="32"/>
      <x:c r="AS196" s="32"/>
      <x:c r="AT196" s="32"/>
      <x:c r="AU196" s="32"/>
      <x:c r="AV196" s="32"/>
      <x:c r="AW196" s="32"/>
      <x:c r="AX196" s="32"/>
      <x:c r="AZ196" s="32"/>
      <x:c r="BA196" s="32"/>
      <x:c r="BB196" s="32"/>
      <x:c r="BC196" s="32"/>
      <x:c r="BD196" s="32"/>
      <x:c r="BE196" s="32"/>
      <x:c r="BF196" s="32"/>
      <x:c r="BG196" s="32"/>
      <x:c r="BH196" s="32"/>
      <x:c r="BI196" s="32"/>
      <x:c r="BJ196" s="32"/>
      <x:c r="BK196" s="32"/>
      <x:c r="BL196" s="32"/>
      <x:c r="BM196" s="32"/>
    </x:row>
    <x:row r="197">
      <x:c r="A197" s="32"/>
      <x:c r="B197" s="32"/>
      <x:c r="C197" s="42"/>
      <x:c r="D197" s="32"/>
      <x:c r="E197" s="32"/>
      <x:c r="F197" s="32"/>
      <x:c r="G197" s="32"/>
      <x:c r="H197" s="32"/>
      <x:c r="I197" s="32"/>
      <x:c r="J197" s="32"/>
      <x:c r="K197" s="32"/>
      <x:c r="L197" s="32"/>
      <x:c r="M197" s="32"/>
      <x:c r="N197" s="32"/>
      <x:c r="O197" s="32"/>
      <x:c r="P197" s="32"/>
      <x:c r="Q197" s="32"/>
      <x:c r="R197" s="32"/>
      <x:c r="S197" s="32"/>
      <x:c r="T197" s="43" t="str">
        <x:f>IFERROR(S197/L197,"")</x:f>
      </x:c>
      <x:c r="U197" s="32"/>
      <x:c r="V197" s="32"/>
      <x:c r="W197" s="32"/>
      <x:c r="X197" s="32"/>
      <x:c r="Y197" s="32"/>
      <x:c r="Z197" s="32"/>
      <x:c r="AA197" s="32"/>
      <x:c r="AB197" s="32"/>
      <x:c r="AC197" s="32"/>
      <x:c r="AD197" s="32"/>
      <x:c r="AE197" s="32"/>
      <x:c r="AF197" s="32"/>
      <x:c r="AG197" s="32"/>
      <x:c r="AH197" s="32"/>
      <x:c r="AI197" s="32"/>
      <x:c r="AJ197" s="32"/>
      <x:c r="AK197" s="32"/>
      <x:c r="AL197" s="32"/>
      <x:c r="AM197" s="32"/>
      <x:c r="AN197" s="32"/>
      <x:c r="AO197" s="32"/>
      <x:c r="AP197" s="32"/>
      <x:c r="AQ197" s="32"/>
      <x:c r="AR197" s="32"/>
      <x:c r="AS197" s="32"/>
      <x:c r="AT197" s="32"/>
      <x:c r="AU197" s="32"/>
      <x:c r="AV197" s="32"/>
      <x:c r="AW197" s="32"/>
      <x:c r="AX197" s="32"/>
      <x:c r="AZ197" s="32"/>
      <x:c r="BA197" s="32"/>
      <x:c r="BB197" s="32"/>
      <x:c r="BC197" s="32"/>
      <x:c r="BD197" s="32"/>
      <x:c r="BE197" s="32"/>
      <x:c r="BF197" s="32"/>
      <x:c r="BG197" s="32"/>
      <x:c r="BH197" s="32"/>
      <x:c r="BI197" s="32"/>
      <x:c r="BJ197" s="32"/>
      <x:c r="BK197" s="32"/>
      <x:c r="BL197" s="32"/>
      <x:c r="BM197" s="32"/>
    </x:row>
    <x:row r="198">
      <x:c r="A198" s="32"/>
      <x:c r="B198" s="32"/>
      <x:c r="C198" s="42"/>
      <x:c r="D198" s="32"/>
      <x:c r="E198" s="32"/>
      <x:c r="F198" s="32"/>
      <x:c r="G198" s="32"/>
      <x:c r="H198" s="32"/>
      <x:c r="I198" s="32"/>
      <x:c r="J198" s="32"/>
      <x:c r="K198" s="32"/>
      <x:c r="L198" s="32"/>
      <x:c r="M198" s="32"/>
      <x:c r="N198" s="32"/>
      <x:c r="O198" s="32"/>
      <x:c r="P198" s="32"/>
      <x:c r="Q198" s="32"/>
      <x:c r="R198" s="32"/>
      <x:c r="S198" s="32"/>
      <x:c r="T198" s="43" t="str">
        <x:f>IFERROR(S198/L198,"")</x:f>
      </x:c>
      <x:c r="U198" s="32"/>
      <x:c r="V198" s="32"/>
      <x:c r="W198" s="32"/>
      <x:c r="X198" s="32"/>
      <x:c r="Y198" s="32"/>
      <x:c r="Z198" s="32"/>
      <x:c r="AA198" s="32"/>
      <x:c r="AB198" s="32"/>
      <x:c r="AC198" s="32"/>
      <x:c r="AD198" s="32"/>
      <x:c r="AE198" s="32"/>
      <x:c r="AF198" s="32"/>
      <x:c r="AG198" s="32"/>
      <x:c r="AH198" s="32"/>
      <x:c r="AI198" s="32"/>
      <x:c r="AJ198" s="32"/>
      <x:c r="AK198" s="32"/>
      <x:c r="AL198" s="32"/>
      <x:c r="AM198" s="32"/>
      <x:c r="AN198" s="32"/>
      <x:c r="AO198" s="32"/>
      <x:c r="AP198" s="32"/>
      <x:c r="AQ198" s="32"/>
      <x:c r="AR198" s="32"/>
      <x:c r="AS198" s="32"/>
      <x:c r="AT198" s="32"/>
      <x:c r="AU198" s="32"/>
      <x:c r="AV198" s="32"/>
      <x:c r="AW198" s="32"/>
      <x:c r="AX198" s="32"/>
      <x:c r="AZ198" s="32"/>
      <x:c r="BA198" s="32"/>
      <x:c r="BB198" s="32"/>
      <x:c r="BC198" s="32"/>
      <x:c r="BD198" s="32"/>
      <x:c r="BE198" s="32"/>
      <x:c r="BF198" s="32"/>
      <x:c r="BG198" s="32"/>
      <x:c r="BH198" s="32"/>
      <x:c r="BI198" s="32"/>
      <x:c r="BJ198" s="32"/>
      <x:c r="BK198" s="32"/>
      <x:c r="BL198" s="32"/>
      <x:c r="BM198" s="32"/>
    </x:row>
    <x:row r="199">
      <x:c r="A199" s="32"/>
      <x:c r="B199" s="32"/>
      <x:c r="C199" s="42"/>
      <x:c r="D199" s="32"/>
      <x:c r="E199" s="32"/>
      <x:c r="F199" s="32"/>
      <x:c r="G199" s="32"/>
      <x:c r="H199" s="32"/>
      <x:c r="I199" s="32"/>
      <x:c r="J199" s="32"/>
      <x:c r="K199" s="32"/>
      <x:c r="L199" s="32"/>
      <x:c r="M199" s="32"/>
      <x:c r="N199" s="32"/>
      <x:c r="O199" s="32"/>
      <x:c r="P199" s="32"/>
      <x:c r="Q199" s="32"/>
      <x:c r="R199" s="32"/>
      <x:c r="S199" s="32"/>
      <x:c r="T199" s="43" t="str">
        <x:f>IFERROR(S199/L199,"")</x:f>
      </x:c>
      <x:c r="U199" s="32"/>
      <x:c r="V199" s="32"/>
      <x:c r="W199" s="32"/>
      <x:c r="X199" s="32"/>
      <x:c r="Y199" s="32"/>
      <x:c r="Z199" s="32"/>
      <x:c r="AA199" s="32"/>
      <x:c r="AB199" s="32"/>
      <x:c r="AC199" s="32"/>
      <x:c r="AD199" s="32"/>
      <x:c r="AE199" s="32"/>
      <x:c r="AF199" s="32"/>
      <x:c r="AG199" s="32"/>
      <x:c r="AH199" s="32"/>
      <x:c r="AI199" s="32"/>
      <x:c r="AJ199" s="32"/>
      <x:c r="AK199" s="32"/>
      <x:c r="AL199" s="32"/>
      <x:c r="AM199" s="32"/>
      <x:c r="AN199" s="32"/>
      <x:c r="AO199" s="32"/>
      <x:c r="AP199" s="32"/>
      <x:c r="AQ199" s="32"/>
      <x:c r="AR199" s="32"/>
      <x:c r="AS199" s="32"/>
      <x:c r="AT199" s="32"/>
      <x:c r="AU199" s="32"/>
      <x:c r="AV199" s="32"/>
      <x:c r="AW199" s="32"/>
      <x:c r="AX199" s="32"/>
      <x:c r="AZ199" s="32"/>
      <x:c r="BA199" s="32"/>
      <x:c r="BB199" s="32"/>
      <x:c r="BC199" s="32"/>
      <x:c r="BD199" s="32"/>
      <x:c r="BE199" s="32"/>
      <x:c r="BF199" s="32"/>
      <x:c r="BG199" s="32"/>
      <x:c r="BH199" s="32"/>
      <x:c r="BI199" s="32"/>
      <x:c r="BJ199" s="32"/>
      <x:c r="BK199" s="32"/>
      <x:c r="BL199" s="32"/>
      <x:c r="BM199" s="32"/>
    </x:row>
    <x:row r="200">
      <x:c r="A200" s="32"/>
      <x:c r="B200" s="32"/>
      <x:c r="C200" s="42"/>
      <x:c r="D200" s="32"/>
      <x:c r="E200" s="32"/>
      <x:c r="F200" s="32"/>
      <x:c r="G200" s="32"/>
      <x:c r="H200" s="32"/>
      <x:c r="I200" s="32"/>
      <x:c r="J200" s="32"/>
      <x:c r="K200" s="32"/>
      <x:c r="L200" s="32"/>
      <x:c r="M200" s="32"/>
      <x:c r="N200" s="32"/>
      <x:c r="O200" s="32"/>
      <x:c r="P200" s="32"/>
      <x:c r="Q200" s="32"/>
      <x:c r="R200" s="32"/>
      <x:c r="S200" s="32"/>
      <x:c r="T200" s="43" t="str">
        <x:f>IFERROR(S200/L200,"")</x:f>
      </x:c>
      <x:c r="U200" s="32"/>
      <x:c r="V200" s="32"/>
      <x:c r="W200" s="32"/>
      <x:c r="X200" s="32"/>
      <x:c r="Y200" s="32"/>
      <x:c r="Z200" s="32"/>
      <x:c r="AA200" s="32"/>
      <x:c r="AB200" s="32"/>
      <x:c r="AC200" s="32"/>
      <x:c r="AD200" s="32"/>
      <x:c r="AE200" s="32"/>
      <x:c r="AF200" s="32"/>
      <x:c r="AG200" s="32"/>
      <x:c r="AH200" s="32"/>
      <x:c r="AI200" s="32"/>
      <x:c r="AJ200" s="32"/>
      <x:c r="AK200" s="32"/>
      <x:c r="AL200" s="32"/>
      <x:c r="AM200" s="32"/>
      <x:c r="AN200" s="32"/>
      <x:c r="AO200" s="32"/>
      <x:c r="AP200" s="32"/>
      <x:c r="AQ200" s="32"/>
      <x:c r="AR200" s="32"/>
      <x:c r="AS200" s="32"/>
      <x:c r="AT200" s="32"/>
      <x:c r="AU200" s="32"/>
      <x:c r="AV200" s="32"/>
      <x:c r="AW200" s="32"/>
      <x:c r="AX200" s="32"/>
      <x:c r="AZ200" s="32"/>
      <x:c r="BA200" s="32"/>
      <x:c r="BB200" s="32"/>
      <x:c r="BC200" s="32"/>
      <x:c r="BD200" s="32"/>
      <x:c r="BE200" s="32"/>
      <x:c r="BF200" s="32"/>
      <x:c r="BG200" s="32"/>
      <x:c r="BH200" s="32"/>
      <x:c r="BI200" s="32"/>
      <x:c r="BJ200" s="32"/>
      <x:c r="BK200" s="32"/>
      <x:c r="BL200" s="32"/>
      <x:c r="BM200" s="32"/>
    </x:row>
    <x:row r="201">
      <x:c r="A201" s="32"/>
      <x:c r="B201" s="32"/>
      <x:c r="C201" s="42"/>
      <x:c r="D201" s="32"/>
      <x:c r="E201" s="32"/>
      <x:c r="F201" s="32"/>
      <x:c r="G201" s="32"/>
      <x:c r="H201" s="32"/>
      <x:c r="I201" s="32"/>
      <x:c r="J201" s="32"/>
      <x:c r="K201" s="32"/>
      <x:c r="L201" s="32"/>
      <x:c r="M201" s="32"/>
      <x:c r="N201" s="32"/>
      <x:c r="O201" s="32"/>
      <x:c r="P201" s="32"/>
      <x:c r="Q201" s="32"/>
      <x:c r="R201" s="32"/>
      <x:c r="S201" s="32"/>
      <x:c r="T201" s="43" t="str">
        <x:f>IFERROR(S201/L201,"")</x:f>
      </x:c>
      <x:c r="U201" s="32"/>
      <x:c r="V201" s="32"/>
      <x:c r="W201" s="32"/>
      <x:c r="X201" s="32"/>
      <x:c r="Y201" s="32"/>
      <x:c r="Z201" s="32"/>
      <x:c r="AA201" s="32"/>
      <x:c r="AB201" s="32"/>
      <x:c r="AC201" s="32"/>
      <x:c r="AD201" s="32"/>
      <x:c r="AE201" s="32"/>
      <x:c r="AF201" s="32"/>
      <x:c r="AG201" s="32"/>
      <x:c r="AH201" s="32"/>
      <x:c r="AI201" s="32"/>
      <x:c r="AJ201" s="32"/>
      <x:c r="AK201" s="32"/>
      <x:c r="AL201" s="32"/>
      <x:c r="AM201" s="32"/>
      <x:c r="AN201" s="32"/>
      <x:c r="AO201" s="32"/>
      <x:c r="AP201" s="32"/>
      <x:c r="AQ201" s="32"/>
      <x:c r="AR201" s="32"/>
      <x:c r="AS201" s="32"/>
      <x:c r="AT201" s="32"/>
      <x:c r="AU201" s="32"/>
      <x:c r="AV201" s="32"/>
      <x:c r="AW201" s="32"/>
      <x:c r="AX201" s="32"/>
      <x:c r="AZ201" s="32"/>
      <x:c r="BA201" s="32"/>
      <x:c r="BB201" s="32"/>
      <x:c r="BC201" s="32"/>
      <x:c r="BD201" s="32"/>
      <x:c r="BE201" s="32"/>
      <x:c r="BF201" s="32"/>
      <x:c r="BG201" s="32"/>
      <x:c r="BH201" s="32"/>
      <x:c r="BI201" s="32"/>
      <x:c r="BJ201" s="32"/>
      <x:c r="BK201" s="32"/>
      <x:c r="BL201" s="32"/>
      <x:c r="BM201" s="32"/>
    </x:row>
    <x:row r="202">
      <x:c r="A202" s="32"/>
      <x:c r="B202" s="32"/>
      <x:c r="C202" s="42"/>
      <x:c r="D202" s="32"/>
      <x:c r="E202" s="32"/>
      <x:c r="F202" s="32"/>
      <x:c r="G202" s="32"/>
      <x:c r="H202" s="32"/>
      <x:c r="I202" s="32"/>
      <x:c r="J202" s="32"/>
      <x:c r="K202" s="32"/>
      <x:c r="L202" s="32"/>
      <x:c r="M202" s="32"/>
      <x:c r="N202" s="32"/>
      <x:c r="O202" s="32"/>
      <x:c r="P202" s="32"/>
      <x:c r="Q202" s="32"/>
      <x:c r="R202" s="32"/>
      <x:c r="S202" s="32"/>
      <x:c r="T202" s="43" t="str">
        <x:f>IFERROR(S202/L202,"")</x:f>
      </x:c>
      <x:c r="U202" s="32"/>
      <x:c r="V202" s="32"/>
      <x:c r="W202" s="32"/>
      <x:c r="X202" s="32"/>
      <x:c r="Y202" s="32"/>
      <x:c r="Z202" s="32"/>
      <x:c r="AA202" s="32"/>
      <x:c r="AB202" s="32"/>
      <x:c r="AC202" s="32"/>
      <x:c r="AD202" s="32"/>
      <x:c r="AE202" s="32"/>
      <x:c r="AF202" s="32"/>
      <x:c r="AG202" s="32"/>
      <x:c r="AH202" s="32"/>
      <x:c r="AI202" s="32"/>
      <x:c r="AJ202" s="32"/>
      <x:c r="AK202" s="32"/>
      <x:c r="AL202" s="32"/>
      <x:c r="AM202" s="32"/>
      <x:c r="AN202" s="32"/>
      <x:c r="AO202" s="32"/>
      <x:c r="AP202" s="32"/>
      <x:c r="AQ202" s="32"/>
      <x:c r="AR202" s="32"/>
      <x:c r="AS202" s="32"/>
      <x:c r="AT202" s="32"/>
      <x:c r="AU202" s="32"/>
      <x:c r="AV202" s="32"/>
      <x:c r="AW202" s="32"/>
      <x:c r="AX202" s="32"/>
      <x:c r="AZ202" s="32"/>
      <x:c r="BA202" s="32"/>
      <x:c r="BB202" s="32"/>
      <x:c r="BC202" s="32"/>
      <x:c r="BD202" s="32"/>
      <x:c r="BE202" s="32"/>
      <x:c r="BF202" s="32"/>
      <x:c r="BG202" s="32"/>
      <x:c r="BH202" s="32"/>
      <x:c r="BI202" s="32"/>
      <x:c r="BJ202" s="32"/>
      <x:c r="BK202" s="32"/>
      <x:c r="BL202" s="32"/>
      <x:c r="BM202" s="32"/>
    </x:row>
    <x:row r="203">
      <x:c r="A203" s="32"/>
      <x:c r="B203" s="32"/>
      <x:c r="C203" s="42"/>
      <x:c r="D203" s="32"/>
      <x:c r="E203" s="32"/>
      <x:c r="F203" s="32"/>
      <x:c r="G203" s="32"/>
      <x:c r="H203" s="32"/>
      <x:c r="I203" s="32"/>
      <x:c r="J203" s="32"/>
      <x:c r="K203" s="32"/>
      <x:c r="L203" s="32"/>
      <x:c r="M203" s="32"/>
      <x:c r="N203" s="32"/>
      <x:c r="O203" s="32"/>
      <x:c r="P203" s="32"/>
      <x:c r="Q203" s="32"/>
      <x:c r="R203" s="32"/>
      <x:c r="S203" s="32"/>
      <x:c r="T203" s="43" t="str">
        <x:f>IFERROR(S203/L203,"")</x:f>
      </x:c>
      <x:c r="U203" s="32"/>
      <x:c r="V203" s="32"/>
      <x:c r="W203" s="32"/>
      <x:c r="X203" s="32"/>
      <x:c r="Y203" s="32"/>
      <x:c r="Z203" s="32"/>
      <x:c r="AA203" s="32"/>
      <x:c r="AB203" s="32"/>
      <x:c r="AC203" s="32"/>
      <x:c r="AD203" s="32"/>
      <x:c r="AE203" s="32"/>
      <x:c r="AF203" s="32"/>
      <x:c r="AG203" s="32"/>
      <x:c r="AH203" s="32"/>
      <x:c r="AI203" s="32"/>
      <x:c r="AJ203" s="32"/>
      <x:c r="AK203" s="32"/>
      <x:c r="AL203" s="32"/>
      <x:c r="AM203" s="32"/>
      <x:c r="AN203" s="32"/>
      <x:c r="AO203" s="32"/>
      <x:c r="AP203" s="32"/>
      <x:c r="AQ203" s="32"/>
      <x:c r="AR203" s="32"/>
      <x:c r="AS203" s="32"/>
      <x:c r="AT203" s="32"/>
      <x:c r="AU203" s="32"/>
      <x:c r="AV203" s="32"/>
      <x:c r="AW203" s="32"/>
      <x:c r="AX203" s="32"/>
      <x:c r="AZ203" s="32"/>
      <x:c r="BA203" s="32"/>
      <x:c r="BB203" s="32"/>
      <x:c r="BC203" s="32"/>
      <x:c r="BD203" s="32"/>
      <x:c r="BE203" s="32"/>
      <x:c r="BF203" s="32"/>
      <x:c r="BG203" s="32"/>
      <x:c r="BH203" s="32"/>
      <x:c r="BI203" s="32"/>
      <x:c r="BJ203" s="32"/>
      <x:c r="BK203" s="32"/>
      <x:c r="BL203" s="32"/>
      <x:c r="BM203" s="32"/>
    </x:row>
    <x:row r="204">
      <x:c r="A204" s="32"/>
      <x:c r="B204" s="32"/>
      <x:c r="C204" s="42"/>
      <x:c r="D204" s="32"/>
      <x:c r="E204" s="32"/>
      <x:c r="F204" s="32"/>
      <x:c r="G204" s="32"/>
      <x:c r="H204" s="32"/>
      <x:c r="I204" s="32"/>
      <x:c r="J204" s="32"/>
      <x:c r="K204" s="32"/>
      <x:c r="L204" s="32"/>
      <x:c r="M204" s="32"/>
      <x:c r="N204" s="32"/>
      <x:c r="O204" s="32"/>
      <x:c r="P204" s="32"/>
      <x:c r="Q204" s="32"/>
      <x:c r="R204" s="32"/>
      <x:c r="S204" s="32"/>
      <x:c r="T204" s="43" t="str">
        <x:f>IFERROR(S204/L204,"")</x:f>
      </x:c>
      <x:c r="U204" s="32"/>
      <x:c r="V204" s="32"/>
      <x:c r="W204" s="32"/>
      <x:c r="X204" s="32"/>
      <x:c r="Y204" s="32"/>
      <x:c r="Z204" s="32"/>
      <x:c r="AA204" s="32"/>
      <x:c r="AB204" s="32"/>
      <x:c r="AC204" s="32"/>
      <x:c r="AD204" s="32"/>
      <x:c r="AE204" s="32"/>
      <x:c r="AF204" s="32"/>
      <x:c r="AG204" s="32"/>
      <x:c r="AH204" s="32"/>
      <x:c r="AI204" s="32"/>
      <x:c r="AJ204" s="32"/>
      <x:c r="AK204" s="32"/>
      <x:c r="AL204" s="32"/>
      <x:c r="AM204" s="32"/>
      <x:c r="AN204" s="32"/>
      <x:c r="AO204" s="32"/>
      <x:c r="AP204" s="32"/>
      <x:c r="AQ204" s="32"/>
      <x:c r="AR204" s="32"/>
      <x:c r="AS204" s="32"/>
      <x:c r="AT204" s="32"/>
      <x:c r="AU204" s="32"/>
      <x:c r="AV204" s="32"/>
      <x:c r="AW204" s="32"/>
      <x:c r="AX204" s="32"/>
      <x:c r="AZ204" s="32"/>
      <x:c r="BA204" s="32"/>
      <x:c r="BB204" s="32"/>
      <x:c r="BC204" s="32"/>
      <x:c r="BD204" s="32"/>
      <x:c r="BE204" s="32"/>
      <x:c r="BF204" s="32"/>
      <x:c r="BG204" s="32"/>
      <x:c r="BH204" s="32"/>
      <x:c r="BI204" s="32"/>
      <x:c r="BJ204" s="32"/>
      <x:c r="BK204" s="32"/>
      <x:c r="BL204" s="32"/>
      <x:c r="BM204" s="32"/>
    </x:row>
    <x:row r="205">
      <x:c r="A205" s="32"/>
      <x:c r="B205" s="32"/>
      <x:c r="C205" s="42"/>
      <x:c r="D205" s="32"/>
      <x:c r="E205" s="32"/>
      <x:c r="F205" s="32"/>
      <x:c r="G205" s="32"/>
      <x:c r="H205" s="32"/>
      <x:c r="I205" s="32"/>
      <x:c r="J205" s="32"/>
      <x:c r="K205" s="32"/>
      <x:c r="L205" s="32"/>
      <x:c r="M205" s="32"/>
      <x:c r="N205" s="32"/>
      <x:c r="O205" s="32"/>
      <x:c r="P205" s="32"/>
      <x:c r="Q205" s="32"/>
      <x:c r="R205" s="32"/>
      <x:c r="S205" s="32"/>
      <x:c r="T205" s="43" t="str">
        <x:f>IFERROR(S205/L205,"")</x:f>
      </x:c>
      <x:c r="U205" s="32"/>
      <x:c r="V205" s="32"/>
      <x:c r="W205" s="32"/>
      <x:c r="X205" s="32"/>
      <x:c r="Y205" s="32"/>
      <x:c r="Z205" s="32"/>
      <x:c r="AA205" s="32"/>
      <x:c r="AB205" s="32"/>
      <x:c r="AC205" s="32"/>
      <x:c r="AD205" s="32"/>
      <x:c r="AE205" s="32"/>
      <x:c r="AF205" s="32"/>
      <x:c r="AG205" s="32"/>
      <x:c r="AH205" s="32"/>
      <x:c r="AI205" s="32"/>
      <x:c r="AJ205" s="32"/>
      <x:c r="AK205" s="32"/>
      <x:c r="AL205" s="32"/>
      <x:c r="AM205" s="32"/>
      <x:c r="AN205" s="32"/>
      <x:c r="AO205" s="32"/>
      <x:c r="AP205" s="32"/>
      <x:c r="AQ205" s="32"/>
      <x:c r="AR205" s="32"/>
      <x:c r="AS205" s="32"/>
      <x:c r="AT205" s="32"/>
      <x:c r="AU205" s="32"/>
      <x:c r="AV205" s="32"/>
      <x:c r="AW205" s="32"/>
      <x:c r="AX205" s="32"/>
      <x:c r="AZ205" s="32"/>
      <x:c r="BA205" s="32"/>
      <x:c r="BB205" s="32"/>
      <x:c r="BC205" s="32"/>
      <x:c r="BD205" s="32"/>
      <x:c r="BE205" s="32"/>
      <x:c r="BF205" s="32"/>
      <x:c r="BG205" s="32"/>
      <x:c r="BH205" s="32"/>
      <x:c r="BI205" s="32"/>
      <x:c r="BJ205" s="32"/>
      <x:c r="BK205" s="32"/>
      <x:c r="BL205" s="32"/>
      <x:c r="BM205" s="32"/>
    </x:row>
    <x:row r="206">
      <x:c r="A206" s="32"/>
      <x:c r="B206" s="32"/>
      <x:c r="C206" s="42"/>
      <x:c r="D206" s="32"/>
      <x:c r="E206" s="32"/>
      <x:c r="F206" s="32"/>
      <x:c r="G206" s="32"/>
      <x:c r="H206" s="32"/>
      <x:c r="I206" s="32"/>
      <x:c r="J206" s="32"/>
      <x:c r="K206" s="32"/>
      <x:c r="L206" s="32"/>
      <x:c r="M206" s="32"/>
      <x:c r="N206" s="32"/>
      <x:c r="O206" s="32"/>
      <x:c r="P206" s="32"/>
      <x:c r="Q206" s="32"/>
      <x:c r="R206" s="32"/>
      <x:c r="S206" s="32"/>
      <x:c r="T206" s="43" t="str">
        <x:f>IFERROR(S206/L206,"")</x:f>
      </x:c>
      <x:c r="U206" s="32"/>
      <x:c r="V206" s="32"/>
      <x:c r="W206" s="32"/>
      <x:c r="X206" s="32"/>
      <x:c r="Y206" s="32"/>
      <x:c r="Z206" s="32"/>
      <x:c r="AA206" s="32"/>
      <x:c r="AB206" s="32"/>
      <x:c r="AC206" s="32"/>
      <x:c r="AD206" s="32"/>
      <x:c r="AE206" s="32"/>
      <x:c r="AF206" s="32"/>
      <x:c r="AG206" s="32"/>
      <x:c r="AH206" s="32"/>
      <x:c r="AI206" s="32"/>
      <x:c r="AJ206" s="32"/>
      <x:c r="AK206" s="32"/>
      <x:c r="AL206" s="32"/>
      <x:c r="AM206" s="32"/>
      <x:c r="AN206" s="32"/>
      <x:c r="AO206" s="32"/>
      <x:c r="AP206" s="32"/>
      <x:c r="AQ206" s="32"/>
      <x:c r="AR206" s="32"/>
      <x:c r="AS206" s="32"/>
      <x:c r="AT206" s="32"/>
      <x:c r="AU206" s="32"/>
      <x:c r="AV206" s="32"/>
      <x:c r="AW206" s="32"/>
      <x:c r="AX206" s="32"/>
      <x:c r="AZ206" s="32"/>
      <x:c r="BA206" s="32"/>
      <x:c r="BB206" s="32"/>
      <x:c r="BC206" s="32"/>
      <x:c r="BD206" s="32"/>
      <x:c r="BE206" s="32"/>
      <x:c r="BF206" s="32"/>
      <x:c r="BG206" s="32"/>
      <x:c r="BH206" s="32"/>
      <x:c r="BI206" s="32"/>
      <x:c r="BJ206" s="32"/>
      <x:c r="BK206" s="32"/>
      <x:c r="BL206" s="32"/>
      <x:c r="BM206" s="32"/>
    </x:row>
    <x:row r="207">
      <x:c r="A207" s="32"/>
      <x:c r="B207" s="32"/>
      <x:c r="C207" s="42"/>
      <x:c r="D207" s="32"/>
      <x:c r="E207" s="32"/>
      <x:c r="F207" s="32"/>
      <x:c r="G207" s="32"/>
      <x:c r="H207" s="32"/>
      <x:c r="I207" s="32"/>
      <x:c r="J207" s="32"/>
      <x:c r="K207" s="32"/>
      <x:c r="L207" s="32"/>
      <x:c r="M207" s="32"/>
      <x:c r="N207" s="32"/>
      <x:c r="O207" s="32"/>
      <x:c r="P207" s="32"/>
      <x:c r="Q207" s="32"/>
      <x:c r="R207" s="32"/>
      <x:c r="S207" s="32"/>
      <x:c r="T207" s="43" t="str">
        <x:f>IFERROR(S207/L207,"")</x:f>
      </x:c>
      <x:c r="U207" s="32"/>
      <x:c r="V207" s="32"/>
      <x:c r="W207" s="32"/>
      <x:c r="X207" s="32"/>
      <x:c r="Y207" s="32"/>
      <x:c r="Z207" s="32"/>
      <x:c r="AA207" s="32"/>
      <x:c r="AB207" s="32"/>
      <x:c r="AC207" s="32"/>
      <x:c r="AD207" s="32"/>
      <x:c r="AE207" s="32"/>
      <x:c r="AF207" s="32"/>
      <x:c r="AG207" s="32"/>
      <x:c r="AH207" s="32"/>
      <x:c r="AI207" s="32"/>
      <x:c r="AJ207" s="32"/>
      <x:c r="AK207" s="32"/>
      <x:c r="AL207" s="32"/>
      <x:c r="AM207" s="32"/>
      <x:c r="AN207" s="32"/>
      <x:c r="AO207" s="32"/>
      <x:c r="AP207" s="32"/>
      <x:c r="AQ207" s="32"/>
      <x:c r="AR207" s="32"/>
      <x:c r="AS207" s="32"/>
      <x:c r="AT207" s="32"/>
      <x:c r="AU207" s="32"/>
      <x:c r="AV207" s="32"/>
      <x:c r="AW207" s="32"/>
      <x:c r="AX207" s="32"/>
      <x:c r="AZ207" s="32"/>
      <x:c r="BA207" s="32"/>
      <x:c r="BB207" s="32"/>
      <x:c r="BC207" s="32"/>
      <x:c r="BD207" s="32"/>
      <x:c r="BE207" s="32"/>
      <x:c r="BF207" s="32"/>
      <x:c r="BG207" s="32"/>
      <x:c r="BH207" s="32"/>
      <x:c r="BI207" s="32"/>
      <x:c r="BJ207" s="32"/>
      <x:c r="BK207" s="32"/>
      <x:c r="BL207" s="32"/>
      <x:c r="BM207" s="32"/>
    </x:row>
    <x:row r="208">
      <x:c r="A208" s="32"/>
      <x:c r="B208" s="32"/>
      <x:c r="C208" s="42"/>
      <x:c r="D208" s="32"/>
      <x:c r="E208" s="32"/>
      <x:c r="F208" s="32"/>
      <x:c r="G208" s="32"/>
      <x:c r="H208" s="32"/>
      <x:c r="I208" s="32"/>
      <x:c r="J208" s="32"/>
      <x:c r="K208" s="32"/>
      <x:c r="L208" s="32"/>
      <x:c r="M208" s="32"/>
      <x:c r="N208" s="32"/>
      <x:c r="O208" s="32"/>
      <x:c r="P208" s="32"/>
      <x:c r="Q208" s="32"/>
      <x:c r="R208" s="32"/>
      <x:c r="S208" s="32"/>
      <x:c r="T208" s="43" t="str">
        <x:f>IFERROR(S208/L208,"")</x:f>
      </x:c>
      <x:c r="U208" s="32"/>
      <x:c r="V208" s="32"/>
      <x:c r="W208" s="32"/>
      <x:c r="X208" s="32"/>
      <x:c r="Y208" s="32"/>
      <x:c r="Z208" s="32"/>
      <x:c r="AA208" s="32"/>
      <x:c r="AB208" s="32"/>
      <x:c r="AC208" s="32"/>
      <x:c r="AD208" s="32"/>
      <x:c r="AE208" s="32"/>
      <x:c r="AF208" s="32"/>
      <x:c r="AG208" s="32"/>
      <x:c r="AH208" s="32"/>
      <x:c r="AI208" s="32"/>
      <x:c r="AJ208" s="32"/>
      <x:c r="AK208" s="32"/>
      <x:c r="AL208" s="32"/>
      <x:c r="AM208" s="32"/>
      <x:c r="AN208" s="32"/>
      <x:c r="AO208" s="32"/>
      <x:c r="AP208" s="32"/>
      <x:c r="AQ208" s="32"/>
      <x:c r="AR208" s="32"/>
      <x:c r="AS208" s="32"/>
      <x:c r="AT208" s="32"/>
      <x:c r="AU208" s="32"/>
      <x:c r="AV208" s="32"/>
      <x:c r="AW208" s="32"/>
      <x:c r="AX208" s="32"/>
      <x:c r="AZ208" s="32"/>
      <x:c r="BA208" s="32"/>
      <x:c r="BB208" s="32"/>
      <x:c r="BC208" s="32"/>
      <x:c r="BD208" s="32"/>
      <x:c r="BE208" s="32"/>
      <x:c r="BF208" s="32"/>
      <x:c r="BG208" s="32"/>
      <x:c r="BH208" s="32"/>
      <x:c r="BI208" s="32"/>
      <x:c r="BJ208" s="32"/>
      <x:c r="BK208" s="32"/>
      <x:c r="BL208" s="32"/>
      <x:c r="BM208" s="32"/>
    </x:row>
    <x:row r="209">
      <x:c r="A209" s="32"/>
      <x:c r="B209" s="32"/>
      <x:c r="C209" s="42"/>
      <x:c r="D209" s="32"/>
      <x:c r="E209" s="32"/>
      <x:c r="F209" s="32"/>
      <x:c r="G209" s="32"/>
      <x:c r="H209" s="32"/>
      <x:c r="I209" s="32"/>
      <x:c r="J209" s="32"/>
      <x:c r="K209" s="32"/>
      <x:c r="L209" s="32"/>
      <x:c r="M209" s="32"/>
      <x:c r="N209" s="32"/>
      <x:c r="O209" s="32"/>
      <x:c r="P209" s="32"/>
      <x:c r="Q209" s="32"/>
      <x:c r="R209" s="32"/>
      <x:c r="S209" s="32"/>
      <x:c r="T209" s="43" t="str">
        <x:f>IFERROR(S209/L209,"")</x:f>
      </x:c>
      <x:c r="U209" s="32"/>
      <x:c r="V209" s="32"/>
      <x:c r="W209" s="32"/>
      <x:c r="X209" s="32"/>
      <x:c r="Y209" s="32"/>
      <x:c r="Z209" s="32"/>
      <x:c r="AA209" s="32"/>
      <x:c r="AB209" s="32"/>
      <x:c r="AC209" s="32"/>
      <x:c r="AD209" s="32"/>
      <x:c r="AE209" s="32"/>
      <x:c r="AF209" s="32"/>
      <x:c r="AG209" s="32"/>
      <x:c r="AH209" s="32"/>
      <x:c r="AI209" s="32"/>
      <x:c r="AJ209" s="32"/>
      <x:c r="AK209" s="32"/>
      <x:c r="AL209" s="32"/>
      <x:c r="AM209" s="32"/>
      <x:c r="AN209" s="32"/>
      <x:c r="AO209" s="32"/>
      <x:c r="AP209" s="32"/>
      <x:c r="AQ209" s="32"/>
      <x:c r="AR209" s="32"/>
      <x:c r="AS209" s="32"/>
      <x:c r="AT209" s="32"/>
      <x:c r="AU209" s="32"/>
      <x:c r="AV209" s="32"/>
      <x:c r="AW209" s="32"/>
      <x:c r="AX209" s="32"/>
      <x:c r="AZ209" s="32"/>
      <x:c r="BA209" s="32"/>
      <x:c r="BB209" s="32"/>
      <x:c r="BC209" s="32"/>
      <x:c r="BD209" s="32"/>
      <x:c r="BE209" s="32"/>
      <x:c r="BF209" s="32"/>
      <x:c r="BG209" s="32"/>
      <x:c r="BH209" s="32"/>
      <x:c r="BI209" s="32"/>
      <x:c r="BJ209" s="32"/>
      <x:c r="BK209" s="32"/>
      <x:c r="BL209" s="32"/>
      <x:c r="BM209" s="32"/>
    </x:row>
    <x:row r="210">
      <x:c r="A210" s="32"/>
      <x:c r="B210" s="32"/>
      <x:c r="C210" s="42"/>
      <x:c r="D210" s="32"/>
      <x:c r="E210" s="32"/>
      <x:c r="F210" s="32"/>
      <x:c r="G210" s="32"/>
      <x:c r="H210" s="32"/>
      <x:c r="I210" s="32"/>
      <x:c r="J210" s="32"/>
      <x:c r="K210" s="32"/>
      <x:c r="L210" s="32"/>
      <x:c r="M210" s="32"/>
      <x:c r="N210" s="32"/>
      <x:c r="O210" s="32"/>
      <x:c r="P210" s="32"/>
      <x:c r="Q210" s="32"/>
      <x:c r="R210" s="32"/>
      <x:c r="S210" s="32"/>
      <x:c r="T210" s="43" t="str">
        <x:f>IFERROR(S210/L210,"")</x:f>
      </x:c>
      <x:c r="U210" s="32"/>
      <x:c r="V210" s="32"/>
      <x:c r="W210" s="32"/>
      <x:c r="X210" s="32"/>
      <x:c r="Y210" s="32"/>
      <x:c r="Z210" s="32"/>
      <x:c r="AA210" s="32"/>
      <x:c r="AB210" s="32"/>
      <x:c r="AC210" s="32"/>
      <x:c r="AD210" s="32"/>
      <x:c r="AE210" s="32"/>
      <x:c r="AF210" s="32"/>
      <x:c r="AG210" s="32"/>
      <x:c r="AH210" s="32"/>
      <x:c r="AI210" s="32"/>
      <x:c r="AJ210" s="32"/>
      <x:c r="AK210" s="32"/>
      <x:c r="AL210" s="32"/>
      <x:c r="AM210" s="32"/>
      <x:c r="AN210" s="32"/>
      <x:c r="AO210" s="32"/>
      <x:c r="AP210" s="32"/>
      <x:c r="AQ210" s="32"/>
      <x:c r="AR210" s="32"/>
      <x:c r="AS210" s="32"/>
      <x:c r="AT210" s="32"/>
      <x:c r="AU210" s="32"/>
      <x:c r="AV210" s="32"/>
      <x:c r="AW210" s="32"/>
      <x:c r="AX210" s="32"/>
      <x:c r="AZ210" s="32"/>
      <x:c r="BA210" s="32"/>
      <x:c r="BB210" s="32"/>
      <x:c r="BC210" s="32"/>
      <x:c r="BD210" s="32"/>
      <x:c r="BE210" s="32"/>
      <x:c r="BF210" s="32"/>
      <x:c r="BG210" s="32"/>
      <x:c r="BH210" s="32"/>
      <x:c r="BI210" s="32"/>
      <x:c r="BJ210" s="32"/>
      <x:c r="BK210" s="32"/>
      <x:c r="BL210" s="32"/>
      <x:c r="BM210" s="32"/>
    </x:row>
    <x:row r="211">
      <x:c r="A211" s="32"/>
      <x:c r="B211" s="32"/>
      <x:c r="C211" s="42"/>
      <x:c r="D211" s="32"/>
      <x:c r="E211" s="32"/>
      <x:c r="F211" s="32"/>
      <x:c r="G211" s="32"/>
      <x:c r="H211" s="32"/>
      <x:c r="I211" s="32"/>
      <x:c r="J211" s="32"/>
      <x:c r="K211" s="32"/>
      <x:c r="L211" s="32"/>
      <x:c r="M211" s="32"/>
      <x:c r="N211" s="32"/>
      <x:c r="O211" s="32"/>
      <x:c r="P211" s="32"/>
      <x:c r="Q211" s="32"/>
      <x:c r="R211" s="32"/>
      <x:c r="S211" s="32"/>
      <x:c r="T211" s="43" t="str">
        <x:f>IFERROR(S211/L211,"")</x:f>
      </x:c>
      <x:c r="U211" s="32"/>
      <x:c r="V211" s="32"/>
      <x:c r="W211" s="32"/>
      <x:c r="X211" s="32"/>
      <x:c r="Y211" s="32"/>
      <x:c r="Z211" s="32"/>
      <x:c r="AA211" s="32"/>
      <x:c r="AB211" s="32"/>
      <x:c r="AC211" s="32"/>
      <x:c r="AD211" s="32"/>
      <x:c r="AE211" s="32"/>
      <x:c r="AF211" s="32"/>
      <x:c r="AG211" s="32"/>
      <x:c r="AH211" s="32"/>
      <x:c r="AI211" s="32"/>
      <x:c r="AJ211" s="32"/>
      <x:c r="AK211" s="32"/>
      <x:c r="AL211" s="32"/>
      <x:c r="AM211" s="32"/>
      <x:c r="AN211" s="32"/>
      <x:c r="AO211" s="32"/>
      <x:c r="AP211" s="32"/>
      <x:c r="AQ211" s="32"/>
      <x:c r="AR211" s="32"/>
      <x:c r="AS211" s="32"/>
      <x:c r="AT211" s="32"/>
      <x:c r="AU211" s="32"/>
      <x:c r="AV211" s="32"/>
      <x:c r="AW211" s="32"/>
      <x:c r="AX211" s="32"/>
      <x:c r="AZ211" s="32"/>
      <x:c r="BA211" s="32"/>
      <x:c r="BB211" s="32"/>
      <x:c r="BC211" s="32"/>
      <x:c r="BD211" s="32"/>
      <x:c r="BE211" s="32"/>
      <x:c r="BF211" s="32"/>
      <x:c r="BG211" s="32"/>
      <x:c r="BH211" s="32"/>
      <x:c r="BI211" s="32"/>
      <x:c r="BJ211" s="32"/>
      <x:c r="BK211" s="32"/>
      <x:c r="BL211" s="32"/>
      <x:c r="BM211" s="32"/>
    </x:row>
    <x:row r="212">
      <x:c r="A212" s="32"/>
      <x:c r="B212" s="32"/>
      <x:c r="C212" s="42"/>
      <x:c r="D212" s="32"/>
      <x:c r="E212" s="32"/>
      <x:c r="F212" s="32"/>
      <x:c r="G212" s="32"/>
      <x:c r="H212" s="32"/>
      <x:c r="I212" s="32"/>
      <x:c r="J212" s="32"/>
      <x:c r="K212" s="32"/>
      <x:c r="L212" s="32"/>
      <x:c r="M212" s="32"/>
      <x:c r="N212" s="32"/>
      <x:c r="O212" s="32"/>
      <x:c r="P212" s="32"/>
      <x:c r="Q212" s="32"/>
      <x:c r="R212" s="32"/>
      <x:c r="S212" s="32"/>
      <x:c r="T212" s="43" t="str">
        <x:f>IFERROR(S212/L212,"")</x:f>
      </x:c>
      <x:c r="U212" s="32"/>
      <x:c r="V212" s="32"/>
      <x:c r="W212" s="32"/>
      <x:c r="X212" s="32"/>
      <x:c r="Y212" s="32"/>
      <x:c r="Z212" s="32"/>
      <x:c r="AA212" s="32"/>
      <x:c r="AB212" s="32"/>
      <x:c r="AC212" s="32"/>
      <x:c r="AD212" s="32"/>
      <x:c r="AE212" s="32"/>
      <x:c r="AF212" s="32"/>
      <x:c r="AG212" s="32"/>
      <x:c r="AH212" s="32"/>
      <x:c r="AI212" s="32"/>
      <x:c r="AJ212" s="32"/>
      <x:c r="AK212" s="32"/>
      <x:c r="AL212" s="32"/>
      <x:c r="AM212" s="32"/>
      <x:c r="AN212" s="32"/>
      <x:c r="AO212" s="32"/>
      <x:c r="AP212" s="32"/>
      <x:c r="AQ212" s="32"/>
      <x:c r="AR212" s="32"/>
      <x:c r="AS212" s="32"/>
      <x:c r="AT212" s="32"/>
      <x:c r="AU212" s="32"/>
      <x:c r="AV212" s="32"/>
      <x:c r="AW212" s="32"/>
      <x:c r="AX212" s="32"/>
      <x:c r="AZ212" s="32"/>
      <x:c r="BA212" s="32"/>
      <x:c r="BB212" s="32"/>
      <x:c r="BC212" s="32"/>
      <x:c r="BD212" s="32"/>
      <x:c r="BE212" s="32"/>
      <x:c r="BF212" s="32"/>
      <x:c r="BG212" s="32"/>
      <x:c r="BH212" s="32"/>
      <x:c r="BI212" s="32"/>
      <x:c r="BJ212" s="32"/>
      <x:c r="BK212" s="32"/>
      <x:c r="BL212" s="32"/>
      <x:c r="BM212" s="32"/>
    </x:row>
    <x:row r="213">
      <x:c r="A213" s="32"/>
      <x:c r="B213" s="32"/>
      <x:c r="C213" s="42"/>
      <x:c r="D213" s="32"/>
      <x:c r="E213" s="32"/>
      <x:c r="F213" s="32"/>
      <x:c r="G213" s="32"/>
      <x:c r="H213" s="32"/>
      <x:c r="I213" s="32"/>
      <x:c r="J213" s="32"/>
      <x:c r="K213" s="32"/>
      <x:c r="L213" s="32"/>
      <x:c r="M213" s="32"/>
      <x:c r="N213" s="32"/>
      <x:c r="O213" s="32"/>
      <x:c r="P213" s="32"/>
      <x:c r="Q213" s="32"/>
      <x:c r="R213" s="32"/>
      <x:c r="S213" s="32"/>
      <x:c r="T213" s="43" t="str">
        <x:f>IFERROR(S213/L213,"")</x:f>
      </x:c>
      <x:c r="U213" s="32"/>
      <x:c r="V213" s="32"/>
      <x:c r="W213" s="32"/>
      <x:c r="X213" s="32"/>
      <x:c r="Y213" s="32"/>
      <x:c r="Z213" s="32"/>
      <x:c r="AA213" s="32"/>
      <x:c r="AB213" s="32"/>
      <x:c r="AC213" s="32"/>
      <x:c r="AD213" s="32"/>
      <x:c r="AE213" s="32"/>
      <x:c r="AF213" s="32"/>
      <x:c r="AG213" s="32"/>
      <x:c r="AH213" s="32"/>
      <x:c r="AI213" s="32"/>
      <x:c r="AJ213" s="32"/>
      <x:c r="AK213" s="32"/>
      <x:c r="AL213" s="32"/>
      <x:c r="AM213" s="32"/>
      <x:c r="AN213" s="32"/>
      <x:c r="AO213" s="32"/>
      <x:c r="AP213" s="32"/>
      <x:c r="AQ213" s="32"/>
      <x:c r="AR213" s="32"/>
      <x:c r="AS213" s="32"/>
      <x:c r="AT213" s="32"/>
      <x:c r="AU213" s="32"/>
      <x:c r="AV213" s="32"/>
      <x:c r="AW213" s="32"/>
      <x:c r="AX213" s="32"/>
      <x:c r="AZ213" s="32"/>
      <x:c r="BA213" s="32"/>
      <x:c r="BB213" s="32"/>
      <x:c r="BC213" s="32"/>
      <x:c r="BD213" s="32"/>
      <x:c r="BE213" s="32"/>
      <x:c r="BF213" s="32"/>
      <x:c r="BG213" s="32"/>
      <x:c r="BH213" s="32"/>
      <x:c r="BI213" s="32"/>
      <x:c r="BJ213" s="32"/>
      <x:c r="BK213" s="32"/>
      <x:c r="BL213" s="32"/>
      <x:c r="BM213" s="32"/>
    </x:row>
    <x:row r="214">
      <x:c r="A214" s="32"/>
      <x:c r="B214" s="32"/>
      <x:c r="C214" s="42"/>
      <x:c r="D214" s="32"/>
      <x:c r="E214" s="32"/>
      <x:c r="F214" s="32"/>
      <x:c r="G214" s="32"/>
      <x:c r="H214" s="32"/>
      <x:c r="I214" s="32"/>
      <x:c r="J214" s="32"/>
      <x:c r="K214" s="32"/>
      <x:c r="L214" s="32"/>
      <x:c r="M214" s="32"/>
      <x:c r="N214" s="32"/>
      <x:c r="O214" s="32"/>
      <x:c r="P214" s="32"/>
      <x:c r="Q214" s="32"/>
      <x:c r="R214" s="32"/>
      <x:c r="S214" s="32"/>
      <x:c r="T214" s="43" t="str">
        <x:f>IFERROR(S214/L214,"")</x:f>
      </x:c>
      <x:c r="U214" s="32"/>
      <x:c r="V214" s="32"/>
      <x:c r="W214" s="32"/>
      <x:c r="X214" s="32"/>
      <x:c r="Y214" s="32"/>
      <x:c r="Z214" s="32"/>
      <x:c r="AA214" s="32"/>
      <x:c r="AB214" s="32"/>
      <x:c r="AC214" s="32"/>
      <x:c r="AD214" s="32"/>
      <x:c r="AE214" s="32"/>
      <x:c r="AF214" s="32"/>
      <x:c r="AG214" s="32"/>
      <x:c r="AH214" s="32"/>
      <x:c r="AI214" s="32"/>
      <x:c r="AJ214" s="32"/>
      <x:c r="AK214" s="32"/>
      <x:c r="AL214" s="32"/>
      <x:c r="AM214" s="32"/>
      <x:c r="AN214" s="32"/>
      <x:c r="AO214" s="32"/>
      <x:c r="AP214" s="32"/>
      <x:c r="AQ214" s="32"/>
      <x:c r="AR214" s="32"/>
      <x:c r="AS214" s="32"/>
      <x:c r="AT214" s="32"/>
      <x:c r="AU214" s="32"/>
      <x:c r="AV214" s="32"/>
      <x:c r="AW214" s="32"/>
      <x:c r="AX214" s="32"/>
      <x:c r="AZ214" s="32"/>
      <x:c r="BA214" s="32"/>
      <x:c r="BB214" s="32"/>
      <x:c r="BC214" s="32"/>
      <x:c r="BD214" s="32"/>
      <x:c r="BE214" s="32"/>
      <x:c r="BF214" s="32"/>
      <x:c r="BG214" s="32"/>
      <x:c r="BH214" s="32"/>
      <x:c r="BI214" s="32"/>
      <x:c r="BJ214" s="32"/>
      <x:c r="BK214" s="32"/>
      <x:c r="BL214" s="32"/>
      <x:c r="BM214" s="32"/>
    </x:row>
    <x:row r="215">
      <x:c r="A215" s="32"/>
      <x:c r="B215" s="32"/>
      <x:c r="C215" s="42"/>
      <x:c r="D215" s="32"/>
      <x:c r="E215" s="32"/>
      <x:c r="F215" s="32"/>
      <x:c r="G215" s="32"/>
      <x:c r="H215" s="32"/>
      <x:c r="I215" s="32"/>
      <x:c r="J215" s="32"/>
      <x:c r="K215" s="32"/>
      <x:c r="L215" s="32"/>
      <x:c r="M215" s="32"/>
      <x:c r="N215" s="32"/>
      <x:c r="O215" s="32"/>
      <x:c r="P215" s="32"/>
      <x:c r="Q215" s="32"/>
      <x:c r="R215" s="32"/>
      <x:c r="S215" s="32"/>
      <x:c r="T215" s="43" t="str">
        <x:f>IFERROR(S215/L215,"")</x:f>
      </x:c>
      <x:c r="U215" s="32"/>
      <x:c r="V215" s="32"/>
      <x:c r="W215" s="32"/>
      <x:c r="X215" s="32"/>
      <x:c r="Y215" s="32"/>
      <x:c r="Z215" s="32"/>
      <x:c r="AA215" s="32"/>
      <x:c r="AB215" s="32"/>
      <x:c r="AC215" s="32"/>
      <x:c r="AD215" s="32"/>
      <x:c r="AE215" s="32"/>
      <x:c r="AF215" s="32"/>
      <x:c r="AG215" s="32"/>
      <x:c r="AH215" s="32"/>
      <x:c r="AI215" s="32"/>
      <x:c r="AJ215" s="32"/>
      <x:c r="AK215" s="32"/>
      <x:c r="AL215" s="32"/>
      <x:c r="AM215" s="32"/>
      <x:c r="AN215" s="32"/>
      <x:c r="AO215" s="32"/>
      <x:c r="AP215" s="32"/>
      <x:c r="AQ215" s="32"/>
      <x:c r="AR215" s="32"/>
      <x:c r="AS215" s="32"/>
      <x:c r="AT215" s="32"/>
      <x:c r="AU215" s="32"/>
      <x:c r="AV215" s="32"/>
      <x:c r="AW215" s="32"/>
      <x:c r="AX215" s="32"/>
      <x:c r="AZ215" s="32"/>
      <x:c r="BA215" s="32"/>
      <x:c r="BB215" s="32"/>
      <x:c r="BC215" s="32"/>
      <x:c r="BD215" s="32"/>
      <x:c r="BE215" s="32"/>
      <x:c r="BF215" s="32"/>
      <x:c r="BG215" s="32"/>
      <x:c r="BH215" s="32"/>
      <x:c r="BI215" s="32"/>
      <x:c r="BJ215" s="32"/>
      <x:c r="BK215" s="32"/>
      <x:c r="BL215" s="32"/>
      <x:c r="BM215" s="32"/>
    </x:row>
    <x:row r="216">
      <x:c r="A216" s="32"/>
      <x:c r="B216" s="32"/>
      <x:c r="C216" s="42"/>
      <x:c r="D216" s="32"/>
      <x:c r="E216" s="32"/>
      <x:c r="F216" s="32"/>
      <x:c r="G216" s="32"/>
      <x:c r="H216" s="32"/>
      <x:c r="I216" s="32"/>
      <x:c r="J216" s="32"/>
      <x:c r="K216" s="32"/>
      <x:c r="L216" s="32"/>
      <x:c r="M216" s="32"/>
      <x:c r="N216" s="32"/>
      <x:c r="O216" s="32"/>
      <x:c r="P216" s="32"/>
      <x:c r="Q216" s="32"/>
      <x:c r="R216" s="32"/>
      <x:c r="S216" s="32"/>
      <x:c r="T216" s="43" t="str">
        <x:f>IFERROR(S216/L216,"")</x:f>
      </x:c>
      <x:c r="U216" s="32"/>
      <x:c r="V216" s="32"/>
      <x:c r="W216" s="32"/>
      <x:c r="X216" s="32"/>
      <x:c r="Y216" s="32"/>
      <x:c r="Z216" s="32"/>
      <x:c r="AA216" s="32"/>
      <x:c r="AB216" s="32"/>
      <x:c r="AC216" s="32"/>
      <x:c r="AD216" s="32"/>
      <x:c r="AE216" s="32"/>
      <x:c r="AF216" s="32"/>
      <x:c r="AG216" s="32"/>
      <x:c r="AH216" s="32"/>
      <x:c r="AI216" s="32"/>
      <x:c r="AJ216" s="32"/>
      <x:c r="AK216" s="32"/>
      <x:c r="AL216" s="32"/>
      <x:c r="AM216" s="32"/>
      <x:c r="AN216" s="32"/>
      <x:c r="AO216" s="32"/>
      <x:c r="AP216" s="32"/>
      <x:c r="AQ216" s="32"/>
      <x:c r="AR216" s="32"/>
      <x:c r="AS216" s="32"/>
      <x:c r="AT216" s="32"/>
      <x:c r="AU216" s="32"/>
      <x:c r="AV216" s="32"/>
      <x:c r="AW216" s="32"/>
      <x:c r="AX216" s="32"/>
      <x:c r="AZ216" s="32"/>
      <x:c r="BA216" s="32"/>
      <x:c r="BB216" s="32"/>
      <x:c r="BC216" s="32"/>
      <x:c r="BD216" s="32"/>
      <x:c r="BE216" s="32"/>
      <x:c r="BF216" s="32"/>
      <x:c r="BG216" s="32"/>
      <x:c r="BH216" s="32"/>
      <x:c r="BI216" s="32"/>
      <x:c r="BJ216" s="32"/>
      <x:c r="BK216" s="32"/>
      <x:c r="BL216" s="32"/>
      <x:c r="BM216" s="32"/>
    </x:row>
    <x:row r="217">
      <x:c r="A217" s="32"/>
      <x:c r="B217" s="32"/>
      <x:c r="C217" s="42"/>
      <x:c r="D217" s="32"/>
      <x:c r="E217" s="32"/>
      <x:c r="F217" s="32"/>
      <x:c r="G217" s="32"/>
      <x:c r="H217" s="32"/>
      <x:c r="I217" s="32"/>
      <x:c r="J217" s="32"/>
      <x:c r="K217" s="32"/>
      <x:c r="L217" s="32"/>
      <x:c r="M217" s="32"/>
      <x:c r="N217" s="32"/>
      <x:c r="O217" s="32"/>
      <x:c r="P217" s="32"/>
      <x:c r="Q217" s="32"/>
      <x:c r="R217" s="32"/>
      <x:c r="S217" s="32"/>
      <x:c r="T217" s="43" t="str">
        <x:f>IFERROR(S217/L217,"")</x:f>
      </x:c>
      <x:c r="U217" s="32"/>
      <x:c r="V217" s="32"/>
      <x:c r="W217" s="32"/>
      <x:c r="X217" s="32"/>
      <x:c r="Y217" s="32"/>
      <x:c r="Z217" s="32"/>
      <x:c r="AA217" s="32"/>
      <x:c r="AB217" s="32"/>
      <x:c r="AC217" s="32"/>
      <x:c r="AD217" s="32"/>
      <x:c r="AE217" s="32"/>
      <x:c r="AF217" s="32"/>
      <x:c r="AG217" s="32"/>
      <x:c r="AH217" s="32"/>
      <x:c r="AI217" s="32"/>
      <x:c r="AJ217" s="32"/>
      <x:c r="AK217" s="32"/>
      <x:c r="AL217" s="32"/>
      <x:c r="AM217" s="32"/>
      <x:c r="AN217" s="32"/>
      <x:c r="AO217" s="32"/>
      <x:c r="AP217" s="32"/>
      <x:c r="AQ217" s="32"/>
      <x:c r="AR217" s="32"/>
      <x:c r="AS217" s="32"/>
      <x:c r="AT217" s="32"/>
      <x:c r="AU217" s="32"/>
      <x:c r="AV217" s="32"/>
      <x:c r="AW217" s="32"/>
      <x:c r="AX217" s="32"/>
      <x:c r="AZ217" s="32"/>
      <x:c r="BA217" s="32"/>
      <x:c r="BB217" s="32"/>
      <x:c r="BC217" s="32"/>
      <x:c r="BD217" s="32"/>
      <x:c r="BE217" s="32"/>
      <x:c r="BF217" s="32"/>
      <x:c r="BG217" s="32"/>
      <x:c r="BH217" s="32"/>
      <x:c r="BI217" s="32"/>
      <x:c r="BJ217" s="32"/>
      <x:c r="BK217" s="32"/>
      <x:c r="BL217" s="32"/>
      <x:c r="BM217" s="32"/>
    </x:row>
    <x:row r="218">
      <x:c r="A218" s="32"/>
      <x:c r="B218" s="32"/>
      <x:c r="C218" s="42"/>
      <x:c r="D218" s="32"/>
      <x:c r="E218" s="32"/>
      <x:c r="F218" s="32"/>
      <x:c r="G218" s="32"/>
      <x:c r="H218" s="32"/>
      <x:c r="I218" s="32"/>
      <x:c r="J218" s="32"/>
      <x:c r="K218" s="32"/>
      <x:c r="L218" s="32"/>
      <x:c r="M218" s="32"/>
      <x:c r="N218" s="32"/>
      <x:c r="O218" s="32"/>
      <x:c r="P218" s="32"/>
      <x:c r="Q218" s="32"/>
      <x:c r="R218" s="32"/>
      <x:c r="S218" s="32"/>
      <x:c r="T218" s="43" t="str">
        <x:f>IFERROR(S218/L218,"")</x:f>
      </x:c>
      <x:c r="U218" s="32"/>
      <x:c r="V218" s="32"/>
      <x:c r="W218" s="32"/>
      <x:c r="X218" s="32"/>
      <x:c r="Y218" s="32"/>
      <x:c r="Z218" s="32"/>
      <x:c r="AA218" s="32"/>
      <x:c r="AB218" s="32"/>
      <x:c r="AC218" s="32"/>
      <x:c r="AD218" s="32"/>
      <x:c r="AE218" s="32"/>
      <x:c r="AF218" s="32"/>
      <x:c r="AG218" s="32"/>
      <x:c r="AH218" s="32"/>
      <x:c r="AI218" s="32"/>
      <x:c r="AJ218" s="32"/>
      <x:c r="AK218" s="32"/>
      <x:c r="AL218" s="32"/>
      <x:c r="AM218" s="32"/>
      <x:c r="AN218" s="32"/>
      <x:c r="AO218" s="32"/>
      <x:c r="AP218" s="32"/>
      <x:c r="AQ218" s="32"/>
      <x:c r="AR218" s="32"/>
      <x:c r="AS218" s="32"/>
      <x:c r="AT218" s="32"/>
      <x:c r="AU218" s="32"/>
      <x:c r="AV218" s="32"/>
      <x:c r="AW218" s="32"/>
      <x:c r="AX218" s="32"/>
      <x:c r="AZ218" s="32"/>
      <x:c r="BA218" s="32"/>
      <x:c r="BB218" s="32"/>
      <x:c r="BC218" s="32"/>
      <x:c r="BD218" s="32"/>
      <x:c r="BE218" s="32"/>
      <x:c r="BF218" s="32"/>
      <x:c r="BG218" s="32"/>
      <x:c r="BH218" s="32"/>
      <x:c r="BI218" s="32"/>
      <x:c r="BJ218" s="32"/>
      <x:c r="BK218" s="32"/>
      <x:c r="BL218" s="32"/>
      <x:c r="BM218" s="32"/>
    </x:row>
    <x:row r="219">
      <x:c r="A219" s="32"/>
      <x:c r="B219" s="32"/>
      <x:c r="C219" s="42"/>
      <x:c r="D219" s="32"/>
      <x:c r="E219" s="32"/>
      <x:c r="F219" s="32"/>
      <x:c r="G219" s="32"/>
      <x:c r="H219" s="32"/>
      <x:c r="I219" s="32"/>
      <x:c r="J219" s="32"/>
      <x:c r="K219" s="32"/>
      <x:c r="L219" s="32"/>
      <x:c r="M219" s="32"/>
      <x:c r="N219" s="32"/>
      <x:c r="O219" s="32"/>
      <x:c r="P219" s="32"/>
      <x:c r="Q219" s="32"/>
      <x:c r="R219" s="32"/>
      <x:c r="S219" s="32"/>
      <x:c r="T219" s="43" t="str">
        <x:f>IFERROR(S219/L219,"")</x:f>
      </x:c>
      <x:c r="U219" s="32"/>
      <x:c r="V219" s="32"/>
      <x:c r="W219" s="32"/>
      <x:c r="X219" s="32"/>
      <x:c r="Y219" s="32"/>
      <x:c r="Z219" s="32"/>
      <x:c r="AA219" s="32"/>
      <x:c r="AB219" s="32"/>
      <x:c r="AC219" s="32"/>
      <x:c r="AD219" s="32"/>
      <x:c r="AE219" s="32"/>
      <x:c r="AF219" s="32"/>
      <x:c r="AG219" s="32"/>
      <x:c r="AH219" s="32"/>
      <x:c r="AI219" s="32"/>
      <x:c r="AJ219" s="32"/>
      <x:c r="AK219" s="32"/>
      <x:c r="AL219" s="32"/>
      <x:c r="AM219" s="32"/>
      <x:c r="AN219" s="32"/>
      <x:c r="AO219" s="32"/>
      <x:c r="AP219" s="32"/>
      <x:c r="AQ219" s="32"/>
      <x:c r="AR219" s="32"/>
      <x:c r="AS219" s="32"/>
      <x:c r="AT219" s="32"/>
      <x:c r="AU219" s="32"/>
      <x:c r="AV219" s="32"/>
      <x:c r="AW219" s="32"/>
      <x:c r="AX219" s="32"/>
      <x:c r="AZ219" s="32"/>
      <x:c r="BA219" s="32"/>
      <x:c r="BB219" s="32"/>
      <x:c r="BC219" s="32"/>
      <x:c r="BD219" s="32"/>
      <x:c r="BE219" s="32"/>
      <x:c r="BF219" s="32"/>
      <x:c r="BG219" s="32"/>
      <x:c r="BH219" s="32"/>
      <x:c r="BI219" s="32"/>
      <x:c r="BJ219" s="32"/>
      <x:c r="BK219" s="32"/>
      <x:c r="BL219" s="32"/>
      <x:c r="BM219" s="32"/>
    </x:row>
    <x:row r="220">
      <x:c r="A220" s="32"/>
      <x:c r="B220" s="32"/>
      <x:c r="C220" s="42"/>
      <x:c r="D220" s="32"/>
      <x:c r="E220" s="32"/>
      <x:c r="F220" s="32"/>
      <x:c r="G220" s="32"/>
      <x:c r="H220" s="32"/>
      <x:c r="I220" s="32"/>
      <x:c r="J220" s="32"/>
      <x:c r="K220" s="32"/>
      <x:c r="L220" s="32"/>
      <x:c r="M220" s="32"/>
      <x:c r="N220" s="32"/>
      <x:c r="O220" s="32"/>
      <x:c r="P220" s="32"/>
      <x:c r="Q220" s="32"/>
      <x:c r="R220" s="32"/>
      <x:c r="S220" s="32"/>
      <x:c r="T220" s="43" t="str">
        <x:f>IFERROR(S220/L220,"")</x:f>
      </x:c>
      <x:c r="U220" s="32"/>
      <x:c r="V220" s="32"/>
      <x:c r="W220" s="32"/>
      <x:c r="X220" s="32"/>
      <x:c r="Y220" s="32"/>
      <x:c r="Z220" s="32"/>
      <x:c r="AA220" s="32"/>
      <x:c r="AB220" s="32"/>
      <x:c r="AC220" s="32"/>
      <x:c r="AD220" s="32"/>
      <x:c r="AE220" s="32"/>
      <x:c r="AF220" s="32"/>
      <x:c r="AG220" s="32"/>
      <x:c r="AH220" s="32"/>
      <x:c r="AI220" s="32"/>
      <x:c r="AJ220" s="32"/>
      <x:c r="AK220" s="32"/>
      <x:c r="AL220" s="32"/>
      <x:c r="AM220" s="32"/>
      <x:c r="AN220" s="32"/>
      <x:c r="AO220" s="32"/>
      <x:c r="AP220" s="32"/>
      <x:c r="AQ220" s="32"/>
      <x:c r="AR220" s="32"/>
      <x:c r="AS220" s="32"/>
      <x:c r="AT220" s="32"/>
      <x:c r="AU220" s="32"/>
      <x:c r="AV220" s="32"/>
      <x:c r="AW220" s="32"/>
      <x:c r="AX220" s="32"/>
      <x:c r="AZ220" s="32"/>
      <x:c r="BA220" s="32"/>
      <x:c r="BB220" s="32"/>
      <x:c r="BC220" s="32"/>
      <x:c r="BD220" s="32"/>
      <x:c r="BE220" s="32"/>
      <x:c r="BF220" s="32"/>
      <x:c r="BG220" s="32"/>
      <x:c r="BH220" s="32"/>
      <x:c r="BI220" s="32"/>
      <x:c r="BJ220" s="32"/>
      <x:c r="BK220" s="32"/>
      <x:c r="BL220" s="32"/>
      <x:c r="BM220" s="32"/>
    </x:row>
    <x:row r="221">
      <x:c r="A221" s="32"/>
      <x:c r="B221" s="32"/>
      <x:c r="C221" s="42"/>
      <x:c r="D221" s="32"/>
      <x:c r="E221" s="32"/>
      <x:c r="F221" s="32"/>
      <x:c r="G221" s="32"/>
      <x:c r="H221" s="32"/>
      <x:c r="I221" s="32"/>
      <x:c r="J221" s="32"/>
      <x:c r="K221" s="32"/>
      <x:c r="L221" s="32"/>
      <x:c r="M221" s="32"/>
      <x:c r="N221" s="32"/>
      <x:c r="O221" s="32"/>
      <x:c r="P221" s="32"/>
      <x:c r="Q221" s="32"/>
      <x:c r="R221" s="32"/>
      <x:c r="S221" s="32"/>
      <x:c r="T221" s="43" t="str">
        <x:f>IFERROR(S221/L221,"")</x:f>
      </x:c>
      <x:c r="U221" s="32"/>
      <x:c r="V221" s="32"/>
      <x:c r="W221" s="32"/>
      <x:c r="X221" s="32"/>
      <x:c r="Y221" s="32"/>
      <x:c r="Z221" s="32"/>
      <x:c r="AA221" s="32"/>
      <x:c r="AB221" s="32"/>
      <x:c r="AC221" s="32"/>
      <x:c r="AD221" s="32"/>
      <x:c r="AE221" s="32"/>
      <x:c r="AF221" s="32"/>
      <x:c r="AG221" s="32"/>
      <x:c r="AH221" s="32"/>
      <x:c r="AI221" s="32"/>
      <x:c r="AJ221" s="32"/>
      <x:c r="AK221" s="32"/>
      <x:c r="AL221" s="32"/>
      <x:c r="AM221" s="32"/>
      <x:c r="AN221" s="32"/>
      <x:c r="AO221" s="32"/>
      <x:c r="AP221" s="32"/>
      <x:c r="AQ221" s="32"/>
      <x:c r="AR221" s="32"/>
      <x:c r="AS221" s="32"/>
      <x:c r="AT221" s="32"/>
      <x:c r="AU221" s="32"/>
      <x:c r="AV221" s="32"/>
      <x:c r="AW221" s="32"/>
      <x:c r="AX221" s="32"/>
      <x:c r="AZ221" s="32"/>
      <x:c r="BA221" s="32"/>
      <x:c r="BB221" s="32"/>
      <x:c r="BC221" s="32"/>
      <x:c r="BD221" s="32"/>
      <x:c r="BE221" s="32"/>
      <x:c r="BF221" s="32"/>
      <x:c r="BG221" s="32"/>
      <x:c r="BH221" s="32"/>
      <x:c r="BI221" s="32"/>
      <x:c r="BJ221" s="32"/>
      <x:c r="BK221" s="32"/>
      <x:c r="BL221" s="32"/>
      <x:c r="BM221" s="32"/>
    </x:row>
    <x:row r="222">
      <x:c r="A222" s="32"/>
      <x:c r="B222" s="32"/>
      <x:c r="C222" s="42"/>
      <x:c r="D222" s="32"/>
      <x:c r="E222" s="32"/>
      <x:c r="F222" s="32"/>
      <x:c r="G222" s="32"/>
      <x:c r="H222" s="32"/>
      <x:c r="I222" s="32"/>
      <x:c r="J222" s="32"/>
      <x:c r="K222" s="32"/>
      <x:c r="L222" s="32"/>
      <x:c r="M222" s="32"/>
      <x:c r="N222" s="32"/>
      <x:c r="O222" s="32"/>
      <x:c r="P222" s="32"/>
      <x:c r="Q222" s="32"/>
      <x:c r="R222" s="32"/>
      <x:c r="S222" s="32"/>
      <x:c r="T222" s="43" t="str">
        <x:f>IFERROR(S222/L222,"")</x:f>
      </x:c>
      <x:c r="U222" s="32"/>
      <x:c r="V222" s="32"/>
      <x:c r="W222" s="32"/>
      <x:c r="X222" s="32"/>
      <x:c r="Y222" s="32"/>
      <x:c r="Z222" s="32"/>
      <x:c r="AA222" s="32"/>
      <x:c r="AB222" s="32"/>
      <x:c r="AC222" s="32"/>
      <x:c r="AD222" s="32"/>
      <x:c r="AE222" s="32"/>
      <x:c r="AF222" s="32"/>
      <x:c r="AG222" s="32"/>
      <x:c r="AH222" s="32"/>
      <x:c r="AI222" s="32"/>
      <x:c r="AJ222" s="32"/>
      <x:c r="AK222" s="32"/>
      <x:c r="AL222" s="32"/>
      <x:c r="AM222" s="32"/>
      <x:c r="AN222" s="32"/>
      <x:c r="AO222" s="32"/>
      <x:c r="AP222" s="32"/>
      <x:c r="AQ222" s="32"/>
      <x:c r="AR222" s="32"/>
      <x:c r="AS222" s="32"/>
      <x:c r="AT222" s="32"/>
      <x:c r="AU222" s="32"/>
      <x:c r="AV222" s="32"/>
      <x:c r="AW222" s="32"/>
      <x:c r="AX222" s="32"/>
      <x:c r="AZ222" s="32"/>
      <x:c r="BA222" s="32"/>
      <x:c r="BB222" s="32"/>
      <x:c r="BC222" s="32"/>
      <x:c r="BD222" s="32"/>
      <x:c r="BE222" s="32"/>
      <x:c r="BF222" s="32"/>
      <x:c r="BG222" s="32"/>
      <x:c r="BH222" s="32"/>
      <x:c r="BI222" s="32"/>
      <x:c r="BJ222" s="32"/>
      <x:c r="BK222" s="32"/>
      <x:c r="BL222" s="32"/>
      <x:c r="BM222" s="32"/>
    </x:row>
    <x:row r="223">
      <x:c r="A223" s="32"/>
      <x:c r="B223" s="32"/>
      <x:c r="C223" s="42"/>
      <x:c r="D223" s="32"/>
      <x:c r="E223" s="32"/>
      <x:c r="F223" s="32"/>
      <x:c r="G223" s="32"/>
      <x:c r="H223" s="32"/>
      <x:c r="I223" s="32"/>
      <x:c r="J223" s="32"/>
      <x:c r="K223" s="32"/>
      <x:c r="L223" s="32"/>
      <x:c r="M223" s="32"/>
      <x:c r="N223" s="32"/>
      <x:c r="O223" s="32"/>
      <x:c r="P223" s="32"/>
      <x:c r="Q223" s="32"/>
      <x:c r="R223" s="32"/>
      <x:c r="S223" s="32"/>
      <x:c r="T223" s="43" t="str">
        <x:f>IFERROR(S223/L223,"")</x:f>
      </x:c>
      <x:c r="U223" s="32"/>
      <x:c r="V223" s="32"/>
      <x:c r="W223" s="32"/>
      <x:c r="X223" s="32"/>
      <x:c r="Y223" s="32"/>
      <x:c r="Z223" s="32"/>
      <x:c r="AA223" s="32"/>
      <x:c r="AB223" s="32"/>
      <x:c r="AC223" s="32"/>
      <x:c r="AD223" s="32"/>
      <x:c r="AE223" s="32"/>
      <x:c r="AF223" s="32"/>
      <x:c r="AG223" s="32"/>
      <x:c r="AH223" s="32"/>
      <x:c r="AI223" s="32"/>
      <x:c r="AJ223" s="32"/>
      <x:c r="AK223" s="32"/>
      <x:c r="AL223" s="32"/>
      <x:c r="AM223" s="32"/>
      <x:c r="AN223" s="32"/>
      <x:c r="AO223" s="32"/>
      <x:c r="AP223" s="32"/>
      <x:c r="AQ223" s="32"/>
      <x:c r="AR223" s="32"/>
      <x:c r="AS223" s="32"/>
      <x:c r="AT223" s="32"/>
      <x:c r="AU223" s="32"/>
      <x:c r="AV223" s="32"/>
      <x:c r="AW223" s="32"/>
      <x:c r="AX223" s="32"/>
      <x:c r="AZ223" s="32"/>
      <x:c r="BA223" s="32"/>
      <x:c r="BB223" s="32"/>
      <x:c r="BC223" s="32"/>
      <x:c r="BD223" s="32"/>
      <x:c r="BE223" s="32"/>
      <x:c r="BF223" s="32"/>
      <x:c r="BG223" s="32"/>
      <x:c r="BH223" s="32"/>
      <x:c r="BI223" s="32"/>
      <x:c r="BJ223" s="32"/>
      <x:c r="BK223" s="32"/>
      <x:c r="BL223" s="32"/>
      <x:c r="BM223" s="32"/>
    </x:row>
    <x:row r="224">
      <x:c r="A224" s="32"/>
      <x:c r="B224" s="32"/>
      <x:c r="C224" s="42"/>
      <x:c r="D224" s="32"/>
      <x:c r="E224" s="32"/>
      <x:c r="F224" s="32"/>
      <x:c r="G224" s="32"/>
      <x:c r="H224" s="32"/>
      <x:c r="I224" s="32"/>
      <x:c r="J224" s="32"/>
      <x:c r="K224" s="32"/>
      <x:c r="L224" s="32"/>
      <x:c r="M224" s="32"/>
      <x:c r="N224" s="32"/>
      <x:c r="O224" s="32"/>
      <x:c r="P224" s="32"/>
      <x:c r="Q224" s="32"/>
      <x:c r="R224" s="32"/>
      <x:c r="S224" s="32"/>
      <x:c r="T224" s="43" t="str">
        <x:f>IFERROR(S224/L224,"")</x:f>
      </x:c>
      <x:c r="U224" s="32"/>
      <x:c r="V224" s="32"/>
      <x:c r="W224" s="32"/>
      <x:c r="X224" s="32"/>
      <x:c r="Y224" s="32"/>
      <x:c r="Z224" s="32"/>
      <x:c r="AA224" s="32"/>
      <x:c r="AB224" s="32"/>
      <x:c r="AC224" s="32"/>
      <x:c r="AD224" s="32"/>
      <x:c r="AE224" s="32"/>
      <x:c r="AF224" s="32"/>
      <x:c r="AG224" s="32"/>
      <x:c r="AH224" s="32"/>
      <x:c r="AI224" s="32"/>
      <x:c r="AJ224" s="32"/>
      <x:c r="AK224" s="32"/>
      <x:c r="AL224" s="32"/>
      <x:c r="AM224" s="32"/>
      <x:c r="AN224" s="32"/>
      <x:c r="AO224" s="32"/>
      <x:c r="AP224" s="32"/>
      <x:c r="AQ224" s="32"/>
      <x:c r="AR224" s="32"/>
      <x:c r="AS224" s="32"/>
      <x:c r="AT224" s="32"/>
      <x:c r="AU224" s="32"/>
      <x:c r="AV224" s="32"/>
      <x:c r="AW224" s="32"/>
      <x:c r="AX224" s="32"/>
      <x:c r="AZ224" s="32"/>
      <x:c r="BA224" s="32"/>
      <x:c r="BB224" s="32"/>
      <x:c r="BC224" s="32"/>
      <x:c r="BD224" s="32"/>
      <x:c r="BE224" s="32"/>
      <x:c r="BF224" s="32"/>
      <x:c r="BG224" s="32"/>
      <x:c r="BH224" s="32"/>
      <x:c r="BI224" s="32"/>
      <x:c r="BJ224" s="32"/>
      <x:c r="BK224" s="32"/>
      <x:c r="BL224" s="32"/>
      <x:c r="BM224" s="32"/>
    </x:row>
    <x:row r="225">
      <x:c r="A225" s="32"/>
      <x:c r="B225" s="32"/>
      <x:c r="C225" s="42"/>
      <x:c r="D225" s="32"/>
      <x:c r="E225" s="32"/>
      <x:c r="F225" s="32"/>
      <x:c r="G225" s="32"/>
      <x:c r="H225" s="32"/>
      <x:c r="I225" s="32"/>
      <x:c r="J225" s="32"/>
      <x:c r="K225" s="32"/>
      <x:c r="L225" s="32"/>
      <x:c r="M225" s="32"/>
      <x:c r="N225" s="32"/>
      <x:c r="O225" s="32"/>
      <x:c r="P225" s="32"/>
      <x:c r="Q225" s="32"/>
      <x:c r="R225" s="32"/>
      <x:c r="S225" s="32"/>
      <x:c r="T225" s="43" t="str">
        <x:f>IFERROR(S225/L225,"")</x:f>
      </x:c>
      <x:c r="U225" s="32"/>
      <x:c r="V225" s="32"/>
      <x:c r="W225" s="32"/>
      <x:c r="X225" s="32"/>
      <x:c r="Y225" s="32"/>
      <x:c r="Z225" s="32"/>
      <x:c r="AA225" s="32"/>
      <x:c r="AB225" s="32"/>
      <x:c r="AC225" s="32"/>
      <x:c r="AD225" s="32"/>
      <x:c r="AE225" s="32"/>
      <x:c r="AF225" s="32"/>
      <x:c r="AG225" s="32"/>
      <x:c r="AH225" s="32"/>
      <x:c r="AI225" s="32"/>
      <x:c r="AJ225" s="32"/>
      <x:c r="AK225" s="32"/>
      <x:c r="AL225" s="32"/>
      <x:c r="AM225" s="32"/>
      <x:c r="AN225" s="32"/>
      <x:c r="AO225" s="32"/>
      <x:c r="AP225" s="32"/>
      <x:c r="AQ225" s="32"/>
      <x:c r="AR225" s="32"/>
      <x:c r="AS225" s="32"/>
      <x:c r="AT225" s="32"/>
      <x:c r="AU225" s="32"/>
      <x:c r="AV225" s="32"/>
      <x:c r="AW225" s="32"/>
      <x:c r="AX225" s="32"/>
      <x:c r="AZ225" s="32"/>
      <x:c r="BA225" s="32"/>
      <x:c r="BB225" s="32"/>
      <x:c r="BC225" s="32"/>
      <x:c r="BD225" s="32"/>
      <x:c r="BE225" s="32"/>
      <x:c r="BF225" s="32"/>
      <x:c r="BG225" s="32"/>
      <x:c r="BH225" s="32"/>
      <x:c r="BI225" s="32"/>
      <x:c r="BJ225" s="32"/>
      <x:c r="BK225" s="32"/>
      <x:c r="BL225" s="32"/>
      <x:c r="BM225" s="32"/>
    </x:row>
    <x:row r="226">
      <x:c r="A226" s="32"/>
      <x:c r="B226" s="32"/>
      <x:c r="C226" s="42"/>
      <x:c r="D226" s="32"/>
      <x:c r="E226" s="32"/>
      <x:c r="F226" s="32"/>
      <x:c r="G226" s="32"/>
      <x:c r="H226" s="32"/>
      <x:c r="I226" s="32"/>
      <x:c r="J226" s="32"/>
      <x:c r="K226" s="32"/>
      <x:c r="L226" s="32"/>
      <x:c r="M226" s="32"/>
      <x:c r="N226" s="32"/>
      <x:c r="O226" s="32"/>
      <x:c r="P226" s="32"/>
      <x:c r="Q226" s="32"/>
      <x:c r="R226" s="32"/>
      <x:c r="S226" s="32"/>
      <x:c r="T226" s="43" t="str">
        <x:f>IFERROR(S226/L226,"")</x:f>
      </x:c>
      <x:c r="U226" s="32"/>
      <x:c r="V226" s="32"/>
      <x:c r="W226" s="32"/>
      <x:c r="X226" s="32"/>
      <x:c r="Y226" s="32"/>
      <x:c r="Z226" s="32"/>
      <x:c r="AA226" s="32"/>
      <x:c r="AB226" s="32"/>
      <x:c r="AC226" s="32"/>
      <x:c r="AD226" s="32"/>
      <x:c r="AE226" s="32"/>
      <x:c r="AF226" s="32"/>
      <x:c r="AG226" s="32"/>
      <x:c r="AH226" s="32"/>
      <x:c r="AI226" s="32"/>
      <x:c r="AJ226" s="32"/>
      <x:c r="AK226" s="32"/>
      <x:c r="AL226" s="32"/>
      <x:c r="AM226" s="32"/>
      <x:c r="AN226" s="32"/>
      <x:c r="AO226" s="32"/>
      <x:c r="AP226" s="32"/>
      <x:c r="AQ226" s="32"/>
      <x:c r="AR226" s="32"/>
      <x:c r="AS226" s="32"/>
      <x:c r="AT226" s="32"/>
      <x:c r="AU226" s="32"/>
      <x:c r="AV226" s="32"/>
      <x:c r="AW226" s="32"/>
      <x:c r="AX226" s="32"/>
      <x:c r="AZ226" s="32"/>
      <x:c r="BA226" s="32"/>
      <x:c r="BB226" s="32"/>
      <x:c r="BC226" s="32"/>
      <x:c r="BD226" s="32"/>
      <x:c r="BE226" s="32"/>
      <x:c r="BF226" s="32"/>
      <x:c r="BG226" s="32"/>
      <x:c r="BH226" s="32"/>
      <x:c r="BI226" s="32"/>
      <x:c r="BJ226" s="32"/>
      <x:c r="BK226" s="32"/>
      <x:c r="BL226" s="32"/>
      <x:c r="BM226" s="32"/>
    </x:row>
    <x:row r="227">
      <x:c r="A227" s="32"/>
      <x:c r="B227" s="32"/>
      <x:c r="C227" s="42"/>
      <x:c r="D227" s="32"/>
      <x:c r="E227" s="32"/>
      <x:c r="F227" s="32"/>
      <x:c r="G227" s="32"/>
      <x:c r="H227" s="32"/>
      <x:c r="I227" s="32"/>
      <x:c r="J227" s="32"/>
      <x:c r="K227" s="32"/>
      <x:c r="L227" s="32"/>
      <x:c r="M227" s="32"/>
      <x:c r="N227" s="32"/>
      <x:c r="O227" s="32"/>
      <x:c r="P227" s="32"/>
      <x:c r="Q227" s="32"/>
      <x:c r="R227" s="32"/>
      <x:c r="S227" s="32"/>
      <x:c r="T227" s="43" t="str">
        <x:f>IFERROR(S227/L227,"")</x:f>
      </x:c>
      <x:c r="U227" s="32"/>
      <x:c r="V227" s="32"/>
      <x:c r="W227" s="32"/>
      <x:c r="X227" s="32"/>
      <x:c r="Y227" s="32"/>
      <x:c r="Z227" s="32"/>
      <x:c r="AA227" s="32"/>
      <x:c r="AB227" s="32"/>
      <x:c r="AC227" s="32"/>
      <x:c r="AD227" s="32"/>
      <x:c r="AE227" s="32"/>
      <x:c r="AF227" s="32"/>
      <x:c r="AG227" s="32"/>
      <x:c r="AH227" s="32"/>
      <x:c r="AI227" s="32"/>
      <x:c r="AJ227" s="32"/>
      <x:c r="AK227" s="32"/>
      <x:c r="AL227" s="32"/>
      <x:c r="AM227" s="32"/>
      <x:c r="AN227" s="32"/>
      <x:c r="AO227" s="32"/>
      <x:c r="AP227" s="32"/>
      <x:c r="AQ227" s="32"/>
      <x:c r="AR227" s="32"/>
      <x:c r="AS227" s="32"/>
      <x:c r="AT227" s="32"/>
      <x:c r="AU227" s="32"/>
      <x:c r="AV227" s="32"/>
      <x:c r="AW227" s="32"/>
      <x:c r="AX227" s="32"/>
      <x:c r="AZ227" s="32"/>
      <x:c r="BA227" s="32"/>
      <x:c r="BB227" s="32"/>
      <x:c r="BC227" s="32"/>
      <x:c r="BD227" s="32"/>
      <x:c r="BE227" s="32"/>
      <x:c r="BF227" s="32"/>
      <x:c r="BG227" s="32"/>
      <x:c r="BH227" s="32"/>
      <x:c r="BI227" s="32"/>
      <x:c r="BJ227" s="32"/>
      <x:c r="BK227" s="32"/>
      <x:c r="BL227" s="32"/>
      <x:c r="BM227" s="32"/>
    </x:row>
    <x:row r="228">
      <x:c r="A228" s="32"/>
      <x:c r="B228" s="32"/>
      <x:c r="C228" s="42"/>
      <x:c r="D228" s="32"/>
      <x:c r="E228" s="32"/>
      <x:c r="F228" s="32"/>
      <x:c r="G228" s="32"/>
      <x:c r="H228" s="32"/>
      <x:c r="I228" s="32"/>
      <x:c r="J228" s="32"/>
      <x:c r="K228" s="32"/>
      <x:c r="L228" s="32"/>
      <x:c r="M228" s="32"/>
      <x:c r="N228" s="32"/>
      <x:c r="O228" s="32"/>
      <x:c r="P228" s="32"/>
      <x:c r="Q228" s="32"/>
      <x:c r="R228" s="32"/>
      <x:c r="S228" s="32"/>
      <x:c r="T228" s="43" t="str">
        <x:f>IFERROR(S228/L228,"")</x:f>
      </x:c>
      <x:c r="U228" s="32"/>
      <x:c r="V228" s="32"/>
      <x:c r="W228" s="32"/>
      <x:c r="X228" s="32"/>
      <x:c r="Y228" s="32"/>
      <x:c r="Z228" s="32"/>
      <x:c r="AA228" s="32"/>
      <x:c r="AB228" s="32"/>
      <x:c r="AC228" s="32"/>
      <x:c r="AD228" s="32"/>
      <x:c r="AE228" s="32"/>
      <x:c r="AF228" s="32"/>
      <x:c r="AG228" s="32"/>
      <x:c r="AH228" s="32"/>
      <x:c r="AI228" s="32"/>
      <x:c r="AJ228" s="32"/>
      <x:c r="AK228" s="32"/>
      <x:c r="AL228" s="32"/>
      <x:c r="AM228" s="32"/>
      <x:c r="AN228" s="32"/>
      <x:c r="AO228" s="32"/>
      <x:c r="AP228" s="32"/>
      <x:c r="AQ228" s="32"/>
      <x:c r="AR228" s="32"/>
      <x:c r="AS228" s="32"/>
      <x:c r="AT228" s="32"/>
      <x:c r="AU228" s="32"/>
      <x:c r="AV228" s="32"/>
      <x:c r="AW228" s="32"/>
      <x:c r="AX228" s="32"/>
      <x:c r="AZ228" s="32"/>
      <x:c r="BA228" s="32"/>
      <x:c r="BB228" s="32"/>
      <x:c r="BC228" s="32"/>
      <x:c r="BD228" s="32"/>
      <x:c r="BE228" s="32"/>
      <x:c r="BF228" s="32"/>
      <x:c r="BG228" s="32"/>
      <x:c r="BH228" s="32"/>
      <x:c r="BI228" s="32"/>
      <x:c r="BJ228" s="32"/>
      <x:c r="BK228" s="32"/>
      <x:c r="BL228" s="32"/>
      <x:c r="BM228" s="32"/>
    </x:row>
    <x:row r="229">
      <x:c r="A229" s="32"/>
      <x:c r="B229" s="32"/>
      <x:c r="C229" s="42"/>
      <x:c r="D229" s="32"/>
      <x:c r="E229" s="32"/>
      <x:c r="F229" s="32"/>
      <x:c r="G229" s="32"/>
      <x:c r="H229" s="32"/>
      <x:c r="I229" s="32"/>
      <x:c r="J229" s="32"/>
      <x:c r="K229" s="32"/>
      <x:c r="L229" s="32"/>
      <x:c r="M229" s="32"/>
      <x:c r="N229" s="32"/>
      <x:c r="O229" s="32"/>
      <x:c r="P229" s="32"/>
      <x:c r="Q229" s="32"/>
      <x:c r="R229" s="32"/>
      <x:c r="S229" s="32"/>
      <x:c r="T229" s="43" t="str">
        <x:f>IFERROR(S229/L229,"")</x:f>
      </x:c>
      <x:c r="U229" s="32"/>
      <x:c r="V229" s="32"/>
      <x:c r="W229" s="32"/>
      <x:c r="X229" s="32"/>
      <x:c r="Y229" s="32"/>
      <x:c r="Z229" s="32"/>
      <x:c r="AA229" s="32"/>
      <x:c r="AB229" s="32"/>
      <x:c r="AC229" s="32"/>
      <x:c r="AD229" s="32"/>
      <x:c r="AE229" s="32"/>
      <x:c r="AF229" s="32"/>
      <x:c r="AG229" s="32"/>
      <x:c r="AH229" s="32"/>
      <x:c r="AI229" s="32"/>
      <x:c r="AJ229" s="32"/>
      <x:c r="AK229" s="32"/>
      <x:c r="AL229" s="32"/>
      <x:c r="AM229" s="32"/>
      <x:c r="AN229" s="32"/>
      <x:c r="AO229" s="32"/>
      <x:c r="AP229" s="32"/>
      <x:c r="AQ229" s="32"/>
      <x:c r="AR229" s="32"/>
      <x:c r="AS229" s="32"/>
      <x:c r="AT229" s="32"/>
      <x:c r="AU229" s="32"/>
      <x:c r="AV229" s="32"/>
      <x:c r="AW229" s="32"/>
      <x:c r="AX229" s="32"/>
      <x:c r="AZ229" s="32"/>
      <x:c r="BA229" s="32"/>
      <x:c r="BB229" s="32"/>
      <x:c r="BC229" s="32"/>
      <x:c r="BD229" s="32"/>
      <x:c r="BE229" s="32"/>
      <x:c r="BF229" s="32"/>
      <x:c r="BG229" s="32"/>
      <x:c r="BH229" s="32"/>
      <x:c r="BI229" s="32"/>
      <x:c r="BJ229" s="32"/>
      <x:c r="BK229" s="32"/>
      <x:c r="BL229" s="32"/>
      <x:c r="BM229" s="32"/>
    </x:row>
    <x:row r="230">
      <x:c r="A230" s="32"/>
      <x:c r="B230" s="32"/>
      <x:c r="C230" s="42"/>
      <x:c r="D230" s="32"/>
      <x:c r="E230" s="32"/>
      <x:c r="F230" s="32"/>
      <x:c r="G230" s="32"/>
      <x:c r="H230" s="32"/>
      <x:c r="I230" s="32"/>
      <x:c r="J230" s="32"/>
      <x:c r="K230" s="32"/>
      <x:c r="L230" s="32"/>
      <x:c r="M230" s="32"/>
      <x:c r="N230" s="32"/>
      <x:c r="O230" s="32"/>
      <x:c r="P230" s="32"/>
      <x:c r="Q230" s="32"/>
      <x:c r="R230" s="32"/>
      <x:c r="S230" s="32"/>
      <x:c r="T230" s="43" t="str">
        <x:f>IFERROR(S230/L230,"")</x:f>
      </x:c>
      <x:c r="U230" s="32"/>
      <x:c r="V230" s="32"/>
      <x:c r="W230" s="32"/>
      <x:c r="X230" s="32"/>
      <x:c r="Y230" s="32"/>
      <x:c r="Z230" s="32"/>
      <x:c r="AA230" s="32"/>
      <x:c r="AB230" s="32"/>
      <x:c r="AC230" s="32"/>
      <x:c r="AD230" s="32"/>
      <x:c r="AE230" s="32"/>
      <x:c r="AF230" s="32"/>
      <x:c r="AG230" s="32"/>
      <x:c r="AH230" s="32"/>
      <x:c r="AI230" s="32"/>
      <x:c r="AJ230" s="32"/>
      <x:c r="AK230" s="32"/>
      <x:c r="AL230" s="32"/>
      <x:c r="AM230" s="32"/>
      <x:c r="AN230" s="32"/>
      <x:c r="AO230" s="32"/>
      <x:c r="AP230" s="32"/>
      <x:c r="AQ230" s="32"/>
      <x:c r="AR230" s="32"/>
      <x:c r="AS230" s="32"/>
      <x:c r="AT230" s="32"/>
      <x:c r="AU230" s="32"/>
      <x:c r="AV230" s="32"/>
      <x:c r="AW230" s="32"/>
      <x:c r="AX230" s="32"/>
      <x:c r="AZ230" s="32"/>
      <x:c r="BA230" s="32"/>
      <x:c r="BB230" s="32"/>
      <x:c r="BC230" s="32"/>
      <x:c r="BD230" s="32"/>
      <x:c r="BE230" s="32"/>
      <x:c r="BF230" s="32"/>
      <x:c r="BG230" s="32"/>
      <x:c r="BH230" s="32"/>
      <x:c r="BI230" s="32"/>
      <x:c r="BJ230" s="32"/>
      <x:c r="BK230" s="32"/>
      <x:c r="BL230" s="32"/>
      <x:c r="BM230" s="32"/>
    </x:row>
    <x:row r="231">
      <x:c r="A231" s="32"/>
      <x:c r="B231" s="32"/>
      <x:c r="C231" s="42"/>
      <x:c r="D231" s="32"/>
      <x:c r="E231" s="32"/>
      <x:c r="F231" s="32"/>
      <x:c r="G231" s="32"/>
      <x:c r="H231" s="32"/>
      <x:c r="I231" s="32"/>
      <x:c r="J231" s="32"/>
      <x:c r="K231" s="32"/>
      <x:c r="L231" s="32"/>
      <x:c r="M231" s="32"/>
      <x:c r="N231" s="32"/>
      <x:c r="O231" s="32"/>
      <x:c r="P231" s="32"/>
      <x:c r="Q231" s="32"/>
      <x:c r="R231" s="32"/>
      <x:c r="S231" s="32"/>
      <x:c r="T231" s="43" t="str">
        <x:f>IFERROR(S231/L231,"")</x:f>
      </x:c>
      <x:c r="U231" s="32"/>
      <x:c r="V231" s="32"/>
      <x:c r="W231" s="32"/>
      <x:c r="X231" s="32"/>
      <x:c r="Y231" s="32"/>
      <x:c r="Z231" s="32"/>
      <x:c r="AA231" s="32"/>
      <x:c r="AB231" s="32"/>
      <x:c r="AC231" s="32"/>
      <x:c r="AD231" s="32"/>
      <x:c r="AE231" s="32"/>
      <x:c r="AF231" s="32"/>
      <x:c r="AG231" s="32"/>
      <x:c r="AH231" s="32"/>
      <x:c r="AI231" s="32"/>
      <x:c r="AJ231" s="32"/>
      <x:c r="AK231" s="32"/>
      <x:c r="AL231" s="32"/>
      <x:c r="AM231" s="32"/>
      <x:c r="AN231" s="32"/>
      <x:c r="AO231" s="32"/>
      <x:c r="AP231" s="32"/>
      <x:c r="AQ231" s="32"/>
      <x:c r="AR231" s="32"/>
      <x:c r="AS231" s="32"/>
      <x:c r="AT231" s="32"/>
      <x:c r="AU231" s="32"/>
      <x:c r="AV231" s="32"/>
      <x:c r="AW231" s="32"/>
      <x:c r="AX231" s="32"/>
      <x:c r="AZ231" s="32"/>
      <x:c r="BA231" s="32"/>
      <x:c r="BB231" s="32"/>
      <x:c r="BC231" s="32"/>
      <x:c r="BD231" s="32"/>
      <x:c r="BE231" s="32"/>
      <x:c r="BF231" s="32"/>
      <x:c r="BG231" s="32"/>
      <x:c r="BH231" s="32"/>
      <x:c r="BI231" s="32"/>
      <x:c r="BJ231" s="32"/>
      <x:c r="BK231" s="32"/>
      <x:c r="BL231" s="32"/>
      <x:c r="BM231" s="32"/>
    </x:row>
    <x:row r="232">
      <x:c r="A232" s="32"/>
      <x:c r="B232" s="32"/>
      <x:c r="C232" s="42"/>
      <x:c r="D232" s="32"/>
      <x:c r="E232" s="32"/>
      <x:c r="F232" s="32"/>
      <x:c r="G232" s="32"/>
      <x:c r="H232" s="32"/>
      <x:c r="I232" s="32"/>
      <x:c r="J232" s="32"/>
      <x:c r="K232" s="32"/>
      <x:c r="L232" s="32"/>
      <x:c r="M232" s="32"/>
      <x:c r="N232" s="32"/>
      <x:c r="O232" s="32"/>
      <x:c r="P232" s="32"/>
      <x:c r="Q232" s="32"/>
      <x:c r="R232" s="32"/>
      <x:c r="S232" s="32"/>
      <x:c r="T232" s="43" t="str">
        <x:f>IFERROR(S232/L232,"")</x:f>
      </x:c>
      <x:c r="U232" s="32"/>
      <x:c r="V232" s="32"/>
      <x:c r="W232" s="32"/>
      <x:c r="X232" s="32"/>
      <x:c r="Y232" s="32"/>
      <x:c r="Z232" s="32"/>
      <x:c r="AA232" s="32"/>
      <x:c r="AB232" s="32"/>
      <x:c r="AC232" s="32"/>
      <x:c r="AD232" s="32"/>
      <x:c r="AE232" s="32"/>
      <x:c r="AF232" s="32"/>
      <x:c r="AG232" s="32"/>
      <x:c r="AH232" s="32"/>
      <x:c r="AI232" s="32"/>
      <x:c r="AJ232" s="32"/>
      <x:c r="AK232" s="32"/>
      <x:c r="AL232" s="32"/>
      <x:c r="AM232" s="32"/>
      <x:c r="AN232" s="32"/>
      <x:c r="AO232" s="32"/>
      <x:c r="AP232" s="32"/>
      <x:c r="AQ232" s="32"/>
      <x:c r="AR232" s="32"/>
      <x:c r="AS232" s="32"/>
      <x:c r="AT232" s="32"/>
      <x:c r="AU232" s="32"/>
      <x:c r="AV232" s="32"/>
      <x:c r="AW232" s="32"/>
      <x:c r="AX232" s="32"/>
      <x:c r="AZ232" s="32"/>
      <x:c r="BA232" s="32"/>
      <x:c r="BB232" s="32"/>
      <x:c r="BC232" s="32"/>
      <x:c r="BD232" s="32"/>
      <x:c r="BE232" s="32"/>
      <x:c r="BF232" s="32"/>
      <x:c r="BG232" s="32"/>
      <x:c r="BH232" s="32"/>
      <x:c r="BI232" s="32"/>
      <x:c r="BJ232" s="32"/>
      <x:c r="BK232" s="32"/>
      <x:c r="BL232" s="32"/>
      <x:c r="BM232" s="32"/>
    </x:row>
    <x:row r="233">
      <x:c r="A233" s="32"/>
      <x:c r="B233" s="32"/>
      <x:c r="C233" s="42"/>
      <x:c r="D233" s="32"/>
      <x:c r="E233" s="32"/>
      <x:c r="F233" s="32"/>
      <x:c r="G233" s="32"/>
      <x:c r="H233" s="32"/>
      <x:c r="I233" s="32"/>
      <x:c r="J233" s="32"/>
      <x:c r="K233" s="32"/>
      <x:c r="L233" s="32"/>
      <x:c r="M233" s="32"/>
      <x:c r="N233" s="32"/>
      <x:c r="O233" s="32"/>
      <x:c r="P233" s="32"/>
      <x:c r="Q233" s="32"/>
      <x:c r="R233" s="32"/>
      <x:c r="S233" s="32"/>
      <x:c r="T233" s="43" t="str">
        <x:f>IFERROR(S233/L233,"")</x:f>
      </x:c>
      <x:c r="U233" s="32"/>
      <x:c r="V233" s="32"/>
      <x:c r="W233" s="32"/>
      <x:c r="X233" s="32"/>
      <x:c r="Y233" s="32"/>
      <x:c r="Z233" s="32"/>
      <x:c r="AA233" s="32"/>
      <x:c r="AB233" s="32"/>
      <x:c r="AC233" s="32"/>
      <x:c r="AD233" s="32"/>
      <x:c r="AE233" s="32"/>
      <x:c r="AF233" s="32"/>
      <x:c r="AG233" s="32"/>
      <x:c r="AH233" s="32"/>
      <x:c r="AI233" s="32"/>
      <x:c r="AJ233" s="32"/>
      <x:c r="AK233" s="32"/>
      <x:c r="AL233" s="32"/>
      <x:c r="AM233" s="32"/>
      <x:c r="AN233" s="32"/>
      <x:c r="AO233" s="32"/>
      <x:c r="AP233" s="32"/>
      <x:c r="AQ233" s="32"/>
      <x:c r="AR233" s="32"/>
      <x:c r="AS233" s="32"/>
      <x:c r="AT233" s="32"/>
      <x:c r="AU233" s="32"/>
      <x:c r="AV233" s="32"/>
      <x:c r="AW233" s="32"/>
      <x:c r="AX233" s="32"/>
      <x:c r="AZ233" s="32"/>
      <x:c r="BA233" s="32"/>
      <x:c r="BB233" s="32"/>
      <x:c r="BC233" s="32"/>
      <x:c r="BD233" s="32"/>
      <x:c r="BE233" s="32"/>
      <x:c r="BF233" s="32"/>
      <x:c r="BG233" s="32"/>
      <x:c r="BH233" s="32"/>
      <x:c r="BI233" s="32"/>
      <x:c r="BJ233" s="32"/>
      <x:c r="BK233" s="32"/>
      <x:c r="BL233" s="32"/>
      <x:c r="BM233" s="32"/>
    </x:row>
    <x:row r="234">
      <x:c r="A234" s="32"/>
      <x:c r="B234" s="32"/>
      <x:c r="C234" s="42"/>
      <x:c r="D234" s="32"/>
      <x:c r="E234" s="32"/>
      <x:c r="F234" s="32"/>
      <x:c r="G234" s="32"/>
      <x:c r="H234" s="32"/>
      <x:c r="I234" s="32"/>
      <x:c r="J234" s="32"/>
      <x:c r="K234" s="32"/>
      <x:c r="L234" s="32"/>
      <x:c r="M234" s="32"/>
      <x:c r="N234" s="32"/>
      <x:c r="O234" s="32"/>
      <x:c r="P234" s="32"/>
      <x:c r="Q234" s="32"/>
      <x:c r="R234" s="32"/>
      <x:c r="S234" s="32"/>
      <x:c r="T234" s="43" t="str">
        <x:f>IFERROR(S234/L234,"")</x:f>
      </x:c>
      <x:c r="U234" s="32"/>
      <x:c r="V234" s="32"/>
      <x:c r="W234" s="32"/>
      <x:c r="X234" s="32"/>
      <x:c r="Y234" s="32"/>
      <x:c r="Z234" s="32"/>
      <x:c r="AA234" s="32"/>
      <x:c r="AB234" s="32"/>
      <x:c r="AC234" s="32"/>
      <x:c r="AD234" s="32"/>
      <x:c r="AE234" s="32"/>
      <x:c r="AF234" s="32"/>
      <x:c r="AG234" s="32"/>
      <x:c r="AH234" s="32"/>
      <x:c r="AI234" s="32"/>
      <x:c r="AJ234" s="32"/>
      <x:c r="AK234" s="32"/>
      <x:c r="AL234" s="32"/>
      <x:c r="AM234" s="32"/>
      <x:c r="AN234" s="32"/>
      <x:c r="AO234" s="32"/>
      <x:c r="AP234" s="32"/>
      <x:c r="AQ234" s="32"/>
      <x:c r="AR234" s="32"/>
      <x:c r="AS234" s="32"/>
      <x:c r="AT234" s="32"/>
      <x:c r="AU234" s="32"/>
      <x:c r="AV234" s="32"/>
      <x:c r="AW234" s="32"/>
      <x:c r="AX234" s="32"/>
      <x:c r="AZ234" s="32"/>
      <x:c r="BA234" s="32"/>
      <x:c r="BB234" s="32"/>
      <x:c r="BC234" s="32"/>
      <x:c r="BD234" s="32"/>
      <x:c r="BE234" s="32"/>
      <x:c r="BF234" s="32"/>
      <x:c r="BG234" s="32"/>
      <x:c r="BH234" s="32"/>
      <x:c r="BI234" s="32"/>
      <x:c r="BJ234" s="32"/>
      <x:c r="BK234" s="32"/>
      <x:c r="BL234" s="32"/>
      <x:c r="BM234" s="32"/>
    </x:row>
    <x:row r="235">
      <x:c r="A235" s="32"/>
      <x:c r="B235" s="32"/>
      <x:c r="C235" s="42"/>
      <x:c r="D235" s="32"/>
      <x:c r="E235" s="32"/>
      <x:c r="F235" s="32"/>
      <x:c r="G235" s="32"/>
      <x:c r="H235" s="32"/>
      <x:c r="I235" s="32"/>
      <x:c r="J235" s="32"/>
      <x:c r="K235" s="32"/>
      <x:c r="L235" s="32"/>
      <x:c r="M235" s="32"/>
      <x:c r="N235" s="32"/>
      <x:c r="O235" s="32"/>
      <x:c r="P235" s="32"/>
      <x:c r="Q235" s="32"/>
      <x:c r="R235" s="32"/>
      <x:c r="S235" s="32"/>
      <x:c r="T235" s="43" t="str">
        <x:f>IFERROR(S235/L235,"")</x:f>
      </x:c>
      <x:c r="U235" s="32"/>
      <x:c r="V235" s="32"/>
      <x:c r="W235" s="32"/>
      <x:c r="X235" s="32"/>
      <x:c r="Y235" s="32"/>
      <x:c r="Z235" s="32"/>
      <x:c r="AA235" s="32"/>
      <x:c r="AB235" s="32"/>
      <x:c r="AC235" s="32"/>
      <x:c r="AD235" s="32"/>
      <x:c r="AE235" s="32"/>
      <x:c r="AF235" s="32"/>
      <x:c r="AG235" s="32"/>
      <x:c r="AH235" s="32"/>
      <x:c r="AI235" s="32"/>
      <x:c r="AJ235" s="32"/>
      <x:c r="AK235" s="32"/>
      <x:c r="AL235" s="32"/>
      <x:c r="AM235" s="32"/>
      <x:c r="AN235" s="32"/>
      <x:c r="AO235" s="32"/>
      <x:c r="AP235" s="32"/>
      <x:c r="AQ235" s="32"/>
      <x:c r="AR235" s="32"/>
      <x:c r="AS235" s="32"/>
      <x:c r="AT235" s="32"/>
      <x:c r="AU235" s="32"/>
      <x:c r="AV235" s="32"/>
      <x:c r="AW235" s="32"/>
      <x:c r="AX235" s="32"/>
      <x:c r="AZ235" s="32"/>
      <x:c r="BA235" s="32"/>
      <x:c r="BB235" s="32"/>
      <x:c r="BC235" s="32"/>
      <x:c r="BD235" s="32"/>
      <x:c r="BE235" s="32"/>
      <x:c r="BF235" s="32"/>
      <x:c r="BG235" s="32"/>
      <x:c r="BH235" s="32"/>
      <x:c r="BI235" s="32"/>
      <x:c r="BJ235" s="32"/>
      <x:c r="BK235" s="32"/>
      <x:c r="BL235" s="32"/>
      <x:c r="BM235" s="32"/>
    </x:row>
    <x:row r="236">
      <x:c r="A236" s="32"/>
      <x:c r="B236" s="32"/>
      <x:c r="C236" s="42"/>
      <x:c r="D236" s="32"/>
      <x:c r="E236" s="32"/>
      <x:c r="F236" s="32"/>
      <x:c r="G236" s="32"/>
      <x:c r="H236" s="32"/>
      <x:c r="I236" s="32"/>
      <x:c r="J236" s="32"/>
      <x:c r="K236" s="32"/>
      <x:c r="L236" s="32"/>
      <x:c r="M236" s="32"/>
      <x:c r="N236" s="32"/>
      <x:c r="O236" s="32"/>
      <x:c r="P236" s="32"/>
      <x:c r="Q236" s="32"/>
      <x:c r="R236" s="32"/>
      <x:c r="S236" s="32"/>
      <x:c r="T236" s="43" t="str">
        <x:f>IFERROR(S236/L236,"")</x:f>
      </x:c>
      <x:c r="U236" s="32"/>
      <x:c r="V236" s="32"/>
      <x:c r="W236" s="32"/>
      <x:c r="X236" s="32"/>
      <x:c r="Y236" s="32"/>
      <x:c r="Z236" s="32"/>
      <x:c r="AA236" s="32"/>
      <x:c r="AB236" s="32"/>
      <x:c r="AC236" s="32"/>
      <x:c r="AD236" s="32"/>
      <x:c r="AE236" s="32"/>
      <x:c r="AF236" s="32"/>
      <x:c r="AG236" s="32"/>
      <x:c r="AH236" s="32"/>
      <x:c r="AI236" s="32"/>
      <x:c r="AJ236" s="32"/>
      <x:c r="AK236" s="32"/>
      <x:c r="AL236" s="32"/>
      <x:c r="AM236" s="32"/>
      <x:c r="AN236" s="32"/>
      <x:c r="AO236" s="32"/>
      <x:c r="AP236" s="32"/>
      <x:c r="AQ236" s="32"/>
      <x:c r="AR236" s="32"/>
      <x:c r="AS236" s="32"/>
      <x:c r="AT236" s="32"/>
      <x:c r="AU236" s="32"/>
      <x:c r="AV236" s="32"/>
      <x:c r="AW236" s="32"/>
      <x:c r="AX236" s="32"/>
      <x:c r="AZ236" s="32"/>
      <x:c r="BA236" s="32"/>
      <x:c r="BB236" s="32"/>
      <x:c r="BC236" s="32"/>
      <x:c r="BD236" s="32"/>
      <x:c r="BE236" s="32"/>
      <x:c r="BF236" s="32"/>
      <x:c r="BG236" s="32"/>
      <x:c r="BH236" s="32"/>
      <x:c r="BI236" s="32"/>
      <x:c r="BJ236" s="32"/>
      <x:c r="BK236" s="32"/>
      <x:c r="BL236" s="32"/>
      <x:c r="BM236" s="32"/>
    </x:row>
    <x:row r="237">
      <x:c r="A237" s="32"/>
      <x:c r="B237" s="32"/>
      <x:c r="C237" s="42"/>
      <x:c r="D237" s="32"/>
      <x:c r="E237" s="32"/>
      <x:c r="F237" s="32"/>
      <x:c r="G237" s="32"/>
      <x:c r="H237" s="32"/>
      <x:c r="I237" s="32"/>
      <x:c r="J237" s="32"/>
      <x:c r="K237" s="32"/>
      <x:c r="L237" s="32"/>
      <x:c r="M237" s="32"/>
      <x:c r="N237" s="32"/>
      <x:c r="O237" s="32"/>
      <x:c r="P237" s="32"/>
      <x:c r="Q237" s="32"/>
      <x:c r="R237" s="32"/>
      <x:c r="S237" s="32"/>
      <x:c r="T237" s="43" t="str">
        <x:f>IFERROR(S237/L237,"")</x:f>
      </x:c>
      <x:c r="U237" s="32"/>
      <x:c r="V237" s="32"/>
      <x:c r="W237" s="32"/>
      <x:c r="X237" s="32"/>
      <x:c r="Y237" s="32"/>
      <x:c r="Z237" s="32"/>
      <x:c r="AA237" s="32"/>
      <x:c r="AB237" s="32"/>
      <x:c r="AC237" s="32"/>
      <x:c r="AD237" s="32"/>
      <x:c r="AE237" s="32"/>
      <x:c r="AF237" s="32"/>
      <x:c r="AG237" s="32"/>
      <x:c r="AH237" s="32"/>
      <x:c r="AI237" s="32"/>
      <x:c r="AJ237" s="32"/>
      <x:c r="AK237" s="32"/>
      <x:c r="AL237" s="32"/>
      <x:c r="AM237" s="32"/>
      <x:c r="AN237" s="32"/>
      <x:c r="AO237" s="32"/>
      <x:c r="AP237" s="32"/>
      <x:c r="AQ237" s="32"/>
      <x:c r="AR237" s="32"/>
      <x:c r="AS237" s="32"/>
      <x:c r="AT237" s="32"/>
      <x:c r="AU237" s="32"/>
      <x:c r="AV237" s="32"/>
      <x:c r="AW237" s="32"/>
      <x:c r="AX237" s="32"/>
      <x:c r="AZ237" s="32"/>
      <x:c r="BA237" s="32"/>
      <x:c r="BB237" s="32"/>
      <x:c r="BC237" s="32"/>
      <x:c r="BD237" s="32"/>
      <x:c r="BE237" s="32"/>
      <x:c r="BF237" s="32"/>
      <x:c r="BG237" s="32"/>
      <x:c r="BH237" s="32"/>
      <x:c r="BI237" s="32"/>
      <x:c r="BJ237" s="32"/>
      <x:c r="BK237" s="32"/>
      <x:c r="BL237" s="32"/>
      <x:c r="BM237" s="32"/>
    </x:row>
    <x:row r="238">
      <x:c r="A238" s="32"/>
      <x:c r="B238" s="32"/>
      <x:c r="C238" s="42"/>
      <x:c r="D238" s="32"/>
      <x:c r="E238" s="32"/>
      <x:c r="F238" s="32"/>
      <x:c r="G238" s="32"/>
      <x:c r="H238" s="32"/>
      <x:c r="I238" s="32"/>
      <x:c r="J238" s="32"/>
      <x:c r="K238" s="32"/>
      <x:c r="L238" s="32"/>
      <x:c r="M238" s="32"/>
      <x:c r="N238" s="32"/>
      <x:c r="O238" s="32"/>
      <x:c r="P238" s="32"/>
      <x:c r="Q238" s="32"/>
      <x:c r="R238" s="32"/>
      <x:c r="S238" s="32"/>
      <x:c r="T238" s="43" t="str">
        <x:f>IFERROR(S238/L238,"")</x:f>
      </x:c>
      <x:c r="U238" s="32"/>
      <x:c r="V238" s="32"/>
      <x:c r="W238" s="32"/>
      <x:c r="X238" s="32"/>
      <x:c r="Y238" s="32"/>
      <x:c r="Z238" s="32"/>
      <x:c r="AA238" s="32"/>
      <x:c r="AB238" s="32"/>
      <x:c r="AC238" s="32"/>
      <x:c r="AD238" s="32"/>
      <x:c r="AE238" s="32"/>
      <x:c r="AF238" s="32"/>
      <x:c r="AG238" s="32"/>
      <x:c r="AH238" s="32"/>
      <x:c r="AI238" s="32"/>
      <x:c r="AJ238" s="32"/>
      <x:c r="AK238" s="32"/>
      <x:c r="AL238" s="32"/>
      <x:c r="AM238" s="32"/>
      <x:c r="AN238" s="32"/>
      <x:c r="AO238" s="32"/>
      <x:c r="AP238" s="32"/>
      <x:c r="AQ238" s="32"/>
      <x:c r="AR238" s="32"/>
      <x:c r="AS238" s="32"/>
      <x:c r="AT238" s="32"/>
      <x:c r="AU238" s="32"/>
      <x:c r="AV238" s="32"/>
      <x:c r="AW238" s="32"/>
      <x:c r="AX238" s="32"/>
      <x:c r="AZ238" s="32"/>
      <x:c r="BA238" s="32"/>
      <x:c r="BB238" s="32"/>
      <x:c r="BC238" s="32"/>
      <x:c r="BD238" s="32"/>
      <x:c r="BE238" s="32"/>
      <x:c r="BF238" s="32"/>
      <x:c r="BG238" s="32"/>
      <x:c r="BH238" s="32"/>
      <x:c r="BI238" s="32"/>
      <x:c r="BJ238" s="32"/>
      <x:c r="BK238" s="32"/>
      <x:c r="BL238" s="32"/>
      <x:c r="BM238" s="32"/>
    </x:row>
    <x:row r="239">
      <x:c r="A239" s="32"/>
      <x:c r="B239" s="32"/>
      <x:c r="C239" s="42"/>
      <x:c r="D239" s="32"/>
      <x:c r="E239" s="32"/>
      <x:c r="F239" s="32"/>
      <x:c r="G239" s="32"/>
      <x:c r="H239" s="32"/>
      <x:c r="I239" s="32"/>
      <x:c r="J239" s="32"/>
      <x:c r="K239" s="32"/>
      <x:c r="L239" s="32"/>
      <x:c r="M239" s="32"/>
      <x:c r="N239" s="32"/>
      <x:c r="O239" s="32"/>
      <x:c r="P239" s="32"/>
      <x:c r="Q239" s="32"/>
      <x:c r="R239" s="32"/>
      <x:c r="S239" s="32"/>
      <x:c r="T239" s="43" t="str">
        <x:f>IFERROR(S239/L239,"")</x:f>
      </x:c>
      <x:c r="U239" s="32"/>
      <x:c r="V239" s="32"/>
      <x:c r="W239" s="32"/>
      <x:c r="X239" s="32"/>
      <x:c r="Y239" s="32"/>
      <x:c r="Z239" s="32"/>
      <x:c r="AA239" s="32"/>
      <x:c r="AB239" s="32"/>
      <x:c r="AC239" s="32"/>
      <x:c r="AD239" s="32"/>
      <x:c r="AE239" s="32"/>
      <x:c r="AF239" s="32"/>
      <x:c r="AG239" s="32"/>
      <x:c r="AH239" s="32"/>
      <x:c r="AI239" s="32"/>
      <x:c r="AJ239" s="32"/>
      <x:c r="AK239" s="32"/>
      <x:c r="AL239" s="32"/>
      <x:c r="AM239" s="32"/>
      <x:c r="AN239" s="32"/>
      <x:c r="AO239" s="32"/>
      <x:c r="AP239" s="32"/>
      <x:c r="AQ239" s="32"/>
      <x:c r="AR239" s="32"/>
      <x:c r="AS239" s="32"/>
      <x:c r="AT239" s="32"/>
      <x:c r="AU239" s="32"/>
      <x:c r="AV239" s="32"/>
      <x:c r="AW239" s="32"/>
      <x:c r="AX239" s="32"/>
      <x:c r="AZ239" s="32"/>
      <x:c r="BA239" s="32"/>
      <x:c r="BB239" s="32"/>
      <x:c r="BC239" s="32"/>
      <x:c r="BD239" s="32"/>
      <x:c r="BE239" s="32"/>
      <x:c r="BF239" s="32"/>
      <x:c r="BG239" s="32"/>
      <x:c r="BH239" s="32"/>
      <x:c r="BI239" s="32"/>
      <x:c r="BJ239" s="32"/>
      <x:c r="BK239" s="32"/>
      <x:c r="BL239" s="32"/>
      <x:c r="BM239" s="32"/>
    </x:row>
    <x:row r="240">
      <x:c r="A240" s="32"/>
      <x:c r="B240" s="32"/>
      <x:c r="C240" s="42"/>
      <x:c r="D240" s="32"/>
      <x:c r="E240" s="32"/>
      <x:c r="F240" s="32"/>
      <x:c r="G240" s="32"/>
      <x:c r="H240" s="32"/>
      <x:c r="I240" s="32"/>
      <x:c r="J240" s="32"/>
      <x:c r="K240" s="32"/>
      <x:c r="L240" s="32"/>
      <x:c r="M240" s="32"/>
      <x:c r="N240" s="32"/>
      <x:c r="O240" s="32"/>
      <x:c r="P240" s="32"/>
      <x:c r="Q240" s="32"/>
      <x:c r="R240" s="32"/>
      <x:c r="S240" s="32"/>
      <x:c r="T240" s="43" t="str">
        <x:f>IFERROR(S240/L240,"")</x:f>
      </x:c>
      <x:c r="U240" s="32"/>
      <x:c r="V240" s="32"/>
      <x:c r="W240" s="32"/>
      <x:c r="X240" s="32"/>
      <x:c r="Y240" s="32"/>
      <x:c r="Z240" s="32"/>
      <x:c r="AA240" s="32"/>
      <x:c r="AB240" s="32"/>
      <x:c r="AC240" s="32"/>
      <x:c r="AD240" s="32"/>
      <x:c r="AE240" s="32"/>
      <x:c r="AF240" s="32"/>
      <x:c r="AG240" s="32"/>
      <x:c r="AH240" s="32"/>
      <x:c r="AI240" s="32"/>
      <x:c r="AJ240" s="32"/>
      <x:c r="AK240" s="32"/>
      <x:c r="AL240" s="32"/>
      <x:c r="AM240" s="32"/>
      <x:c r="AN240" s="32"/>
      <x:c r="AO240" s="32"/>
      <x:c r="AP240" s="32"/>
      <x:c r="AQ240" s="32"/>
      <x:c r="AR240" s="32"/>
      <x:c r="AS240" s="32"/>
      <x:c r="AT240" s="32"/>
      <x:c r="AU240" s="32"/>
      <x:c r="AV240" s="32"/>
      <x:c r="AW240" s="32"/>
      <x:c r="AX240" s="32"/>
      <x:c r="AZ240" s="32"/>
      <x:c r="BA240" s="32"/>
      <x:c r="BB240" s="32"/>
      <x:c r="BC240" s="32"/>
      <x:c r="BD240" s="32"/>
      <x:c r="BE240" s="32"/>
      <x:c r="BF240" s="32"/>
      <x:c r="BG240" s="32"/>
      <x:c r="BH240" s="32"/>
      <x:c r="BI240" s="32"/>
      <x:c r="BJ240" s="32"/>
      <x:c r="BK240" s="32"/>
      <x:c r="BL240" s="32"/>
      <x:c r="BM240" s="32"/>
    </x:row>
    <x:row r="241">
      <x:c r="A241" s="32"/>
      <x:c r="B241" s="32"/>
      <x:c r="C241" s="42"/>
      <x:c r="D241" s="32"/>
      <x:c r="E241" s="32"/>
      <x:c r="F241" s="32"/>
      <x:c r="G241" s="32"/>
      <x:c r="H241" s="32"/>
      <x:c r="I241" s="32"/>
      <x:c r="J241" s="32"/>
      <x:c r="K241" s="32"/>
      <x:c r="L241" s="32"/>
      <x:c r="M241" s="32"/>
      <x:c r="N241" s="32"/>
      <x:c r="O241" s="32"/>
      <x:c r="P241" s="32"/>
      <x:c r="Q241" s="32"/>
      <x:c r="R241" s="32"/>
      <x:c r="S241" s="32"/>
      <x:c r="T241" s="43" t="str">
        <x:f>IFERROR(S241/L241,"")</x:f>
      </x:c>
      <x:c r="U241" s="32"/>
      <x:c r="V241" s="32"/>
      <x:c r="W241" s="32"/>
      <x:c r="X241" s="32"/>
      <x:c r="Y241" s="32"/>
      <x:c r="Z241" s="32"/>
      <x:c r="AA241" s="32"/>
      <x:c r="AB241" s="32"/>
      <x:c r="AC241" s="32"/>
      <x:c r="AD241" s="32"/>
      <x:c r="AE241" s="32"/>
      <x:c r="AF241" s="32"/>
      <x:c r="AG241" s="32"/>
      <x:c r="AH241" s="32"/>
      <x:c r="AI241" s="32"/>
      <x:c r="AJ241" s="32"/>
      <x:c r="AK241" s="32"/>
      <x:c r="AL241" s="32"/>
      <x:c r="AM241" s="32"/>
      <x:c r="AN241" s="32"/>
      <x:c r="AO241" s="32"/>
      <x:c r="AP241" s="32"/>
      <x:c r="AQ241" s="32"/>
      <x:c r="AR241" s="32"/>
      <x:c r="AS241" s="32"/>
      <x:c r="AT241" s="32"/>
      <x:c r="AU241" s="32"/>
      <x:c r="AV241" s="32"/>
      <x:c r="AW241" s="32"/>
      <x:c r="AX241" s="32"/>
      <x:c r="AZ241" s="32"/>
      <x:c r="BA241" s="32"/>
      <x:c r="BB241" s="32"/>
      <x:c r="BC241" s="32"/>
      <x:c r="BD241" s="32"/>
      <x:c r="BE241" s="32"/>
      <x:c r="BF241" s="32"/>
      <x:c r="BG241" s="32"/>
      <x:c r="BH241" s="32"/>
      <x:c r="BI241" s="32"/>
      <x:c r="BJ241" s="32"/>
      <x:c r="BK241" s="32"/>
      <x:c r="BL241" s="32"/>
      <x:c r="BM241" s="32"/>
    </x:row>
    <x:row r="242">
      <x:c r="A242" s="32"/>
      <x:c r="B242" s="32"/>
      <x:c r="C242" s="42"/>
      <x:c r="D242" s="32"/>
      <x:c r="E242" s="32"/>
      <x:c r="F242" s="32"/>
      <x:c r="G242" s="32"/>
      <x:c r="H242" s="32"/>
      <x:c r="I242" s="32"/>
      <x:c r="J242" s="32"/>
      <x:c r="K242" s="32"/>
      <x:c r="L242" s="32"/>
      <x:c r="M242" s="32"/>
      <x:c r="N242" s="32"/>
      <x:c r="O242" s="32"/>
      <x:c r="P242" s="32"/>
      <x:c r="Q242" s="32"/>
      <x:c r="R242" s="32"/>
      <x:c r="S242" s="32"/>
      <x:c r="T242" s="43" t="str">
        <x:f>IFERROR(S242/L242,"")</x:f>
      </x:c>
      <x:c r="U242" s="32"/>
      <x:c r="V242" s="32"/>
      <x:c r="W242" s="32"/>
      <x:c r="X242" s="32"/>
      <x:c r="Y242" s="32"/>
      <x:c r="Z242" s="32"/>
      <x:c r="AA242" s="32"/>
      <x:c r="AB242" s="32"/>
      <x:c r="AC242" s="32"/>
      <x:c r="AD242" s="32"/>
      <x:c r="AE242" s="32"/>
      <x:c r="AF242" s="32"/>
      <x:c r="AG242" s="32"/>
      <x:c r="AH242" s="32"/>
      <x:c r="AI242" s="32"/>
      <x:c r="AJ242" s="32"/>
      <x:c r="AK242" s="32"/>
      <x:c r="AL242" s="32"/>
      <x:c r="AM242" s="32"/>
      <x:c r="AN242" s="32"/>
      <x:c r="AO242" s="32"/>
      <x:c r="AP242" s="32"/>
      <x:c r="AQ242" s="32"/>
      <x:c r="AR242" s="32"/>
      <x:c r="AS242" s="32"/>
      <x:c r="AT242" s="32"/>
      <x:c r="AU242" s="32"/>
      <x:c r="AV242" s="32"/>
      <x:c r="AW242" s="32"/>
      <x:c r="AX242" s="32"/>
      <x:c r="AZ242" s="32"/>
      <x:c r="BA242" s="32"/>
      <x:c r="BB242" s="32"/>
      <x:c r="BC242" s="32"/>
      <x:c r="BD242" s="32"/>
      <x:c r="BE242" s="32"/>
      <x:c r="BF242" s="32"/>
      <x:c r="BG242" s="32"/>
      <x:c r="BH242" s="32"/>
      <x:c r="BI242" s="32"/>
      <x:c r="BJ242" s="32"/>
      <x:c r="BK242" s="32"/>
      <x:c r="BL242" s="32"/>
      <x:c r="BM242" s="32"/>
    </x:row>
    <x:row r="243">
      <x:c r="A243" s="32"/>
      <x:c r="B243" s="32"/>
      <x:c r="C243" s="42"/>
      <x:c r="D243" s="32"/>
      <x:c r="E243" s="32"/>
      <x:c r="F243" s="32"/>
      <x:c r="G243" s="32"/>
      <x:c r="H243" s="32"/>
      <x:c r="I243" s="32"/>
      <x:c r="J243" s="32"/>
      <x:c r="K243" s="32"/>
      <x:c r="L243" s="32"/>
      <x:c r="M243" s="32"/>
      <x:c r="N243" s="32"/>
      <x:c r="O243" s="32"/>
      <x:c r="P243" s="32"/>
      <x:c r="Q243" s="32"/>
      <x:c r="R243" s="32"/>
      <x:c r="S243" s="32"/>
      <x:c r="T243" s="43" t="str">
        <x:f>IFERROR(S243/L243,"")</x:f>
      </x:c>
      <x:c r="U243" s="32"/>
      <x:c r="V243" s="32"/>
      <x:c r="W243" s="32"/>
      <x:c r="X243" s="32"/>
      <x:c r="Y243" s="32"/>
      <x:c r="Z243" s="32"/>
      <x:c r="AA243" s="32"/>
      <x:c r="AB243" s="32"/>
      <x:c r="AC243" s="32"/>
      <x:c r="AD243" s="32"/>
      <x:c r="AE243" s="32"/>
      <x:c r="AF243" s="32"/>
      <x:c r="AG243" s="32"/>
      <x:c r="AH243" s="32"/>
      <x:c r="AI243" s="32"/>
      <x:c r="AJ243" s="32"/>
      <x:c r="AK243" s="32"/>
      <x:c r="AL243" s="32"/>
      <x:c r="AM243" s="32"/>
      <x:c r="AN243" s="32"/>
      <x:c r="AO243" s="32"/>
      <x:c r="AP243" s="32"/>
      <x:c r="AQ243" s="32"/>
      <x:c r="AR243" s="32"/>
      <x:c r="AS243" s="32"/>
      <x:c r="AT243" s="32"/>
      <x:c r="AU243" s="32"/>
      <x:c r="AV243" s="32"/>
      <x:c r="AW243" s="32"/>
      <x:c r="AX243" s="32"/>
      <x:c r="AZ243" s="32"/>
      <x:c r="BA243" s="32"/>
      <x:c r="BB243" s="32"/>
      <x:c r="BC243" s="32"/>
      <x:c r="BD243" s="32"/>
      <x:c r="BE243" s="32"/>
      <x:c r="BF243" s="32"/>
      <x:c r="BG243" s="32"/>
      <x:c r="BH243" s="32"/>
      <x:c r="BI243" s="32"/>
      <x:c r="BJ243" s="32"/>
      <x:c r="BK243" s="32"/>
      <x:c r="BL243" s="32"/>
      <x:c r="BM243" s="32"/>
    </x:row>
    <x:row r="244">
      <x:c r="A244" s="32"/>
      <x:c r="B244" s="32"/>
      <x:c r="C244" s="42"/>
      <x:c r="D244" s="32"/>
      <x:c r="E244" s="32"/>
      <x:c r="F244" s="32"/>
      <x:c r="G244" s="32"/>
      <x:c r="H244" s="32"/>
      <x:c r="I244" s="32"/>
      <x:c r="J244" s="32"/>
      <x:c r="K244" s="32"/>
      <x:c r="L244" s="32"/>
      <x:c r="M244" s="32"/>
      <x:c r="N244" s="32"/>
      <x:c r="O244" s="32"/>
      <x:c r="P244" s="32"/>
      <x:c r="Q244" s="32"/>
      <x:c r="R244" s="32"/>
      <x:c r="S244" s="32"/>
      <x:c r="T244" s="43" t="str">
        <x:f>IFERROR(S244/L244,"")</x:f>
      </x:c>
      <x:c r="U244" s="32"/>
      <x:c r="V244" s="32"/>
      <x:c r="W244" s="32"/>
      <x:c r="X244" s="32"/>
      <x:c r="Y244" s="32"/>
      <x:c r="Z244" s="32"/>
      <x:c r="AA244" s="32"/>
      <x:c r="AB244" s="32"/>
      <x:c r="AC244" s="32"/>
      <x:c r="AD244" s="32"/>
      <x:c r="AE244" s="32"/>
      <x:c r="AF244" s="32"/>
      <x:c r="AG244" s="32"/>
      <x:c r="AH244" s="32"/>
      <x:c r="AI244" s="32"/>
      <x:c r="AJ244" s="32"/>
      <x:c r="AK244" s="32"/>
      <x:c r="AL244" s="32"/>
      <x:c r="AM244" s="32"/>
      <x:c r="AN244" s="32"/>
      <x:c r="AO244" s="32"/>
      <x:c r="AP244" s="32"/>
      <x:c r="AQ244" s="32"/>
      <x:c r="AR244" s="32"/>
      <x:c r="AS244" s="32"/>
      <x:c r="AT244" s="32"/>
      <x:c r="AU244" s="32"/>
      <x:c r="AV244" s="32"/>
      <x:c r="AW244" s="32"/>
      <x:c r="AX244" s="32"/>
      <x:c r="AZ244" s="32"/>
      <x:c r="BA244" s="32"/>
      <x:c r="BB244" s="32"/>
      <x:c r="BC244" s="32"/>
      <x:c r="BD244" s="32"/>
      <x:c r="BE244" s="32"/>
      <x:c r="BF244" s="32"/>
      <x:c r="BG244" s="32"/>
      <x:c r="BH244" s="32"/>
      <x:c r="BI244" s="32"/>
      <x:c r="BJ244" s="32"/>
      <x:c r="BK244" s="32"/>
      <x:c r="BL244" s="32"/>
      <x:c r="BM244" s="32"/>
    </x:row>
    <x:row r="245">
      <x:c r="A245" s="32"/>
      <x:c r="B245" s="32"/>
      <x:c r="C245" s="42"/>
      <x:c r="D245" s="32"/>
      <x:c r="E245" s="32"/>
      <x:c r="F245" s="32"/>
      <x:c r="G245" s="32"/>
      <x:c r="H245" s="32"/>
      <x:c r="I245" s="32"/>
      <x:c r="J245" s="32"/>
      <x:c r="K245" s="32"/>
      <x:c r="L245" s="32"/>
      <x:c r="M245" s="32"/>
      <x:c r="N245" s="32"/>
      <x:c r="O245" s="32"/>
      <x:c r="P245" s="32"/>
      <x:c r="Q245" s="32"/>
      <x:c r="R245" s="32"/>
      <x:c r="S245" s="32"/>
      <x:c r="T245" s="43" t="str">
        <x:f>IFERROR(S245/L245,"")</x:f>
      </x:c>
      <x:c r="U245" s="32"/>
      <x:c r="V245" s="32"/>
      <x:c r="W245" s="32"/>
      <x:c r="X245" s="32"/>
      <x:c r="Y245" s="32"/>
      <x:c r="Z245" s="32"/>
      <x:c r="AA245" s="32"/>
      <x:c r="AB245" s="32"/>
      <x:c r="AC245" s="32"/>
      <x:c r="AD245" s="32"/>
      <x:c r="AE245" s="32"/>
      <x:c r="AF245" s="32"/>
      <x:c r="AG245" s="32"/>
      <x:c r="AH245" s="32"/>
      <x:c r="AI245" s="32"/>
      <x:c r="AJ245" s="32"/>
      <x:c r="AK245" s="32"/>
      <x:c r="AL245" s="32"/>
      <x:c r="AM245" s="32"/>
      <x:c r="AN245" s="32"/>
      <x:c r="AO245" s="32"/>
      <x:c r="AP245" s="32"/>
      <x:c r="AQ245" s="32"/>
      <x:c r="AR245" s="32"/>
      <x:c r="AS245" s="32"/>
      <x:c r="AT245" s="32"/>
      <x:c r="AU245" s="32"/>
      <x:c r="AV245" s="32"/>
      <x:c r="AW245" s="32"/>
      <x:c r="AX245" s="32"/>
      <x:c r="AZ245" s="32"/>
      <x:c r="BA245" s="32"/>
      <x:c r="BB245" s="32"/>
      <x:c r="BC245" s="32"/>
      <x:c r="BD245" s="32"/>
      <x:c r="BE245" s="32"/>
      <x:c r="BF245" s="32"/>
      <x:c r="BG245" s="32"/>
      <x:c r="BH245" s="32"/>
      <x:c r="BI245" s="32"/>
      <x:c r="BJ245" s="32"/>
      <x:c r="BK245" s="32"/>
      <x:c r="BL245" s="32"/>
      <x:c r="BM245" s="32"/>
    </x:row>
    <x:row r="246">
      <x:c r="A246" s="32"/>
      <x:c r="B246" s="32"/>
      <x:c r="C246" s="42"/>
      <x:c r="D246" s="32"/>
      <x:c r="E246" s="32"/>
      <x:c r="F246" s="32"/>
      <x:c r="G246" s="32"/>
      <x:c r="H246" s="32"/>
      <x:c r="I246" s="32"/>
      <x:c r="J246" s="32"/>
      <x:c r="K246" s="32"/>
      <x:c r="L246" s="32"/>
      <x:c r="M246" s="32"/>
      <x:c r="N246" s="32"/>
      <x:c r="O246" s="32"/>
      <x:c r="P246" s="32"/>
      <x:c r="Q246" s="32"/>
      <x:c r="R246" s="32"/>
      <x:c r="S246" s="32"/>
      <x:c r="T246" s="43" t="str">
        <x:f>IFERROR(S246/L246,"")</x:f>
      </x:c>
      <x:c r="U246" s="32"/>
      <x:c r="V246" s="32"/>
      <x:c r="W246" s="32"/>
      <x:c r="X246" s="32"/>
      <x:c r="Y246" s="32"/>
      <x:c r="Z246" s="32"/>
      <x:c r="AA246" s="32"/>
      <x:c r="AB246" s="32"/>
      <x:c r="AC246" s="32"/>
      <x:c r="AD246" s="32"/>
      <x:c r="AE246" s="32"/>
      <x:c r="AF246" s="32"/>
      <x:c r="AG246" s="32"/>
      <x:c r="AH246" s="32"/>
      <x:c r="AI246" s="32"/>
      <x:c r="AJ246" s="32"/>
      <x:c r="AK246" s="32"/>
      <x:c r="AL246" s="32"/>
      <x:c r="AM246" s="32"/>
      <x:c r="AN246" s="32"/>
      <x:c r="AO246" s="32"/>
      <x:c r="AP246" s="32"/>
      <x:c r="AQ246" s="32"/>
      <x:c r="AR246" s="32"/>
      <x:c r="AS246" s="32"/>
      <x:c r="AT246" s="32"/>
      <x:c r="AU246" s="32"/>
      <x:c r="AV246" s="32"/>
      <x:c r="AW246" s="32"/>
      <x:c r="AX246" s="32"/>
      <x:c r="AZ246" s="32"/>
      <x:c r="BA246" s="32"/>
      <x:c r="BB246" s="32"/>
      <x:c r="BC246" s="32"/>
      <x:c r="BD246" s="32"/>
      <x:c r="BE246" s="32"/>
      <x:c r="BF246" s="32"/>
      <x:c r="BG246" s="32"/>
      <x:c r="BH246" s="32"/>
      <x:c r="BI246" s="32"/>
      <x:c r="BJ246" s="32"/>
      <x:c r="BK246" s="32"/>
      <x:c r="BL246" s="32"/>
      <x:c r="BM246" s="32"/>
    </x:row>
    <x:row r="247">
      <x:c r="A247" s="32"/>
      <x:c r="B247" s="32"/>
      <x:c r="C247" s="42"/>
      <x:c r="D247" s="32"/>
      <x:c r="E247" s="32"/>
      <x:c r="F247" s="32"/>
      <x:c r="G247" s="32"/>
      <x:c r="H247" s="32"/>
      <x:c r="I247" s="32"/>
      <x:c r="J247" s="32"/>
      <x:c r="K247" s="32"/>
      <x:c r="L247" s="32"/>
      <x:c r="M247" s="32"/>
      <x:c r="N247" s="32"/>
      <x:c r="O247" s="32"/>
      <x:c r="P247" s="32"/>
      <x:c r="Q247" s="32"/>
      <x:c r="R247" s="32"/>
      <x:c r="S247" s="32"/>
      <x:c r="T247" s="43" t="str">
        <x:f>IFERROR(S247/L247,"")</x:f>
      </x:c>
      <x:c r="U247" s="32"/>
      <x:c r="V247" s="32"/>
      <x:c r="W247" s="32"/>
      <x:c r="X247" s="32"/>
      <x:c r="Y247" s="32"/>
      <x:c r="Z247" s="32"/>
      <x:c r="AA247" s="32"/>
      <x:c r="AB247" s="32"/>
      <x:c r="AC247" s="32"/>
      <x:c r="AD247" s="32"/>
      <x:c r="AE247" s="32"/>
      <x:c r="AF247" s="32"/>
      <x:c r="AG247" s="32"/>
      <x:c r="AH247" s="32"/>
      <x:c r="AI247" s="32"/>
      <x:c r="AJ247" s="32"/>
      <x:c r="AK247" s="32"/>
      <x:c r="AL247" s="32"/>
      <x:c r="AM247" s="32"/>
      <x:c r="AN247" s="32"/>
      <x:c r="AO247" s="32"/>
      <x:c r="AP247" s="32"/>
      <x:c r="AQ247" s="32"/>
      <x:c r="AR247" s="32"/>
      <x:c r="AS247" s="32"/>
      <x:c r="AT247" s="32"/>
      <x:c r="AU247" s="32"/>
      <x:c r="AV247" s="32"/>
      <x:c r="AW247" s="32"/>
      <x:c r="AX247" s="32"/>
      <x:c r="AZ247" s="32"/>
      <x:c r="BA247" s="32"/>
      <x:c r="BB247" s="32"/>
      <x:c r="BC247" s="32"/>
      <x:c r="BD247" s="32"/>
      <x:c r="BE247" s="32"/>
      <x:c r="BF247" s="32"/>
      <x:c r="BG247" s="32"/>
      <x:c r="BH247" s="32"/>
      <x:c r="BI247" s="32"/>
      <x:c r="BJ247" s="32"/>
      <x:c r="BK247" s="32"/>
      <x:c r="BL247" s="32"/>
      <x:c r="BM247" s="32"/>
    </x:row>
    <x:row r="248">
      <x:c r="A248" s="32"/>
      <x:c r="B248" s="32"/>
      <x:c r="C248" s="42"/>
      <x:c r="D248" s="32"/>
      <x:c r="E248" s="32"/>
      <x:c r="F248" s="32"/>
      <x:c r="G248" s="32"/>
      <x:c r="H248" s="32"/>
      <x:c r="I248" s="32"/>
      <x:c r="J248" s="32"/>
      <x:c r="K248" s="32"/>
      <x:c r="L248" s="32"/>
      <x:c r="M248" s="32"/>
      <x:c r="N248" s="32"/>
      <x:c r="O248" s="32"/>
      <x:c r="P248" s="32"/>
      <x:c r="Q248" s="32"/>
      <x:c r="R248" s="32"/>
      <x:c r="S248" s="32"/>
      <x:c r="T248" s="43" t="str">
        <x:f>IFERROR(S248/L248,"")</x:f>
      </x:c>
      <x:c r="U248" s="32"/>
      <x:c r="V248" s="32"/>
      <x:c r="W248" s="32"/>
      <x:c r="X248" s="32"/>
      <x:c r="Y248" s="32"/>
      <x:c r="Z248" s="32"/>
      <x:c r="AA248" s="32"/>
      <x:c r="AB248" s="32"/>
      <x:c r="AC248" s="32"/>
      <x:c r="AD248" s="32"/>
      <x:c r="AE248" s="32"/>
      <x:c r="AF248" s="32"/>
      <x:c r="AG248" s="32"/>
      <x:c r="AH248" s="32"/>
      <x:c r="AI248" s="32"/>
      <x:c r="AJ248" s="32"/>
      <x:c r="AK248" s="32"/>
      <x:c r="AL248" s="32"/>
      <x:c r="AM248" s="32"/>
      <x:c r="AN248" s="32"/>
      <x:c r="AO248" s="32"/>
      <x:c r="AP248" s="32"/>
      <x:c r="AQ248" s="32"/>
      <x:c r="AR248" s="32"/>
      <x:c r="AS248" s="32"/>
      <x:c r="AT248" s="32"/>
      <x:c r="AU248" s="32"/>
      <x:c r="AV248" s="32"/>
      <x:c r="AW248" s="32"/>
      <x:c r="AX248" s="32"/>
      <x:c r="AZ248" s="32"/>
      <x:c r="BA248" s="32"/>
      <x:c r="BB248" s="32"/>
      <x:c r="BC248" s="32"/>
      <x:c r="BD248" s="32"/>
      <x:c r="BE248" s="32"/>
      <x:c r="BF248" s="32"/>
      <x:c r="BG248" s="32"/>
      <x:c r="BH248" s="32"/>
      <x:c r="BI248" s="32"/>
      <x:c r="BJ248" s="32"/>
      <x:c r="BK248" s="32"/>
      <x:c r="BL248" s="32"/>
      <x:c r="BM248" s="32"/>
    </x:row>
    <x:row r="249">
      <x:c r="A249" s="32"/>
      <x:c r="B249" s="32"/>
      <x:c r="C249" s="42"/>
      <x:c r="D249" s="32"/>
      <x:c r="E249" s="32"/>
      <x:c r="F249" s="32"/>
      <x:c r="G249" s="32"/>
      <x:c r="H249" s="32"/>
      <x:c r="I249" s="32"/>
      <x:c r="J249" s="32"/>
      <x:c r="K249" s="32"/>
      <x:c r="L249" s="32"/>
      <x:c r="M249" s="32"/>
      <x:c r="N249" s="32"/>
      <x:c r="O249" s="32"/>
      <x:c r="P249" s="32"/>
      <x:c r="Q249" s="32"/>
      <x:c r="R249" s="32"/>
      <x:c r="S249" s="32"/>
      <x:c r="T249" s="43" t="str">
        <x:f>IFERROR(S249/L249,"")</x:f>
      </x:c>
      <x:c r="U249" s="32"/>
      <x:c r="V249" s="32"/>
      <x:c r="W249" s="32"/>
      <x:c r="X249" s="32"/>
      <x:c r="Y249" s="32"/>
      <x:c r="Z249" s="32"/>
      <x:c r="AA249" s="32"/>
      <x:c r="AB249" s="32"/>
      <x:c r="AC249" s="32"/>
      <x:c r="AD249" s="32"/>
      <x:c r="AE249" s="32"/>
      <x:c r="AF249" s="32"/>
      <x:c r="AG249" s="32"/>
      <x:c r="AH249" s="32"/>
      <x:c r="AI249" s="32"/>
      <x:c r="AJ249" s="32"/>
      <x:c r="AK249" s="32"/>
      <x:c r="AL249" s="32"/>
      <x:c r="AM249" s="32"/>
      <x:c r="AN249" s="32"/>
      <x:c r="AO249" s="32"/>
      <x:c r="AP249" s="32"/>
      <x:c r="AQ249" s="32"/>
      <x:c r="AR249" s="32"/>
      <x:c r="AS249" s="32"/>
      <x:c r="AT249" s="32"/>
      <x:c r="AU249" s="32"/>
      <x:c r="AV249" s="32"/>
      <x:c r="AW249" s="32"/>
      <x:c r="AX249" s="32"/>
      <x:c r="AZ249" s="32"/>
      <x:c r="BA249" s="32"/>
      <x:c r="BB249" s="32"/>
      <x:c r="BC249" s="32"/>
      <x:c r="BD249" s="32"/>
      <x:c r="BE249" s="32"/>
      <x:c r="BF249" s="32"/>
      <x:c r="BG249" s="32"/>
      <x:c r="BH249" s="32"/>
      <x:c r="BI249" s="32"/>
      <x:c r="BJ249" s="32"/>
      <x:c r="BK249" s="32"/>
      <x:c r="BL249" s="32"/>
      <x:c r="BM249" s="32"/>
    </x:row>
    <x:row r="250">
      <x:c r="A250" s="32"/>
      <x:c r="B250" s="32"/>
      <x:c r="C250" s="42"/>
      <x:c r="D250" s="32"/>
      <x:c r="E250" s="32"/>
      <x:c r="F250" s="32"/>
      <x:c r="G250" s="32"/>
      <x:c r="H250" s="32"/>
      <x:c r="I250" s="32"/>
      <x:c r="J250" s="32"/>
      <x:c r="K250" s="32"/>
      <x:c r="L250" s="32"/>
      <x:c r="M250" s="32"/>
      <x:c r="N250" s="32"/>
      <x:c r="O250" s="32"/>
      <x:c r="P250" s="32"/>
      <x:c r="Q250" s="32"/>
      <x:c r="R250" s="32"/>
      <x:c r="S250" s="32"/>
      <x:c r="T250" s="43" t="str">
        <x:f>IFERROR(S250/L250,"")</x:f>
      </x:c>
      <x:c r="U250" s="32"/>
      <x:c r="V250" s="32"/>
      <x:c r="W250" s="32"/>
      <x:c r="X250" s="32"/>
      <x:c r="Y250" s="32"/>
      <x:c r="Z250" s="32"/>
      <x:c r="AA250" s="32"/>
      <x:c r="AB250" s="32"/>
      <x:c r="AC250" s="32"/>
      <x:c r="AD250" s="32"/>
      <x:c r="AE250" s="32"/>
      <x:c r="AF250" s="32"/>
      <x:c r="AG250" s="32"/>
      <x:c r="AH250" s="32"/>
      <x:c r="AI250" s="32"/>
      <x:c r="AJ250" s="32"/>
      <x:c r="AK250" s="32"/>
      <x:c r="AL250" s="32"/>
      <x:c r="AM250" s="32"/>
      <x:c r="AN250" s="32"/>
      <x:c r="AO250" s="32"/>
      <x:c r="AP250" s="32"/>
      <x:c r="AQ250" s="32"/>
      <x:c r="AR250" s="32"/>
      <x:c r="AS250" s="32"/>
      <x:c r="AT250" s="32"/>
      <x:c r="AU250" s="32"/>
      <x:c r="AV250" s="32"/>
      <x:c r="AW250" s="32"/>
      <x:c r="AX250" s="32"/>
      <x:c r="AZ250" s="32"/>
      <x:c r="BA250" s="32"/>
      <x:c r="BB250" s="32"/>
      <x:c r="BC250" s="32"/>
      <x:c r="BD250" s="32"/>
      <x:c r="BE250" s="32"/>
      <x:c r="BF250" s="32"/>
      <x:c r="BG250" s="32"/>
      <x:c r="BH250" s="32"/>
      <x:c r="BI250" s="32"/>
      <x:c r="BJ250" s="32"/>
      <x:c r="BK250" s="32"/>
      <x:c r="BL250" s="32"/>
      <x:c r="BM250" s="32"/>
    </x:row>
    <x:row r="251">
      <x:c r="A251" s="32"/>
      <x:c r="B251" s="32"/>
      <x:c r="C251" s="42"/>
      <x:c r="D251" s="32"/>
      <x:c r="E251" s="32"/>
      <x:c r="F251" s="32"/>
      <x:c r="G251" s="32"/>
      <x:c r="H251" s="32"/>
      <x:c r="I251" s="32"/>
      <x:c r="J251" s="32"/>
      <x:c r="K251" s="32"/>
      <x:c r="L251" s="32"/>
      <x:c r="M251" s="32"/>
      <x:c r="N251" s="32"/>
      <x:c r="O251" s="32"/>
      <x:c r="P251" s="32"/>
      <x:c r="Q251" s="32"/>
      <x:c r="R251" s="32"/>
      <x:c r="S251" s="32"/>
      <x:c r="T251" s="43" t="str">
        <x:f>IFERROR(S251/L251,"")</x:f>
      </x:c>
      <x:c r="U251" s="32"/>
      <x:c r="V251" s="32"/>
      <x:c r="W251" s="32"/>
      <x:c r="X251" s="32"/>
      <x:c r="Y251" s="32"/>
      <x:c r="Z251" s="32"/>
      <x:c r="AA251" s="32"/>
      <x:c r="AB251" s="32"/>
      <x:c r="AC251" s="32"/>
      <x:c r="AD251" s="32"/>
      <x:c r="AE251" s="32"/>
      <x:c r="AF251" s="32"/>
      <x:c r="AG251" s="32"/>
      <x:c r="AH251" s="32"/>
      <x:c r="AI251" s="32"/>
      <x:c r="AJ251" s="32"/>
      <x:c r="AK251" s="32"/>
      <x:c r="AL251" s="32"/>
      <x:c r="AM251" s="32"/>
      <x:c r="AN251" s="32"/>
      <x:c r="AO251" s="32"/>
      <x:c r="AP251" s="32"/>
      <x:c r="AQ251" s="32"/>
      <x:c r="AR251" s="32"/>
      <x:c r="AS251" s="32"/>
      <x:c r="AT251" s="32"/>
      <x:c r="AU251" s="32"/>
      <x:c r="AV251" s="32"/>
      <x:c r="AW251" s="32"/>
      <x:c r="AX251" s="32"/>
      <x:c r="AZ251" s="32"/>
      <x:c r="BA251" s="32"/>
      <x:c r="BB251" s="32"/>
      <x:c r="BC251" s="32"/>
      <x:c r="BD251" s="32"/>
      <x:c r="BE251" s="32"/>
      <x:c r="BF251" s="32"/>
      <x:c r="BG251" s="32"/>
      <x:c r="BH251" s="32"/>
      <x:c r="BI251" s="32"/>
      <x:c r="BJ251" s="32"/>
      <x:c r="BK251" s="32"/>
      <x:c r="BL251" s="32"/>
      <x:c r="BM251" s="32"/>
    </x:row>
    <x:row r="252">
      <x:c r="A252" s="32"/>
      <x:c r="B252" s="32"/>
      <x:c r="C252" s="42"/>
      <x:c r="D252" s="32"/>
      <x:c r="E252" s="32"/>
      <x:c r="F252" s="32"/>
      <x:c r="G252" s="32"/>
      <x:c r="H252" s="32"/>
      <x:c r="I252" s="32"/>
      <x:c r="J252" s="32"/>
      <x:c r="K252" s="32"/>
      <x:c r="L252" s="32"/>
      <x:c r="M252" s="32"/>
      <x:c r="N252" s="32"/>
      <x:c r="O252" s="32"/>
      <x:c r="P252" s="32"/>
      <x:c r="Q252" s="32"/>
      <x:c r="R252" s="32"/>
      <x:c r="S252" s="32"/>
      <x:c r="T252" s="43" t="str">
        <x:f>IFERROR(S252/L252,"")</x:f>
      </x:c>
      <x:c r="U252" s="32"/>
      <x:c r="V252" s="32"/>
      <x:c r="W252" s="32"/>
      <x:c r="X252" s="32"/>
      <x:c r="Y252" s="32"/>
      <x:c r="Z252" s="32"/>
      <x:c r="AA252" s="32"/>
      <x:c r="AB252" s="32"/>
      <x:c r="AC252" s="32"/>
      <x:c r="AD252" s="32"/>
      <x:c r="AE252" s="32"/>
      <x:c r="AF252" s="32"/>
      <x:c r="AG252" s="32"/>
      <x:c r="AH252" s="32"/>
      <x:c r="AI252" s="32"/>
      <x:c r="AJ252" s="32"/>
      <x:c r="AK252" s="32"/>
      <x:c r="AL252" s="32"/>
      <x:c r="AM252" s="32"/>
      <x:c r="AN252" s="32"/>
      <x:c r="AO252" s="32"/>
      <x:c r="AP252" s="32"/>
      <x:c r="AQ252" s="32"/>
      <x:c r="AR252" s="32"/>
      <x:c r="AS252" s="32"/>
      <x:c r="AT252" s="32"/>
      <x:c r="AU252" s="32"/>
      <x:c r="AV252" s="32"/>
      <x:c r="AW252" s="32"/>
      <x:c r="AX252" s="32"/>
      <x:c r="AZ252" s="32"/>
      <x:c r="BA252" s="32"/>
      <x:c r="BB252" s="32"/>
      <x:c r="BC252" s="32"/>
      <x:c r="BD252" s="32"/>
      <x:c r="BE252" s="32"/>
      <x:c r="BF252" s="32"/>
      <x:c r="BG252" s="32"/>
      <x:c r="BH252" s="32"/>
      <x:c r="BI252" s="32"/>
      <x:c r="BJ252" s="32"/>
      <x:c r="BK252" s="32"/>
      <x:c r="BL252" s="32"/>
      <x:c r="BM252" s="32"/>
    </x:row>
    <x:row r="253">
      <x:c r="A253" s="32"/>
      <x:c r="B253" s="32"/>
      <x:c r="C253" s="42"/>
      <x:c r="D253" s="32"/>
      <x:c r="E253" s="32"/>
      <x:c r="F253" s="32"/>
      <x:c r="G253" s="32"/>
      <x:c r="H253" s="32"/>
      <x:c r="I253" s="32"/>
      <x:c r="J253" s="32"/>
      <x:c r="K253" s="32"/>
      <x:c r="L253" s="32"/>
      <x:c r="M253" s="32"/>
      <x:c r="N253" s="32"/>
      <x:c r="O253" s="32"/>
      <x:c r="P253" s="32"/>
      <x:c r="Q253" s="32"/>
      <x:c r="R253" s="32"/>
      <x:c r="S253" s="32"/>
      <x:c r="T253" s="43" t="str">
        <x:f>IFERROR(S253/L253,"")</x:f>
      </x:c>
      <x:c r="U253" s="32"/>
      <x:c r="V253" s="32"/>
      <x:c r="W253" s="32"/>
      <x:c r="X253" s="32"/>
      <x:c r="Y253" s="32"/>
      <x:c r="Z253" s="32"/>
      <x:c r="AA253" s="32"/>
      <x:c r="AB253" s="32"/>
      <x:c r="AC253" s="32"/>
      <x:c r="AD253" s="32"/>
      <x:c r="AE253" s="32"/>
      <x:c r="AF253" s="32"/>
      <x:c r="AG253" s="32"/>
      <x:c r="AH253" s="32"/>
      <x:c r="AI253" s="32"/>
      <x:c r="AJ253" s="32"/>
      <x:c r="AK253" s="32"/>
      <x:c r="AL253" s="32"/>
      <x:c r="AM253" s="32"/>
      <x:c r="AN253" s="32"/>
      <x:c r="AO253" s="32"/>
      <x:c r="AP253" s="32"/>
      <x:c r="AQ253" s="32"/>
      <x:c r="AR253" s="32"/>
      <x:c r="AS253" s="32"/>
      <x:c r="AT253" s="32"/>
      <x:c r="AU253" s="32"/>
      <x:c r="AV253" s="32"/>
      <x:c r="AW253" s="32"/>
      <x:c r="AX253" s="32"/>
      <x:c r="AZ253" s="32"/>
      <x:c r="BA253" s="32"/>
      <x:c r="BB253" s="32"/>
      <x:c r="BC253" s="32"/>
      <x:c r="BD253" s="32"/>
      <x:c r="BE253" s="32"/>
      <x:c r="BF253" s="32"/>
      <x:c r="BG253" s="32"/>
      <x:c r="BH253" s="32"/>
      <x:c r="BI253" s="32"/>
      <x:c r="BJ253" s="32"/>
      <x:c r="BK253" s="32"/>
      <x:c r="BL253" s="32"/>
      <x:c r="BM253" s="32"/>
    </x:row>
    <x:row r="254">
      <x:c r="A254" s="32"/>
      <x:c r="B254" s="32"/>
      <x:c r="C254" s="42"/>
      <x:c r="D254" s="32"/>
      <x:c r="E254" s="32"/>
      <x:c r="F254" s="32"/>
      <x:c r="G254" s="32"/>
      <x:c r="H254" s="32"/>
      <x:c r="I254" s="32"/>
      <x:c r="J254" s="32"/>
      <x:c r="K254" s="32"/>
      <x:c r="L254" s="32"/>
      <x:c r="M254" s="32"/>
      <x:c r="N254" s="32"/>
      <x:c r="O254" s="32"/>
      <x:c r="P254" s="32"/>
      <x:c r="Q254" s="32"/>
      <x:c r="R254" s="32"/>
      <x:c r="S254" s="32"/>
      <x:c r="T254" s="43" t="str">
        <x:f>IFERROR(S254/L254,"")</x:f>
      </x:c>
      <x:c r="U254" s="32"/>
      <x:c r="V254" s="32"/>
      <x:c r="W254" s="32"/>
      <x:c r="X254" s="32"/>
      <x:c r="Y254" s="32"/>
      <x:c r="Z254" s="32"/>
      <x:c r="AA254" s="32"/>
      <x:c r="AB254" s="32"/>
      <x:c r="AC254" s="32"/>
      <x:c r="AD254" s="32"/>
      <x:c r="AE254" s="32"/>
      <x:c r="AF254" s="32"/>
      <x:c r="AG254" s="32"/>
      <x:c r="AH254" s="32"/>
      <x:c r="AI254" s="32"/>
      <x:c r="AJ254" s="32"/>
      <x:c r="AK254" s="32"/>
      <x:c r="AL254" s="32"/>
      <x:c r="AM254" s="32"/>
      <x:c r="AN254" s="32"/>
      <x:c r="AO254" s="32"/>
      <x:c r="AP254" s="32"/>
      <x:c r="AQ254" s="32"/>
      <x:c r="AR254" s="32"/>
      <x:c r="AS254" s="32"/>
      <x:c r="AT254" s="32"/>
      <x:c r="AU254" s="32"/>
      <x:c r="AV254" s="32"/>
      <x:c r="AW254" s="32"/>
      <x:c r="AX254" s="32"/>
      <x:c r="AZ254" s="32"/>
      <x:c r="BA254" s="32"/>
      <x:c r="BB254" s="32"/>
      <x:c r="BC254" s="32"/>
      <x:c r="BD254" s="32"/>
      <x:c r="BE254" s="32"/>
      <x:c r="BF254" s="32"/>
      <x:c r="BG254" s="32"/>
      <x:c r="BH254" s="32"/>
      <x:c r="BI254" s="32"/>
      <x:c r="BJ254" s="32"/>
      <x:c r="BK254" s="32"/>
      <x:c r="BL254" s="32"/>
      <x:c r="BM254" s="32"/>
    </x:row>
    <x:row r="255">
      <x:c r="A255" s="32"/>
      <x:c r="B255" s="32"/>
      <x:c r="C255" s="42"/>
      <x:c r="D255" s="32"/>
      <x:c r="E255" s="32"/>
      <x:c r="F255" s="32"/>
      <x:c r="G255" s="32"/>
      <x:c r="H255" s="32"/>
      <x:c r="I255" s="32"/>
      <x:c r="J255" s="32"/>
      <x:c r="K255" s="32"/>
      <x:c r="L255" s="32"/>
      <x:c r="M255" s="32"/>
      <x:c r="N255" s="32"/>
      <x:c r="O255" s="32"/>
      <x:c r="P255" s="32"/>
      <x:c r="Q255" s="32"/>
      <x:c r="R255" s="32"/>
      <x:c r="S255" s="32"/>
      <x:c r="T255" s="43" t="str">
        <x:f>IFERROR(S255/L255,"")</x:f>
      </x:c>
      <x:c r="U255" s="32"/>
      <x:c r="V255" s="32"/>
      <x:c r="W255" s="32"/>
      <x:c r="X255" s="32"/>
      <x:c r="Y255" s="32"/>
      <x:c r="Z255" s="32"/>
      <x:c r="AA255" s="32"/>
      <x:c r="AB255" s="32"/>
      <x:c r="AC255" s="32"/>
      <x:c r="AD255" s="32"/>
      <x:c r="AE255" s="32"/>
      <x:c r="AF255" s="32"/>
      <x:c r="AG255" s="32"/>
      <x:c r="AH255" s="32"/>
      <x:c r="AI255" s="32"/>
      <x:c r="AJ255" s="32"/>
      <x:c r="AK255" s="32"/>
      <x:c r="AL255" s="32"/>
      <x:c r="AM255" s="32"/>
      <x:c r="AN255" s="32"/>
      <x:c r="AO255" s="32"/>
      <x:c r="AP255" s="32"/>
      <x:c r="AQ255" s="32"/>
      <x:c r="AR255" s="32"/>
      <x:c r="AS255" s="32"/>
      <x:c r="AT255" s="32"/>
      <x:c r="AU255" s="32"/>
      <x:c r="AV255" s="32"/>
      <x:c r="AW255" s="32"/>
      <x:c r="AX255" s="32"/>
      <x:c r="AZ255" s="32"/>
      <x:c r="BA255" s="32"/>
      <x:c r="BB255" s="32"/>
      <x:c r="BC255" s="32"/>
      <x:c r="BD255" s="32"/>
      <x:c r="BE255" s="32"/>
      <x:c r="BF255" s="32"/>
      <x:c r="BG255" s="32"/>
      <x:c r="BH255" s="32"/>
      <x:c r="BI255" s="32"/>
      <x:c r="BJ255" s="32"/>
      <x:c r="BK255" s="32"/>
      <x:c r="BL255" s="32"/>
      <x:c r="BM255" s="32"/>
    </x:row>
    <x:row r="256">
      <x:c r="A256" s="32"/>
      <x:c r="B256" s="32"/>
      <x:c r="C256" s="42"/>
      <x:c r="D256" s="32"/>
      <x:c r="E256" s="32"/>
      <x:c r="F256" s="32"/>
      <x:c r="G256" s="32"/>
      <x:c r="H256" s="32"/>
      <x:c r="I256" s="32"/>
      <x:c r="J256" s="32"/>
      <x:c r="K256" s="32"/>
      <x:c r="L256" s="32"/>
      <x:c r="M256" s="32"/>
      <x:c r="N256" s="32"/>
      <x:c r="O256" s="32"/>
      <x:c r="P256" s="32"/>
      <x:c r="Q256" s="32"/>
      <x:c r="R256" s="32"/>
      <x:c r="S256" s="32"/>
      <x:c r="T256" s="43" t="str">
        <x:f>IFERROR(S256/L256,"")</x:f>
      </x:c>
      <x:c r="U256" s="32"/>
      <x:c r="V256" s="32"/>
      <x:c r="W256" s="32"/>
      <x:c r="X256" s="32"/>
      <x:c r="Y256" s="32"/>
      <x:c r="Z256" s="32"/>
      <x:c r="AA256" s="32"/>
      <x:c r="AB256" s="32"/>
      <x:c r="AC256" s="32"/>
      <x:c r="AD256" s="32"/>
      <x:c r="AE256" s="32"/>
      <x:c r="AF256" s="32"/>
      <x:c r="AG256" s="32"/>
      <x:c r="AH256" s="32"/>
      <x:c r="AI256" s="32"/>
      <x:c r="AJ256" s="32"/>
      <x:c r="AK256" s="32"/>
      <x:c r="AL256" s="32"/>
      <x:c r="AM256" s="32"/>
      <x:c r="AN256" s="32"/>
      <x:c r="AO256" s="32"/>
      <x:c r="AP256" s="32"/>
      <x:c r="AQ256" s="32"/>
      <x:c r="AR256" s="32"/>
      <x:c r="AS256" s="32"/>
      <x:c r="AT256" s="32"/>
      <x:c r="AU256" s="32"/>
      <x:c r="AV256" s="32"/>
      <x:c r="AW256" s="32"/>
      <x:c r="AX256" s="32"/>
      <x:c r="AZ256" s="32"/>
      <x:c r="BA256" s="32"/>
      <x:c r="BB256" s="32"/>
      <x:c r="BC256" s="32"/>
      <x:c r="BD256" s="32"/>
      <x:c r="BE256" s="32"/>
      <x:c r="BF256" s="32"/>
      <x:c r="BG256" s="32"/>
      <x:c r="BH256" s="32"/>
      <x:c r="BI256" s="32"/>
      <x:c r="BJ256" s="32"/>
      <x:c r="BK256" s="32"/>
      <x:c r="BL256" s="32"/>
      <x:c r="BM256" s="32"/>
    </x:row>
    <x:row r="257">
      <x:c r="A257" s="32"/>
      <x:c r="B257" s="32"/>
      <x:c r="C257" s="42"/>
      <x:c r="D257" s="32"/>
      <x:c r="E257" s="32"/>
      <x:c r="F257" s="32"/>
      <x:c r="G257" s="32"/>
      <x:c r="H257" s="32"/>
      <x:c r="I257" s="32"/>
      <x:c r="J257" s="32"/>
      <x:c r="K257" s="32"/>
      <x:c r="L257" s="32"/>
      <x:c r="M257" s="32"/>
      <x:c r="N257" s="32"/>
      <x:c r="O257" s="32"/>
      <x:c r="P257" s="32"/>
      <x:c r="Q257" s="32"/>
      <x:c r="R257" s="32"/>
      <x:c r="S257" s="32"/>
      <x:c r="T257" s="43" t="str">
        <x:f>IFERROR(S257/L257,"")</x:f>
      </x:c>
      <x:c r="U257" s="32"/>
      <x:c r="V257" s="32"/>
      <x:c r="W257" s="32"/>
      <x:c r="X257" s="32"/>
      <x:c r="Y257" s="32"/>
      <x:c r="Z257" s="32"/>
      <x:c r="AA257" s="32"/>
      <x:c r="AB257" s="32"/>
      <x:c r="AC257" s="32"/>
      <x:c r="AD257" s="32"/>
      <x:c r="AE257" s="32"/>
      <x:c r="AF257" s="32"/>
      <x:c r="AG257" s="32"/>
      <x:c r="AH257" s="32"/>
      <x:c r="AI257" s="32"/>
      <x:c r="AJ257" s="32"/>
      <x:c r="AK257" s="32"/>
      <x:c r="AL257" s="32"/>
      <x:c r="AM257" s="32"/>
      <x:c r="AN257" s="32"/>
      <x:c r="AO257" s="32"/>
      <x:c r="AP257" s="32"/>
      <x:c r="AQ257" s="32"/>
      <x:c r="AR257" s="32"/>
      <x:c r="AS257" s="32"/>
      <x:c r="AT257" s="32"/>
      <x:c r="AU257" s="32"/>
      <x:c r="AV257" s="32"/>
      <x:c r="AW257" s="32"/>
      <x:c r="AX257" s="32"/>
      <x:c r="AZ257" s="32"/>
      <x:c r="BA257" s="32"/>
      <x:c r="BB257" s="32"/>
      <x:c r="BC257" s="32"/>
      <x:c r="BD257" s="32"/>
      <x:c r="BE257" s="32"/>
      <x:c r="BF257" s="32"/>
      <x:c r="BG257" s="32"/>
      <x:c r="BH257" s="32"/>
      <x:c r="BI257" s="32"/>
      <x:c r="BJ257" s="32"/>
      <x:c r="BK257" s="32"/>
      <x:c r="BL257" s="32"/>
      <x:c r="BM257" s="32"/>
    </x:row>
    <x:row r="258">
      <x:c r="A258" s="32"/>
      <x:c r="B258" s="32"/>
      <x:c r="C258" s="42"/>
      <x:c r="D258" s="32"/>
      <x:c r="E258" s="32"/>
      <x:c r="F258" s="32"/>
      <x:c r="G258" s="32"/>
      <x:c r="H258" s="32"/>
      <x:c r="I258" s="32"/>
      <x:c r="J258" s="32"/>
      <x:c r="K258" s="32"/>
      <x:c r="L258" s="32"/>
      <x:c r="M258" s="32"/>
      <x:c r="N258" s="32"/>
      <x:c r="O258" s="32"/>
      <x:c r="P258" s="32"/>
      <x:c r="Q258" s="32"/>
      <x:c r="R258" s="32"/>
      <x:c r="S258" s="32"/>
      <x:c r="T258" s="43" t="str">
        <x:f>IFERROR(S258/L258,"")</x:f>
      </x:c>
      <x:c r="U258" s="32"/>
      <x:c r="V258" s="32"/>
      <x:c r="W258" s="32"/>
      <x:c r="X258" s="32"/>
      <x:c r="Y258" s="32"/>
      <x:c r="Z258" s="32"/>
      <x:c r="AA258" s="32"/>
      <x:c r="AB258" s="32"/>
      <x:c r="AC258" s="32"/>
      <x:c r="AD258" s="32"/>
      <x:c r="AE258" s="32"/>
      <x:c r="AF258" s="32"/>
      <x:c r="AG258" s="32"/>
      <x:c r="AH258" s="32"/>
      <x:c r="AI258" s="32"/>
      <x:c r="AJ258" s="32"/>
      <x:c r="AK258" s="32"/>
      <x:c r="AL258" s="32"/>
      <x:c r="AM258" s="32"/>
      <x:c r="AN258" s="32"/>
      <x:c r="AO258" s="32"/>
      <x:c r="AP258" s="32"/>
      <x:c r="AQ258" s="32"/>
      <x:c r="AR258" s="32"/>
      <x:c r="AS258" s="32"/>
      <x:c r="AT258" s="32"/>
      <x:c r="AU258" s="32"/>
      <x:c r="AV258" s="32"/>
      <x:c r="AW258" s="32"/>
      <x:c r="AX258" s="32"/>
      <x:c r="AZ258" s="32"/>
      <x:c r="BA258" s="32"/>
      <x:c r="BB258" s="32"/>
      <x:c r="BC258" s="32"/>
      <x:c r="BD258" s="32"/>
      <x:c r="BE258" s="32"/>
      <x:c r="BF258" s="32"/>
      <x:c r="BG258" s="32"/>
      <x:c r="BH258" s="32"/>
      <x:c r="BI258" s="32"/>
      <x:c r="BJ258" s="32"/>
      <x:c r="BK258" s="32"/>
      <x:c r="BL258" s="32"/>
      <x:c r="BM258" s="32"/>
    </x:row>
    <x:row r="259">
      <x:c r="A259" s="32"/>
      <x:c r="B259" s="32"/>
      <x:c r="C259" s="42"/>
      <x:c r="D259" s="32"/>
      <x:c r="E259" s="32"/>
      <x:c r="F259" s="32"/>
      <x:c r="G259" s="32"/>
      <x:c r="H259" s="32"/>
      <x:c r="I259" s="32"/>
      <x:c r="J259" s="32"/>
      <x:c r="K259" s="32"/>
      <x:c r="L259" s="32"/>
      <x:c r="M259" s="32"/>
      <x:c r="N259" s="32"/>
      <x:c r="O259" s="32"/>
      <x:c r="P259" s="32"/>
      <x:c r="Q259" s="32"/>
      <x:c r="R259" s="32"/>
      <x:c r="S259" s="32"/>
      <x:c r="T259" s="43" t="str">
        <x:f>IFERROR(S259/L259,"")</x:f>
      </x:c>
      <x:c r="U259" s="32"/>
      <x:c r="V259" s="32"/>
      <x:c r="W259" s="32"/>
      <x:c r="X259" s="32"/>
      <x:c r="Y259" s="32"/>
      <x:c r="Z259" s="32"/>
      <x:c r="AA259" s="32"/>
      <x:c r="AB259" s="32"/>
      <x:c r="AC259" s="32"/>
      <x:c r="AD259" s="32"/>
      <x:c r="AE259" s="32"/>
      <x:c r="AF259" s="32"/>
      <x:c r="AG259" s="32"/>
      <x:c r="AH259" s="32"/>
      <x:c r="AI259" s="32"/>
      <x:c r="AJ259" s="32"/>
      <x:c r="AK259" s="32"/>
      <x:c r="AL259" s="32"/>
      <x:c r="AM259" s="32"/>
      <x:c r="AN259" s="32"/>
      <x:c r="AO259" s="32"/>
      <x:c r="AP259" s="32"/>
      <x:c r="AQ259" s="32"/>
      <x:c r="AR259" s="32"/>
      <x:c r="AS259" s="32"/>
      <x:c r="AT259" s="32"/>
      <x:c r="AU259" s="32"/>
      <x:c r="AV259" s="32"/>
      <x:c r="AW259" s="32"/>
      <x:c r="AX259" s="32"/>
      <x:c r="AZ259" s="32"/>
      <x:c r="BA259" s="32"/>
      <x:c r="BB259" s="32"/>
      <x:c r="BC259" s="32"/>
      <x:c r="BD259" s="32"/>
      <x:c r="BE259" s="32"/>
      <x:c r="BF259" s="32"/>
      <x:c r="BG259" s="32"/>
      <x:c r="BH259" s="32"/>
      <x:c r="BI259" s="32"/>
      <x:c r="BJ259" s="32"/>
      <x:c r="BK259" s="32"/>
      <x:c r="BL259" s="32"/>
      <x:c r="BM259" s="32"/>
    </x:row>
    <x:row r="260">
      <x:c r="A260" s="32"/>
      <x:c r="B260" s="32"/>
      <x:c r="C260" s="42"/>
      <x:c r="D260" s="32"/>
      <x:c r="E260" s="32"/>
      <x:c r="F260" s="32"/>
      <x:c r="G260" s="32"/>
      <x:c r="H260" s="32"/>
      <x:c r="I260" s="32"/>
      <x:c r="J260" s="32"/>
      <x:c r="K260" s="32"/>
      <x:c r="L260" s="32"/>
      <x:c r="M260" s="32"/>
      <x:c r="N260" s="32"/>
      <x:c r="O260" s="32"/>
      <x:c r="P260" s="32"/>
      <x:c r="Q260" s="32"/>
      <x:c r="R260" s="32"/>
      <x:c r="S260" s="32"/>
      <x:c r="T260" s="43" t="str">
        <x:f>IFERROR(S260/L260,"")</x:f>
      </x:c>
      <x:c r="U260" s="32"/>
      <x:c r="V260" s="32"/>
      <x:c r="W260" s="32"/>
      <x:c r="X260" s="32"/>
      <x:c r="Y260" s="32"/>
      <x:c r="Z260" s="32"/>
      <x:c r="AA260" s="32"/>
      <x:c r="AB260" s="32"/>
      <x:c r="AC260" s="32"/>
      <x:c r="AD260" s="32"/>
      <x:c r="AE260" s="32"/>
      <x:c r="AF260" s="32"/>
      <x:c r="AG260" s="32"/>
      <x:c r="AH260" s="32"/>
      <x:c r="AI260" s="32"/>
      <x:c r="AJ260" s="32"/>
      <x:c r="AK260" s="32"/>
      <x:c r="AL260" s="32"/>
      <x:c r="AM260" s="32"/>
      <x:c r="AN260" s="32"/>
      <x:c r="AO260" s="32"/>
      <x:c r="AP260" s="32"/>
      <x:c r="AQ260" s="32"/>
      <x:c r="AR260" s="32"/>
      <x:c r="AS260" s="32"/>
      <x:c r="AT260" s="32"/>
      <x:c r="AU260" s="32"/>
      <x:c r="AV260" s="32"/>
      <x:c r="AW260" s="32"/>
      <x:c r="AX260" s="32"/>
      <x:c r="AZ260" s="32"/>
      <x:c r="BA260" s="32"/>
      <x:c r="BB260" s="32"/>
      <x:c r="BC260" s="32"/>
      <x:c r="BD260" s="32"/>
      <x:c r="BE260" s="32"/>
      <x:c r="BF260" s="32"/>
      <x:c r="BG260" s="32"/>
      <x:c r="BH260" s="32"/>
      <x:c r="BI260" s="32"/>
      <x:c r="BJ260" s="32"/>
      <x:c r="BK260" s="32"/>
      <x:c r="BL260" s="32"/>
      <x:c r="BM260" s="32"/>
    </x:row>
    <x:row r="261">
      <x:c r="A261" s="32"/>
      <x:c r="B261" s="32"/>
      <x:c r="C261" s="42"/>
      <x:c r="D261" s="32"/>
      <x:c r="E261" s="32"/>
      <x:c r="F261" s="32"/>
      <x:c r="G261" s="32"/>
      <x:c r="H261" s="32"/>
      <x:c r="I261" s="32"/>
      <x:c r="J261" s="32"/>
      <x:c r="K261" s="32"/>
      <x:c r="L261" s="32"/>
      <x:c r="M261" s="32"/>
      <x:c r="N261" s="32"/>
      <x:c r="O261" s="32"/>
      <x:c r="P261" s="32"/>
      <x:c r="Q261" s="32"/>
      <x:c r="R261" s="32"/>
      <x:c r="S261" s="32"/>
      <x:c r="T261" s="43" t="str">
        <x:f>IFERROR(S261/L261,"")</x:f>
      </x:c>
      <x:c r="U261" s="32"/>
      <x:c r="V261" s="32"/>
      <x:c r="W261" s="32"/>
      <x:c r="X261" s="32"/>
      <x:c r="Y261" s="32"/>
      <x:c r="Z261" s="32"/>
      <x:c r="AA261" s="32"/>
      <x:c r="AB261" s="32"/>
      <x:c r="AC261" s="32"/>
      <x:c r="AD261" s="32"/>
      <x:c r="AE261" s="32"/>
      <x:c r="AF261" s="32"/>
      <x:c r="AG261" s="32"/>
      <x:c r="AH261" s="32"/>
      <x:c r="AI261" s="32"/>
      <x:c r="AJ261" s="32"/>
      <x:c r="AK261" s="32"/>
      <x:c r="AL261" s="32"/>
      <x:c r="AM261" s="32"/>
      <x:c r="AN261" s="32"/>
      <x:c r="AO261" s="32"/>
      <x:c r="AP261" s="32"/>
      <x:c r="AQ261" s="32"/>
      <x:c r="AR261" s="32"/>
      <x:c r="AS261" s="32"/>
      <x:c r="AT261" s="32"/>
      <x:c r="AU261" s="32"/>
      <x:c r="AV261" s="32"/>
      <x:c r="AW261" s="32"/>
      <x:c r="AX261" s="32"/>
      <x:c r="AZ261" s="32"/>
      <x:c r="BA261" s="32"/>
      <x:c r="BB261" s="32"/>
      <x:c r="BC261" s="32"/>
      <x:c r="BD261" s="32"/>
      <x:c r="BE261" s="32"/>
      <x:c r="BF261" s="32"/>
      <x:c r="BG261" s="32"/>
      <x:c r="BH261" s="32"/>
      <x:c r="BI261" s="32"/>
      <x:c r="BJ261" s="32"/>
      <x:c r="BK261" s="32"/>
      <x:c r="BL261" s="32"/>
      <x:c r="BM261" s="32"/>
    </x:row>
    <x:row r="262">
      <x:c r="A262" s="32"/>
      <x:c r="B262" s="32"/>
      <x:c r="C262" s="42"/>
      <x:c r="D262" s="32"/>
      <x:c r="E262" s="32"/>
      <x:c r="F262" s="32"/>
      <x:c r="G262" s="32"/>
      <x:c r="H262" s="32"/>
      <x:c r="I262" s="32"/>
      <x:c r="J262" s="32"/>
      <x:c r="K262" s="32"/>
      <x:c r="L262" s="32"/>
      <x:c r="M262" s="32"/>
      <x:c r="N262" s="32"/>
      <x:c r="O262" s="32"/>
      <x:c r="P262" s="32"/>
      <x:c r="Q262" s="32"/>
      <x:c r="R262" s="32"/>
      <x:c r="S262" s="32"/>
      <x:c r="T262" s="43" t="str">
        <x:f>IFERROR(S262/L262,"")</x:f>
      </x:c>
      <x:c r="U262" s="32"/>
      <x:c r="V262" s="32"/>
      <x:c r="W262" s="32"/>
      <x:c r="X262" s="32"/>
      <x:c r="Y262" s="32"/>
      <x:c r="Z262" s="32"/>
      <x:c r="AA262" s="32"/>
      <x:c r="AB262" s="32"/>
      <x:c r="AC262" s="32"/>
      <x:c r="AD262" s="32"/>
      <x:c r="AE262" s="32"/>
      <x:c r="AF262" s="32"/>
      <x:c r="AG262" s="32"/>
      <x:c r="AH262" s="32"/>
      <x:c r="AI262" s="32"/>
      <x:c r="AJ262" s="32"/>
      <x:c r="AK262" s="32"/>
      <x:c r="AL262" s="32"/>
      <x:c r="AM262" s="32"/>
      <x:c r="AN262" s="32"/>
      <x:c r="AO262" s="32"/>
      <x:c r="AP262" s="32"/>
      <x:c r="AQ262" s="32"/>
      <x:c r="AR262" s="32"/>
      <x:c r="AS262" s="32"/>
      <x:c r="AT262" s="32"/>
      <x:c r="AU262" s="32"/>
      <x:c r="AV262" s="32"/>
      <x:c r="AW262" s="32"/>
      <x:c r="AX262" s="32"/>
      <x:c r="AZ262" s="32"/>
      <x:c r="BA262" s="32"/>
      <x:c r="BB262" s="32"/>
      <x:c r="BC262" s="32"/>
      <x:c r="BD262" s="32"/>
      <x:c r="BE262" s="32"/>
      <x:c r="BF262" s="32"/>
      <x:c r="BG262" s="32"/>
      <x:c r="BH262" s="32"/>
      <x:c r="BI262" s="32"/>
      <x:c r="BJ262" s="32"/>
      <x:c r="BK262" s="32"/>
      <x:c r="BL262" s="32"/>
      <x:c r="BM262" s="32"/>
    </x:row>
    <x:row r="263">
      <x:c r="A263" s="32"/>
      <x:c r="B263" s="32"/>
      <x:c r="C263" s="42"/>
      <x:c r="D263" s="32"/>
      <x:c r="E263" s="32"/>
      <x:c r="F263" s="32"/>
      <x:c r="G263" s="32"/>
      <x:c r="H263" s="32"/>
      <x:c r="I263" s="32"/>
      <x:c r="J263" s="32"/>
      <x:c r="K263" s="32"/>
      <x:c r="L263" s="32"/>
      <x:c r="M263" s="32"/>
      <x:c r="N263" s="32"/>
      <x:c r="O263" s="32"/>
      <x:c r="P263" s="32"/>
      <x:c r="Q263" s="32"/>
      <x:c r="R263" s="32"/>
      <x:c r="S263" s="32"/>
      <x:c r="T263" s="43" t="str">
        <x:f>IFERROR(S263/L263,"")</x:f>
      </x:c>
      <x:c r="U263" s="32"/>
      <x:c r="V263" s="32"/>
      <x:c r="W263" s="32"/>
      <x:c r="X263" s="32"/>
      <x:c r="Y263" s="32"/>
      <x:c r="Z263" s="32"/>
      <x:c r="AA263" s="32"/>
      <x:c r="AB263" s="32"/>
      <x:c r="AC263" s="32"/>
      <x:c r="AD263" s="32"/>
      <x:c r="AE263" s="32"/>
      <x:c r="AF263" s="32"/>
      <x:c r="AG263" s="32"/>
      <x:c r="AH263" s="32"/>
      <x:c r="AI263" s="32"/>
      <x:c r="AJ263" s="32"/>
      <x:c r="AK263" s="32"/>
      <x:c r="AL263" s="32"/>
      <x:c r="AM263" s="32"/>
      <x:c r="AN263" s="32"/>
      <x:c r="AO263" s="32"/>
      <x:c r="AP263" s="32"/>
      <x:c r="AQ263" s="32"/>
      <x:c r="AR263" s="32"/>
      <x:c r="AS263" s="32"/>
      <x:c r="AT263" s="32"/>
      <x:c r="AU263" s="32"/>
      <x:c r="AV263" s="32"/>
      <x:c r="AW263" s="32"/>
      <x:c r="AX263" s="32"/>
      <x:c r="AZ263" s="32"/>
      <x:c r="BA263" s="32"/>
      <x:c r="BB263" s="32"/>
      <x:c r="BC263" s="32"/>
      <x:c r="BD263" s="32"/>
      <x:c r="BE263" s="32"/>
      <x:c r="BF263" s="32"/>
      <x:c r="BG263" s="32"/>
      <x:c r="BH263" s="32"/>
      <x:c r="BI263" s="32"/>
      <x:c r="BJ263" s="32"/>
      <x:c r="BK263" s="32"/>
      <x:c r="BL263" s="32"/>
      <x:c r="BM263" s="32"/>
    </x:row>
    <x:row r="264">
      <x:c r="A264" s="32"/>
      <x:c r="B264" s="32"/>
      <x:c r="C264" s="42"/>
      <x:c r="D264" s="32"/>
      <x:c r="E264" s="32"/>
      <x:c r="F264" s="32"/>
      <x:c r="G264" s="32"/>
      <x:c r="H264" s="32"/>
      <x:c r="I264" s="32"/>
      <x:c r="J264" s="32"/>
      <x:c r="K264" s="32"/>
      <x:c r="L264" s="32"/>
      <x:c r="M264" s="32"/>
      <x:c r="N264" s="32"/>
      <x:c r="O264" s="32"/>
      <x:c r="P264" s="32"/>
      <x:c r="Q264" s="32"/>
      <x:c r="R264" s="32"/>
      <x:c r="S264" s="32"/>
      <x:c r="T264" s="43" t="str">
        <x:f>IFERROR(S264/L264,"")</x:f>
      </x:c>
      <x:c r="U264" s="32"/>
      <x:c r="V264" s="32"/>
      <x:c r="W264" s="32"/>
      <x:c r="X264" s="32"/>
      <x:c r="Y264" s="32"/>
      <x:c r="Z264" s="32"/>
      <x:c r="AA264" s="32"/>
      <x:c r="AB264" s="32"/>
      <x:c r="AC264" s="32"/>
      <x:c r="AD264" s="32"/>
      <x:c r="AE264" s="32"/>
      <x:c r="AF264" s="32"/>
      <x:c r="AG264" s="32"/>
      <x:c r="AH264" s="32"/>
      <x:c r="AI264" s="32"/>
      <x:c r="AJ264" s="32"/>
      <x:c r="AK264" s="32"/>
      <x:c r="AL264" s="32"/>
      <x:c r="AM264" s="32"/>
      <x:c r="AN264" s="32"/>
      <x:c r="AO264" s="32"/>
      <x:c r="AP264" s="32"/>
      <x:c r="AQ264" s="32"/>
      <x:c r="AR264" s="32"/>
      <x:c r="AS264" s="32"/>
      <x:c r="AT264" s="32"/>
      <x:c r="AU264" s="32"/>
      <x:c r="AV264" s="32"/>
      <x:c r="AW264" s="32"/>
      <x:c r="AX264" s="32"/>
      <x:c r="AZ264" s="32"/>
      <x:c r="BA264" s="32"/>
      <x:c r="BB264" s="32"/>
      <x:c r="BC264" s="32"/>
      <x:c r="BD264" s="32"/>
      <x:c r="BE264" s="32"/>
      <x:c r="BF264" s="32"/>
      <x:c r="BG264" s="32"/>
      <x:c r="BH264" s="32"/>
      <x:c r="BI264" s="32"/>
      <x:c r="BJ264" s="32"/>
      <x:c r="BK264" s="32"/>
      <x:c r="BL264" s="32"/>
      <x:c r="BM264" s="32"/>
    </x:row>
    <x:row r="265">
      <x:c r="A265" s="32"/>
      <x:c r="B265" s="32"/>
      <x:c r="C265" s="42"/>
      <x:c r="D265" s="32"/>
      <x:c r="E265" s="32"/>
      <x:c r="F265" s="32"/>
      <x:c r="G265" s="32"/>
      <x:c r="H265" s="32"/>
      <x:c r="I265" s="32"/>
      <x:c r="J265" s="32"/>
      <x:c r="K265" s="32"/>
      <x:c r="L265" s="32"/>
      <x:c r="M265" s="32"/>
      <x:c r="N265" s="32"/>
      <x:c r="O265" s="32"/>
      <x:c r="P265" s="32"/>
      <x:c r="Q265" s="32"/>
      <x:c r="R265" s="32"/>
      <x:c r="S265" s="32"/>
      <x:c r="T265" s="43" t="str">
        <x:f>IFERROR(S265/L265,"")</x:f>
      </x:c>
      <x:c r="U265" s="32"/>
      <x:c r="V265" s="32"/>
      <x:c r="W265" s="32"/>
      <x:c r="X265" s="32"/>
      <x:c r="Y265" s="32"/>
      <x:c r="Z265" s="32"/>
      <x:c r="AA265" s="32"/>
      <x:c r="AB265" s="32"/>
      <x:c r="AC265" s="32"/>
      <x:c r="AD265" s="32"/>
      <x:c r="AE265" s="32"/>
      <x:c r="AF265" s="32"/>
      <x:c r="AG265" s="32"/>
      <x:c r="AH265" s="32"/>
      <x:c r="AI265" s="32"/>
      <x:c r="AJ265" s="32"/>
      <x:c r="AK265" s="32"/>
      <x:c r="AL265" s="32"/>
      <x:c r="AM265" s="32"/>
      <x:c r="AN265" s="32"/>
      <x:c r="AO265" s="32"/>
      <x:c r="AP265" s="32"/>
      <x:c r="AQ265" s="32"/>
      <x:c r="AR265" s="32"/>
      <x:c r="AS265" s="32"/>
      <x:c r="AT265" s="32"/>
      <x:c r="AU265" s="32"/>
      <x:c r="AV265" s="32"/>
      <x:c r="AW265" s="32"/>
      <x:c r="AX265" s="32"/>
      <x:c r="AZ265" s="32"/>
      <x:c r="BA265" s="32"/>
      <x:c r="BB265" s="32"/>
      <x:c r="BC265" s="32"/>
      <x:c r="BD265" s="32"/>
      <x:c r="BE265" s="32"/>
      <x:c r="BF265" s="32"/>
      <x:c r="BG265" s="32"/>
      <x:c r="BH265" s="32"/>
      <x:c r="BI265" s="32"/>
      <x:c r="BJ265" s="32"/>
      <x:c r="BK265" s="32"/>
      <x:c r="BL265" s="32"/>
      <x:c r="BM265" s="32"/>
    </x:row>
    <x:row r="266">
      <x:c r="A266" s="32"/>
      <x:c r="B266" s="32"/>
      <x:c r="C266" s="42"/>
      <x:c r="D266" s="32"/>
      <x:c r="E266" s="32"/>
      <x:c r="F266" s="32"/>
      <x:c r="G266" s="32"/>
      <x:c r="H266" s="32"/>
      <x:c r="I266" s="32"/>
      <x:c r="J266" s="32"/>
      <x:c r="K266" s="32"/>
      <x:c r="L266" s="32"/>
      <x:c r="M266" s="32"/>
      <x:c r="N266" s="32"/>
      <x:c r="O266" s="32"/>
      <x:c r="P266" s="32"/>
      <x:c r="Q266" s="32"/>
      <x:c r="R266" s="32"/>
      <x:c r="S266" s="32"/>
      <x:c r="T266" s="43" t="str">
        <x:f>IFERROR(S266/L266,"")</x:f>
      </x:c>
      <x:c r="U266" s="32"/>
      <x:c r="V266" s="32"/>
      <x:c r="W266" s="32"/>
      <x:c r="X266" s="32"/>
      <x:c r="Y266" s="32"/>
      <x:c r="Z266" s="32"/>
      <x:c r="AA266" s="32"/>
      <x:c r="AB266" s="32"/>
      <x:c r="AC266" s="32"/>
      <x:c r="AD266" s="32"/>
      <x:c r="AE266" s="32"/>
      <x:c r="AF266" s="32"/>
      <x:c r="AG266" s="32"/>
      <x:c r="AH266" s="32"/>
      <x:c r="AI266" s="32"/>
      <x:c r="AJ266" s="32"/>
      <x:c r="AK266" s="32"/>
      <x:c r="AL266" s="32"/>
      <x:c r="AM266" s="32"/>
      <x:c r="AN266" s="32"/>
      <x:c r="AO266" s="32"/>
      <x:c r="AP266" s="32"/>
      <x:c r="AQ266" s="32"/>
      <x:c r="AR266" s="32"/>
      <x:c r="AS266" s="32"/>
      <x:c r="AT266" s="32"/>
      <x:c r="AU266" s="32"/>
      <x:c r="AV266" s="32"/>
      <x:c r="AW266" s="32"/>
      <x:c r="AX266" s="32"/>
      <x:c r="AZ266" s="32"/>
      <x:c r="BA266" s="32"/>
      <x:c r="BB266" s="32"/>
      <x:c r="BC266" s="32"/>
      <x:c r="BD266" s="32"/>
      <x:c r="BE266" s="32"/>
      <x:c r="BF266" s="32"/>
      <x:c r="BG266" s="32"/>
      <x:c r="BH266" s="32"/>
      <x:c r="BI266" s="32"/>
      <x:c r="BJ266" s="32"/>
      <x:c r="BK266" s="32"/>
      <x:c r="BL266" s="32"/>
      <x:c r="BM266" s="32"/>
    </x:row>
    <x:row r="267">
      <x:c r="A267" s="32"/>
      <x:c r="B267" s="32"/>
      <x:c r="C267" s="42"/>
      <x:c r="D267" s="32"/>
      <x:c r="E267" s="32"/>
      <x:c r="F267" s="32"/>
      <x:c r="G267" s="32"/>
      <x:c r="H267" s="32"/>
      <x:c r="I267" s="32"/>
      <x:c r="J267" s="32"/>
      <x:c r="K267" s="32"/>
      <x:c r="L267" s="32"/>
      <x:c r="M267" s="32"/>
      <x:c r="N267" s="32"/>
      <x:c r="O267" s="32"/>
      <x:c r="P267" s="32"/>
      <x:c r="Q267" s="32"/>
      <x:c r="R267" s="32"/>
      <x:c r="S267" s="32"/>
      <x:c r="T267" s="43" t="str">
        <x:f>IFERROR(S267/L267,"")</x:f>
      </x:c>
      <x:c r="U267" s="32"/>
      <x:c r="V267" s="32"/>
      <x:c r="W267" s="32"/>
      <x:c r="X267" s="32"/>
      <x:c r="Y267" s="32"/>
      <x:c r="Z267" s="32"/>
      <x:c r="AA267" s="32"/>
      <x:c r="AB267" s="32"/>
      <x:c r="AC267" s="32"/>
      <x:c r="AD267" s="32"/>
      <x:c r="AE267" s="32"/>
      <x:c r="AF267" s="32"/>
      <x:c r="AG267" s="32"/>
      <x:c r="AH267" s="32"/>
      <x:c r="AI267" s="32"/>
      <x:c r="AJ267" s="32"/>
      <x:c r="AK267" s="32"/>
      <x:c r="AL267" s="32"/>
      <x:c r="AM267" s="32"/>
      <x:c r="AN267" s="32"/>
      <x:c r="AO267" s="32"/>
      <x:c r="AP267" s="32"/>
      <x:c r="AQ267" s="32"/>
      <x:c r="AR267" s="32"/>
      <x:c r="AS267" s="32"/>
      <x:c r="AT267" s="32"/>
      <x:c r="AU267" s="32"/>
      <x:c r="AV267" s="32"/>
      <x:c r="AW267" s="32"/>
      <x:c r="AX267" s="32"/>
      <x:c r="AZ267" s="32"/>
      <x:c r="BA267" s="32"/>
      <x:c r="BB267" s="32"/>
      <x:c r="BC267" s="32"/>
      <x:c r="BD267" s="32"/>
      <x:c r="BE267" s="32"/>
      <x:c r="BF267" s="32"/>
      <x:c r="BG267" s="32"/>
      <x:c r="BH267" s="32"/>
      <x:c r="BI267" s="32"/>
      <x:c r="BJ267" s="32"/>
      <x:c r="BK267" s="32"/>
      <x:c r="BL267" s="32"/>
      <x:c r="BM267" s="32"/>
    </x:row>
    <x:row r="268">
      <x:c r="A268" s="32"/>
      <x:c r="B268" s="32"/>
      <x:c r="C268" s="42"/>
      <x:c r="D268" s="32"/>
      <x:c r="E268" s="32"/>
      <x:c r="F268" s="32"/>
      <x:c r="G268" s="32"/>
      <x:c r="H268" s="32"/>
      <x:c r="I268" s="32"/>
      <x:c r="J268" s="32"/>
      <x:c r="K268" s="32"/>
      <x:c r="L268" s="32"/>
      <x:c r="M268" s="32"/>
      <x:c r="N268" s="32"/>
      <x:c r="O268" s="32"/>
      <x:c r="P268" s="32"/>
      <x:c r="Q268" s="32"/>
      <x:c r="R268" s="32"/>
      <x:c r="S268" s="32"/>
      <x:c r="T268" s="43" t="str">
        <x:f>IFERROR(S268/L268,"")</x:f>
      </x:c>
      <x:c r="U268" s="32"/>
      <x:c r="V268" s="32"/>
      <x:c r="W268" s="32"/>
      <x:c r="X268" s="32"/>
      <x:c r="Y268" s="32"/>
      <x:c r="Z268" s="32"/>
      <x:c r="AA268" s="32"/>
      <x:c r="AB268" s="32"/>
      <x:c r="AC268" s="32"/>
      <x:c r="AD268" s="32"/>
      <x:c r="AE268" s="32"/>
      <x:c r="AF268" s="32"/>
      <x:c r="AG268" s="32"/>
      <x:c r="AH268" s="32"/>
      <x:c r="AI268" s="32"/>
      <x:c r="AJ268" s="32"/>
      <x:c r="AK268" s="32"/>
      <x:c r="AL268" s="32"/>
      <x:c r="AM268" s="32"/>
      <x:c r="AN268" s="32"/>
      <x:c r="AO268" s="32"/>
      <x:c r="AP268" s="32"/>
      <x:c r="AQ268" s="32"/>
      <x:c r="AR268" s="32"/>
      <x:c r="AS268" s="32"/>
      <x:c r="AT268" s="32"/>
      <x:c r="AU268" s="32"/>
      <x:c r="AV268" s="32"/>
      <x:c r="AW268" s="32"/>
      <x:c r="AX268" s="32"/>
      <x:c r="AZ268" s="32"/>
      <x:c r="BA268" s="32"/>
      <x:c r="BB268" s="32"/>
      <x:c r="BC268" s="32"/>
      <x:c r="BD268" s="32"/>
      <x:c r="BE268" s="32"/>
      <x:c r="BF268" s="32"/>
      <x:c r="BG268" s="32"/>
      <x:c r="BH268" s="32"/>
      <x:c r="BI268" s="32"/>
      <x:c r="BJ268" s="32"/>
      <x:c r="BK268" s="32"/>
      <x:c r="BL268" s="32"/>
      <x:c r="BM268" s="32"/>
    </x:row>
    <x:row r="269">
      <x:c r="A269" s="32"/>
      <x:c r="B269" s="32"/>
      <x:c r="C269" s="42"/>
      <x:c r="D269" s="32"/>
      <x:c r="E269" s="32"/>
      <x:c r="F269" s="32"/>
      <x:c r="G269" s="32"/>
      <x:c r="H269" s="32"/>
      <x:c r="I269" s="32"/>
      <x:c r="J269" s="32"/>
      <x:c r="K269" s="32"/>
      <x:c r="L269" s="32"/>
      <x:c r="M269" s="32"/>
      <x:c r="N269" s="32"/>
      <x:c r="O269" s="32"/>
      <x:c r="P269" s="32"/>
      <x:c r="Q269" s="32"/>
      <x:c r="R269" s="32"/>
      <x:c r="S269" s="32"/>
      <x:c r="T269" s="43" t="str">
        <x:f>IFERROR(S269/L269,"")</x:f>
      </x:c>
      <x:c r="U269" s="32"/>
      <x:c r="V269" s="32"/>
      <x:c r="W269" s="32"/>
      <x:c r="X269" s="32"/>
      <x:c r="Y269" s="32"/>
      <x:c r="Z269" s="32"/>
      <x:c r="AA269" s="32"/>
      <x:c r="AB269" s="32"/>
      <x:c r="AC269" s="32"/>
      <x:c r="AD269" s="32"/>
      <x:c r="AE269" s="32"/>
      <x:c r="AF269" s="32"/>
      <x:c r="AG269" s="32"/>
      <x:c r="AH269" s="32"/>
      <x:c r="AI269" s="32"/>
      <x:c r="AJ269" s="32"/>
      <x:c r="AK269" s="32"/>
      <x:c r="AL269" s="32"/>
      <x:c r="AM269" s="32"/>
      <x:c r="AN269" s="32"/>
      <x:c r="AO269" s="32"/>
      <x:c r="AP269" s="32"/>
      <x:c r="AQ269" s="32"/>
      <x:c r="AR269" s="32"/>
      <x:c r="AS269" s="32"/>
      <x:c r="AT269" s="32"/>
      <x:c r="AU269" s="32"/>
      <x:c r="AV269" s="32"/>
      <x:c r="AW269" s="32"/>
      <x:c r="AX269" s="32"/>
      <x:c r="AZ269" s="32"/>
      <x:c r="BA269" s="32"/>
      <x:c r="BB269" s="32"/>
      <x:c r="BC269" s="32"/>
      <x:c r="BD269" s="32"/>
      <x:c r="BE269" s="32"/>
      <x:c r="BF269" s="32"/>
      <x:c r="BG269" s="32"/>
      <x:c r="BH269" s="32"/>
      <x:c r="BI269" s="32"/>
      <x:c r="BJ269" s="32"/>
      <x:c r="BK269" s="32"/>
      <x:c r="BL269" s="32"/>
      <x:c r="BM269" s="32"/>
    </x:row>
    <x:row r="270">
      <x:c r="A270" s="32"/>
      <x:c r="B270" s="32"/>
      <x:c r="C270" s="42"/>
      <x:c r="D270" s="32"/>
      <x:c r="E270" s="32"/>
      <x:c r="F270" s="32"/>
      <x:c r="G270" s="32"/>
      <x:c r="H270" s="32"/>
      <x:c r="I270" s="32"/>
      <x:c r="J270" s="32"/>
      <x:c r="K270" s="32"/>
      <x:c r="L270" s="32"/>
      <x:c r="M270" s="32"/>
      <x:c r="N270" s="32"/>
      <x:c r="O270" s="32"/>
      <x:c r="P270" s="32"/>
      <x:c r="Q270" s="32"/>
      <x:c r="R270" s="32"/>
      <x:c r="S270" s="32"/>
      <x:c r="T270" s="43" t="str">
        <x:f>IFERROR(S270/L270,"")</x:f>
      </x:c>
      <x:c r="U270" s="32"/>
      <x:c r="V270" s="32"/>
      <x:c r="W270" s="32"/>
      <x:c r="X270" s="32"/>
      <x:c r="Y270" s="32"/>
      <x:c r="Z270" s="32"/>
      <x:c r="AA270" s="32"/>
      <x:c r="AB270" s="32"/>
      <x:c r="AC270" s="32"/>
      <x:c r="AD270" s="32"/>
      <x:c r="AE270" s="32"/>
      <x:c r="AF270" s="32"/>
      <x:c r="AG270" s="32"/>
      <x:c r="AH270" s="32"/>
      <x:c r="AI270" s="32"/>
      <x:c r="AJ270" s="32"/>
      <x:c r="AK270" s="32"/>
      <x:c r="AL270" s="32"/>
      <x:c r="AM270" s="32"/>
      <x:c r="AN270" s="32"/>
      <x:c r="AO270" s="32"/>
      <x:c r="AP270" s="32"/>
      <x:c r="AQ270" s="32"/>
      <x:c r="AR270" s="32"/>
      <x:c r="AS270" s="32"/>
      <x:c r="AT270" s="32"/>
      <x:c r="AU270" s="32"/>
      <x:c r="AV270" s="32"/>
      <x:c r="AW270" s="32"/>
      <x:c r="AX270" s="32"/>
      <x:c r="AZ270" s="32"/>
      <x:c r="BA270" s="32"/>
      <x:c r="BB270" s="32"/>
      <x:c r="BC270" s="32"/>
      <x:c r="BD270" s="32"/>
      <x:c r="BE270" s="32"/>
      <x:c r="BF270" s="32"/>
      <x:c r="BG270" s="32"/>
      <x:c r="BH270" s="32"/>
      <x:c r="BI270" s="32"/>
      <x:c r="BJ270" s="32"/>
      <x:c r="BK270" s="32"/>
      <x:c r="BL270" s="32"/>
      <x:c r="BM270" s="32"/>
    </x:row>
    <x:row r="271">
      <x:c r="A271" s="32"/>
      <x:c r="B271" s="32"/>
      <x:c r="C271" s="42"/>
      <x:c r="D271" s="32"/>
      <x:c r="E271" s="32"/>
      <x:c r="F271" s="32"/>
      <x:c r="G271" s="32"/>
      <x:c r="H271" s="32"/>
      <x:c r="I271" s="32"/>
      <x:c r="J271" s="32"/>
      <x:c r="K271" s="32"/>
      <x:c r="L271" s="32"/>
      <x:c r="M271" s="32"/>
      <x:c r="N271" s="32"/>
      <x:c r="O271" s="32"/>
      <x:c r="P271" s="32"/>
      <x:c r="Q271" s="32"/>
      <x:c r="R271" s="32"/>
      <x:c r="S271" s="32"/>
      <x:c r="T271" s="43" t="str">
        <x:f>IFERROR(S271/L271,"")</x:f>
      </x:c>
      <x:c r="U271" s="32"/>
      <x:c r="V271" s="32"/>
      <x:c r="W271" s="32"/>
      <x:c r="X271" s="32"/>
      <x:c r="Y271" s="32"/>
      <x:c r="Z271" s="32"/>
      <x:c r="AA271" s="32"/>
      <x:c r="AB271" s="32"/>
      <x:c r="AC271" s="32"/>
      <x:c r="AD271" s="32"/>
      <x:c r="AE271" s="32"/>
      <x:c r="AF271" s="32"/>
      <x:c r="AG271" s="32"/>
      <x:c r="AH271" s="32"/>
      <x:c r="AI271" s="32"/>
      <x:c r="AJ271" s="32"/>
      <x:c r="AK271" s="32"/>
      <x:c r="AL271" s="32"/>
      <x:c r="AM271" s="32"/>
      <x:c r="AN271" s="32"/>
      <x:c r="AO271" s="32"/>
      <x:c r="AP271" s="32"/>
      <x:c r="AQ271" s="32"/>
      <x:c r="AR271" s="32"/>
      <x:c r="AS271" s="32"/>
      <x:c r="AT271" s="32"/>
      <x:c r="AU271" s="32"/>
      <x:c r="AV271" s="32"/>
      <x:c r="AW271" s="32"/>
      <x:c r="AX271" s="32"/>
      <x:c r="AZ271" s="32"/>
      <x:c r="BA271" s="32"/>
      <x:c r="BB271" s="32"/>
      <x:c r="BC271" s="32"/>
      <x:c r="BD271" s="32"/>
      <x:c r="BE271" s="32"/>
      <x:c r="BF271" s="32"/>
      <x:c r="BG271" s="32"/>
      <x:c r="BH271" s="32"/>
      <x:c r="BI271" s="32"/>
      <x:c r="BJ271" s="32"/>
      <x:c r="BK271" s="32"/>
      <x:c r="BL271" s="32"/>
      <x:c r="BM271" s="32"/>
    </x:row>
    <x:row r="272">
      <x:c r="A272" s="32"/>
      <x:c r="B272" s="32"/>
      <x:c r="C272" s="42"/>
      <x:c r="D272" s="32"/>
      <x:c r="E272" s="32"/>
      <x:c r="F272" s="32"/>
      <x:c r="G272" s="32"/>
      <x:c r="H272" s="32"/>
      <x:c r="I272" s="32"/>
      <x:c r="J272" s="32"/>
      <x:c r="K272" s="32"/>
      <x:c r="L272" s="32"/>
      <x:c r="M272" s="32"/>
      <x:c r="N272" s="32"/>
      <x:c r="O272" s="32"/>
      <x:c r="P272" s="32"/>
      <x:c r="Q272" s="32"/>
      <x:c r="R272" s="32"/>
      <x:c r="S272" s="32"/>
      <x:c r="T272" s="43" t="str">
        <x:f>IFERROR(S272/L272,"")</x:f>
      </x:c>
      <x:c r="U272" s="32"/>
      <x:c r="V272" s="32"/>
      <x:c r="W272" s="32"/>
      <x:c r="X272" s="32"/>
      <x:c r="Y272" s="32"/>
      <x:c r="Z272" s="32"/>
      <x:c r="AA272" s="32"/>
      <x:c r="AB272" s="32"/>
      <x:c r="AC272" s="32"/>
      <x:c r="AD272" s="32"/>
      <x:c r="AE272" s="32"/>
      <x:c r="AF272" s="32"/>
      <x:c r="AG272" s="32"/>
      <x:c r="AH272" s="32"/>
      <x:c r="AI272" s="32"/>
      <x:c r="AJ272" s="32"/>
      <x:c r="AK272" s="32"/>
      <x:c r="AL272" s="32"/>
      <x:c r="AM272" s="32"/>
      <x:c r="AN272" s="32"/>
      <x:c r="AO272" s="32"/>
      <x:c r="AP272" s="32"/>
      <x:c r="AQ272" s="32"/>
      <x:c r="AR272" s="32"/>
      <x:c r="AS272" s="32"/>
      <x:c r="AT272" s="32"/>
      <x:c r="AU272" s="32"/>
      <x:c r="AV272" s="32"/>
      <x:c r="AW272" s="32"/>
      <x:c r="AX272" s="32"/>
      <x:c r="AZ272" s="32"/>
      <x:c r="BA272" s="32"/>
      <x:c r="BB272" s="32"/>
      <x:c r="BC272" s="32"/>
      <x:c r="BD272" s="32"/>
      <x:c r="BE272" s="32"/>
      <x:c r="BF272" s="32"/>
      <x:c r="BG272" s="32"/>
      <x:c r="BH272" s="32"/>
      <x:c r="BI272" s="32"/>
      <x:c r="BJ272" s="32"/>
      <x:c r="BK272" s="32"/>
      <x:c r="BL272" s="32"/>
      <x:c r="BM272" s="32"/>
    </x:row>
    <x:row r="273">
      <x:c r="A273" s="32"/>
      <x:c r="B273" s="32"/>
      <x:c r="C273" s="42"/>
      <x:c r="D273" s="32"/>
      <x:c r="E273" s="32"/>
      <x:c r="F273" s="32"/>
      <x:c r="G273" s="32"/>
      <x:c r="H273" s="32"/>
      <x:c r="I273" s="32"/>
      <x:c r="J273" s="32"/>
      <x:c r="K273" s="32"/>
      <x:c r="L273" s="32"/>
      <x:c r="M273" s="32"/>
      <x:c r="N273" s="32"/>
      <x:c r="O273" s="32"/>
      <x:c r="P273" s="32"/>
      <x:c r="Q273" s="32"/>
      <x:c r="R273" s="32"/>
      <x:c r="S273" s="32"/>
      <x:c r="T273" s="43" t="str">
        <x:f>IFERROR(S273/L273,"")</x:f>
      </x:c>
      <x:c r="U273" s="32"/>
      <x:c r="V273" s="32"/>
      <x:c r="W273" s="32"/>
      <x:c r="X273" s="32"/>
      <x:c r="Y273" s="32"/>
      <x:c r="Z273" s="32"/>
      <x:c r="AA273" s="32"/>
      <x:c r="AB273" s="32"/>
      <x:c r="AC273" s="32"/>
      <x:c r="AD273" s="32"/>
      <x:c r="AE273" s="32"/>
      <x:c r="AF273" s="32"/>
      <x:c r="AG273" s="32"/>
      <x:c r="AH273" s="32"/>
      <x:c r="AI273" s="32"/>
      <x:c r="AJ273" s="32"/>
      <x:c r="AK273" s="32"/>
      <x:c r="AL273" s="32"/>
      <x:c r="AM273" s="32"/>
      <x:c r="AN273" s="32"/>
      <x:c r="AO273" s="32"/>
      <x:c r="AP273" s="32"/>
      <x:c r="AQ273" s="32"/>
      <x:c r="AR273" s="32"/>
      <x:c r="AS273" s="32"/>
      <x:c r="AT273" s="32"/>
      <x:c r="AU273" s="32"/>
      <x:c r="AV273" s="32"/>
      <x:c r="AW273" s="32"/>
      <x:c r="AX273" s="32"/>
      <x:c r="AZ273" s="32"/>
      <x:c r="BA273" s="32"/>
      <x:c r="BB273" s="32"/>
      <x:c r="BC273" s="32"/>
      <x:c r="BD273" s="32"/>
      <x:c r="BE273" s="32"/>
      <x:c r="BF273" s="32"/>
      <x:c r="BG273" s="32"/>
      <x:c r="BH273" s="32"/>
      <x:c r="BI273" s="32"/>
      <x:c r="BJ273" s="32"/>
      <x:c r="BK273" s="32"/>
      <x:c r="BL273" s="32"/>
      <x:c r="BM273" s="32"/>
    </x:row>
    <x:row r="274">
      <x:c r="A274" s="32"/>
      <x:c r="B274" s="32"/>
      <x:c r="C274" s="42"/>
      <x:c r="D274" s="32"/>
      <x:c r="E274" s="32"/>
      <x:c r="F274" s="32"/>
      <x:c r="G274" s="32"/>
      <x:c r="H274" s="32"/>
      <x:c r="I274" s="32"/>
      <x:c r="J274" s="32"/>
      <x:c r="K274" s="32"/>
      <x:c r="L274" s="32"/>
      <x:c r="M274" s="32"/>
      <x:c r="N274" s="32"/>
      <x:c r="O274" s="32"/>
      <x:c r="P274" s="32"/>
      <x:c r="Q274" s="32"/>
      <x:c r="R274" s="32"/>
      <x:c r="S274" s="32"/>
      <x:c r="T274" s="43" t="str">
        <x:f>IFERROR(S274/L274,"")</x:f>
      </x:c>
      <x:c r="U274" s="32"/>
      <x:c r="V274" s="32"/>
      <x:c r="W274" s="32"/>
      <x:c r="X274" s="32"/>
      <x:c r="Y274" s="32"/>
      <x:c r="Z274" s="32"/>
      <x:c r="AA274" s="32"/>
      <x:c r="AB274" s="32"/>
      <x:c r="AC274" s="32"/>
      <x:c r="AD274" s="32"/>
      <x:c r="AE274" s="32"/>
      <x:c r="AF274" s="32"/>
      <x:c r="AG274" s="32"/>
      <x:c r="AH274" s="32"/>
      <x:c r="AI274" s="32"/>
      <x:c r="AJ274" s="32"/>
      <x:c r="AK274" s="32"/>
      <x:c r="AL274" s="32"/>
      <x:c r="AM274" s="32"/>
      <x:c r="AN274" s="32"/>
      <x:c r="AO274" s="32"/>
      <x:c r="AP274" s="32"/>
      <x:c r="AQ274" s="32"/>
      <x:c r="AR274" s="32"/>
      <x:c r="AS274" s="32"/>
      <x:c r="AT274" s="32"/>
      <x:c r="AU274" s="32"/>
      <x:c r="AV274" s="32"/>
      <x:c r="AW274" s="32"/>
      <x:c r="AX274" s="32"/>
      <x:c r="AZ274" s="32"/>
      <x:c r="BA274" s="32"/>
      <x:c r="BB274" s="32"/>
      <x:c r="BC274" s="32"/>
      <x:c r="BD274" s="32"/>
      <x:c r="BE274" s="32"/>
      <x:c r="BF274" s="32"/>
      <x:c r="BG274" s="32"/>
      <x:c r="BH274" s="32"/>
      <x:c r="BI274" s="32"/>
      <x:c r="BJ274" s="32"/>
      <x:c r="BK274" s="32"/>
      <x:c r="BL274" s="32"/>
      <x:c r="BM274" s="32"/>
    </x:row>
    <x:row r="275">
      <x:c r="A275" s="32"/>
      <x:c r="B275" s="32"/>
      <x:c r="C275" s="42"/>
      <x:c r="D275" s="32"/>
      <x:c r="E275" s="32"/>
      <x:c r="F275" s="32"/>
      <x:c r="G275" s="32"/>
      <x:c r="H275" s="32"/>
      <x:c r="I275" s="32"/>
      <x:c r="J275" s="32"/>
      <x:c r="K275" s="32"/>
      <x:c r="L275" s="32"/>
      <x:c r="M275" s="32"/>
      <x:c r="N275" s="32"/>
      <x:c r="O275" s="32"/>
      <x:c r="P275" s="32"/>
      <x:c r="Q275" s="32"/>
      <x:c r="R275" s="32"/>
      <x:c r="S275" s="32"/>
      <x:c r="T275" s="43" t="str">
        <x:f>IFERROR(S275/L275,"")</x:f>
      </x:c>
      <x:c r="U275" s="32"/>
      <x:c r="V275" s="32"/>
      <x:c r="W275" s="32"/>
      <x:c r="X275" s="32"/>
      <x:c r="Y275" s="32"/>
      <x:c r="Z275" s="32"/>
      <x:c r="AA275" s="32"/>
      <x:c r="AB275" s="32"/>
      <x:c r="AC275" s="32"/>
      <x:c r="AD275" s="32"/>
      <x:c r="AE275" s="32"/>
      <x:c r="AF275" s="32"/>
      <x:c r="AG275" s="32"/>
      <x:c r="AH275" s="32"/>
      <x:c r="AI275" s="32"/>
      <x:c r="AJ275" s="32"/>
      <x:c r="AK275" s="32"/>
      <x:c r="AL275" s="32"/>
      <x:c r="AM275" s="32"/>
      <x:c r="AN275" s="32"/>
      <x:c r="AO275" s="32"/>
      <x:c r="AP275" s="32"/>
      <x:c r="AQ275" s="32"/>
      <x:c r="AR275" s="32"/>
      <x:c r="AS275" s="32"/>
      <x:c r="AT275" s="32"/>
      <x:c r="AU275" s="32"/>
      <x:c r="AV275" s="32"/>
      <x:c r="AW275" s="32"/>
      <x:c r="AX275" s="32"/>
      <x:c r="AZ275" s="32"/>
      <x:c r="BA275" s="32"/>
      <x:c r="BB275" s="32"/>
      <x:c r="BC275" s="32"/>
      <x:c r="BD275" s="32"/>
      <x:c r="BE275" s="32"/>
      <x:c r="BF275" s="32"/>
      <x:c r="BG275" s="32"/>
      <x:c r="BH275" s="32"/>
      <x:c r="BI275" s="32"/>
      <x:c r="BJ275" s="32"/>
      <x:c r="BK275" s="32"/>
      <x:c r="BL275" s="32"/>
      <x:c r="BM275" s="32"/>
    </x:row>
    <x:row r="276">
      <x:c r="A276" s="32"/>
      <x:c r="B276" s="32"/>
      <x:c r="C276" s="42"/>
      <x:c r="D276" s="32"/>
      <x:c r="E276" s="32"/>
      <x:c r="F276" s="32"/>
      <x:c r="G276" s="32"/>
      <x:c r="H276" s="32"/>
      <x:c r="I276" s="32"/>
      <x:c r="J276" s="32"/>
      <x:c r="K276" s="32"/>
      <x:c r="L276" s="32"/>
      <x:c r="M276" s="32"/>
      <x:c r="N276" s="32"/>
      <x:c r="O276" s="32"/>
      <x:c r="P276" s="32"/>
      <x:c r="Q276" s="32"/>
      <x:c r="R276" s="32"/>
      <x:c r="S276" s="32"/>
      <x:c r="T276" s="43" t="str">
        <x:f>IFERROR(S276/L276,"")</x:f>
      </x:c>
      <x:c r="U276" s="32"/>
      <x:c r="V276" s="32"/>
      <x:c r="W276" s="32"/>
      <x:c r="X276" s="32"/>
      <x:c r="Y276" s="32"/>
      <x:c r="Z276" s="32"/>
      <x:c r="AA276" s="32"/>
      <x:c r="AB276" s="32"/>
      <x:c r="AC276" s="32"/>
      <x:c r="AD276" s="32"/>
      <x:c r="AE276" s="32"/>
      <x:c r="AF276" s="32"/>
      <x:c r="AG276" s="32"/>
      <x:c r="AH276" s="32"/>
      <x:c r="AI276" s="32"/>
      <x:c r="AJ276" s="32"/>
      <x:c r="AK276" s="32"/>
      <x:c r="AL276" s="32"/>
      <x:c r="AM276" s="32"/>
      <x:c r="AN276" s="32"/>
      <x:c r="AO276" s="32"/>
      <x:c r="AP276" s="32"/>
      <x:c r="AQ276" s="32"/>
      <x:c r="AR276" s="32"/>
      <x:c r="AS276" s="32"/>
      <x:c r="AT276" s="32"/>
      <x:c r="AU276" s="32"/>
      <x:c r="AV276" s="32"/>
      <x:c r="AW276" s="32"/>
      <x:c r="AX276" s="32"/>
      <x:c r="AZ276" s="32"/>
      <x:c r="BA276" s="32"/>
      <x:c r="BB276" s="32"/>
      <x:c r="BC276" s="32"/>
      <x:c r="BD276" s="32"/>
      <x:c r="BE276" s="32"/>
      <x:c r="BF276" s="32"/>
      <x:c r="BG276" s="32"/>
      <x:c r="BH276" s="32"/>
      <x:c r="BI276" s="32"/>
      <x:c r="BJ276" s="32"/>
      <x:c r="BK276" s="32"/>
      <x:c r="BL276" s="32"/>
      <x:c r="BM276" s="32"/>
    </x:row>
    <x:row r="277">
      <x:c r="A277" s="32"/>
      <x:c r="B277" s="32"/>
      <x:c r="C277" s="42"/>
      <x:c r="D277" s="32"/>
      <x:c r="E277" s="32"/>
      <x:c r="F277" s="32"/>
      <x:c r="G277" s="32"/>
      <x:c r="H277" s="32"/>
      <x:c r="I277" s="32"/>
      <x:c r="J277" s="32"/>
      <x:c r="K277" s="32"/>
      <x:c r="L277" s="32"/>
      <x:c r="M277" s="32"/>
      <x:c r="N277" s="32"/>
      <x:c r="O277" s="32"/>
      <x:c r="P277" s="32"/>
      <x:c r="Q277" s="32"/>
      <x:c r="R277" s="32"/>
      <x:c r="S277" s="32"/>
      <x:c r="T277" s="43" t="str">
        <x:f>IFERROR(S277/L277,"")</x:f>
      </x:c>
      <x:c r="U277" s="32"/>
      <x:c r="V277" s="32"/>
      <x:c r="W277" s="32"/>
      <x:c r="X277" s="32"/>
      <x:c r="Y277" s="32"/>
      <x:c r="Z277" s="32"/>
      <x:c r="AA277" s="32"/>
      <x:c r="AB277" s="32"/>
      <x:c r="AC277" s="32"/>
      <x:c r="AD277" s="32"/>
      <x:c r="AE277" s="32"/>
      <x:c r="AF277" s="32"/>
      <x:c r="AG277" s="32"/>
      <x:c r="AH277" s="32"/>
      <x:c r="AI277" s="32"/>
      <x:c r="AJ277" s="32"/>
      <x:c r="AK277" s="32"/>
      <x:c r="AL277" s="32"/>
      <x:c r="AM277" s="32"/>
      <x:c r="AN277" s="32"/>
      <x:c r="AO277" s="32"/>
      <x:c r="AP277" s="32"/>
      <x:c r="AQ277" s="32"/>
      <x:c r="AR277" s="32"/>
      <x:c r="AS277" s="32"/>
      <x:c r="AT277" s="32"/>
      <x:c r="AU277" s="32"/>
      <x:c r="AV277" s="32"/>
      <x:c r="AW277" s="32"/>
      <x:c r="AX277" s="32"/>
      <x:c r="AZ277" s="32"/>
      <x:c r="BA277" s="32"/>
      <x:c r="BB277" s="32"/>
      <x:c r="BC277" s="32"/>
      <x:c r="BD277" s="32"/>
      <x:c r="BE277" s="32"/>
      <x:c r="BF277" s="32"/>
      <x:c r="BG277" s="32"/>
      <x:c r="BH277" s="32"/>
      <x:c r="BI277" s="32"/>
      <x:c r="BJ277" s="32"/>
      <x:c r="BK277" s="32"/>
      <x:c r="BL277" s="32"/>
      <x:c r="BM277" s="32"/>
    </x:row>
    <x:row r="278">
      <x:c r="A278" s="32"/>
      <x:c r="B278" s="32"/>
      <x:c r="C278" s="42"/>
      <x:c r="D278" s="32"/>
      <x:c r="E278" s="32"/>
      <x:c r="F278" s="32"/>
      <x:c r="G278" s="32"/>
      <x:c r="H278" s="32"/>
      <x:c r="I278" s="32"/>
      <x:c r="J278" s="32"/>
      <x:c r="K278" s="32"/>
      <x:c r="L278" s="32"/>
      <x:c r="M278" s="32"/>
      <x:c r="N278" s="32"/>
      <x:c r="O278" s="32"/>
      <x:c r="P278" s="32"/>
      <x:c r="Q278" s="32"/>
      <x:c r="R278" s="32"/>
      <x:c r="S278" s="32"/>
      <x:c r="T278" s="43" t="str">
        <x:f>IFERROR(S278/L278,"")</x:f>
      </x:c>
      <x:c r="U278" s="32"/>
      <x:c r="V278" s="32"/>
      <x:c r="W278" s="32"/>
      <x:c r="X278" s="32"/>
      <x:c r="Y278" s="32"/>
      <x:c r="Z278" s="32"/>
      <x:c r="AA278" s="32"/>
      <x:c r="AB278" s="32"/>
      <x:c r="AC278" s="32"/>
      <x:c r="AD278" s="32"/>
      <x:c r="AE278" s="32"/>
      <x:c r="AF278" s="32"/>
      <x:c r="AG278" s="32"/>
      <x:c r="AH278" s="32"/>
      <x:c r="AI278" s="32"/>
      <x:c r="AJ278" s="32"/>
      <x:c r="AK278" s="32"/>
      <x:c r="AL278" s="32"/>
      <x:c r="AM278" s="32"/>
      <x:c r="AN278" s="32"/>
      <x:c r="AO278" s="32"/>
      <x:c r="AP278" s="32"/>
      <x:c r="AQ278" s="32"/>
      <x:c r="AR278" s="32"/>
      <x:c r="AS278" s="32"/>
      <x:c r="AT278" s="32"/>
      <x:c r="AU278" s="32"/>
      <x:c r="AV278" s="32"/>
      <x:c r="AW278" s="32"/>
      <x:c r="AX278" s="32"/>
      <x:c r="AZ278" s="32"/>
      <x:c r="BA278" s="32"/>
      <x:c r="BB278" s="32"/>
      <x:c r="BC278" s="32"/>
      <x:c r="BD278" s="32"/>
      <x:c r="BE278" s="32"/>
      <x:c r="BF278" s="32"/>
      <x:c r="BG278" s="32"/>
      <x:c r="BH278" s="32"/>
      <x:c r="BI278" s="32"/>
      <x:c r="BJ278" s="32"/>
      <x:c r="BK278" s="32"/>
      <x:c r="BL278" s="32"/>
      <x:c r="BM278" s="32"/>
    </x:row>
    <x:row r="279">
      <x:c r="A279" s="32"/>
      <x:c r="B279" s="32"/>
      <x:c r="C279" s="42"/>
      <x:c r="D279" s="32"/>
      <x:c r="E279" s="32"/>
      <x:c r="F279" s="32"/>
      <x:c r="G279" s="32"/>
      <x:c r="H279" s="32"/>
      <x:c r="I279" s="32"/>
      <x:c r="J279" s="32"/>
      <x:c r="K279" s="32"/>
      <x:c r="L279" s="32"/>
      <x:c r="M279" s="32"/>
      <x:c r="N279" s="32"/>
      <x:c r="O279" s="32"/>
      <x:c r="P279" s="32"/>
      <x:c r="Q279" s="32"/>
      <x:c r="R279" s="32"/>
      <x:c r="S279" s="32"/>
      <x:c r="T279" s="43" t="str">
        <x:f>IFERROR(S279/L279,"")</x:f>
      </x:c>
      <x:c r="U279" s="32"/>
      <x:c r="V279" s="32"/>
      <x:c r="W279" s="32"/>
      <x:c r="X279" s="32"/>
      <x:c r="Y279" s="32"/>
      <x:c r="Z279" s="32"/>
      <x:c r="AA279" s="32"/>
      <x:c r="AB279" s="32"/>
      <x:c r="AC279" s="32"/>
      <x:c r="AD279" s="32"/>
      <x:c r="AE279" s="32"/>
      <x:c r="AF279" s="32"/>
      <x:c r="AG279" s="32"/>
      <x:c r="AH279" s="32"/>
      <x:c r="AI279" s="32"/>
      <x:c r="AJ279" s="32"/>
      <x:c r="AK279" s="32"/>
      <x:c r="AL279" s="32"/>
      <x:c r="AM279" s="32"/>
      <x:c r="AN279" s="32"/>
      <x:c r="AO279" s="32"/>
      <x:c r="AP279" s="32"/>
      <x:c r="AQ279" s="32"/>
      <x:c r="AR279" s="32"/>
      <x:c r="AS279" s="32"/>
      <x:c r="AT279" s="32"/>
      <x:c r="AU279" s="32"/>
      <x:c r="AV279" s="32"/>
      <x:c r="AW279" s="32"/>
      <x:c r="AX279" s="32"/>
      <x:c r="AZ279" s="32"/>
      <x:c r="BA279" s="32"/>
      <x:c r="BB279" s="32"/>
      <x:c r="BC279" s="32"/>
      <x:c r="BD279" s="32"/>
      <x:c r="BE279" s="32"/>
      <x:c r="BF279" s="32"/>
      <x:c r="BG279" s="32"/>
      <x:c r="BH279" s="32"/>
      <x:c r="BI279" s="32"/>
      <x:c r="BJ279" s="32"/>
      <x:c r="BK279" s="32"/>
      <x:c r="BL279" s="32"/>
      <x:c r="BM279" s="32"/>
    </x:row>
    <x:row r="280">
      <x:c r="A280" s="32"/>
      <x:c r="B280" s="32"/>
      <x:c r="C280" s="42"/>
      <x:c r="D280" s="32"/>
      <x:c r="E280" s="32"/>
      <x:c r="F280" s="32"/>
      <x:c r="G280" s="32"/>
      <x:c r="H280" s="32"/>
      <x:c r="I280" s="32"/>
      <x:c r="J280" s="32"/>
      <x:c r="K280" s="32"/>
      <x:c r="L280" s="32"/>
      <x:c r="M280" s="32"/>
      <x:c r="N280" s="32"/>
      <x:c r="O280" s="32"/>
      <x:c r="P280" s="32"/>
      <x:c r="Q280" s="32"/>
      <x:c r="R280" s="32"/>
      <x:c r="S280" s="32"/>
      <x:c r="T280" s="43" t="str">
        <x:f>IFERROR(S280/L280,"")</x:f>
      </x:c>
      <x:c r="U280" s="32"/>
      <x:c r="V280" s="32"/>
      <x:c r="W280" s="32"/>
      <x:c r="X280" s="32"/>
      <x:c r="Y280" s="32"/>
      <x:c r="Z280" s="32"/>
      <x:c r="AA280" s="32"/>
      <x:c r="AB280" s="32"/>
      <x:c r="AC280" s="32"/>
      <x:c r="AD280" s="32"/>
      <x:c r="AE280" s="32"/>
      <x:c r="AF280" s="32"/>
      <x:c r="AG280" s="32"/>
      <x:c r="AH280" s="32"/>
      <x:c r="AI280" s="32"/>
      <x:c r="AJ280" s="32"/>
      <x:c r="AK280" s="32"/>
      <x:c r="AL280" s="32"/>
      <x:c r="AM280" s="32"/>
      <x:c r="AN280" s="32"/>
      <x:c r="AO280" s="32"/>
      <x:c r="AP280" s="32"/>
      <x:c r="AQ280" s="32"/>
      <x:c r="AR280" s="32"/>
      <x:c r="AS280" s="32"/>
      <x:c r="AT280" s="32"/>
      <x:c r="AU280" s="32"/>
      <x:c r="AV280" s="32"/>
      <x:c r="AW280" s="32"/>
      <x:c r="AX280" s="32"/>
      <x:c r="AZ280" s="32"/>
      <x:c r="BA280" s="32"/>
      <x:c r="BB280" s="32"/>
      <x:c r="BC280" s="32"/>
      <x:c r="BD280" s="32"/>
      <x:c r="BE280" s="32"/>
      <x:c r="BF280" s="32"/>
      <x:c r="BG280" s="32"/>
      <x:c r="BH280" s="32"/>
      <x:c r="BI280" s="32"/>
      <x:c r="BJ280" s="32"/>
      <x:c r="BK280" s="32"/>
      <x:c r="BL280" s="32"/>
      <x:c r="BM280" s="32"/>
    </x:row>
    <x:row r="281">
      <x:c r="A281" s="32"/>
      <x:c r="B281" s="32"/>
      <x:c r="C281" s="42"/>
      <x:c r="D281" s="32"/>
      <x:c r="E281" s="32"/>
      <x:c r="F281" s="32"/>
      <x:c r="G281" s="32"/>
      <x:c r="H281" s="32"/>
      <x:c r="I281" s="32"/>
      <x:c r="J281" s="32"/>
      <x:c r="K281" s="32"/>
      <x:c r="L281" s="32"/>
      <x:c r="M281" s="32"/>
      <x:c r="N281" s="32"/>
      <x:c r="O281" s="32"/>
      <x:c r="P281" s="32"/>
      <x:c r="Q281" s="32"/>
      <x:c r="R281" s="32"/>
      <x:c r="S281" s="32"/>
      <x:c r="T281" s="43" t="str">
        <x:f>IFERROR(S281/L281,"")</x:f>
      </x:c>
      <x:c r="U281" s="32"/>
      <x:c r="V281" s="32"/>
      <x:c r="W281" s="32"/>
      <x:c r="X281" s="32"/>
      <x:c r="Y281" s="32"/>
      <x:c r="Z281" s="32"/>
      <x:c r="AA281" s="32"/>
      <x:c r="AB281" s="32"/>
      <x:c r="AC281" s="32"/>
      <x:c r="AD281" s="32"/>
      <x:c r="AE281" s="32"/>
      <x:c r="AF281" s="32"/>
      <x:c r="AG281" s="32"/>
      <x:c r="AH281" s="32"/>
      <x:c r="AI281" s="32"/>
      <x:c r="AJ281" s="32"/>
      <x:c r="AK281" s="32"/>
      <x:c r="AL281" s="32"/>
      <x:c r="AM281" s="32"/>
      <x:c r="AN281" s="32"/>
      <x:c r="AO281" s="32"/>
      <x:c r="AP281" s="32"/>
      <x:c r="AQ281" s="32"/>
      <x:c r="AR281" s="32"/>
      <x:c r="AS281" s="32"/>
      <x:c r="AT281" s="32"/>
      <x:c r="AU281" s="32"/>
      <x:c r="AV281" s="32"/>
      <x:c r="AW281" s="32"/>
      <x:c r="AX281" s="32"/>
      <x:c r="AZ281" s="32"/>
      <x:c r="BA281" s="32"/>
      <x:c r="BB281" s="32"/>
      <x:c r="BC281" s="32"/>
      <x:c r="BD281" s="32"/>
      <x:c r="BE281" s="32"/>
      <x:c r="BF281" s="32"/>
      <x:c r="BG281" s="32"/>
      <x:c r="BH281" s="32"/>
      <x:c r="BI281" s="32"/>
      <x:c r="BJ281" s="32"/>
      <x:c r="BK281" s="32"/>
      <x:c r="BL281" s="32"/>
      <x:c r="BM281" s="32"/>
    </x:row>
    <x:row r="282">
      <x:c r="A282" s="32"/>
      <x:c r="B282" s="32"/>
      <x:c r="C282" s="42"/>
      <x:c r="D282" s="32"/>
      <x:c r="E282" s="32"/>
      <x:c r="F282" s="32"/>
      <x:c r="G282" s="32"/>
      <x:c r="H282" s="32"/>
      <x:c r="I282" s="32"/>
      <x:c r="J282" s="32"/>
      <x:c r="K282" s="32"/>
      <x:c r="L282" s="32"/>
      <x:c r="M282" s="32"/>
      <x:c r="N282" s="32"/>
      <x:c r="O282" s="32"/>
      <x:c r="P282" s="32"/>
      <x:c r="Q282" s="32"/>
      <x:c r="R282" s="32"/>
      <x:c r="S282" s="32"/>
      <x:c r="T282" s="43" t="str">
        <x:f>IFERROR(S282/L282,"")</x:f>
      </x:c>
      <x:c r="U282" s="32"/>
      <x:c r="V282" s="32"/>
      <x:c r="W282" s="32"/>
      <x:c r="X282" s="32"/>
      <x:c r="Y282" s="32"/>
      <x:c r="Z282" s="32"/>
      <x:c r="AA282" s="32"/>
      <x:c r="AB282" s="32"/>
      <x:c r="AC282" s="32"/>
      <x:c r="AD282" s="32"/>
      <x:c r="AE282" s="32"/>
      <x:c r="AF282" s="32"/>
      <x:c r="AG282" s="32"/>
      <x:c r="AH282" s="32"/>
      <x:c r="AI282" s="32"/>
      <x:c r="AJ282" s="32"/>
      <x:c r="AK282" s="32"/>
      <x:c r="AL282" s="32"/>
      <x:c r="AM282" s="32"/>
      <x:c r="AN282" s="32"/>
      <x:c r="AO282" s="32"/>
      <x:c r="AP282" s="32"/>
      <x:c r="AQ282" s="32"/>
      <x:c r="AR282" s="32"/>
      <x:c r="AS282" s="32"/>
      <x:c r="AT282" s="32"/>
      <x:c r="AU282" s="32"/>
      <x:c r="AV282" s="32"/>
      <x:c r="AW282" s="32"/>
      <x:c r="AX282" s="32"/>
      <x:c r="AZ282" s="32"/>
      <x:c r="BA282" s="32"/>
      <x:c r="BB282" s="32"/>
      <x:c r="BC282" s="32"/>
      <x:c r="BD282" s="32"/>
      <x:c r="BE282" s="32"/>
      <x:c r="BF282" s="32"/>
      <x:c r="BG282" s="32"/>
      <x:c r="BH282" s="32"/>
      <x:c r="BI282" s="32"/>
      <x:c r="BJ282" s="32"/>
      <x:c r="BK282" s="32"/>
      <x:c r="BL282" s="32"/>
      <x:c r="BM282" s="32"/>
    </x:row>
    <x:row r="283">
      <x:c r="A283" s="32"/>
      <x:c r="B283" s="32"/>
      <x:c r="C283" s="42"/>
      <x:c r="D283" s="32"/>
      <x:c r="E283" s="32"/>
      <x:c r="F283" s="32"/>
      <x:c r="G283" s="32"/>
      <x:c r="H283" s="32"/>
      <x:c r="I283" s="32"/>
      <x:c r="J283" s="32"/>
      <x:c r="K283" s="32"/>
      <x:c r="L283" s="32"/>
      <x:c r="M283" s="32"/>
      <x:c r="N283" s="32"/>
      <x:c r="O283" s="32"/>
      <x:c r="P283" s="32"/>
      <x:c r="Q283" s="32"/>
      <x:c r="R283" s="32"/>
      <x:c r="S283" s="32"/>
      <x:c r="T283" s="43" t="str">
        <x:f>IFERROR(S283/L283,"")</x:f>
      </x:c>
      <x:c r="U283" s="32"/>
      <x:c r="V283" s="32"/>
      <x:c r="W283" s="32"/>
      <x:c r="X283" s="32"/>
      <x:c r="Y283" s="32"/>
      <x:c r="Z283" s="32"/>
      <x:c r="AA283" s="32"/>
      <x:c r="AB283" s="32"/>
      <x:c r="AC283" s="32"/>
      <x:c r="AD283" s="32"/>
      <x:c r="AE283" s="32"/>
      <x:c r="AF283" s="32"/>
      <x:c r="AG283" s="32"/>
      <x:c r="AH283" s="32"/>
      <x:c r="AI283" s="32"/>
      <x:c r="AJ283" s="32"/>
      <x:c r="AK283" s="32"/>
      <x:c r="AL283" s="32"/>
      <x:c r="AM283" s="32"/>
      <x:c r="AN283" s="32"/>
      <x:c r="AO283" s="32"/>
      <x:c r="AP283" s="32"/>
      <x:c r="AQ283" s="32"/>
      <x:c r="AR283" s="32"/>
      <x:c r="AS283" s="32"/>
      <x:c r="AT283" s="32"/>
      <x:c r="AU283" s="32"/>
      <x:c r="AV283" s="32"/>
      <x:c r="AW283" s="32"/>
      <x:c r="AX283" s="32"/>
      <x:c r="AZ283" s="32"/>
      <x:c r="BA283" s="32"/>
      <x:c r="BB283" s="32"/>
      <x:c r="BC283" s="32"/>
      <x:c r="BD283" s="32"/>
      <x:c r="BE283" s="32"/>
      <x:c r="BF283" s="32"/>
      <x:c r="BG283" s="32"/>
      <x:c r="BH283" s="32"/>
      <x:c r="BI283" s="32"/>
      <x:c r="BJ283" s="32"/>
      <x:c r="BK283" s="32"/>
      <x:c r="BL283" s="32"/>
      <x:c r="BM283" s="32"/>
    </x:row>
    <x:row r="284">
      <x:c r="A284" s="32"/>
      <x:c r="B284" s="32"/>
      <x:c r="C284" s="42"/>
      <x:c r="D284" s="32"/>
      <x:c r="E284" s="32"/>
      <x:c r="F284" s="32"/>
      <x:c r="G284" s="32"/>
      <x:c r="H284" s="32"/>
      <x:c r="I284" s="32"/>
      <x:c r="J284" s="32"/>
      <x:c r="K284" s="32"/>
      <x:c r="L284" s="32"/>
      <x:c r="M284" s="32"/>
      <x:c r="N284" s="32"/>
      <x:c r="O284" s="32"/>
      <x:c r="P284" s="32"/>
      <x:c r="Q284" s="32"/>
      <x:c r="R284" s="32"/>
      <x:c r="S284" s="32"/>
      <x:c r="T284" s="43" t="str">
        <x:f>IFERROR(S284/L284,"")</x:f>
      </x:c>
      <x:c r="U284" s="32"/>
      <x:c r="V284" s="32"/>
      <x:c r="W284" s="32"/>
      <x:c r="X284" s="32"/>
      <x:c r="Y284" s="32"/>
      <x:c r="Z284" s="32"/>
      <x:c r="AA284" s="32"/>
      <x:c r="AB284" s="32"/>
      <x:c r="AC284" s="32"/>
      <x:c r="AD284" s="32"/>
      <x:c r="AE284" s="32"/>
      <x:c r="AF284" s="32"/>
      <x:c r="AG284" s="32"/>
      <x:c r="AH284" s="32"/>
      <x:c r="AI284" s="32"/>
      <x:c r="AJ284" s="32"/>
      <x:c r="AK284" s="32"/>
      <x:c r="AL284" s="32"/>
      <x:c r="AM284" s="32"/>
      <x:c r="AN284" s="32"/>
      <x:c r="AO284" s="32"/>
      <x:c r="AP284" s="32"/>
      <x:c r="AQ284" s="32"/>
      <x:c r="AR284" s="32"/>
      <x:c r="AS284" s="32"/>
      <x:c r="AT284" s="32"/>
      <x:c r="AU284" s="32"/>
      <x:c r="AV284" s="32"/>
      <x:c r="AW284" s="32"/>
      <x:c r="AX284" s="32"/>
      <x:c r="AZ284" s="32"/>
      <x:c r="BA284" s="32"/>
      <x:c r="BB284" s="32"/>
      <x:c r="BC284" s="32"/>
      <x:c r="BD284" s="32"/>
      <x:c r="BE284" s="32"/>
      <x:c r="BF284" s="32"/>
      <x:c r="BG284" s="32"/>
      <x:c r="BH284" s="32"/>
      <x:c r="BI284" s="32"/>
      <x:c r="BJ284" s="32"/>
      <x:c r="BK284" s="32"/>
      <x:c r="BL284" s="32"/>
      <x:c r="BM284" s="32"/>
    </x:row>
    <x:row r="285">
      <x:c r="A285" s="32"/>
      <x:c r="B285" s="32"/>
      <x:c r="C285" s="42"/>
      <x:c r="D285" s="32"/>
      <x:c r="E285" s="32"/>
      <x:c r="F285" s="32"/>
      <x:c r="G285" s="32"/>
      <x:c r="H285" s="32"/>
      <x:c r="I285" s="32"/>
      <x:c r="J285" s="32"/>
      <x:c r="K285" s="32"/>
      <x:c r="L285" s="32"/>
      <x:c r="M285" s="32"/>
      <x:c r="N285" s="32"/>
      <x:c r="O285" s="32"/>
      <x:c r="P285" s="32"/>
      <x:c r="Q285" s="32"/>
      <x:c r="R285" s="32"/>
      <x:c r="S285" s="32"/>
      <x:c r="T285" s="43" t="str">
        <x:f>IFERROR(S285/L285,"")</x:f>
      </x:c>
      <x:c r="U285" s="32"/>
      <x:c r="V285" s="32"/>
      <x:c r="W285" s="32"/>
      <x:c r="X285" s="32"/>
      <x:c r="Y285" s="32"/>
      <x:c r="Z285" s="32"/>
      <x:c r="AA285" s="32"/>
      <x:c r="AB285" s="32"/>
      <x:c r="AC285" s="32"/>
      <x:c r="AD285" s="32"/>
      <x:c r="AE285" s="32"/>
      <x:c r="AF285" s="32"/>
      <x:c r="AG285" s="32"/>
      <x:c r="AH285" s="32"/>
      <x:c r="AI285" s="32"/>
      <x:c r="AJ285" s="32"/>
      <x:c r="AK285" s="32"/>
      <x:c r="AL285" s="32"/>
      <x:c r="AM285" s="32"/>
      <x:c r="AN285" s="32"/>
      <x:c r="AO285" s="32"/>
      <x:c r="AP285" s="32"/>
      <x:c r="AQ285" s="32"/>
      <x:c r="AR285" s="32"/>
      <x:c r="AS285" s="32"/>
      <x:c r="AT285" s="32"/>
      <x:c r="AU285" s="32"/>
      <x:c r="AV285" s="32"/>
      <x:c r="AW285" s="32"/>
      <x:c r="AX285" s="32"/>
      <x:c r="AZ285" s="32"/>
      <x:c r="BA285" s="32"/>
      <x:c r="BB285" s="32"/>
      <x:c r="BC285" s="32"/>
      <x:c r="BD285" s="32"/>
      <x:c r="BE285" s="32"/>
      <x:c r="BF285" s="32"/>
      <x:c r="BG285" s="32"/>
      <x:c r="BH285" s="32"/>
      <x:c r="BI285" s="32"/>
      <x:c r="BJ285" s="32"/>
      <x:c r="BK285" s="32"/>
      <x:c r="BL285" s="32"/>
      <x:c r="BM285" s="32"/>
    </x:row>
    <x:row r="286">
      <x:c r="A286" s="32"/>
      <x:c r="B286" s="32"/>
      <x:c r="C286" s="42"/>
      <x:c r="D286" s="32"/>
      <x:c r="E286" s="32"/>
      <x:c r="F286" s="32"/>
      <x:c r="G286" s="32"/>
      <x:c r="H286" s="32"/>
      <x:c r="I286" s="32"/>
      <x:c r="J286" s="32"/>
      <x:c r="K286" s="32"/>
      <x:c r="L286" s="32"/>
      <x:c r="M286" s="32"/>
      <x:c r="N286" s="32"/>
      <x:c r="O286" s="32"/>
      <x:c r="P286" s="32"/>
      <x:c r="Q286" s="32"/>
      <x:c r="R286" s="32"/>
      <x:c r="S286" s="32"/>
      <x:c r="T286" s="43" t="str">
        <x:f>IFERROR(S286/L286,"")</x:f>
      </x:c>
      <x:c r="U286" s="32"/>
      <x:c r="V286" s="32"/>
      <x:c r="W286" s="32"/>
      <x:c r="X286" s="32"/>
      <x:c r="Y286" s="32"/>
      <x:c r="Z286" s="32"/>
      <x:c r="AA286" s="32"/>
      <x:c r="AB286" s="32"/>
      <x:c r="AC286" s="32"/>
      <x:c r="AD286" s="32"/>
      <x:c r="AE286" s="32"/>
      <x:c r="AF286" s="32"/>
      <x:c r="AG286" s="32"/>
      <x:c r="AH286" s="32"/>
      <x:c r="AI286" s="32"/>
      <x:c r="AJ286" s="32"/>
      <x:c r="AK286" s="32"/>
      <x:c r="AL286" s="32"/>
      <x:c r="AM286" s="32"/>
      <x:c r="AN286" s="32"/>
      <x:c r="AO286" s="32"/>
      <x:c r="AP286" s="32"/>
      <x:c r="AQ286" s="32"/>
      <x:c r="AR286" s="32"/>
      <x:c r="AS286" s="32"/>
      <x:c r="AT286" s="32"/>
      <x:c r="AU286" s="32"/>
      <x:c r="AV286" s="32"/>
      <x:c r="AW286" s="32"/>
      <x:c r="AX286" s="32"/>
      <x:c r="AZ286" s="32"/>
      <x:c r="BA286" s="32"/>
      <x:c r="BB286" s="32"/>
      <x:c r="BC286" s="32"/>
      <x:c r="BD286" s="32"/>
      <x:c r="BE286" s="32"/>
      <x:c r="BF286" s="32"/>
      <x:c r="BG286" s="32"/>
      <x:c r="BH286" s="32"/>
      <x:c r="BI286" s="32"/>
      <x:c r="BJ286" s="32"/>
      <x:c r="BK286" s="32"/>
      <x:c r="BL286" s="32"/>
      <x:c r="BM286" s="32"/>
    </x:row>
    <x:row r="287">
      <x:c r="A287" s="32"/>
      <x:c r="B287" s="32"/>
      <x:c r="C287" s="42"/>
      <x:c r="D287" s="32"/>
      <x:c r="E287" s="32"/>
      <x:c r="F287" s="32"/>
      <x:c r="G287" s="32"/>
      <x:c r="H287" s="32"/>
      <x:c r="I287" s="32"/>
      <x:c r="J287" s="32"/>
      <x:c r="K287" s="32"/>
      <x:c r="L287" s="32"/>
      <x:c r="M287" s="32"/>
      <x:c r="N287" s="32"/>
      <x:c r="O287" s="32"/>
      <x:c r="P287" s="32"/>
      <x:c r="Q287" s="32"/>
      <x:c r="R287" s="32"/>
      <x:c r="S287" s="32"/>
      <x:c r="T287" s="43" t="str">
        <x:f>IFERROR(S287/L287,"")</x:f>
      </x:c>
      <x:c r="U287" s="32"/>
      <x:c r="V287" s="32"/>
      <x:c r="W287" s="32"/>
      <x:c r="X287" s="32"/>
      <x:c r="Y287" s="32"/>
      <x:c r="Z287" s="32"/>
      <x:c r="AA287" s="32"/>
      <x:c r="AB287" s="32"/>
      <x:c r="AC287" s="32"/>
      <x:c r="AD287" s="32"/>
      <x:c r="AE287" s="32"/>
      <x:c r="AF287" s="32"/>
      <x:c r="AG287" s="32"/>
      <x:c r="AH287" s="32"/>
      <x:c r="AI287" s="32"/>
      <x:c r="AJ287" s="32"/>
      <x:c r="AK287" s="32"/>
      <x:c r="AL287" s="32"/>
      <x:c r="AM287" s="32"/>
      <x:c r="AN287" s="32"/>
      <x:c r="AO287" s="32"/>
      <x:c r="AP287" s="32"/>
      <x:c r="AQ287" s="32"/>
      <x:c r="AR287" s="32"/>
      <x:c r="AS287" s="32"/>
      <x:c r="AT287" s="32"/>
      <x:c r="AU287" s="32"/>
      <x:c r="AV287" s="32"/>
      <x:c r="AW287" s="32"/>
      <x:c r="AX287" s="32"/>
      <x:c r="AZ287" s="32"/>
      <x:c r="BA287" s="32"/>
      <x:c r="BB287" s="32"/>
      <x:c r="BC287" s="32"/>
      <x:c r="BD287" s="32"/>
      <x:c r="BE287" s="32"/>
      <x:c r="BF287" s="32"/>
      <x:c r="BG287" s="32"/>
      <x:c r="BH287" s="32"/>
      <x:c r="BI287" s="32"/>
      <x:c r="BJ287" s="32"/>
      <x:c r="BK287" s="32"/>
      <x:c r="BL287" s="32"/>
      <x:c r="BM287" s="32"/>
    </x:row>
    <x:row r="288">
      <x:c r="A288" s="32"/>
      <x:c r="B288" s="32"/>
      <x:c r="C288" s="42"/>
      <x:c r="D288" s="32"/>
      <x:c r="E288" s="32"/>
      <x:c r="F288" s="32"/>
      <x:c r="G288" s="32"/>
      <x:c r="H288" s="32"/>
      <x:c r="I288" s="32"/>
      <x:c r="J288" s="32"/>
      <x:c r="K288" s="32"/>
      <x:c r="L288" s="32"/>
      <x:c r="M288" s="32"/>
      <x:c r="N288" s="32"/>
      <x:c r="O288" s="32"/>
      <x:c r="P288" s="32"/>
      <x:c r="Q288" s="32"/>
      <x:c r="R288" s="32"/>
      <x:c r="S288" s="32"/>
      <x:c r="T288" s="43" t="str">
        <x:f>IFERROR(S288/L288,"")</x:f>
      </x:c>
      <x:c r="U288" s="32"/>
      <x:c r="V288" s="32"/>
      <x:c r="W288" s="32"/>
      <x:c r="X288" s="32"/>
      <x:c r="Y288" s="32"/>
      <x:c r="Z288" s="32"/>
      <x:c r="AA288" s="32"/>
      <x:c r="AB288" s="32"/>
      <x:c r="AC288" s="32"/>
      <x:c r="AD288" s="32"/>
      <x:c r="AE288" s="32"/>
      <x:c r="AF288" s="32"/>
      <x:c r="AG288" s="32"/>
      <x:c r="AH288" s="32"/>
      <x:c r="AI288" s="32"/>
      <x:c r="AJ288" s="32"/>
      <x:c r="AK288" s="32"/>
      <x:c r="AL288" s="32"/>
      <x:c r="AM288" s="32"/>
      <x:c r="AN288" s="32"/>
      <x:c r="AO288" s="32"/>
      <x:c r="AP288" s="32"/>
      <x:c r="AQ288" s="32"/>
      <x:c r="AR288" s="32"/>
      <x:c r="AS288" s="32"/>
      <x:c r="AT288" s="32"/>
      <x:c r="AU288" s="32"/>
      <x:c r="AV288" s="32"/>
      <x:c r="AW288" s="32"/>
      <x:c r="AX288" s="32"/>
      <x:c r="AZ288" s="32"/>
      <x:c r="BA288" s="32"/>
      <x:c r="BB288" s="32"/>
      <x:c r="BC288" s="32"/>
      <x:c r="BD288" s="32"/>
      <x:c r="BE288" s="32"/>
      <x:c r="BF288" s="32"/>
      <x:c r="BG288" s="32"/>
      <x:c r="BH288" s="32"/>
      <x:c r="BI288" s="32"/>
      <x:c r="BJ288" s="32"/>
      <x:c r="BK288" s="32"/>
      <x:c r="BL288" s="32"/>
      <x:c r="BM288" s="32"/>
    </x:row>
    <x:row r="289">
      <x:c r="A289" s="32"/>
      <x:c r="B289" s="32"/>
      <x:c r="C289" s="42"/>
      <x:c r="D289" s="32"/>
      <x:c r="E289" s="32"/>
      <x:c r="F289" s="32"/>
      <x:c r="G289" s="32"/>
      <x:c r="H289" s="32"/>
      <x:c r="I289" s="32"/>
      <x:c r="J289" s="32"/>
      <x:c r="K289" s="32"/>
      <x:c r="L289" s="32"/>
      <x:c r="M289" s="32"/>
      <x:c r="N289" s="32"/>
      <x:c r="O289" s="32"/>
      <x:c r="P289" s="32"/>
      <x:c r="Q289" s="32"/>
      <x:c r="R289" s="32"/>
      <x:c r="S289" s="32"/>
      <x:c r="T289" s="43" t="str">
        <x:f>IFERROR(S289/L289,"")</x:f>
      </x:c>
      <x:c r="U289" s="32"/>
      <x:c r="V289" s="32"/>
      <x:c r="W289" s="32"/>
      <x:c r="X289" s="32"/>
      <x:c r="Y289" s="32"/>
      <x:c r="Z289" s="32"/>
      <x:c r="AA289" s="32"/>
      <x:c r="AB289" s="32"/>
      <x:c r="AC289" s="32"/>
      <x:c r="AD289" s="32"/>
      <x:c r="AE289" s="32"/>
      <x:c r="AF289" s="32"/>
      <x:c r="AG289" s="32"/>
      <x:c r="AH289" s="32"/>
      <x:c r="AI289" s="32"/>
      <x:c r="AJ289" s="32"/>
      <x:c r="AK289" s="32"/>
      <x:c r="AL289" s="32"/>
      <x:c r="AM289" s="32"/>
      <x:c r="AN289" s="32"/>
      <x:c r="AO289" s="32"/>
      <x:c r="AP289" s="32"/>
      <x:c r="AQ289" s="32"/>
      <x:c r="AR289" s="32"/>
      <x:c r="AS289" s="32"/>
      <x:c r="AT289" s="32"/>
      <x:c r="AU289" s="32"/>
      <x:c r="AV289" s="32"/>
      <x:c r="AW289" s="32"/>
      <x:c r="AX289" s="32"/>
      <x:c r="AZ289" s="32"/>
      <x:c r="BA289" s="32"/>
      <x:c r="BB289" s="32"/>
      <x:c r="BC289" s="32"/>
      <x:c r="BD289" s="32"/>
      <x:c r="BE289" s="32"/>
      <x:c r="BF289" s="32"/>
      <x:c r="BG289" s="32"/>
      <x:c r="BH289" s="32"/>
      <x:c r="BI289" s="32"/>
      <x:c r="BJ289" s="32"/>
      <x:c r="BK289" s="32"/>
      <x:c r="BL289" s="32"/>
      <x:c r="BM289" s="32"/>
    </x:row>
    <x:row r="290">
      <x:c r="A290" s="32"/>
      <x:c r="B290" s="32"/>
      <x:c r="C290" s="42"/>
      <x:c r="D290" s="32"/>
      <x:c r="E290" s="32"/>
      <x:c r="F290" s="32"/>
      <x:c r="G290" s="32"/>
      <x:c r="H290" s="32"/>
      <x:c r="I290" s="32"/>
      <x:c r="J290" s="32"/>
      <x:c r="K290" s="32"/>
      <x:c r="L290" s="32"/>
      <x:c r="M290" s="32"/>
      <x:c r="N290" s="32"/>
      <x:c r="O290" s="32"/>
      <x:c r="P290" s="32"/>
      <x:c r="Q290" s="32"/>
      <x:c r="R290" s="32"/>
      <x:c r="S290" s="32"/>
      <x:c r="T290" s="43" t="str">
        <x:f>IFERROR(S290/L290,"")</x:f>
      </x:c>
      <x:c r="U290" s="32"/>
      <x:c r="V290" s="32"/>
      <x:c r="W290" s="32"/>
      <x:c r="X290" s="32"/>
      <x:c r="Y290" s="32"/>
      <x:c r="Z290" s="32"/>
      <x:c r="AA290" s="32"/>
      <x:c r="AB290" s="32"/>
      <x:c r="AC290" s="32"/>
      <x:c r="AD290" s="32"/>
      <x:c r="AE290" s="32"/>
      <x:c r="AF290" s="32"/>
      <x:c r="AG290" s="32"/>
      <x:c r="AH290" s="32"/>
      <x:c r="AI290" s="32"/>
      <x:c r="AJ290" s="32"/>
      <x:c r="AK290" s="32"/>
      <x:c r="AL290" s="32"/>
      <x:c r="AM290" s="32"/>
      <x:c r="AN290" s="32"/>
      <x:c r="AO290" s="32"/>
      <x:c r="AP290" s="32"/>
      <x:c r="AQ290" s="32"/>
      <x:c r="AR290" s="32"/>
      <x:c r="AS290" s="32"/>
      <x:c r="AT290" s="32"/>
      <x:c r="AU290" s="32"/>
      <x:c r="AV290" s="32"/>
      <x:c r="AW290" s="32"/>
      <x:c r="AX290" s="32"/>
      <x:c r="AZ290" s="32"/>
      <x:c r="BA290" s="32"/>
      <x:c r="BB290" s="32"/>
      <x:c r="BC290" s="32"/>
      <x:c r="BD290" s="32"/>
      <x:c r="BE290" s="32"/>
      <x:c r="BF290" s="32"/>
      <x:c r="BG290" s="32"/>
      <x:c r="BH290" s="32"/>
      <x:c r="BI290" s="32"/>
      <x:c r="BJ290" s="32"/>
      <x:c r="BK290" s="32"/>
      <x:c r="BL290" s="32"/>
      <x:c r="BM290" s="32"/>
    </x:row>
    <x:row r="291">
      <x:c r="A291" s="32"/>
      <x:c r="B291" s="32"/>
      <x:c r="C291" s="42"/>
      <x:c r="D291" s="32"/>
      <x:c r="E291" s="32"/>
      <x:c r="F291" s="32"/>
      <x:c r="G291" s="32"/>
      <x:c r="H291" s="32"/>
      <x:c r="I291" s="32"/>
      <x:c r="J291" s="32"/>
      <x:c r="K291" s="32"/>
      <x:c r="L291" s="32"/>
      <x:c r="M291" s="32"/>
      <x:c r="N291" s="32"/>
      <x:c r="O291" s="32"/>
      <x:c r="P291" s="32"/>
      <x:c r="Q291" s="32"/>
      <x:c r="R291" s="32"/>
      <x:c r="S291" s="32"/>
      <x:c r="T291" s="43" t="str">
        <x:f>IFERROR(S291/L291,"")</x:f>
      </x:c>
      <x:c r="U291" s="32"/>
      <x:c r="V291" s="32"/>
      <x:c r="W291" s="32"/>
      <x:c r="X291" s="32"/>
      <x:c r="Y291" s="32"/>
      <x:c r="Z291" s="32"/>
      <x:c r="AA291" s="32"/>
      <x:c r="AB291" s="32"/>
      <x:c r="AC291" s="32"/>
      <x:c r="AD291" s="32"/>
      <x:c r="AE291" s="32"/>
      <x:c r="AF291" s="32"/>
      <x:c r="AG291" s="32"/>
      <x:c r="AH291" s="32"/>
      <x:c r="AI291" s="32"/>
      <x:c r="AJ291" s="32"/>
      <x:c r="AK291" s="32"/>
      <x:c r="AL291" s="32"/>
      <x:c r="AM291" s="32"/>
      <x:c r="AN291" s="32"/>
      <x:c r="AO291" s="32"/>
      <x:c r="AP291" s="32"/>
      <x:c r="AQ291" s="32"/>
      <x:c r="AR291" s="32"/>
      <x:c r="AS291" s="32"/>
      <x:c r="AT291" s="32"/>
      <x:c r="AU291" s="32"/>
      <x:c r="AV291" s="32"/>
      <x:c r="AW291" s="32"/>
      <x:c r="AX291" s="32"/>
      <x:c r="AZ291" s="32"/>
      <x:c r="BA291" s="32"/>
      <x:c r="BB291" s="32"/>
      <x:c r="BC291" s="32"/>
      <x:c r="BD291" s="32"/>
      <x:c r="BE291" s="32"/>
      <x:c r="BF291" s="32"/>
      <x:c r="BG291" s="32"/>
      <x:c r="BH291" s="32"/>
      <x:c r="BI291" s="32"/>
      <x:c r="BJ291" s="32"/>
      <x:c r="BK291" s="32"/>
      <x:c r="BL291" s="32"/>
      <x:c r="BM291" s="32"/>
    </x:row>
    <x:row r="292">
      <x:c r="A292" s="32"/>
      <x:c r="B292" s="32"/>
      <x:c r="C292" s="42"/>
      <x:c r="D292" s="32"/>
      <x:c r="E292" s="32"/>
      <x:c r="F292" s="32"/>
      <x:c r="G292" s="32"/>
      <x:c r="H292" s="32"/>
      <x:c r="I292" s="32"/>
      <x:c r="J292" s="32"/>
      <x:c r="K292" s="32"/>
      <x:c r="L292" s="32"/>
      <x:c r="M292" s="32"/>
      <x:c r="N292" s="32"/>
      <x:c r="O292" s="32"/>
      <x:c r="P292" s="32"/>
      <x:c r="Q292" s="32"/>
      <x:c r="R292" s="32"/>
      <x:c r="S292" s="32"/>
      <x:c r="T292" s="43" t="str">
        <x:f>IFERROR(S292/L292,"")</x:f>
      </x:c>
      <x:c r="U292" s="32"/>
      <x:c r="V292" s="32"/>
      <x:c r="W292" s="32"/>
      <x:c r="X292" s="32"/>
      <x:c r="Y292" s="32"/>
      <x:c r="Z292" s="32"/>
      <x:c r="AA292" s="32"/>
      <x:c r="AB292" s="32"/>
      <x:c r="AC292" s="32"/>
      <x:c r="AD292" s="32"/>
      <x:c r="AE292" s="32"/>
      <x:c r="AF292" s="32"/>
      <x:c r="AG292" s="32"/>
      <x:c r="AH292" s="32"/>
      <x:c r="AI292" s="32"/>
      <x:c r="AJ292" s="32"/>
      <x:c r="AK292" s="32"/>
      <x:c r="AL292" s="32"/>
      <x:c r="AM292" s="32"/>
      <x:c r="AN292" s="32"/>
      <x:c r="AO292" s="32"/>
      <x:c r="AP292" s="32"/>
      <x:c r="AQ292" s="32"/>
      <x:c r="AR292" s="32"/>
      <x:c r="AS292" s="32"/>
      <x:c r="AT292" s="32"/>
      <x:c r="AU292" s="32"/>
      <x:c r="AV292" s="32"/>
      <x:c r="AW292" s="32"/>
      <x:c r="AX292" s="32"/>
      <x:c r="AZ292" s="32"/>
      <x:c r="BA292" s="32"/>
      <x:c r="BB292" s="32"/>
      <x:c r="BC292" s="32"/>
      <x:c r="BD292" s="32"/>
      <x:c r="BE292" s="32"/>
      <x:c r="BF292" s="32"/>
      <x:c r="BG292" s="32"/>
      <x:c r="BH292" s="32"/>
      <x:c r="BI292" s="32"/>
      <x:c r="BJ292" s="32"/>
      <x:c r="BK292" s="32"/>
      <x:c r="BL292" s="32"/>
      <x:c r="BM292" s="32"/>
    </x:row>
    <x:row r="293">
      <x:c r="A293" s="32"/>
      <x:c r="B293" s="32"/>
      <x:c r="C293" s="42"/>
      <x:c r="D293" s="32"/>
      <x:c r="E293" s="32"/>
      <x:c r="F293" s="32"/>
      <x:c r="G293" s="32"/>
      <x:c r="H293" s="32"/>
      <x:c r="I293" s="32"/>
      <x:c r="J293" s="32"/>
      <x:c r="K293" s="32"/>
      <x:c r="L293" s="32"/>
      <x:c r="M293" s="32"/>
      <x:c r="N293" s="32"/>
      <x:c r="O293" s="32"/>
      <x:c r="P293" s="32"/>
      <x:c r="Q293" s="32"/>
      <x:c r="R293" s="32"/>
      <x:c r="S293" s="32"/>
      <x:c r="T293" s="43" t="str">
        <x:f>IFERROR(S293/L293,"")</x:f>
      </x:c>
      <x:c r="U293" s="32"/>
      <x:c r="V293" s="32"/>
      <x:c r="W293" s="32"/>
      <x:c r="X293" s="32"/>
      <x:c r="Y293" s="32"/>
      <x:c r="Z293" s="32"/>
      <x:c r="AA293" s="32"/>
      <x:c r="AB293" s="32"/>
      <x:c r="AC293" s="32"/>
      <x:c r="AD293" s="32"/>
      <x:c r="AE293" s="32"/>
      <x:c r="AF293" s="32"/>
      <x:c r="AG293" s="32"/>
      <x:c r="AH293" s="32"/>
      <x:c r="AI293" s="32"/>
      <x:c r="AJ293" s="32"/>
      <x:c r="AK293" s="32"/>
      <x:c r="AL293" s="32"/>
      <x:c r="AM293" s="32"/>
      <x:c r="AN293" s="32"/>
      <x:c r="AO293" s="32"/>
      <x:c r="AP293" s="32"/>
      <x:c r="AQ293" s="32"/>
      <x:c r="AR293" s="32"/>
      <x:c r="AS293" s="32"/>
      <x:c r="AT293" s="32"/>
      <x:c r="AU293" s="32"/>
      <x:c r="AV293" s="32"/>
      <x:c r="AW293" s="32"/>
      <x:c r="AX293" s="32"/>
      <x:c r="AZ293" s="32"/>
      <x:c r="BA293" s="32"/>
      <x:c r="BB293" s="32"/>
      <x:c r="BC293" s="32"/>
      <x:c r="BD293" s="32"/>
      <x:c r="BE293" s="32"/>
      <x:c r="BF293" s="32"/>
      <x:c r="BG293" s="32"/>
      <x:c r="BH293" s="32"/>
      <x:c r="BI293" s="32"/>
      <x:c r="BJ293" s="32"/>
      <x:c r="BK293" s="32"/>
      <x:c r="BL293" s="32"/>
      <x:c r="BM293" s="32"/>
    </x:row>
    <x:row r="294">
      <x:c r="A294" s="32"/>
      <x:c r="B294" s="32"/>
      <x:c r="C294" s="42"/>
      <x:c r="D294" s="32"/>
      <x:c r="E294" s="32"/>
      <x:c r="F294" s="32"/>
      <x:c r="G294" s="32"/>
      <x:c r="H294" s="32"/>
      <x:c r="I294" s="32"/>
      <x:c r="J294" s="32"/>
      <x:c r="K294" s="32"/>
      <x:c r="L294" s="32"/>
      <x:c r="M294" s="32"/>
      <x:c r="N294" s="32"/>
      <x:c r="O294" s="32"/>
      <x:c r="P294" s="32"/>
      <x:c r="Q294" s="32"/>
      <x:c r="R294" s="32"/>
      <x:c r="S294" s="32"/>
      <x:c r="T294" s="43" t="str">
        <x:f>IFERROR(S294/L294,"")</x:f>
      </x:c>
      <x:c r="U294" s="32"/>
      <x:c r="V294" s="32"/>
      <x:c r="W294" s="32"/>
      <x:c r="X294" s="32"/>
      <x:c r="Y294" s="32"/>
      <x:c r="Z294" s="32"/>
      <x:c r="AA294" s="32"/>
      <x:c r="AB294" s="32"/>
      <x:c r="AC294" s="32"/>
      <x:c r="AD294" s="32"/>
      <x:c r="AE294" s="32"/>
      <x:c r="AF294" s="32"/>
      <x:c r="AG294" s="32"/>
      <x:c r="AH294" s="32"/>
      <x:c r="AI294" s="32"/>
      <x:c r="AJ294" s="32"/>
      <x:c r="AK294" s="32"/>
      <x:c r="AL294" s="32"/>
      <x:c r="AM294" s="32"/>
      <x:c r="AN294" s="32"/>
      <x:c r="AO294" s="32"/>
      <x:c r="AP294" s="32"/>
      <x:c r="AQ294" s="32"/>
      <x:c r="AR294" s="32"/>
      <x:c r="AS294" s="32"/>
      <x:c r="AT294" s="32"/>
      <x:c r="AU294" s="32"/>
      <x:c r="AV294" s="32"/>
      <x:c r="AW294" s="32"/>
      <x:c r="AX294" s="32"/>
      <x:c r="AZ294" s="32"/>
      <x:c r="BA294" s="32"/>
      <x:c r="BB294" s="32"/>
      <x:c r="BC294" s="32"/>
      <x:c r="BD294" s="32"/>
      <x:c r="BE294" s="32"/>
      <x:c r="BF294" s="32"/>
      <x:c r="BG294" s="32"/>
      <x:c r="BH294" s="32"/>
      <x:c r="BI294" s="32"/>
      <x:c r="BJ294" s="32"/>
      <x:c r="BK294" s="32"/>
      <x:c r="BL294" s="32"/>
      <x:c r="BM294" s="32"/>
    </x:row>
    <x:row r="295">
      <x:c r="A295" s="32"/>
      <x:c r="B295" s="32"/>
      <x:c r="C295" s="42"/>
      <x:c r="D295" s="32"/>
      <x:c r="E295" s="32"/>
      <x:c r="F295" s="32"/>
      <x:c r="G295" s="32"/>
      <x:c r="H295" s="32"/>
      <x:c r="I295" s="32"/>
      <x:c r="J295" s="32"/>
      <x:c r="K295" s="32"/>
      <x:c r="L295" s="32"/>
      <x:c r="M295" s="32"/>
      <x:c r="N295" s="32"/>
      <x:c r="O295" s="32"/>
      <x:c r="P295" s="32"/>
      <x:c r="Q295" s="32"/>
      <x:c r="R295" s="32"/>
      <x:c r="S295" s="32"/>
      <x:c r="T295" s="43" t="str">
        <x:f>IFERROR(S295/L295,"")</x:f>
      </x:c>
      <x:c r="U295" s="32"/>
      <x:c r="V295" s="32"/>
      <x:c r="W295" s="32"/>
      <x:c r="X295" s="32"/>
      <x:c r="Y295" s="32"/>
      <x:c r="Z295" s="32"/>
      <x:c r="AA295" s="32"/>
      <x:c r="AB295" s="32"/>
      <x:c r="AC295" s="32"/>
      <x:c r="AD295" s="32"/>
      <x:c r="AE295" s="32"/>
      <x:c r="AF295" s="32"/>
      <x:c r="AG295" s="32"/>
      <x:c r="AH295" s="32"/>
      <x:c r="AI295" s="32"/>
      <x:c r="AJ295" s="32"/>
      <x:c r="AK295" s="32"/>
      <x:c r="AL295" s="32"/>
      <x:c r="AM295" s="32"/>
      <x:c r="AN295" s="32"/>
      <x:c r="AO295" s="32"/>
      <x:c r="AP295" s="32"/>
      <x:c r="AQ295" s="32"/>
      <x:c r="AR295" s="32"/>
      <x:c r="AS295" s="32"/>
      <x:c r="AT295" s="32"/>
      <x:c r="AU295" s="32"/>
      <x:c r="AV295" s="32"/>
      <x:c r="AW295" s="32"/>
      <x:c r="AX295" s="32"/>
      <x:c r="AZ295" s="32"/>
      <x:c r="BA295" s="32"/>
      <x:c r="BB295" s="32"/>
      <x:c r="BC295" s="32"/>
      <x:c r="BD295" s="32"/>
      <x:c r="BE295" s="32"/>
      <x:c r="BF295" s="32"/>
      <x:c r="BG295" s="32"/>
      <x:c r="BH295" s="32"/>
      <x:c r="BI295" s="32"/>
      <x:c r="BJ295" s="32"/>
      <x:c r="BK295" s="32"/>
      <x:c r="BL295" s="32"/>
      <x:c r="BM295" s="32"/>
    </x:row>
    <x:row r="296">
      <x:c r="A296" s="32"/>
      <x:c r="B296" s="32"/>
      <x:c r="C296" s="42"/>
      <x:c r="D296" s="32"/>
      <x:c r="E296" s="32"/>
      <x:c r="F296" s="32"/>
      <x:c r="G296" s="32"/>
      <x:c r="H296" s="32"/>
      <x:c r="I296" s="32"/>
      <x:c r="J296" s="32"/>
      <x:c r="K296" s="32"/>
      <x:c r="L296" s="32"/>
      <x:c r="M296" s="32"/>
      <x:c r="N296" s="32"/>
      <x:c r="O296" s="32"/>
      <x:c r="P296" s="32"/>
      <x:c r="Q296" s="32"/>
      <x:c r="R296" s="32"/>
      <x:c r="S296" s="32"/>
      <x:c r="T296" s="43" t="str">
        <x:f>IFERROR(S296/L296,"")</x:f>
      </x:c>
      <x:c r="U296" s="32"/>
      <x:c r="V296" s="32"/>
      <x:c r="W296" s="32"/>
      <x:c r="X296" s="32"/>
      <x:c r="Y296" s="32"/>
      <x:c r="Z296" s="32"/>
      <x:c r="AA296" s="32"/>
      <x:c r="AB296" s="32"/>
      <x:c r="AC296" s="32"/>
      <x:c r="AD296" s="32"/>
      <x:c r="AE296" s="32"/>
      <x:c r="AF296" s="32"/>
      <x:c r="AG296" s="32"/>
      <x:c r="AH296" s="32"/>
      <x:c r="AI296" s="32"/>
      <x:c r="AJ296" s="32"/>
      <x:c r="AK296" s="32"/>
      <x:c r="AL296" s="32"/>
      <x:c r="AM296" s="32"/>
      <x:c r="AN296" s="32"/>
      <x:c r="AO296" s="32"/>
      <x:c r="AP296" s="32"/>
      <x:c r="AQ296" s="32"/>
      <x:c r="AR296" s="32"/>
      <x:c r="AS296" s="32"/>
      <x:c r="AT296" s="32"/>
      <x:c r="AU296" s="32"/>
      <x:c r="AV296" s="32"/>
      <x:c r="AW296" s="32"/>
      <x:c r="AX296" s="32"/>
      <x:c r="AZ296" s="32"/>
      <x:c r="BA296" s="32"/>
      <x:c r="BB296" s="32"/>
      <x:c r="BC296" s="32"/>
      <x:c r="BD296" s="32"/>
      <x:c r="BE296" s="32"/>
      <x:c r="BF296" s="32"/>
      <x:c r="BG296" s="32"/>
      <x:c r="BH296" s="32"/>
      <x:c r="BI296" s="32"/>
      <x:c r="BJ296" s="32"/>
      <x:c r="BK296" s="32"/>
      <x:c r="BL296" s="32"/>
      <x:c r="BM296" s="32"/>
    </x:row>
    <x:row r="297">
      <x:c r="A297" s="32"/>
      <x:c r="B297" s="32"/>
      <x:c r="C297" s="42"/>
      <x:c r="D297" s="32"/>
      <x:c r="E297" s="32"/>
      <x:c r="F297" s="32"/>
      <x:c r="G297" s="32"/>
      <x:c r="H297" s="32"/>
      <x:c r="I297" s="32"/>
      <x:c r="J297" s="32"/>
      <x:c r="K297" s="32"/>
      <x:c r="L297" s="32"/>
      <x:c r="M297" s="32"/>
      <x:c r="N297" s="32"/>
      <x:c r="O297" s="32"/>
      <x:c r="P297" s="32"/>
      <x:c r="Q297" s="32"/>
      <x:c r="R297" s="32"/>
      <x:c r="S297" s="32"/>
      <x:c r="T297" s="43" t="str">
        <x:f>IFERROR(S297/L297,"")</x:f>
      </x:c>
      <x:c r="U297" s="32"/>
      <x:c r="V297" s="32"/>
      <x:c r="W297" s="32"/>
      <x:c r="X297" s="32"/>
      <x:c r="Y297" s="32"/>
      <x:c r="Z297" s="32"/>
      <x:c r="AA297" s="32"/>
      <x:c r="AB297" s="32"/>
      <x:c r="AC297" s="32"/>
      <x:c r="AD297" s="32"/>
      <x:c r="AE297" s="32"/>
      <x:c r="AF297" s="32"/>
      <x:c r="AG297" s="32"/>
      <x:c r="AH297" s="32"/>
      <x:c r="AI297" s="32"/>
      <x:c r="AJ297" s="32"/>
      <x:c r="AK297" s="32"/>
      <x:c r="AL297" s="32"/>
      <x:c r="AM297" s="32"/>
      <x:c r="AN297" s="32"/>
      <x:c r="AO297" s="32"/>
      <x:c r="AP297" s="32"/>
      <x:c r="AQ297" s="32"/>
      <x:c r="AR297" s="32"/>
      <x:c r="AS297" s="32"/>
      <x:c r="AT297" s="32"/>
      <x:c r="AU297" s="32"/>
      <x:c r="AV297" s="32"/>
      <x:c r="AW297" s="32"/>
      <x:c r="AX297" s="32"/>
      <x:c r="AZ297" s="32"/>
      <x:c r="BA297" s="32"/>
      <x:c r="BB297" s="32"/>
      <x:c r="BC297" s="32"/>
      <x:c r="BD297" s="32"/>
      <x:c r="BE297" s="32"/>
      <x:c r="BF297" s="32"/>
      <x:c r="BG297" s="32"/>
      <x:c r="BH297" s="32"/>
      <x:c r="BI297" s="32"/>
      <x:c r="BJ297" s="32"/>
      <x:c r="BK297" s="32"/>
      <x:c r="BL297" s="32"/>
      <x:c r="BM297" s="32"/>
    </x:row>
    <x:row r="298">
      <x:c r="A298" s="32"/>
      <x:c r="B298" s="32"/>
      <x:c r="C298" s="42"/>
      <x:c r="D298" s="32"/>
      <x:c r="E298" s="32"/>
      <x:c r="F298" s="32"/>
      <x:c r="G298" s="32"/>
      <x:c r="H298" s="32"/>
      <x:c r="I298" s="32"/>
      <x:c r="J298" s="32"/>
      <x:c r="K298" s="32"/>
      <x:c r="L298" s="32"/>
      <x:c r="M298" s="32"/>
      <x:c r="N298" s="32"/>
      <x:c r="O298" s="32"/>
      <x:c r="P298" s="32"/>
      <x:c r="Q298" s="32"/>
      <x:c r="R298" s="32"/>
      <x:c r="S298" s="32"/>
      <x:c r="T298" s="43" t="str">
        <x:f>IFERROR(S298/L298,"")</x:f>
      </x:c>
      <x:c r="U298" s="32"/>
      <x:c r="V298" s="32"/>
      <x:c r="W298" s="32"/>
      <x:c r="X298" s="32"/>
      <x:c r="Y298" s="32"/>
      <x:c r="Z298" s="32"/>
      <x:c r="AA298" s="32"/>
      <x:c r="AB298" s="32"/>
      <x:c r="AC298" s="32"/>
      <x:c r="AD298" s="32"/>
      <x:c r="AE298" s="32"/>
      <x:c r="AF298" s="32"/>
      <x:c r="AG298" s="32"/>
      <x:c r="AH298" s="32"/>
      <x:c r="AI298" s="32"/>
      <x:c r="AJ298" s="32"/>
      <x:c r="AK298" s="32"/>
      <x:c r="AL298" s="32"/>
      <x:c r="AM298" s="32"/>
      <x:c r="AN298" s="32"/>
      <x:c r="AO298" s="32"/>
      <x:c r="AP298" s="32"/>
      <x:c r="AQ298" s="32"/>
      <x:c r="AR298" s="32"/>
      <x:c r="AS298" s="32"/>
      <x:c r="AT298" s="32"/>
      <x:c r="AU298" s="32"/>
      <x:c r="AV298" s="32"/>
      <x:c r="AW298" s="32"/>
      <x:c r="AX298" s="32"/>
      <x:c r="AZ298" s="32"/>
      <x:c r="BA298" s="32"/>
      <x:c r="BB298" s="32"/>
      <x:c r="BC298" s="32"/>
      <x:c r="BD298" s="32"/>
      <x:c r="BE298" s="32"/>
      <x:c r="BF298" s="32"/>
      <x:c r="BG298" s="32"/>
      <x:c r="BH298" s="32"/>
      <x:c r="BI298" s="32"/>
      <x:c r="BJ298" s="32"/>
      <x:c r="BK298" s="32"/>
      <x:c r="BL298" s="32"/>
      <x:c r="BM298" s="32"/>
    </x:row>
    <x:row r="299">
      <x:c r="A299" s="32"/>
      <x:c r="B299" s="32"/>
      <x:c r="C299" s="42"/>
      <x:c r="D299" s="32"/>
      <x:c r="E299" s="32"/>
      <x:c r="F299" s="32"/>
      <x:c r="G299" s="32"/>
      <x:c r="H299" s="32"/>
      <x:c r="I299" s="32"/>
      <x:c r="J299" s="32"/>
      <x:c r="K299" s="32"/>
      <x:c r="L299" s="32"/>
      <x:c r="M299" s="32"/>
      <x:c r="N299" s="32"/>
      <x:c r="O299" s="32"/>
      <x:c r="P299" s="32"/>
      <x:c r="Q299" s="32"/>
      <x:c r="R299" s="32"/>
      <x:c r="S299" s="32"/>
      <x:c r="T299" s="43" t="str">
        <x:f>IFERROR(S299/L299,"")</x:f>
      </x:c>
      <x:c r="U299" s="32"/>
      <x:c r="V299" s="32"/>
      <x:c r="W299" s="32"/>
      <x:c r="X299" s="32"/>
      <x:c r="Y299" s="32"/>
      <x:c r="Z299" s="32"/>
      <x:c r="AA299" s="32"/>
      <x:c r="AB299" s="32"/>
      <x:c r="AC299" s="32"/>
      <x:c r="AD299" s="32"/>
      <x:c r="AE299" s="32"/>
      <x:c r="AF299" s="32"/>
      <x:c r="AG299" s="32"/>
      <x:c r="AH299" s="32"/>
      <x:c r="AI299" s="32"/>
      <x:c r="AJ299" s="32"/>
      <x:c r="AK299" s="32"/>
      <x:c r="AL299" s="32"/>
      <x:c r="AM299" s="32"/>
      <x:c r="AN299" s="32"/>
      <x:c r="AO299" s="32"/>
      <x:c r="AP299" s="32"/>
      <x:c r="AQ299" s="32"/>
      <x:c r="AR299" s="32"/>
      <x:c r="AS299" s="32"/>
      <x:c r="AT299" s="32"/>
      <x:c r="AU299" s="32"/>
      <x:c r="AV299" s="32"/>
      <x:c r="AW299" s="32"/>
      <x:c r="AX299" s="32"/>
      <x:c r="AZ299" s="32"/>
      <x:c r="BA299" s="32"/>
      <x:c r="BB299" s="32"/>
      <x:c r="BC299" s="32"/>
      <x:c r="BD299" s="32"/>
      <x:c r="BE299" s="32"/>
      <x:c r="BF299" s="32"/>
      <x:c r="BG299" s="32"/>
      <x:c r="BH299" s="32"/>
      <x:c r="BI299" s="32"/>
      <x:c r="BJ299" s="32"/>
      <x:c r="BK299" s="32"/>
      <x:c r="BL299" s="32"/>
      <x:c r="BM299" s="32"/>
    </x:row>
    <x:row r="300">
      <x:c r="A300" s="32"/>
      <x:c r="B300" s="32"/>
      <x:c r="C300" s="42"/>
      <x:c r="D300" s="32"/>
      <x:c r="E300" s="32"/>
      <x:c r="F300" s="32"/>
      <x:c r="G300" s="32"/>
      <x:c r="H300" s="32"/>
      <x:c r="I300" s="32"/>
      <x:c r="J300" s="32"/>
      <x:c r="K300" s="32"/>
      <x:c r="L300" s="32"/>
      <x:c r="M300" s="32"/>
      <x:c r="N300" s="32"/>
      <x:c r="O300" s="32"/>
      <x:c r="P300" s="32"/>
      <x:c r="Q300" s="32"/>
      <x:c r="R300" s="32"/>
      <x:c r="S300" s="32"/>
      <x:c r="T300" s="43" t="str">
        <x:f>IFERROR(S300/L300,"")</x:f>
      </x:c>
      <x:c r="U300" s="32"/>
      <x:c r="V300" s="32"/>
      <x:c r="W300" s="32"/>
      <x:c r="X300" s="32"/>
      <x:c r="Y300" s="32"/>
      <x:c r="Z300" s="32"/>
      <x:c r="AA300" s="32"/>
      <x:c r="AB300" s="32"/>
      <x:c r="AC300" s="32"/>
      <x:c r="AD300" s="32"/>
      <x:c r="AE300" s="32"/>
      <x:c r="AF300" s="32"/>
      <x:c r="AG300" s="32"/>
      <x:c r="AH300" s="32"/>
      <x:c r="AI300" s="32"/>
      <x:c r="AJ300" s="32"/>
      <x:c r="AK300" s="32"/>
      <x:c r="AL300" s="32"/>
      <x:c r="AM300" s="32"/>
      <x:c r="AN300" s="32"/>
      <x:c r="AO300" s="32"/>
      <x:c r="AP300" s="32"/>
      <x:c r="AQ300" s="32"/>
      <x:c r="AR300" s="32"/>
      <x:c r="AS300" s="32"/>
      <x:c r="AT300" s="32"/>
      <x:c r="AU300" s="32"/>
      <x:c r="AV300" s="32"/>
      <x:c r="AW300" s="32"/>
      <x:c r="AX300" s="32"/>
      <x:c r="AZ300" s="32"/>
      <x:c r="BA300" s="32"/>
      <x:c r="BB300" s="32"/>
      <x:c r="BC300" s="32"/>
      <x:c r="BD300" s="32"/>
      <x:c r="BE300" s="32"/>
      <x:c r="BF300" s="32"/>
      <x:c r="BG300" s="32"/>
      <x:c r="BH300" s="32"/>
      <x:c r="BI300" s="32"/>
      <x:c r="BJ300" s="32"/>
      <x:c r="BK300" s="32"/>
      <x:c r="BL300" s="32"/>
      <x:c r="BM300" s="32"/>
    </x:row>
    <x:row r="301">
      <x:c r="A301" s="32"/>
      <x:c r="B301" s="32"/>
      <x:c r="C301" s="42"/>
      <x:c r="D301" s="32"/>
      <x:c r="E301" s="32"/>
      <x:c r="F301" s="32"/>
      <x:c r="G301" s="32"/>
      <x:c r="H301" s="32"/>
      <x:c r="I301" s="32"/>
      <x:c r="J301" s="32"/>
      <x:c r="K301" s="32"/>
      <x:c r="L301" s="32"/>
      <x:c r="M301" s="32"/>
      <x:c r="N301" s="32"/>
      <x:c r="O301" s="32"/>
      <x:c r="P301" s="32"/>
      <x:c r="Q301" s="32"/>
      <x:c r="R301" s="32"/>
      <x:c r="S301" s="32"/>
      <x:c r="T301" s="43" t="str">
        <x:f>IFERROR(S301/L301,"")</x:f>
      </x:c>
      <x:c r="U301" s="32"/>
      <x:c r="V301" s="32"/>
      <x:c r="W301" s="32"/>
      <x:c r="X301" s="32"/>
      <x:c r="Y301" s="32"/>
      <x:c r="Z301" s="32"/>
      <x:c r="AA301" s="32"/>
      <x:c r="AB301" s="32"/>
      <x:c r="AC301" s="32"/>
      <x:c r="AD301" s="32"/>
      <x:c r="AE301" s="32"/>
      <x:c r="AF301" s="32"/>
      <x:c r="AG301" s="32"/>
      <x:c r="AH301" s="32"/>
      <x:c r="AI301" s="32"/>
      <x:c r="AJ301" s="32"/>
      <x:c r="AK301" s="32"/>
      <x:c r="AL301" s="32"/>
      <x:c r="AM301" s="32"/>
      <x:c r="AN301" s="32"/>
      <x:c r="AO301" s="32"/>
      <x:c r="AP301" s="32"/>
      <x:c r="AQ301" s="32"/>
      <x:c r="AR301" s="32"/>
      <x:c r="AS301" s="32"/>
      <x:c r="AT301" s="32"/>
      <x:c r="AU301" s="32"/>
      <x:c r="AV301" s="32"/>
      <x:c r="AW301" s="32"/>
      <x:c r="AX301" s="32"/>
      <x:c r="AZ301" s="32"/>
      <x:c r="BA301" s="32"/>
      <x:c r="BB301" s="32"/>
      <x:c r="BC301" s="32"/>
      <x:c r="BD301" s="32"/>
      <x:c r="BE301" s="32"/>
      <x:c r="BF301" s="32"/>
      <x:c r="BG301" s="32"/>
      <x:c r="BH301" s="32"/>
      <x:c r="BI301" s="32"/>
      <x:c r="BJ301" s="32"/>
      <x:c r="BK301" s="32"/>
      <x:c r="BL301" s="32"/>
      <x:c r="BM301" s="32"/>
    </x:row>
    <x:row r="302">
      <x:c r="A302" s="32"/>
      <x:c r="B302" s="32"/>
      <x:c r="C302" s="42"/>
      <x:c r="D302" s="32"/>
      <x:c r="E302" s="32"/>
      <x:c r="F302" s="32"/>
      <x:c r="G302" s="32"/>
      <x:c r="H302" s="32"/>
      <x:c r="I302" s="32"/>
      <x:c r="J302" s="32"/>
      <x:c r="K302" s="32"/>
      <x:c r="L302" s="32"/>
      <x:c r="M302" s="32"/>
      <x:c r="N302" s="32"/>
      <x:c r="O302" s="32"/>
      <x:c r="P302" s="32"/>
      <x:c r="Q302" s="32"/>
      <x:c r="R302" s="32"/>
      <x:c r="S302" s="32"/>
      <x:c r="T302" s="43" t="str">
        <x:f>IFERROR(S302/L302,"")</x:f>
      </x:c>
      <x:c r="U302" s="32"/>
      <x:c r="V302" s="32"/>
      <x:c r="W302" s="32"/>
      <x:c r="X302" s="32"/>
      <x:c r="Y302" s="32"/>
      <x:c r="Z302" s="32"/>
      <x:c r="AA302" s="32"/>
      <x:c r="AB302" s="32"/>
      <x:c r="AC302" s="32"/>
      <x:c r="AD302" s="32"/>
      <x:c r="AE302" s="32"/>
      <x:c r="AF302" s="32"/>
      <x:c r="AG302" s="32"/>
      <x:c r="AH302" s="32"/>
      <x:c r="AI302" s="32"/>
      <x:c r="AJ302" s="32"/>
      <x:c r="AK302" s="32"/>
      <x:c r="AL302" s="32"/>
      <x:c r="AM302" s="32"/>
      <x:c r="AN302" s="32"/>
      <x:c r="AO302" s="32"/>
      <x:c r="AP302" s="32"/>
      <x:c r="AQ302" s="32"/>
      <x:c r="AR302" s="32"/>
      <x:c r="AS302" s="32"/>
      <x:c r="AT302" s="32"/>
      <x:c r="AU302" s="32"/>
      <x:c r="AV302" s="32"/>
      <x:c r="AW302" s="32"/>
      <x:c r="AX302" s="32"/>
      <x:c r="AZ302" s="32"/>
      <x:c r="BA302" s="32"/>
      <x:c r="BB302" s="32"/>
      <x:c r="BC302" s="32"/>
      <x:c r="BD302" s="32"/>
      <x:c r="BE302" s="32"/>
      <x:c r="BF302" s="32"/>
      <x:c r="BG302" s="32"/>
      <x:c r="BH302" s="32"/>
      <x:c r="BI302" s="32"/>
      <x:c r="BJ302" s="32"/>
      <x:c r="BK302" s="32"/>
      <x:c r="BL302" s="32"/>
      <x:c r="BM302" s="32"/>
    </x:row>
    <x:row r="303">
      <x:c r="A303" s="32"/>
      <x:c r="B303" s="32"/>
      <x:c r="C303" s="42"/>
      <x:c r="D303" s="32"/>
      <x:c r="E303" s="32"/>
      <x:c r="F303" s="32"/>
      <x:c r="G303" s="32"/>
      <x:c r="H303" s="32"/>
      <x:c r="I303" s="32"/>
      <x:c r="J303" s="32"/>
      <x:c r="K303" s="32"/>
      <x:c r="L303" s="32"/>
      <x:c r="M303" s="32"/>
      <x:c r="N303" s="32"/>
      <x:c r="O303" s="32"/>
      <x:c r="P303" s="32"/>
      <x:c r="Q303" s="32"/>
      <x:c r="R303" s="32"/>
      <x:c r="S303" s="32"/>
      <x:c r="T303" s="43" t="str">
        <x:f>IFERROR(S303/L303,"")</x:f>
      </x:c>
      <x:c r="U303" s="32"/>
      <x:c r="V303" s="32"/>
      <x:c r="W303" s="32"/>
      <x:c r="X303" s="32"/>
      <x:c r="Y303" s="32"/>
      <x:c r="Z303" s="32"/>
      <x:c r="AA303" s="32"/>
      <x:c r="AB303" s="32"/>
      <x:c r="AC303" s="32"/>
      <x:c r="AD303" s="32"/>
      <x:c r="AE303" s="32"/>
      <x:c r="AF303" s="32"/>
      <x:c r="AG303" s="32"/>
      <x:c r="AH303" s="32"/>
      <x:c r="AI303" s="32"/>
      <x:c r="AJ303" s="32"/>
      <x:c r="AK303" s="32"/>
      <x:c r="AL303" s="32"/>
      <x:c r="AM303" s="32"/>
      <x:c r="AN303" s="32"/>
      <x:c r="AO303" s="32"/>
      <x:c r="AP303" s="32"/>
      <x:c r="AQ303" s="32"/>
      <x:c r="AR303" s="32"/>
      <x:c r="AS303" s="32"/>
      <x:c r="AT303" s="32"/>
      <x:c r="AU303" s="32"/>
      <x:c r="AV303" s="32"/>
      <x:c r="AW303" s="32"/>
      <x:c r="AX303" s="32"/>
      <x:c r="AZ303" s="32"/>
      <x:c r="BA303" s="32"/>
      <x:c r="BB303" s="32"/>
      <x:c r="BC303" s="32"/>
      <x:c r="BD303" s="32"/>
      <x:c r="BE303" s="32"/>
      <x:c r="BF303" s="32"/>
      <x:c r="BG303" s="32"/>
      <x:c r="BH303" s="32"/>
      <x:c r="BI303" s="32"/>
      <x:c r="BJ303" s="32"/>
      <x:c r="BK303" s="32"/>
      <x:c r="BL303" s="32"/>
      <x:c r="BM303" s="32"/>
    </x:row>
    <x:row r="304">
      <x:c r="A304" s="32"/>
      <x:c r="B304" s="32"/>
      <x:c r="C304" s="42"/>
      <x:c r="D304" s="32"/>
      <x:c r="E304" s="32"/>
      <x:c r="F304" s="32"/>
      <x:c r="G304" s="32"/>
      <x:c r="H304" s="32"/>
      <x:c r="I304" s="32"/>
      <x:c r="J304" s="32"/>
      <x:c r="K304" s="32"/>
      <x:c r="L304" s="32"/>
      <x:c r="M304" s="32"/>
      <x:c r="N304" s="32"/>
      <x:c r="O304" s="32"/>
      <x:c r="P304" s="32"/>
      <x:c r="Q304" s="32"/>
      <x:c r="R304" s="32"/>
      <x:c r="S304" s="32"/>
      <x:c r="T304" s="43" t="str">
        <x:f>IFERROR(S304/L304,"")</x:f>
      </x:c>
      <x:c r="U304" s="32"/>
      <x:c r="V304" s="32"/>
      <x:c r="W304" s="32"/>
      <x:c r="X304" s="32"/>
      <x:c r="Y304" s="32"/>
      <x:c r="Z304" s="32"/>
      <x:c r="AA304" s="32"/>
      <x:c r="AB304" s="32"/>
      <x:c r="AC304" s="32"/>
      <x:c r="AD304" s="32"/>
      <x:c r="AE304" s="32"/>
      <x:c r="AF304" s="32"/>
      <x:c r="AG304" s="32"/>
      <x:c r="AH304" s="32"/>
      <x:c r="AI304" s="32"/>
      <x:c r="AJ304" s="32"/>
      <x:c r="AK304" s="32"/>
      <x:c r="AL304" s="32"/>
      <x:c r="AM304" s="32"/>
      <x:c r="AN304" s="32"/>
      <x:c r="AO304" s="32"/>
      <x:c r="AP304" s="32"/>
      <x:c r="AQ304" s="32"/>
      <x:c r="AR304" s="32"/>
      <x:c r="AS304" s="32"/>
      <x:c r="AT304" s="32"/>
      <x:c r="AU304" s="32"/>
      <x:c r="AV304" s="32"/>
      <x:c r="AW304" s="32"/>
      <x:c r="AX304" s="32"/>
      <x:c r="AZ304" s="32"/>
      <x:c r="BA304" s="32"/>
      <x:c r="BB304" s="32"/>
      <x:c r="BC304" s="32"/>
      <x:c r="BD304" s="32"/>
      <x:c r="BE304" s="32"/>
      <x:c r="BF304" s="32"/>
      <x:c r="BG304" s="32"/>
      <x:c r="BH304" s="32"/>
      <x:c r="BI304" s="32"/>
      <x:c r="BJ304" s="32"/>
      <x:c r="BK304" s="32"/>
      <x:c r="BL304" s="32"/>
      <x:c r="BM304" s="32"/>
    </x:row>
    <x:row r="305">
      <x:c r="A305" s="32"/>
      <x:c r="B305" s="32"/>
      <x:c r="C305" s="42"/>
      <x:c r="D305" s="32"/>
      <x:c r="E305" s="32"/>
      <x:c r="F305" s="32"/>
      <x:c r="G305" s="32"/>
      <x:c r="H305" s="32"/>
      <x:c r="I305" s="32"/>
      <x:c r="J305" s="32"/>
      <x:c r="K305" s="32"/>
      <x:c r="L305" s="32"/>
      <x:c r="M305" s="32"/>
      <x:c r="N305" s="32"/>
      <x:c r="O305" s="32"/>
      <x:c r="P305" s="32"/>
      <x:c r="Q305" s="32"/>
      <x:c r="R305" s="32"/>
      <x:c r="S305" s="32"/>
      <x:c r="T305" s="43" t="str">
        <x:f>IFERROR(S305/L305,"")</x:f>
      </x:c>
      <x:c r="U305" s="32"/>
      <x:c r="V305" s="32"/>
      <x:c r="W305" s="32"/>
      <x:c r="X305" s="32"/>
      <x:c r="Y305" s="32"/>
      <x:c r="Z305" s="32"/>
      <x:c r="AA305" s="32"/>
      <x:c r="AB305" s="32"/>
      <x:c r="AC305" s="32"/>
      <x:c r="AD305" s="32"/>
      <x:c r="AE305" s="32"/>
      <x:c r="AF305" s="32"/>
      <x:c r="AG305" s="32"/>
      <x:c r="AH305" s="32"/>
      <x:c r="AI305" s="32"/>
      <x:c r="AJ305" s="32"/>
      <x:c r="AK305" s="32"/>
      <x:c r="AL305" s="32"/>
      <x:c r="AM305" s="32"/>
      <x:c r="AN305" s="32"/>
      <x:c r="AO305" s="32"/>
      <x:c r="AP305" s="32"/>
      <x:c r="AQ305" s="32"/>
      <x:c r="AR305" s="32"/>
      <x:c r="AS305" s="32"/>
      <x:c r="AT305" s="32"/>
      <x:c r="AU305" s="32"/>
      <x:c r="AV305" s="32"/>
      <x:c r="AW305" s="32"/>
      <x:c r="AX305" s="32"/>
      <x:c r="AZ305" s="32"/>
      <x:c r="BA305" s="32"/>
      <x:c r="BB305" s="32"/>
      <x:c r="BC305" s="32"/>
      <x:c r="BD305" s="32"/>
      <x:c r="BE305" s="32"/>
      <x:c r="BF305" s="32"/>
      <x:c r="BG305" s="32"/>
      <x:c r="BH305" s="32"/>
      <x:c r="BI305" s="32"/>
      <x:c r="BJ305" s="32"/>
      <x:c r="BK305" s="32"/>
      <x:c r="BL305" s="32"/>
      <x:c r="BM305" s="32"/>
    </x:row>
    <x:row r="306">
      <x:c r="A306" s="32"/>
      <x:c r="B306" s="32"/>
      <x:c r="C306" s="42"/>
      <x:c r="D306" s="32"/>
      <x:c r="E306" s="32"/>
      <x:c r="F306" s="32"/>
      <x:c r="G306" s="32"/>
      <x:c r="H306" s="32"/>
      <x:c r="I306" s="32"/>
      <x:c r="J306" s="32"/>
      <x:c r="K306" s="32"/>
      <x:c r="L306" s="32"/>
      <x:c r="M306" s="32"/>
      <x:c r="N306" s="32"/>
      <x:c r="O306" s="32"/>
      <x:c r="P306" s="32"/>
      <x:c r="Q306" s="32"/>
      <x:c r="R306" s="32"/>
      <x:c r="S306" s="32"/>
      <x:c r="T306" s="43" t="str">
        <x:f>IFERROR(S306/L306,"")</x:f>
      </x:c>
      <x:c r="U306" s="32"/>
      <x:c r="V306" s="32"/>
      <x:c r="W306" s="32"/>
      <x:c r="X306" s="32"/>
      <x:c r="Y306" s="32"/>
      <x:c r="Z306" s="32"/>
      <x:c r="AA306" s="32"/>
      <x:c r="AB306" s="32"/>
      <x:c r="AC306" s="32"/>
      <x:c r="AD306" s="32"/>
      <x:c r="AE306" s="32"/>
      <x:c r="AF306" s="32"/>
      <x:c r="AG306" s="32"/>
      <x:c r="AH306" s="32"/>
      <x:c r="AI306" s="32"/>
      <x:c r="AJ306" s="32"/>
      <x:c r="AK306" s="32"/>
      <x:c r="AL306" s="32"/>
      <x:c r="AM306" s="32"/>
      <x:c r="AN306" s="32"/>
      <x:c r="AO306" s="32"/>
      <x:c r="AP306" s="32"/>
      <x:c r="AQ306" s="32"/>
      <x:c r="AR306" s="32"/>
      <x:c r="AS306" s="32"/>
      <x:c r="AT306" s="32"/>
      <x:c r="AU306" s="32"/>
      <x:c r="AV306" s="32"/>
      <x:c r="AW306" s="32"/>
      <x:c r="AX306" s="32"/>
      <x:c r="AZ306" s="32"/>
      <x:c r="BA306" s="32"/>
      <x:c r="BB306" s="32"/>
      <x:c r="BC306" s="32"/>
      <x:c r="BD306" s="32"/>
      <x:c r="BE306" s="32"/>
      <x:c r="BF306" s="32"/>
      <x:c r="BG306" s="32"/>
      <x:c r="BH306" s="32"/>
      <x:c r="BI306" s="32"/>
      <x:c r="BJ306" s="32"/>
      <x:c r="BK306" s="32"/>
      <x:c r="BL306" s="32"/>
      <x:c r="BM306" s="32"/>
    </x:row>
    <x:row r="307">
      <x:c r="A307" s="32"/>
      <x:c r="B307" s="32"/>
      <x:c r="C307" s="42"/>
      <x:c r="D307" s="32"/>
      <x:c r="E307" s="32"/>
      <x:c r="F307" s="32"/>
      <x:c r="G307" s="32"/>
      <x:c r="H307" s="32"/>
      <x:c r="I307" s="32"/>
      <x:c r="J307" s="32"/>
      <x:c r="K307" s="32"/>
      <x:c r="L307" s="32"/>
      <x:c r="M307" s="32"/>
      <x:c r="N307" s="32"/>
      <x:c r="O307" s="32"/>
      <x:c r="P307" s="32"/>
      <x:c r="Q307" s="32"/>
      <x:c r="R307" s="32"/>
      <x:c r="S307" s="32"/>
      <x:c r="T307" s="43" t="str">
        <x:f>IFERROR(S307/L307,"")</x:f>
      </x:c>
      <x:c r="U307" s="32"/>
      <x:c r="V307" s="32"/>
      <x:c r="W307" s="32"/>
      <x:c r="X307" s="32"/>
      <x:c r="Y307" s="32"/>
      <x:c r="Z307" s="32"/>
      <x:c r="AA307" s="32"/>
      <x:c r="AB307" s="32"/>
      <x:c r="AC307" s="32"/>
      <x:c r="AD307" s="32"/>
      <x:c r="AE307" s="32"/>
      <x:c r="AF307" s="32"/>
      <x:c r="AG307" s="32"/>
      <x:c r="AH307" s="32"/>
      <x:c r="AI307" s="32"/>
      <x:c r="AJ307" s="32"/>
      <x:c r="AK307" s="32"/>
      <x:c r="AL307" s="32"/>
      <x:c r="AM307" s="32"/>
      <x:c r="AN307" s="32"/>
      <x:c r="AO307" s="32"/>
      <x:c r="AP307" s="32"/>
      <x:c r="AQ307" s="32"/>
      <x:c r="AR307" s="32"/>
      <x:c r="AS307" s="32"/>
      <x:c r="AT307" s="32"/>
      <x:c r="AU307" s="32"/>
      <x:c r="AV307" s="32"/>
      <x:c r="AW307" s="32"/>
      <x:c r="AX307" s="32"/>
      <x:c r="AZ307" s="32"/>
      <x:c r="BA307" s="32"/>
      <x:c r="BB307" s="32"/>
      <x:c r="BC307" s="32"/>
      <x:c r="BD307" s="32"/>
      <x:c r="BE307" s="32"/>
      <x:c r="BF307" s="32"/>
      <x:c r="BG307" s="32"/>
      <x:c r="BH307" s="32"/>
      <x:c r="BI307" s="32"/>
      <x:c r="BJ307" s="32"/>
      <x:c r="BK307" s="32"/>
      <x:c r="BL307" s="32"/>
      <x:c r="BM307" s="32"/>
    </x:row>
    <x:row r="308">
      <x:c r="A308" s="32"/>
      <x:c r="B308" s="32"/>
      <x:c r="C308" s="42"/>
      <x:c r="D308" s="32"/>
      <x:c r="E308" s="32"/>
      <x:c r="F308" s="32"/>
      <x:c r="G308" s="32"/>
      <x:c r="H308" s="32"/>
      <x:c r="I308" s="32"/>
      <x:c r="J308" s="32"/>
      <x:c r="K308" s="32"/>
      <x:c r="L308" s="32"/>
      <x:c r="M308" s="32"/>
      <x:c r="N308" s="32"/>
      <x:c r="O308" s="32"/>
      <x:c r="P308" s="32"/>
      <x:c r="Q308" s="32"/>
      <x:c r="R308" s="32"/>
      <x:c r="S308" s="32"/>
      <x:c r="T308" s="43" t="str">
        <x:f>IFERROR(S308/L308,"")</x:f>
      </x:c>
      <x:c r="U308" s="32"/>
      <x:c r="V308" s="32"/>
      <x:c r="W308" s="32"/>
      <x:c r="X308" s="32"/>
      <x:c r="Y308" s="32"/>
      <x:c r="Z308" s="32"/>
      <x:c r="AA308" s="32"/>
      <x:c r="AB308" s="32"/>
      <x:c r="AC308" s="32"/>
      <x:c r="AD308" s="32"/>
      <x:c r="AE308" s="32"/>
      <x:c r="AF308" s="32"/>
      <x:c r="AG308" s="32"/>
      <x:c r="AH308" s="32"/>
      <x:c r="AI308" s="32"/>
      <x:c r="AJ308" s="32"/>
      <x:c r="AK308" s="32"/>
      <x:c r="AL308" s="32"/>
      <x:c r="AM308" s="32"/>
      <x:c r="AN308" s="32"/>
      <x:c r="AO308" s="32"/>
      <x:c r="AP308" s="32"/>
      <x:c r="AQ308" s="32"/>
      <x:c r="AR308" s="32"/>
      <x:c r="AS308" s="32"/>
      <x:c r="AT308" s="32"/>
      <x:c r="AU308" s="32"/>
      <x:c r="AV308" s="32"/>
      <x:c r="AW308" s="32"/>
      <x:c r="AX308" s="32"/>
      <x:c r="AZ308" s="32"/>
      <x:c r="BA308" s="32"/>
      <x:c r="BB308" s="32"/>
      <x:c r="BC308" s="32"/>
      <x:c r="BD308" s="32"/>
      <x:c r="BE308" s="32"/>
      <x:c r="BF308" s="32"/>
      <x:c r="BG308" s="32"/>
      <x:c r="BH308" s="32"/>
      <x:c r="BI308" s="32"/>
      <x:c r="BJ308" s="32"/>
      <x:c r="BK308" s="32"/>
      <x:c r="BL308" s="32"/>
      <x:c r="BM308" s="32"/>
    </x:row>
    <x:row r="309">
      <x:c r="A309" s="32"/>
      <x:c r="B309" s="32"/>
      <x:c r="C309" s="42"/>
      <x:c r="D309" s="32"/>
      <x:c r="E309" s="32"/>
      <x:c r="F309" s="32"/>
      <x:c r="G309" s="32"/>
      <x:c r="H309" s="32"/>
      <x:c r="I309" s="32"/>
      <x:c r="J309" s="32"/>
      <x:c r="K309" s="32"/>
      <x:c r="L309" s="32"/>
      <x:c r="M309" s="32"/>
      <x:c r="N309" s="32"/>
      <x:c r="O309" s="32"/>
      <x:c r="P309" s="32"/>
      <x:c r="Q309" s="32"/>
      <x:c r="R309" s="32"/>
      <x:c r="S309" s="32"/>
      <x:c r="T309" s="43" t="str">
        <x:f>IFERROR(S309/L309,"")</x:f>
      </x:c>
      <x:c r="U309" s="32"/>
      <x:c r="V309" s="32"/>
      <x:c r="W309" s="32"/>
      <x:c r="X309" s="32"/>
      <x:c r="Y309" s="32"/>
      <x:c r="Z309" s="32"/>
      <x:c r="AA309" s="32"/>
      <x:c r="AB309" s="32"/>
      <x:c r="AC309" s="32"/>
      <x:c r="AD309" s="32"/>
      <x:c r="AE309" s="32"/>
      <x:c r="AF309" s="32"/>
      <x:c r="AG309" s="32"/>
      <x:c r="AH309" s="32"/>
      <x:c r="AI309" s="32"/>
      <x:c r="AJ309" s="32"/>
      <x:c r="AK309" s="32"/>
      <x:c r="AL309" s="32"/>
      <x:c r="AM309" s="32"/>
      <x:c r="AN309" s="32"/>
      <x:c r="AO309" s="32"/>
      <x:c r="AP309" s="32"/>
      <x:c r="AQ309" s="32"/>
      <x:c r="AR309" s="32"/>
      <x:c r="AS309" s="32"/>
      <x:c r="AT309" s="32"/>
      <x:c r="AU309" s="32"/>
      <x:c r="AV309" s="32"/>
      <x:c r="AW309" s="32"/>
      <x:c r="AX309" s="32"/>
      <x:c r="AZ309" s="32"/>
      <x:c r="BA309" s="32"/>
      <x:c r="BB309" s="32"/>
      <x:c r="BC309" s="32"/>
      <x:c r="BD309" s="32"/>
      <x:c r="BE309" s="32"/>
      <x:c r="BF309" s="32"/>
      <x:c r="BG309" s="32"/>
      <x:c r="BH309" s="32"/>
      <x:c r="BI309" s="32"/>
      <x:c r="BJ309" s="32"/>
      <x:c r="BK309" s="32"/>
      <x:c r="BL309" s="32"/>
      <x:c r="BM309" s="32"/>
    </x:row>
    <x:row r="310">
      <x:c r="A310" s="32"/>
      <x:c r="B310" s="32"/>
      <x:c r="C310" s="42"/>
      <x:c r="D310" s="32"/>
      <x:c r="E310" s="32"/>
      <x:c r="F310" s="32"/>
      <x:c r="G310" s="32"/>
      <x:c r="H310" s="32"/>
      <x:c r="I310" s="32"/>
      <x:c r="J310" s="32"/>
      <x:c r="K310" s="32"/>
      <x:c r="L310" s="32"/>
      <x:c r="M310" s="32"/>
      <x:c r="N310" s="32"/>
      <x:c r="O310" s="32"/>
      <x:c r="P310" s="32"/>
      <x:c r="Q310" s="32"/>
      <x:c r="R310" s="32"/>
      <x:c r="S310" s="32"/>
      <x:c r="T310" s="43" t="str">
        <x:f>IFERROR(S310/L310,"")</x:f>
      </x:c>
      <x:c r="U310" s="32"/>
      <x:c r="V310" s="32"/>
      <x:c r="W310" s="32"/>
      <x:c r="X310" s="32"/>
      <x:c r="Y310" s="32"/>
      <x:c r="Z310" s="32"/>
      <x:c r="AA310" s="32"/>
      <x:c r="AB310" s="32"/>
      <x:c r="AC310" s="32"/>
      <x:c r="AD310" s="32"/>
      <x:c r="AE310" s="32"/>
      <x:c r="AF310" s="32"/>
      <x:c r="AG310" s="32"/>
      <x:c r="AH310" s="32"/>
      <x:c r="AI310" s="32"/>
      <x:c r="AJ310" s="32"/>
      <x:c r="AK310" s="32"/>
      <x:c r="AL310" s="32"/>
      <x:c r="AM310" s="32"/>
      <x:c r="AN310" s="32"/>
      <x:c r="AO310" s="32"/>
      <x:c r="AP310" s="32"/>
      <x:c r="AQ310" s="32"/>
      <x:c r="AR310" s="32"/>
      <x:c r="AS310" s="32"/>
      <x:c r="AT310" s="32"/>
      <x:c r="AU310" s="32"/>
      <x:c r="AV310" s="32"/>
      <x:c r="AW310" s="32"/>
      <x:c r="AX310" s="32"/>
      <x:c r="AZ310" s="32"/>
      <x:c r="BA310" s="32"/>
      <x:c r="BB310" s="32"/>
      <x:c r="BC310" s="32"/>
      <x:c r="BD310" s="32"/>
      <x:c r="BE310" s="32"/>
      <x:c r="BF310" s="32"/>
      <x:c r="BG310" s="32"/>
      <x:c r="BH310" s="32"/>
      <x:c r="BI310" s="32"/>
      <x:c r="BJ310" s="32"/>
      <x:c r="BK310" s="32"/>
      <x:c r="BL310" s="32"/>
      <x:c r="BM310" s="32"/>
    </x:row>
    <x:row r="311">
      <x:c r="A311" s="32"/>
      <x:c r="B311" s="32"/>
      <x:c r="C311" s="42"/>
      <x:c r="D311" s="32"/>
      <x:c r="E311" s="32"/>
      <x:c r="F311" s="32"/>
      <x:c r="G311" s="32"/>
      <x:c r="H311" s="32"/>
      <x:c r="I311" s="32"/>
      <x:c r="J311" s="32"/>
      <x:c r="K311" s="32"/>
      <x:c r="L311" s="32"/>
      <x:c r="M311" s="32"/>
      <x:c r="N311" s="32"/>
      <x:c r="O311" s="32"/>
      <x:c r="P311" s="32"/>
      <x:c r="Q311" s="32"/>
      <x:c r="R311" s="32"/>
      <x:c r="S311" s="32"/>
      <x:c r="T311" s="43" t="str">
        <x:f>IFERROR(S311/L311,"")</x:f>
      </x:c>
      <x:c r="U311" s="32"/>
      <x:c r="V311" s="32"/>
      <x:c r="W311" s="32"/>
      <x:c r="X311" s="32"/>
      <x:c r="Y311" s="32"/>
      <x:c r="Z311" s="32"/>
      <x:c r="AA311" s="32"/>
      <x:c r="AB311" s="32"/>
      <x:c r="AC311" s="32"/>
      <x:c r="AD311" s="32"/>
      <x:c r="AE311" s="32"/>
      <x:c r="AF311" s="32"/>
      <x:c r="AG311" s="32"/>
      <x:c r="AH311" s="32"/>
      <x:c r="AI311" s="32"/>
      <x:c r="AJ311" s="32"/>
      <x:c r="AK311" s="32"/>
      <x:c r="AL311" s="32"/>
      <x:c r="AM311" s="32"/>
      <x:c r="AN311" s="32"/>
      <x:c r="AO311" s="32"/>
      <x:c r="AP311" s="32"/>
      <x:c r="AQ311" s="32"/>
      <x:c r="AR311" s="32"/>
      <x:c r="AS311" s="32"/>
      <x:c r="AT311" s="32"/>
      <x:c r="AU311" s="32"/>
      <x:c r="AV311" s="32"/>
      <x:c r="AW311" s="32"/>
      <x:c r="AX311" s="32"/>
      <x:c r="AZ311" s="32"/>
      <x:c r="BA311" s="32"/>
      <x:c r="BB311" s="32"/>
      <x:c r="BC311" s="32"/>
      <x:c r="BD311" s="32"/>
      <x:c r="BE311" s="32"/>
      <x:c r="BF311" s="32"/>
      <x:c r="BG311" s="32"/>
      <x:c r="BH311" s="32"/>
      <x:c r="BI311" s="32"/>
      <x:c r="BJ311" s="32"/>
      <x:c r="BK311" s="32"/>
      <x:c r="BL311" s="32"/>
      <x:c r="BM311" s="32"/>
    </x:row>
    <x:row r="312">
      <x:c r="A312" s="32"/>
      <x:c r="B312" s="32"/>
      <x:c r="C312" s="42"/>
      <x:c r="D312" s="32"/>
      <x:c r="E312" s="32"/>
      <x:c r="F312" s="32"/>
      <x:c r="G312" s="32"/>
      <x:c r="H312" s="32"/>
      <x:c r="I312" s="32"/>
      <x:c r="J312" s="32"/>
      <x:c r="K312" s="32"/>
      <x:c r="L312" s="32"/>
      <x:c r="M312" s="32"/>
      <x:c r="N312" s="32"/>
      <x:c r="O312" s="32"/>
      <x:c r="P312" s="32"/>
      <x:c r="Q312" s="32"/>
      <x:c r="R312" s="32"/>
      <x:c r="S312" s="32"/>
      <x:c r="T312" s="43" t="str">
        <x:f>IFERROR(S312/L312,"")</x:f>
      </x:c>
      <x:c r="U312" s="32"/>
      <x:c r="V312" s="32"/>
      <x:c r="W312" s="32"/>
      <x:c r="X312" s="32"/>
      <x:c r="Y312" s="32"/>
      <x:c r="Z312" s="32"/>
      <x:c r="AA312" s="32"/>
      <x:c r="AB312" s="32"/>
      <x:c r="AC312" s="32"/>
      <x:c r="AD312" s="32"/>
      <x:c r="AE312" s="32"/>
      <x:c r="AF312" s="32"/>
      <x:c r="AG312" s="32"/>
      <x:c r="AH312" s="32"/>
      <x:c r="AI312" s="32"/>
      <x:c r="AJ312" s="32"/>
      <x:c r="AK312" s="32"/>
      <x:c r="AL312" s="32"/>
      <x:c r="AM312" s="32"/>
      <x:c r="AN312" s="32"/>
      <x:c r="AO312" s="32"/>
      <x:c r="AP312" s="32"/>
      <x:c r="AQ312" s="32"/>
      <x:c r="AR312" s="32"/>
      <x:c r="AS312" s="32"/>
      <x:c r="AT312" s="32"/>
      <x:c r="AU312" s="32"/>
      <x:c r="AV312" s="32"/>
      <x:c r="AW312" s="32"/>
      <x:c r="AX312" s="32"/>
      <x:c r="AZ312" s="32"/>
      <x:c r="BA312" s="32"/>
      <x:c r="BB312" s="32"/>
      <x:c r="BC312" s="32"/>
      <x:c r="BD312" s="32"/>
      <x:c r="BE312" s="32"/>
      <x:c r="BF312" s="32"/>
      <x:c r="BG312" s="32"/>
      <x:c r="BH312" s="32"/>
      <x:c r="BI312" s="32"/>
      <x:c r="BJ312" s="32"/>
      <x:c r="BK312" s="32"/>
      <x:c r="BL312" s="32"/>
      <x:c r="BM312" s="32"/>
    </x:row>
    <x:row r="313">
      <x:c r="A313" s="32"/>
      <x:c r="B313" s="32"/>
      <x:c r="C313" s="42"/>
      <x:c r="D313" s="32"/>
      <x:c r="E313" s="32"/>
      <x:c r="F313" s="32"/>
      <x:c r="G313" s="32"/>
      <x:c r="H313" s="32"/>
      <x:c r="I313" s="32"/>
      <x:c r="J313" s="32"/>
      <x:c r="K313" s="32"/>
      <x:c r="L313" s="32"/>
      <x:c r="M313" s="32"/>
      <x:c r="N313" s="32"/>
      <x:c r="O313" s="32"/>
      <x:c r="P313" s="32"/>
      <x:c r="Q313" s="32"/>
      <x:c r="R313" s="32"/>
      <x:c r="S313" s="32"/>
      <x:c r="T313" s="43" t="str">
        <x:f>IFERROR(S313/L313,"")</x:f>
      </x:c>
      <x:c r="U313" s="32"/>
      <x:c r="V313" s="32"/>
      <x:c r="W313" s="32"/>
      <x:c r="X313" s="32"/>
      <x:c r="Y313" s="32"/>
      <x:c r="Z313" s="32"/>
      <x:c r="AA313" s="32"/>
      <x:c r="AB313" s="32"/>
      <x:c r="AC313" s="32"/>
      <x:c r="AD313" s="32"/>
      <x:c r="AE313" s="32"/>
      <x:c r="AF313" s="32"/>
      <x:c r="AG313" s="32"/>
      <x:c r="AH313" s="32"/>
      <x:c r="AI313" s="32"/>
      <x:c r="AJ313" s="32"/>
      <x:c r="AK313" s="32"/>
      <x:c r="AL313" s="32"/>
      <x:c r="AM313" s="32"/>
      <x:c r="AN313" s="32"/>
      <x:c r="AO313" s="32"/>
      <x:c r="AP313" s="32"/>
      <x:c r="AQ313" s="32"/>
      <x:c r="AR313" s="32"/>
      <x:c r="AS313" s="32"/>
      <x:c r="AT313" s="32"/>
      <x:c r="AU313" s="32"/>
      <x:c r="AV313" s="32"/>
      <x:c r="AW313" s="32"/>
      <x:c r="AX313" s="32"/>
      <x:c r="AZ313" s="32"/>
      <x:c r="BA313" s="32"/>
      <x:c r="BB313" s="32"/>
      <x:c r="BC313" s="32"/>
      <x:c r="BD313" s="32"/>
      <x:c r="BE313" s="32"/>
      <x:c r="BF313" s="32"/>
      <x:c r="BG313" s="32"/>
      <x:c r="BH313" s="32"/>
      <x:c r="BI313" s="32"/>
      <x:c r="BJ313" s="32"/>
      <x:c r="BK313" s="32"/>
      <x:c r="BL313" s="32"/>
      <x:c r="BM313" s="32"/>
    </x:row>
    <x:row r="314">
      <x:c r="A314" s="32"/>
      <x:c r="B314" s="32"/>
      <x:c r="C314" s="42"/>
      <x:c r="D314" s="32"/>
      <x:c r="E314" s="32"/>
      <x:c r="F314" s="32"/>
      <x:c r="G314" s="32"/>
      <x:c r="H314" s="32"/>
      <x:c r="I314" s="32"/>
      <x:c r="J314" s="32"/>
      <x:c r="K314" s="32"/>
      <x:c r="L314" s="32"/>
      <x:c r="M314" s="32"/>
      <x:c r="N314" s="32"/>
      <x:c r="O314" s="32"/>
      <x:c r="P314" s="32"/>
      <x:c r="Q314" s="32"/>
      <x:c r="R314" s="32"/>
      <x:c r="S314" s="32"/>
      <x:c r="T314" s="43" t="str">
        <x:f>IFERROR(S314/L314,"")</x:f>
      </x:c>
      <x:c r="U314" s="32"/>
      <x:c r="V314" s="32"/>
      <x:c r="W314" s="32"/>
      <x:c r="X314" s="32"/>
      <x:c r="Y314" s="32"/>
      <x:c r="Z314" s="32"/>
      <x:c r="AA314" s="32"/>
      <x:c r="AB314" s="32"/>
      <x:c r="AC314" s="32"/>
      <x:c r="AD314" s="32"/>
      <x:c r="AE314" s="32"/>
      <x:c r="AF314" s="32"/>
      <x:c r="AG314" s="32"/>
      <x:c r="AH314" s="32"/>
      <x:c r="AI314" s="32"/>
      <x:c r="AJ314" s="32"/>
      <x:c r="AK314" s="32"/>
      <x:c r="AL314" s="32"/>
      <x:c r="AM314" s="32"/>
      <x:c r="AN314" s="32"/>
      <x:c r="AO314" s="32"/>
      <x:c r="AP314" s="32"/>
      <x:c r="AQ314" s="32"/>
      <x:c r="AR314" s="32"/>
      <x:c r="AS314" s="32"/>
      <x:c r="AT314" s="32"/>
      <x:c r="AU314" s="32"/>
      <x:c r="AV314" s="32"/>
      <x:c r="AW314" s="32"/>
      <x:c r="AX314" s="32"/>
      <x:c r="AZ314" s="32"/>
      <x:c r="BA314" s="32"/>
      <x:c r="BB314" s="32"/>
      <x:c r="BC314" s="32"/>
      <x:c r="BD314" s="32"/>
      <x:c r="BE314" s="32"/>
      <x:c r="BF314" s="32"/>
      <x:c r="BG314" s="32"/>
      <x:c r="BH314" s="32"/>
      <x:c r="BI314" s="32"/>
      <x:c r="BJ314" s="32"/>
      <x:c r="BK314" s="32"/>
      <x:c r="BL314" s="32"/>
      <x:c r="BM314" s="32"/>
    </x:row>
    <x:row r="315">
      <x:c r="A315" s="32"/>
      <x:c r="B315" s="32"/>
      <x:c r="C315" s="42"/>
      <x:c r="D315" s="32"/>
      <x:c r="E315" s="32"/>
      <x:c r="F315" s="32"/>
      <x:c r="G315" s="32"/>
      <x:c r="H315" s="32"/>
      <x:c r="I315" s="32"/>
      <x:c r="J315" s="32"/>
      <x:c r="K315" s="32"/>
      <x:c r="L315" s="32"/>
      <x:c r="M315" s="32"/>
      <x:c r="N315" s="32"/>
      <x:c r="O315" s="32"/>
      <x:c r="P315" s="32"/>
      <x:c r="Q315" s="32"/>
      <x:c r="R315" s="32"/>
      <x:c r="S315" s="32"/>
      <x:c r="T315" s="43" t="str">
        <x:f>IFERROR(S315/L315,"")</x:f>
      </x:c>
      <x:c r="U315" s="32"/>
      <x:c r="V315" s="32"/>
      <x:c r="W315" s="32"/>
      <x:c r="X315" s="32"/>
      <x:c r="Y315" s="32"/>
      <x:c r="Z315" s="32"/>
      <x:c r="AA315" s="32"/>
      <x:c r="AB315" s="32"/>
      <x:c r="AC315" s="32"/>
      <x:c r="AD315" s="32"/>
      <x:c r="AE315" s="32"/>
      <x:c r="AF315" s="32"/>
      <x:c r="AG315" s="32"/>
      <x:c r="AH315" s="32"/>
      <x:c r="AI315" s="32"/>
      <x:c r="AJ315" s="32"/>
      <x:c r="AK315" s="32"/>
      <x:c r="AL315" s="32"/>
      <x:c r="AM315" s="32"/>
      <x:c r="AN315" s="32"/>
      <x:c r="AO315" s="32"/>
      <x:c r="AP315" s="32"/>
      <x:c r="AQ315" s="32"/>
      <x:c r="AR315" s="32"/>
      <x:c r="AS315" s="32"/>
      <x:c r="AT315" s="32"/>
      <x:c r="AU315" s="32"/>
      <x:c r="AV315" s="32"/>
      <x:c r="AW315" s="32"/>
      <x:c r="AX315" s="32"/>
      <x:c r="AZ315" s="32"/>
      <x:c r="BA315" s="32"/>
      <x:c r="BB315" s="32"/>
      <x:c r="BC315" s="32"/>
      <x:c r="BD315" s="32"/>
      <x:c r="BE315" s="32"/>
      <x:c r="BF315" s="32"/>
      <x:c r="BG315" s="32"/>
      <x:c r="BH315" s="32"/>
      <x:c r="BI315" s="32"/>
      <x:c r="BJ315" s="32"/>
      <x:c r="BK315" s="32"/>
      <x:c r="BL315" s="32"/>
      <x:c r="BM315" s="32"/>
    </x:row>
    <x:row r="316">
      <x:c r="A316" s="32"/>
      <x:c r="B316" s="32"/>
      <x:c r="C316" s="42"/>
      <x:c r="D316" s="32"/>
      <x:c r="E316" s="32"/>
      <x:c r="F316" s="32"/>
      <x:c r="G316" s="32"/>
      <x:c r="H316" s="32"/>
      <x:c r="I316" s="32"/>
      <x:c r="J316" s="32"/>
      <x:c r="K316" s="32"/>
      <x:c r="L316" s="32"/>
      <x:c r="M316" s="32"/>
      <x:c r="N316" s="32"/>
      <x:c r="O316" s="32"/>
      <x:c r="P316" s="32"/>
      <x:c r="Q316" s="32"/>
      <x:c r="R316" s="32"/>
      <x:c r="S316" s="32"/>
      <x:c r="T316" s="43" t="str">
        <x:f>IFERROR(S316/L316,"")</x:f>
      </x:c>
      <x:c r="U316" s="32"/>
      <x:c r="V316" s="32"/>
      <x:c r="W316" s="32"/>
      <x:c r="X316" s="32"/>
      <x:c r="Y316" s="32"/>
      <x:c r="Z316" s="32"/>
      <x:c r="AA316" s="32"/>
      <x:c r="AB316" s="32"/>
      <x:c r="AC316" s="32"/>
      <x:c r="AD316" s="32"/>
      <x:c r="AE316" s="32"/>
      <x:c r="AF316" s="32"/>
      <x:c r="AG316" s="32"/>
      <x:c r="AH316" s="32"/>
      <x:c r="AI316" s="32"/>
      <x:c r="AJ316" s="32"/>
      <x:c r="AK316" s="32"/>
      <x:c r="AL316" s="32"/>
      <x:c r="AM316" s="32"/>
      <x:c r="AN316" s="32"/>
      <x:c r="AO316" s="32"/>
      <x:c r="AP316" s="32"/>
      <x:c r="AQ316" s="32"/>
      <x:c r="AR316" s="32"/>
      <x:c r="AS316" s="32"/>
      <x:c r="AT316" s="32"/>
      <x:c r="AU316" s="32"/>
      <x:c r="AV316" s="32"/>
      <x:c r="AW316" s="32"/>
      <x:c r="AX316" s="32"/>
      <x:c r="AZ316" s="32"/>
      <x:c r="BA316" s="32"/>
      <x:c r="BB316" s="32"/>
      <x:c r="BC316" s="32"/>
      <x:c r="BD316" s="32"/>
      <x:c r="BE316" s="32"/>
      <x:c r="BF316" s="32"/>
      <x:c r="BG316" s="32"/>
      <x:c r="BH316" s="32"/>
      <x:c r="BI316" s="32"/>
      <x:c r="BJ316" s="32"/>
      <x:c r="BK316" s="32"/>
      <x:c r="BL316" s="32"/>
      <x:c r="BM316" s="32"/>
    </x:row>
    <x:row r="317">
      <x:c r="A317" s="32"/>
      <x:c r="B317" s="32"/>
      <x:c r="C317" s="42"/>
      <x:c r="D317" s="32"/>
      <x:c r="E317" s="32"/>
      <x:c r="F317" s="32"/>
      <x:c r="G317" s="32"/>
      <x:c r="H317" s="32"/>
      <x:c r="I317" s="32"/>
      <x:c r="J317" s="32"/>
      <x:c r="K317" s="32"/>
      <x:c r="L317" s="32"/>
      <x:c r="M317" s="32"/>
      <x:c r="N317" s="32"/>
      <x:c r="O317" s="32"/>
      <x:c r="P317" s="32"/>
      <x:c r="Q317" s="32"/>
      <x:c r="R317" s="32"/>
      <x:c r="S317" s="32"/>
      <x:c r="T317" s="43" t="str">
        <x:f>IFERROR(S317/L317,"")</x:f>
      </x:c>
      <x:c r="U317" s="32"/>
      <x:c r="V317" s="32"/>
      <x:c r="W317" s="32"/>
      <x:c r="X317" s="32"/>
      <x:c r="Y317" s="32"/>
      <x:c r="Z317" s="32"/>
      <x:c r="AA317" s="32"/>
      <x:c r="AB317" s="32"/>
      <x:c r="AC317" s="32"/>
      <x:c r="AD317" s="32"/>
      <x:c r="AE317" s="32"/>
      <x:c r="AF317" s="32"/>
      <x:c r="AG317" s="32"/>
      <x:c r="AH317" s="32"/>
      <x:c r="AI317" s="32"/>
      <x:c r="AJ317" s="32"/>
      <x:c r="AK317" s="32"/>
      <x:c r="AL317" s="32"/>
      <x:c r="AM317" s="32"/>
      <x:c r="AN317" s="32"/>
      <x:c r="AO317" s="32"/>
      <x:c r="AP317" s="32"/>
      <x:c r="AQ317" s="32"/>
      <x:c r="AR317" s="32"/>
      <x:c r="AS317" s="32"/>
      <x:c r="AT317" s="32"/>
      <x:c r="AU317" s="32"/>
      <x:c r="AV317" s="32"/>
      <x:c r="AW317" s="32"/>
      <x:c r="AX317" s="32"/>
      <x:c r="AZ317" s="32"/>
      <x:c r="BA317" s="32"/>
      <x:c r="BB317" s="32"/>
      <x:c r="BC317" s="32"/>
      <x:c r="BD317" s="32"/>
      <x:c r="BE317" s="32"/>
      <x:c r="BF317" s="32"/>
      <x:c r="BG317" s="32"/>
      <x:c r="BH317" s="32"/>
      <x:c r="BI317" s="32"/>
      <x:c r="BJ317" s="32"/>
      <x:c r="BK317" s="32"/>
      <x:c r="BL317" s="32"/>
      <x:c r="BM317" s="32"/>
    </x:row>
    <x:row r="318">
      <x:c r="A318" s="32"/>
      <x:c r="B318" s="32"/>
      <x:c r="C318" s="42"/>
      <x:c r="D318" s="32"/>
      <x:c r="E318" s="32"/>
      <x:c r="F318" s="32"/>
      <x:c r="G318" s="32"/>
      <x:c r="H318" s="32"/>
      <x:c r="I318" s="32"/>
      <x:c r="J318" s="32"/>
      <x:c r="K318" s="32"/>
      <x:c r="L318" s="32"/>
      <x:c r="M318" s="32"/>
      <x:c r="N318" s="32"/>
      <x:c r="O318" s="32"/>
      <x:c r="P318" s="32"/>
      <x:c r="Q318" s="32"/>
      <x:c r="R318" s="32"/>
      <x:c r="S318" s="32"/>
      <x:c r="T318" s="43" t="str">
        <x:f>IFERROR(S318/L318,"")</x:f>
      </x:c>
      <x:c r="U318" s="32"/>
      <x:c r="V318" s="32"/>
      <x:c r="W318" s="32"/>
      <x:c r="X318" s="32"/>
      <x:c r="Y318" s="32"/>
      <x:c r="Z318" s="32"/>
      <x:c r="AA318" s="32"/>
      <x:c r="AB318" s="32"/>
      <x:c r="AC318" s="32"/>
      <x:c r="AD318" s="32"/>
      <x:c r="AE318" s="32"/>
      <x:c r="AF318" s="32"/>
      <x:c r="AG318" s="32"/>
      <x:c r="AH318" s="32"/>
      <x:c r="AI318" s="32"/>
      <x:c r="AJ318" s="32"/>
      <x:c r="AK318" s="32"/>
      <x:c r="AL318" s="32"/>
      <x:c r="AM318" s="32"/>
      <x:c r="AN318" s="32"/>
      <x:c r="AO318" s="32"/>
      <x:c r="AP318" s="32"/>
      <x:c r="AQ318" s="32"/>
      <x:c r="AR318" s="32"/>
      <x:c r="AS318" s="32"/>
      <x:c r="AT318" s="32"/>
      <x:c r="AU318" s="32"/>
      <x:c r="AV318" s="32"/>
      <x:c r="AW318" s="32"/>
      <x:c r="AX318" s="32"/>
      <x:c r="AZ318" s="32"/>
      <x:c r="BA318" s="32"/>
      <x:c r="BB318" s="32"/>
      <x:c r="BC318" s="32"/>
      <x:c r="BD318" s="32"/>
      <x:c r="BE318" s="32"/>
      <x:c r="BF318" s="32"/>
      <x:c r="BG318" s="32"/>
      <x:c r="BH318" s="32"/>
      <x:c r="BI318" s="32"/>
      <x:c r="BJ318" s="32"/>
      <x:c r="BK318" s="32"/>
      <x:c r="BL318" s="32"/>
      <x:c r="BM318" s="32"/>
    </x:row>
    <x:row r="319">
      <x:c r="A319" s="32"/>
      <x:c r="B319" s="32"/>
      <x:c r="C319" s="42"/>
      <x:c r="D319" s="32"/>
      <x:c r="E319" s="32"/>
      <x:c r="F319" s="32"/>
      <x:c r="G319" s="32"/>
      <x:c r="H319" s="32"/>
      <x:c r="I319" s="32"/>
      <x:c r="J319" s="32"/>
      <x:c r="K319" s="32"/>
      <x:c r="L319" s="32"/>
      <x:c r="M319" s="32"/>
      <x:c r="N319" s="32"/>
      <x:c r="O319" s="32"/>
      <x:c r="P319" s="32"/>
      <x:c r="Q319" s="32"/>
      <x:c r="R319" s="32"/>
      <x:c r="S319" s="32"/>
      <x:c r="T319" s="43" t="str">
        <x:f>IFERROR(S319/L319,"")</x:f>
      </x:c>
      <x:c r="U319" s="32"/>
      <x:c r="V319" s="32"/>
      <x:c r="W319" s="32"/>
      <x:c r="X319" s="32"/>
      <x:c r="Y319" s="32"/>
      <x:c r="Z319" s="32"/>
      <x:c r="AA319" s="32"/>
      <x:c r="AB319" s="32"/>
      <x:c r="AC319" s="32"/>
      <x:c r="AD319" s="32"/>
      <x:c r="AE319" s="32"/>
      <x:c r="AF319" s="32"/>
      <x:c r="AG319" s="32"/>
      <x:c r="AH319" s="32"/>
      <x:c r="AI319" s="32"/>
      <x:c r="AJ319" s="32"/>
      <x:c r="AK319" s="32"/>
      <x:c r="AL319" s="32"/>
      <x:c r="AM319" s="32"/>
      <x:c r="AN319" s="32"/>
      <x:c r="AO319" s="32"/>
      <x:c r="AP319" s="32"/>
      <x:c r="AQ319" s="32"/>
      <x:c r="AR319" s="32"/>
      <x:c r="AS319" s="32"/>
      <x:c r="AT319" s="32"/>
      <x:c r="AU319" s="32"/>
      <x:c r="AV319" s="32"/>
      <x:c r="AW319" s="32"/>
      <x:c r="AX319" s="32"/>
      <x:c r="AZ319" s="32"/>
      <x:c r="BA319" s="32"/>
      <x:c r="BB319" s="32"/>
      <x:c r="BC319" s="32"/>
      <x:c r="BD319" s="32"/>
      <x:c r="BE319" s="32"/>
      <x:c r="BF319" s="32"/>
      <x:c r="BG319" s="32"/>
      <x:c r="BH319" s="32"/>
      <x:c r="BI319" s="32"/>
      <x:c r="BJ319" s="32"/>
      <x:c r="BK319" s="32"/>
      <x:c r="BL319" s="32"/>
      <x:c r="BM319" s="32"/>
    </x:row>
    <x:row r="320">
      <x:c r="A320" s="32"/>
      <x:c r="B320" s="32"/>
      <x:c r="C320" s="42"/>
      <x:c r="D320" s="32"/>
      <x:c r="E320" s="32"/>
      <x:c r="F320" s="32"/>
      <x:c r="G320" s="32"/>
      <x:c r="H320" s="32"/>
      <x:c r="I320" s="32"/>
      <x:c r="J320" s="32"/>
      <x:c r="K320" s="32"/>
      <x:c r="L320" s="32"/>
      <x:c r="M320" s="32"/>
      <x:c r="N320" s="32"/>
      <x:c r="O320" s="32"/>
      <x:c r="P320" s="32"/>
      <x:c r="Q320" s="32"/>
      <x:c r="R320" s="32"/>
      <x:c r="S320" s="32"/>
      <x:c r="T320" s="43" t="str">
        <x:f>IFERROR(S320/L320,"")</x:f>
      </x:c>
      <x:c r="U320" s="32"/>
      <x:c r="V320" s="32"/>
      <x:c r="W320" s="32"/>
      <x:c r="X320" s="32"/>
      <x:c r="Y320" s="32"/>
      <x:c r="Z320" s="32"/>
      <x:c r="AA320" s="32"/>
      <x:c r="AB320" s="32"/>
      <x:c r="AC320" s="32"/>
      <x:c r="AD320" s="32"/>
      <x:c r="AE320" s="32"/>
      <x:c r="AF320" s="32"/>
      <x:c r="AG320" s="32"/>
      <x:c r="AH320" s="32"/>
      <x:c r="AI320" s="32"/>
      <x:c r="AJ320" s="32"/>
      <x:c r="AK320" s="32"/>
      <x:c r="AL320" s="32"/>
      <x:c r="AM320" s="32"/>
      <x:c r="AN320" s="32"/>
      <x:c r="AO320" s="32"/>
      <x:c r="AP320" s="32"/>
      <x:c r="AQ320" s="32"/>
      <x:c r="AR320" s="32"/>
      <x:c r="AS320" s="32"/>
      <x:c r="AT320" s="32"/>
      <x:c r="AU320" s="32"/>
      <x:c r="AV320" s="32"/>
      <x:c r="AW320" s="32"/>
      <x:c r="AX320" s="32"/>
      <x:c r="AZ320" s="32"/>
      <x:c r="BA320" s="32"/>
      <x:c r="BB320" s="32"/>
      <x:c r="BC320" s="32"/>
      <x:c r="BD320" s="32"/>
      <x:c r="BE320" s="32"/>
      <x:c r="BF320" s="32"/>
      <x:c r="BG320" s="32"/>
      <x:c r="BH320" s="32"/>
      <x:c r="BI320" s="32"/>
      <x:c r="BJ320" s="32"/>
      <x:c r="BK320" s="32"/>
      <x:c r="BL320" s="32"/>
      <x:c r="BM320" s="32"/>
    </x:row>
    <x:row r="321">
      <x:c r="A321" s="32"/>
      <x:c r="B321" s="32"/>
      <x:c r="C321" s="42"/>
      <x:c r="D321" s="32"/>
      <x:c r="E321" s="32"/>
      <x:c r="F321" s="32"/>
      <x:c r="G321" s="32"/>
      <x:c r="H321" s="32"/>
      <x:c r="I321" s="32"/>
      <x:c r="J321" s="32"/>
      <x:c r="K321" s="32"/>
      <x:c r="L321" s="32"/>
      <x:c r="M321" s="32"/>
      <x:c r="N321" s="32"/>
      <x:c r="O321" s="32"/>
      <x:c r="P321" s="32"/>
      <x:c r="Q321" s="32"/>
      <x:c r="R321" s="32"/>
      <x:c r="S321" s="32"/>
      <x:c r="T321" s="43" t="str">
        <x:f>IFERROR(S321/L321,"")</x:f>
      </x:c>
      <x:c r="U321" s="32"/>
      <x:c r="V321" s="32"/>
      <x:c r="W321" s="32"/>
      <x:c r="X321" s="32"/>
      <x:c r="Y321" s="32"/>
      <x:c r="Z321" s="32"/>
      <x:c r="AA321" s="32"/>
      <x:c r="AB321" s="32"/>
      <x:c r="AC321" s="32"/>
      <x:c r="AD321" s="32"/>
      <x:c r="AE321" s="32"/>
      <x:c r="AF321" s="32"/>
      <x:c r="AG321" s="32"/>
      <x:c r="AH321" s="32"/>
      <x:c r="AI321" s="32"/>
      <x:c r="AJ321" s="32"/>
      <x:c r="AK321" s="32"/>
      <x:c r="AL321" s="32"/>
      <x:c r="AM321" s="32"/>
      <x:c r="AN321" s="32"/>
      <x:c r="AO321" s="32"/>
      <x:c r="AP321" s="32"/>
      <x:c r="AQ321" s="32"/>
      <x:c r="AR321" s="32"/>
      <x:c r="AS321" s="32"/>
      <x:c r="AT321" s="32"/>
      <x:c r="AU321" s="32"/>
      <x:c r="AV321" s="32"/>
      <x:c r="AW321" s="32"/>
      <x:c r="AX321" s="32"/>
      <x:c r="AZ321" s="32"/>
      <x:c r="BA321" s="32"/>
      <x:c r="BB321" s="32"/>
      <x:c r="BC321" s="32"/>
      <x:c r="BD321" s="32"/>
      <x:c r="BE321" s="32"/>
      <x:c r="BF321" s="32"/>
      <x:c r="BG321" s="32"/>
      <x:c r="BH321" s="32"/>
      <x:c r="BI321" s="32"/>
      <x:c r="BJ321" s="32"/>
      <x:c r="BK321" s="32"/>
      <x:c r="BL321" s="32"/>
      <x:c r="BM321" s="32"/>
    </x:row>
    <x:row r="322">
      <x:c r="A322" s="32"/>
      <x:c r="B322" s="32"/>
      <x:c r="C322" s="42"/>
      <x:c r="D322" s="32"/>
      <x:c r="E322" s="32"/>
      <x:c r="F322" s="32"/>
      <x:c r="G322" s="32"/>
      <x:c r="H322" s="32"/>
      <x:c r="I322" s="32"/>
      <x:c r="J322" s="32"/>
      <x:c r="K322" s="32"/>
      <x:c r="L322" s="32"/>
      <x:c r="M322" s="32"/>
      <x:c r="N322" s="32"/>
      <x:c r="O322" s="32"/>
      <x:c r="P322" s="32"/>
      <x:c r="Q322" s="32"/>
      <x:c r="R322" s="32"/>
      <x:c r="S322" s="32"/>
      <x:c r="T322" s="43" t="str">
        <x:f>IFERROR(S322/L322,"")</x:f>
      </x:c>
      <x:c r="U322" s="32"/>
      <x:c r="V322" s="32"/>
      <x:c r="W322" s="32"/>
      <x:c r="X322" s="32"/>
      <x:c r="Y322" s="32"/>
      <x:c r="Z322" s="32"/>
      <x:c r="AA322" s="32"/>
      <x:c r="AB322" s="32"/>
      <x:c r="AC322" s="32"/>
      <x:c r="AD322" s="32"/>
      <x:c r="AE322" s="32"/>
      <x:c r="AF322" s="32"/>
      <x:c r="AG322" s="32"/>
      <x:c r="AH322" s="32"/>
      <x:c r="AI322" s="32"/>
      <x:c r="AJ322" s="32"/>
      <x:c r="AK322" s="32"/>
      <x:c r="AL322" s="32"/>
      <x:c r="AM322" s="32"/>
      <x:c r="AN322" s="32"/>
      <x:c r="AO322" s="32"/>
      <x:c r="AP322" s="32"/>
      <x:c r="AQ322" s="32"/>
      <x:c r="AR322" s="32"/>
      <x:c r="AS322" s="32"/>
      <x:c r="AT322" s="32"/>
      <x:c r="AU322" s="32"/>
      <x:c r="AV322" s="32"/>
      <x:c r="AW322" s="32"/>
      <x:c r="AX322" s="32"/>
      <x:c r="AZ322" s="32"/>
      <x:c r="BA322" s="32"/>
      <x:c r="BB322" s="32"/>
      <x:c r="BC322" s="32"/>
      <x:c r="BD322" s="32"/>
      <x:c r="BE322" s="32"/>
      <x:c r="BF322" s="32"/>
      <x:c r="BG322" s="32"/>
      <x:c r="BH322" s="32"/>
      <x:c r="BI322" s="32"/>
      <x:c r="BJ322" s="32"/>
      <x:c r="BK322" s="32"/>
      <x:c r="BL322" s="32"/>
      <x:c r="BM322" s="32"/>
    </x:row>
    <x:row r="323">
      <x:c r="A323" s="32"/>
      <x:c r="B323" s="32"/>
      <x:c r="C323" s="42"/>
      <x:c r="D323" s="32"/>
      <x:c r="E323" s="32"/>
      <x:c r="F323" s="32"/>
      <x:c r="G323" s="32"/>
      <x:c r="H323" s="32"/>
      <x:c r="I323" s="32"/>
      <x:c r="J323" s="32"/>
      <x:c r="K323" s="32"/>
      <x:c r="L323" s="32"/>
      <x:c r="M323" s="32"/>
      <x:c r="N323" s="32"/>
      <x:c r="O323" s="32"/>
      <x:c r="P323" s="32"/>
      <x:c r="Q323" s="32"/>
      <x:c r="R323" s="32"/>
      <x:c r="S323" s="32"/>
      <x:c r="T323" s="43" t="str">
        <x:f>IFERROR(S323/L323,"")</x:f>
      </x:c>
      <x:c r="U323" s="32"/>
      <x:c r="V323" s="32"/>
      <x:c r="W323" s="32"/>
      <x:c r="X323" s="32"/>
      <x:c r="Y323" s="32"/>
      <x:c r="Z323" s="32"/>
      <x:c r="AA323" s="32"/>
      <x:c r="AB323" s="32"/>
      <x:c r="AC323" s="32"/>
      <x:c r="AD323" s="32"/>
      <x:c r="AE323" s="32"/>
      <x:c r="AF323" s="32"/>
      <x:c r="AG323" s="32"/>
      <x:c r="AH323" s="32"/>
      <x:c r="AI323" s="32"/>
      <x:c r="AJ323" s="32"/>
      <x:c r="AK323" s="32"/>
      <x:c r="AL323" s="32"/>
      <x:c r="AM323" s="32"/>
      <x:c r="AN323" s="32"/>
      <x:c r="AO323" s="32"/>
      <x:c r="AP323" s="32"/>
      <x:c r="AQ323" s="32"/>
      <x:c r="AR323" s="32"/>
      <x:c r="AS323" s="32"/>
      <x:c r="AT323" s="32"/>
      <x:c r="AU323" s="32"/>
      <x:c r="AV323" s="32"/>
      <x:c r="AW323" s="32"/>
      <x:c r="AX323" s="32"/>
      <x:c r="AZ323" s="32"/>
      <x:c r="BA323" s="32"/>
      <x:c r="BB323" s="32"/>
      <x:c r="BC323" s="32"/>
      <x:c r="BD323" s="32"/>
      <x:c r="BE323" s="32"/>
      <x:c r="BF323" s="32"/>
      <x:c r="BG323" s="32"/>
      <x:c r="BH323" s="32"/>
      <x:c r="BI323" s="32"/>
      <x:c r="BJ323" s="32"/>
      <x:c r="BK323" s="32"/>
      <x:c r="BL323" s="32"/>
      <x:c r="BM323" s="32"/>
    </x:row>
    <x:row r="324">
      <x:c r="A324" s="32"/>
      <x:c r="B324" s="32"/>
      <x:c r="C324" s="42"/>
      <x:c r="D324" s="32"/>
      <x:c r="E324" s="32"/>
      <x:c r="F324" s="32"/>
      <x:c r="G324" s="32"/>
      <x:c r="H324" s="32"/>
      <x:c r="I324" s="32"/>
      <x:c r="J324" s="32"/>
      <x:c r="K324" s="32"/>
      <x:c r="L324" s="32"/>
      <x:c r="M324" s="32"/>
      <x:c r="N324" s="32"/>
      <x:c r="O324" s="32"/>
      <x:c r="P324" s="32"/>
      <x:c r="Q324" s="32"/>
      <x:c r="R324" s="32"/>
      <x:c r="S324" s="32"/>
      <x:c r="T324" s="43" t="str">
        <x:f>IFERROR(S324/L324,"")</x:f>
      </x:c>
      <x:c r="U324" s="32"/>
      <x:c r="V324" s="32"/>
      <x:c r="W324" s="32"/>
      <x:c r="X324" s="32"/>
      <x:c r="Y324" s="32"/>
      <x:c r="Z324" s="32"/>
      <x:c r="AA324" s="32"/>
      <x:c r="AB324" s="32"/>
      <x:c r="AC324" s="32"/>
      <x:c r="AD324" s="32"/>
      <x:c r="AE324" s="32"/>
      <x:c r="AF324" s="32"/>
      <x:c r="AG324" s="32"/>
      <x:c r="AH324" s="32"/>
      <x:c r="AI324" s="32"/>
      <x:c r="AJ324" s="32"/>
      <x:c r="AK324" s="32"/>
      <x:c r="AL324" s="32"/>
      <x:c r="AM324" s="32"/>
      <x:c r="AN324" s="32"/>
      <x:c r="AO324" s="32"/>
      <x:c r="AP324" s="32"/>
      <x:c r="AQ324" s="32"/>
      <x:c r="AR324" s="32"/>
      <x:c r="AS324" s="32"/>
      <x:c r="AT324" s="32"/>
      <x:c r="AU324" s="32"/>
      <x:c r="AV324" s="32"/>
      <x:c r="AW324" s="32"/>
      <x:c r="AX324" s="32"/>
      <x:c r="AZ324" s="32"/>
      <x:c r="BA324" s="32"/>
      <x:c r="BB324" s="32"/>
      <x:c r="BC324" s="32"/>
      <x:c r="BD324" s="32"/>
      <x:c r="BE324" s="32"/>
      <x:c r="BF324" s="32"/>
      <x:c r="BG324" s="32"/>
      <x:c r="BH324" s="32"/>
      <x:c r="BI324" s="32"/>
      <x:c r="BJ324" s="32"/>
      <x:c r="BK324" s="32"/>
      <x:c r="BL324" s="32"/>
      <x:c r="BM324" s="32"/>
    </x:row>
    <x:row r="325">
      <x:c r="A325" s="32"/>
      <x:c r="B325" s="32"/>
      <x:c r="C325" s="42"/>
      <x:c r="D325" s="32"/>
      <x:c r="E325" s="32"/>
      <x:c r="F325" s="32"/>
      <x:c r="G325" s="32"/>
      <x:c r="H325" s="32"/>
      <x:c r="I325" s="32"/>
      <x:c r="J325" s="32"/>
      <x:c r="K325" s="32"/>
      <x:c r="L325" s="32"/>
      <x:c r="M325" s="32"/>
      <x:c r="N325" s="32"/>
      <x:c r="O325" s="32"/>
      <x:c r="P325" s="32"/>
      <x:c r="Q325" s="32"/>
      <x:c r="R325" s="32"/>
      <x:c r="S325" s="32"/>
      <x:c r="T325" s="43" t="str">
        <x:f>IFERROR(S325/L325,"")</x:f>
      </x:c>
      <x:c r="U325" s="32"/>
      <x:c r="V325" s="32"/>
      <x:c r="W325" s="32"/>
      <x:c r="X325" s="32"/>
      <x:c r="Y325" s="32"/>
      <x:c r="Z325" s="32"/>
      <x:c r="AA325" s="32"/>
      <x:c r="AB325" s="32"/>
      <x:c r="AC325" s="32"/>
      <x:c r="AD325" s="32"/>
      <x:c r="AE325" s="32"/>
      <x:c r="AF325" s="32"/>
      <x:c r="AG325" s="32"/>
      <x:c r="AH325" s="32"/>
      <x:c r="AI325" s="32"/>
      <x:c r="AJ325" s="32"/>
      <x:c r="AK325" s="32"/>
      <x:c r="AL325" s="32"/>
      <x:c r="AM325" s="32"/>
      <x:c r="AN325" s="32"/>
      <x:c r="AO325" s="32"/>
      <x:c r="AP325" s="32"/>
      <x:c r="AQ325" s="32"/>
      <x:c r="AR325" s="32"/>
      <x:c r="AS325" s="32"/>
      <x:c r="AT325" s="32"/>
      <x:c r="AU325" s="32"/>
      <x:c r="AV325" s="32"/>
      <x:c r="AW325" s="32"/>
      <x:c r="AX325" s="32"/>
      <x:c r="AZ325" s="32"/>
      <x:c r="BA325" s="32"/>
      <x:c r="BB325" s="32"/>
      <x:c r="BC325" s="32"/>
      <x:c r="BD325" s="32"/>
      <x:c r="BE325" s="32"/>
      <x:c r="BF325" s="32"/>
      <x:c r="BG325" s="32"/>
      <x:c r="BH325" s="32"/>
      <x:c r="BI325" s="32"/>
      <x:c r="BJ325" s="32"/>
      <x:c r="BK325" s="32"/>
      <x:c r="BL325" s="32"/>
      <x:c r="BM325" s="32"/>
    </x:row>
    <x:row r="326">
      <x:c r="A326" s="32"/>
      <x:c r="B326" s="32"/>
      <x:c r="C326" s="42"/>
      <x:c r="D326" s="32"/>
      <x:c r="E326" s="32"/>
      <x:c r="F326" s="32"/>
      <x:c r="G326" s="32"/>
      <x:c r="H326" s="32"/>
      <x:c r="I326" s="32"/>
      <x:c r="J326" s="32"/>
      <x:c r="K326" s="32"/>
      <x:c r="L326" s="32"/>
      <x:c r="M326" s="32"/>
      <x:c r="N326" s="32"/>
      <x:c r="O326" s="32"/>
      <x:c r="P326" s="32"/>
      <x:c r="Q326" s="32"/>
      <x:c r="R326" s="32"/>
      <x:c r="S326" s="32"/>
      <x:c r="T326" s="43" t="str">
        <x:f>IFERROR(S326/L326,"")</x:f>
      </x:c>
      <x:c r="U326" s="32"/>
      <x:c r="V326" s="32"/>
      <x:c r="W326" s="32"/>
      <x:c r="X326" s="32"/>
      <x:c r="Y326" s="32"/>
      <x:c r="Z326" s="32"/>
      <x:c r="AA326" s="32"/>
      <x:c r="AB326" s="32"/>
      <x:c r="AC326" s="32"/>
      <x:c r="AD326" s="32"/>
      <x:c r="AE326" s="32"/>
      <x:c r="AF326" s="32"/>
      <x:c r="AG326" s="32"/>
      <x:c r="AH326" s="32"/>
      <x:c r="AI326" s="32"/>
      <x:c r="AJ326" s="32"/>
      <x:c r="AK326" s="32"/>
      <x:c r="AL326" s="32"/>
      <x:c r="AM326" s="32"/>
      <x:c r="AN326" s="32"/>
      <x:c r="AO326" s="32"/>
      <x:c r="AP326" s="32"/>
      <x:c r="AQ326" s="32"/>
      <x:c r="AR326" s="32"/>
      <x:c r="AS326" s="32"/>
      <x:c r="AT326" s="32"/>
      <x:c r="AU326" s="32"/>
      <x:c r="AV326" s="32"/>
      <x:c r="AW326" s="32"/>
      <x:c r="AX326" s="32"/>
      <x:c r="AZ326" s="32"/>
      <x:c r="BA326" s="32"/>
      <x:c r="BB326" s="32"/>
      <x:c r="BC326" s="32"/>
      <x:c r="BD326" s="32"/>
      <x:c r="BE326" s="32"/>
      <x:c r="BF326" s="32"/>
      <x:c r="BG326" s="32"/>
      <x:c r="BH326" s="32"/>
      <x:c r="BI326" s="32"/>
      <x:c r="BJ326" s="32"/>
      <x:c r="BK326" s="32"/>
      <x:c r="BL326" s="32"/>
      <x:c r="BM326" s="32"/>
    </x:row>
    <x:row r="327">
      <x:c r="A327" s="32"/>
      <x:c r="B327" s="32"/>
      <x:c r="C327" s="42"/>
      <x:c r="D327" s="32"/>
      <x:c r="E327" s="32"/>
      <x:c r="F327" s="32"/>
      <x:c r="G327" s="32"/>
      <x:c r="H327" s="32"/>
      <x:c r="I327" s="32"/>
      <x:c r="J327" s="32"/>
      <x:c r="K327" s="32"/>
      <x:c r="L327" s="32"/>
      <x:c r="M327" s="32"/>
      <x:c r="N327" s="32"/>
      <x:c r="O327" s="32"/>
      <x:c r="P327" s="32"/>
      <x:c r="Q327" s="32"/>
      <x:c r="R327" s="32"/>
      <x:c r="S327" s="32"/>
      <x:c r="T327" s="43" t="str">
        <x:f>IFERROR(S327/L327,"")</x:f>
      </x:c>
      <x:c r="U327" s="32"/>
      <x:c r="V327" s="32"/>
      <x:c r="W327" s="32"/>
      <x:c r="X327" s="32"/>
      <x:c r="Y327" s="32"/>
      <x:c r="Z327" s="32"/>
      <x:c r="AA327" s="32"/>
      <x:c r="AB327" s="32"/>
      <x:c r="AC327" s="32"/>
      <x:c r="AD327" s="32"/>
      <x:c r="AE327" s="32"/>
      <x:c r="AF327" s="32"/>
      <x:c r="AG327" s="32"/>
      <x:c r="AH327" s="32"/>
      <x:c r="AI327" s="32"/>
      <x:c r="AJ327" s="32"/>
      <x:c r="AK327" s="32"/>
      <x:c r="AL327" s="32"/>
      <x:c r="AM327" s="32"/>
      <x:c r="AN327" s="32"/>
      <x:c r="AO327" s="32"/>
      <x:c r="AP327" s="32"/>
      <x:c r="AQ327" s="32"/>
      <x:c r="AR327" s="32"/>
      <x:c r="AS327" s="32"/>
      <x:c r="AT327" s="32"/>
      <x:c r="AU327" s="32"/>
      <x:c r="AV327" s="32"/>
      <x:c r="AW327" s="32"/>
      <x:c r="AX327" s="32"/>
      <x:c r="AZ327" s="32"/>
      <x:c r="BA327" s="32"/>
      <x:c r="BB327" s="32"/>
      <x:c r="BC327" s="32"/>
      <x:c r="BD327" s="32"/>
      <x:c r="BE327" s="32"/>
      <x:c r="BF327" s="32"/>
      <x:c r="BG327" s="32"/>
      <x:c r="BH327" s="32"/>
      <x:c r="BI327" s="32"/>
      <x:c r="BJ327" s="32"/>
      <x:c r="BK327" s="32"/>
      <x:c r="BL327" s="32"/>
      <x:c r="BM327" s="32"/>
    </x:row>
    <x:row r="328">
      <x:c r="A328" s="32"/>
      <x:c r="B328" s="32"/>
      <x:c r="C328" s="42"/>
      <x:c r="D328" s="32"/>
      <x:c r="E328" s="32"/>
      <x:c r="F328" s="32"/>
      <x:c r="G328" s="32"/>
      <x:c r="H328" s="32"/>
      <x:c r="I328" s="32"/>
      <x:c r="J328" s="32"/>
      <x:c r="K328" s="32"/>
      <x:c r="L328" s="32"/>
      <x:c r="M328" s="32"/>
      <x:c r="N328" s="32"/>
      <x:c r="O328" s="32"/>
      <x:c r="P328" s="32"/>
      <x:c r="Q328" s="32"/>
      <x:c r="R328" s="32"/>
      <x:c r="S328" s="32"/>
      <x:c r="T328" s="43" t="str">
        <x:f>IFERROR(S328/L328,"")</x:f>
      </x:c>
      <x:c r="U328" s="32"/>
      <x:c r="V328" s="32"/>
      <x:c r="W328" s="32"/>
      <x:c r="X328" s="32"/>
      <x:c r="Y328" s="32"/>
      <x:c r="Z328" s="32"/>
      <x:c r="AA328" s="32"/>
      <x:c r="AB328" s="32"/>
      <x:c r="AC328" s="32"/>
      <x:c r="AD328" s="32"/>
      <x:c r="AE328" s="32"/>
      <x:c r="AF328" s="32"/>
      <x:c r="AG328" s="32"/>
      <x:c r="AH328" s="32"/>
      <x:c r="AI328" s="32"/>
      <x:c r="AJ328" s="32"/>
      <x:c r="AK328" s="32"/>
      <x:c r="AL328" s="32"/>
      <x:c r="AM328" s="32"/>
      <x:c r="AN328" s="32"/>
      <x:c r="AO328" s="32"/>
      <x:c r="AP328" s="32"/>
      <x:c r="AQ328" s="32"/>
      <x:c r="AR328" s="32"/>
      <x:c r="AS328" s="32"/>
      <x:c r="AT328" s="32"/>
      <x:c r="AU328" s="32"/>
      <x:c r="AV328" s="32"/>
      <x:c r="AW328" s="32"/>
      <x:c r="AX328" s="32"/>
      <x:c r="AZ328" s="32"/>
      <x:c r="BA328" s="32"/>
      <x:c r="BB328" s="32"/>
      <x:c r="BC328" s="32"/>
      <x:c r="BD328" s="32"/>
      <x:c r="BE328" s="32"/>
      <x:c r="BF328" s="32"/>
      <x:c r="BG328" s="32"/>
      <x:c r="BH328" s="32"/>
      <x:c r="BI328" s="32"/>
      <x:c r="BJ328" s="32"/>
      <x:c r="BK328" s="32"/>
      <x:c r="BL328" s="32"/>
      <x:c r="BM328" s="32"/>
    </x:row>
    <x:row r="329">
      <x:c r="A329" s="32"/>
      <x:c r="B329" s="32"/>
      <x:c r="C329" s="42"/>
      <x:c r="D329" s="32"/>
      <x:c r="E329" s="32"/>
      <x:c r="F329" s="32"/>
      <x:c r="G329" s="32"/>
      <x:c r="H329" s="32"/>
      <x:c r="I329" s="32"/>
      <x:c r="J329" s="32"/>
      <x:c r="K329" s="32"/>
      <x:c r="L329" s="32"/>
      <x:c r="M329" s="32"/>
      <x:c r="N329" s="32"/>
      <x:c r="O329" s="32"/>
      <x:c r="P329" s="32"/>
      <x:c r="Q329" s="32"/>
      <x:c r="R329" s="32"/>
      <x:c r="S329" s="32"/>
      <x:c r="T329" s="43" t="str">
        <x:f>IFERROR(S329/L329,"")</x:f>
      </x:c>
      <x:c r="U329" s="32"/>
      <x:c r="V329" s="32"/>
      <x:c r="W329" s="32"/>
      <x:c r="X329" s="32"/>
      <x:c r="Y329" s="32"/>
      <x:c r="Z329" s="32"/>
      <x:c r="AA329" s="32"/>
      <x:c r="AB329" s="32"/>
      <x:c r="AC329" s="32"/>
      <x:c r="AD329" s="32"/>
      <x:c r="AE329" s="32"/>
      <x:c r="AF329" s="32"/>
      <x:c r="AG329" s="32"/>
      <x:c r="AH329" s="32"/>
      <x:c r="AI329" s="32"/>
      <x:c r="AJ329" s="32"/>
      <x:c r="AK329" s="32"/>
      <x:c r="AL329" s="32"/>
      <x:c r="AM329" s="32"/>
      <x:c r="AN329" s="32"/>
      <x:c r="AO329" s="32"/>
      <x:c r="AP329" s="32"/>
      <x:c r="AQ329" s="32"/>
      <x:c r="AR329" s="32"/>
      <x:c r="AS329" s="32"/>
      <x:c r="AT329" s="32"/>
      <x:c r="AU329" s="32"/>
      <x:c r="AV329" s="32"/>
      <x:c r="AW329" s="32"/>
      <x:c r="AX329" s="32"/>
      <x:c r="AZ329" s="32"/>
      <x:c r="BA329" s="32"/>
      <x:c r="BB329" s="32"/>
      <x:c r="BC329" s="32"/>
      <x:c r="BD329" s="32"/>
      <x:c r="BE329" s="32"/>
      <x:c r="BF329" s="32"/>
      <x:c r="BG329" s="32"/>
      <x:c r="BH329" s="32"/>
      <x:c r="BI329" s="32"/>
      <x:c r="BJ329" s="32"/>
      <x:c r="BK329" s="32"/>
      <x:c r="BL329" s="32"/>
      <x:c r="BM329" s="32"/>
    </x:row>
    <x:row r="330">
      <x:c r="A330" s="32"/>
      <x:c r="B330" s="32"/>
      <x:c r="C330" s="42"/>
      <x:c r="D330" s="32"/>
      <x:c r="E330" s="32"/>
      <x:c r="F330" s="32"/>
      <x:c r="G330" s="32"/>
      <x:c r="H330" s="32"/>
      <x:c r="I330" s="32"/>
      <x:c r="J330" s="32"/>
      <x:c r="K330" s="32"/>
      <x:c r="L330" s="32"/>
      <x:c r="M330" s="32"/>
      <x:c r="N330" s="32"/>
      <x:c r="O330" s="32"/>
      <x:c r="P330" s="32"/>
      <x:c r="Q330" s="32"/>
      <x:c r="R330" s="32"/>
      <x:c r="S330" s="32"/>
      <x:c r="T330" s="43" t="str">
        <x:f>IFERROR(S330/L330,"")</x:f>
      </x:c>
      <x:c r="U330" s="32"/>
      <x:c r="V330" s="32"/>
      <x:c r="W330" s="32"/>
      <x:c r="X330" s="32"/>
      <x:c r="Y330" s="32"/>
      <x:c r="Z330" s="32"/>
      <x:c r="AA330" s="32"/>
      <x:c r="AB330" s="32"/>
      <x:c r="AC330" s="32"/>
      <x:c r="AD330" s="32"/>
      <x:c r="AE330" s="32"/>
      <x:c r="AF330" s="32"/>
      <x:c r="AG330" s="32"/>
      <x:c r="AH330" s="32"/>
      <x:c r="AI330" s="32"/>
      <x:c r="AJ330" s="32"/>
      <x:c r="AK330" s="32"/>
      <x:c r="AL330" s="32"/>
      <x:c r="AM330" s="32"/>
      <x:c r="AN330" s="32"/>
      <x:c r="AO330" s="32"/>
      <x:c r="AP330" s="32"/>
      <x:c r="AQ330" s="32"/>
      <x:c r="AR330" s="32"/>
      <x:c r="AS330" s="32"/>
      <x:c r="AT330" s="32"/>
      <x:c r="AU330" s="32"/>
      <x:c r="AV330" s="32"/>
      <x:c r="AW330" s="32"/>
      <x:c r="AX330" s="32"/>
      <x:c r="AZ330" s="32"/>
      <x:c r="BA330" s="32"/>
      <x:c r="BB330" s="32"/>
      <x:c r="BC330" s="32"/>
      <x:c r="BD330" s="32"/>
      <x:c r="BE330" s="32"/>
      <x:c r="BF330" s="32"/>
      <x:c r="BG330" s="32"/>
      <x:c r="BH330" s="32"/>
      <x:c r="BI330" s="32"/>
      <x:c r="BJ330" s="32"/>
      <x:c r="BK330" s="32"/>
      <x:c r="BL330" s="32"/>
      <x:c r="BM330" s="32"/>
    </x:row>
    <x:row r="331">
      <x:c r="A331" s="32"/>
      <x:c r="B331" s="32"/>
      <x:c r="C331" s="42"/>
      <x:c r="D331" s="32"/>
      <x:c r="E331" s="32"/>
      <x:c r="F331" s="32"/>
      <x:c r="G331" s="32"/>
      <x:c r="H331" s="32"/>
      <x:c r="I331" s="32"/>
      <x:c r="J331" s="32"/>
      <x:c r="K331" s="32"/>
      <x:c r="L331" s="32"/>
      <x:c r="M331" s="32"/>
      <x:c r="N331" s="32"/>
      <x:c r="O331" s="32"/>
      <x:c r="P331" s="32"/>
      <x:c r="Q331" s="32"/>
      <x:c r="R331" s="32"/>
      <x:c r="S331" s="32"/>
      <x:c r="T331" s="43" t="str">
        <x:f>IFERROR(S331/L331,"")</x:f>
      </x:c>
      <x:c r="U331" s="32"/>
      <x:c r="V331" s="32"/>
      <x:c r="W331" s="32"/>
      <x:c r="X331" s="32"/>
      <x:c r="Y331" s="32"/>
      <x:c r="Z331" s="32"/>
      <x:c r="AA331" s="32"/>
      <x:c r="AB331" s="32"/>
      <x:c r="AC331" s="32"/>
      <x:c r="AD331" s="32"/>
      <x:c r="AE331" s="32"/>
      <x:c r="AF331" s="32"/>
      <x:c r="AG331" s="32"/>
      <x:c r="AH331" s="32"/>
      <x:c r="AI331" s="32"/>
      <x:c r="AJ331" s="32"/>
      <x:c r="AK331" s="32"/>
      <x:c r="AL331" s="32"/>
      <x:c r="AM331" s="32"/>
      <x:c r="AN331" s="32"/>
      <x:c r="AO331" s="32"/>
      <x:c r="AP331" s="32"/>
      <x:c r="AQ331" s="32"/>
      <x:c r="AR331" s="32"/>
      <x:c r="AS331" s="32"/>
      <x:c r="AT331" s="32"/>
      <x:c r="AU331" s="32"/>
      <x:c r="AV331" s="32"/>
      <x:c r="AW331" s="32"/>
      <x:c r="AX331" s="32"/>
      <x:c r="AZ331" s="32"/>
      <x:c r="BA331" s="32"/>
      <x:c r="BB331" s="32"/>
      <x:c r="BC331" s="32"/>
      <x:c r="BD331" s="32"/>
      <x:c r="BE331" s="32"/>
      <x:c r="BF331" s="32"/>
      <x:c r="BG331" s="32"/>
      <x:c r="BH331" s="32"/>
      <x:c r="BI331" s="32"/>
      <x:c r="BJ331" s="32"/>
      <x:c r="BK331" s="32"/>
      <x:c r="BL331" s="32"/>
      <x:c r="BM331" s="32"/>
    </x:row>
    <x:row r="332">
      <x:c r="A332" s="32"/>
      <x:c r="B332" s="32"/>
      <x:c r="C332" s="42"/>
      <x:c r="D332" s="32"/>
      <x:c r="E332" s="32"/>
      <x:c r="F332" s="32"/>
      <x:c r="G332" s="32"/>
      <x:c r="H332" s="32"/>
      <x:c r="I332" s="32"/>
      <x:c r="J332" s="32"/>
      <x:c r="K332" s="32"/>
      <x:c r="L332" s="32"/>
      <x:c r="M332" s="32"/>
      <x:c r="N332" s="32"/>
      <x:c r="O332" s="32"/>
      <x:c r="P332" s="32"/>
      <x:c r="Q332" s="32"/>
      <x:c r="R332" s="32"/>
      <x:c r="S332" s="32"/>
      <x:c r="T332" s="43" t="str">
        <x:f>IFERROR(S332/L332,"")</x:f>
      </x:c>
      <x:c r="U332" s="32"/>
      <x:c r="V332" s="32"/>
      <x:c r="W332" s="32"/>
      <x:c r="X332" s="32"/>
      <x:c r="Y332" s="32"/>
      <x:c r="Z332" s="32"/>
      <x:c r="AA332" s="32"/>
      <x:c r="AB332" s="32"/>
      <x:c r="AC332" s="32"/>
      <x:c r="AD332" s="32"/>
      <x:c r="AE332" s="32"/>
      <x:c r="AF332" s="32"/>
      <x:c r="AG332" s="32"/>
      <x:c r="AH332" s="32"/>
      <x:c r="AI332" s="32"/>
      <x:c r="AJ332" s="32"/>
      <x:c r="AK332" s="32"/>
      <x:c r="AL332" s="32"/>
      <x:c r="AM332" s="32"/>
      <x:c r="AN332" s="32"/>
      <x:c r="AO332" s="32"/>
      <x:c r="AP332" s="32"/>
      <x:c r="AQ332" s="32"/>
      <x:c r="AR332" s="32"/>
      <x:c r="AS332" s="32"/>
      <x:c r="AT332" s="32"/>
      <x:c r="AU332" s="32"/>
      <x:c r="AV332" s="32"/>
      <x:c r="AW332" s="32"/>
      <x:c r="AX332" s="32"/>
      <x:c r="AZ332" s="32"/>
      <x:c r="BA332" s="32"/>
      <x:c r="BB332" s="32"/>
      <x:c r="BC332" s="32"/>
      <x:c r="BD332" s="32"/>
      <x:c r="BE332" s="32"/>
      <x:c r="BF332" s="32"/>
      <x:c r="BG332" s="32"/>
      <x:c r="BH332" s="32"/>
      <x:c r="BI332" s="32"/>
      <x:c r="BJ332" s="32"/>
      <x:c r="BK332" s="32"/>
      <x:c r="BL332" s="32"/>
      <x:c r="BM332" s="32"/>
    </x:row>
    <x:row r="333">
      <x:c r="A333" s="32"/>
      <x:c r="B333" s="32"/>
      <x:c r="C333" s="42"/>
      <x:c r="D333" s="32"/>
      <x:c r="E333" s="32"/>
      <x:c r="F333" s="32"/>
      <x:c r="G333" s="32"/>
      <x:c r="H333" s="32"/>
      <x:c r="I333" s="32"/>
      <x:c r="J333" s="32"/>
      <x:c r="K333" s="32"/>
      <x:c r="L333" s="32"/>
      <x:c r="M333" s="32"/>
      <x:c r="N333" s="32"/>
      <x:c r="O333" s="32"/>
      <x:c r="P333" s="32"/>
      <x:c r="Q333" s="32"/>
      <x:c r="R333" s="32"/>
      <x:c r="S333" s="32"/>
      <x:c r="T333" s="43" t="str">
        <x:f>IFERROR(S333/L333,"")</x:f>
      </x:c>
      <x:c r="U333" s="32"/>
      <x:c r="V333" s="32"/>
      <x:c r="W333" s="32"/>
      <x:c r="X333" s="32"/>
      <x:c r="Y333" s="32"/>
      <x:c r="Z333" s="32"/>
      <x:c r="AA333" s="32"/>
      <x:c r="AB333" s="32"/>
      <x:c r="AC333" s="32"/>
      <x:c r="AD333" s="32"/>
      <x:c r="AE333" s="32"/>
      <x:c r="AF333" s="32"/>
      <x:c r="AG333" s="32"/>
      <x:c r="AH333" s="32"/>
      <x:c r="AI333" s="32"/>
      <x:c r="AJ333" s="32"/>
      <x:c r="AK333" s="32"/>
      <x:c r="AL333" s="32"/>
      <x:c r="AM333" s="32"/>
      <x:c r="AN333" s="32"/>
      <x:c r="AO333" s="32"/>
      <x:c r="AP333" s="32"/>
      <x:c r="AQ333" s="32"/>
      <x:c r="AR333" s="32"/>
      <x:c r="AS333" s="32"/>
      <x:c r="AT333" s="32"/>
      <x:c r="AU333" s="32"/>
      <x:c r="AV333" s="32"/>
      <x:c r="AW333" s="32"/>
      <x:c r="AX333" s="32"/>
      <x:c r="AZ333" s="32"/>
      <x:c r="BA333" s="32"/>
      <x:c r="BB333" s="32"/>
      <x:c r="BC333" s="32"/>
      <x:c r="BD333" s="32"/>
      <x:c r="BE333" s="32"/>
      <x:c r="BF333" s="32"/>
      <x:c r="BG333" s="32"/>
      <x:c r="BH333" s="32"/>
      <x:c r="BI333" s="32"/>
      <x:c r="BJ333" s="32"/>
      <x:c r="BK333" s="32"/>
      <x:c r="BL333" s="32"/>
      <x:c r="BM333" s="32"/>
    </x:row>
    <x:row r="334">
      <x:c r="A334" s="32"/>
      <x:c r="B334" s="32"/>
      <x:c r="C334" s="42"/>
      <x:c r="D334" s="32"/>
      <x:c r="E334" s="32"/>
      <x:c r="F334" s="32"/>
      <x:c r="G334" s="32"/>
      <x:c r="H334" s="32"/>
      <x:c r="I334" s="32"/>
      <x:c r="J334" s="32"/>
      <x:c r="K334" s="32"/>
      <x:c r="L334" s="32"/>
      <x:c r="M334" s="32"/>
      <x:c r="N334" s="32"/>
      <x:c r="O334" s="32"/>
      <x:c r="P334" s="32"/>
      <x:c r="Q334" s="32"/>
      <x:c r="R334" s="32"/>
      <x:c r="S334" s="32"/>
      <x:c r="T334" s="43" t="str">
        <x:f>IFERROR(S334/L334,"")</x:f>
      </x:c>
      <x:c r="U334" s="32"/>
      <x:c r="V334" s="32"/>
      <x:c r="W334" s="32"/>
      <x:c r="X334" s="32"/>
      <x:c r="Y334" s="32"/>
      <x:c r="Z334" s="32"/>
      <x:c r="AA334" s="32"/>
      <x:c r="AB334" s="32"/>
      <x:c r="AC334" s="32"/>
      <x:c r="AD334" s="32"/>
      <x:c r="AE334" s="32"/>
      <x:c r="AF334" s="32"/>
      <x:c r="AG334" s="32"/>
      <x:c r="AH334" s="32"/>
      <x:c r="AI334" s="32"/>
      <x:c r="AJ334" s="32"/>
      <x:c r="AK334" s="32"/>
      <x:c r="AL334" s="32"/>
      <x:c r="AM334" s="32"/>
      <x:c r="AN334" s="32"/>
      <x:c r="AO334" s="32"/>
      <x:c r="AP334" s="32"/>
      <x:c r="AQ334" s="32"/>
      <x:c r="AR334" s="32"/>
      <x:c r="AS334" s="32"/>
      <x:c r="AT334" s="32"/>
      <x:c r="AU334" s="32"/>
      <x:c r="AV334" s="32"/>
      <x:c r="AW334" s="32"/>
      <x:c r="AX334" s="32"/>
      <x:c r="AZ334" s="32"/>
      <x:c r="BA334" s="32"/>
      <x:c r="BB334" s="32"/>
      <x:c r="BC334" s="32"/>
      <x:c r="BD334" s="32"/>
      <x:c r="BE334" s="32"/>
      <x:c r="BF334" s="32"/>
      <x:c r="BG334" s="32"/>
      <x:c r="BH334" s="32"/>
      <x:c r="BI334" s="32"/>
      <x:c r="BJ334" s="32"/>
      <x:c r="BK334" s="32"/>
      <x:c r="BL334" s="32"/>
      <x:c r="BM334" s="32"/>
    </x:row>
    <x:row r="335">
      <x:c r="A335" s="32"/>
      <x:c r="B335" s="32"/>
      <x:c r="C335" s="42"/>
      <x:c r="D335" s="32"/>
      <x:c r="E335" s="32"/>
      <x:c r="F335" s="32"/>
      <x:c r="G335" s="32"/>
      <x:c r="H335" s="32"/>
      <x:c r="I335" s="32"/>
      <x:c r="J335" s="32"/>
      <x:c r="K335" s="32"/>
      <x:c r="L335" s="32"/>
      <x:c r="M335" s="32"/>
      <x:c r="N335" s="32"/>
      <x:c r="O335" s="32"/>
      <x:c r="P335" s="32"/>
      <x:c r="Q335" s="32"/>
      <x:c r="R335" s="32"/>
      <x:c r="S335" s="32"/>
      <x:c r="T335" s="43" t="str">
        <x:f>IFERROR(S335/L335,"")</x:f>
      </x:c>
      <x:c r="U335" s="32"/>
      <x:c r="V335" s="32"/>
      <x:c r="W335" s="32"/>
      <x:c r="X335" s="32"/>
      <x:c r="Y335" s="32"/>
      <x:c r="Z335" s="32"/>
      <x:c r="AA335" s="32"/>
      <x:c r="AB335" s="32"/>
      <x:c r="AC335" s="32"/>
      <x:c r="AD335" s="32"/>
      <x:c r="AE335" s="32"/>
      <x:c r="AF335" s="32"/>
      <x:c r="AG335" s="32"/>
      <x:c r="AH335" s="32"/>
      <x:c r="AI335" s="32"/>
      <x:c r="AJ335" s="32"/>
      <x:c r="AK335" s="32"/>
      <x:c r="AL335" s="32"/>
      <x:c r="AM335" s="32"/>
      <x:c r="AN335" s="32"/>
      <x:c r="AO335" s="32"/>
      <x:c r="AP335" s="32"/>
      <x:c r="AQ335" s="32"/>
      <x:c r="AR335" s="32"/>
      <x:c r="AS335" s="32"/>
      <x:c r="AT335" s="32"/>
      <x:c r="AU335" s="32"/>
      <x:c r="AV335" s="32"/>
      <x:c r="AW335" s="32"/>
      <x:c r="AX335" s="32"/>
      <x:c r="AZ335" s="32"/>
      <x:c r="BA335" s="32"/>
      <x:c r="BB335" s="32"/>
      <x:c r="BC335" s="32"/>
      <x:c r="BD335" s="32"/>
      <x:c r="BE335" s="32"/>
      <x:c r="BF335" s="32"/>
      <x:c r="BG335" s="32"/>
      <x:c r="BH335" s="32"/>
      <x:c r="BI335" s="32"/>
      <x:c r="BJ335" s="32"/>
      <x:c r="BK335" s="32"/>
      <x:c r="BL335" s="32"/>
      <x:c r="BM335" s="32"/>
    </x:row>
    <x:row r="336">
      <x:c r="A336" s="32"/>
      <x:c r="B336" s="32"/>
      <x:c r="C336" s="42"/>
      <x:c r="D336" s="32"/>
      <x:c r="E336" s="32"/>
      <x:c r="F336" s="32"/>
      <x:c r="G336" s="32"/>
      <x:c r="H336" s="32"/>
      <x:c r="I336" s="32"/>
      <x:c r="J336" s="32"/>
      <x:c r="K336" s="32"/>
      <x:c r="L336" s="32"/>
      <x:c r="M336" s="32"/>
      <x:c r="N336" s="32"/>
      <x:c r="O336" s="32"/>
      <x:c r="P336" s="32"/>
      <x:c r="Q336" s="32"/>
      <x:c r="R336" s="32"/>
      <x:c r="S336" s="32"/>
      <x:c r="T336" s="43" t="str">
        <x:f>IFERROR(S336/L336,"")</x:f>
      </x:c>
      <x:c r="U336" s="32"/>
      <x:c r="V336" s="32"/>
      <x:c r="W336" s="32"/>
      <x:c r="X336" s="32"/>
      <x:c r="Y336" s="32"/>
      <x:c r="Z336" s="32"/>
      <x:c r="AA336" s="32"/>
      <x:c r="AB336" s="32"/>
      <x:c r="AC336" s="32"/>
      <x:c r="AD336" s="32"/>
      <x:c r="AE336" s="32"/>
      <x:c r="AF336" s="32"/>
      <x:c r="AG336" s="32"/>
      <x:c r="AH336" s="32"/>
      <x:c r="AI336" s="32"/>
      <x:c r="AJ336" s="32"/>
      <x:c r="AK336" s="32"/>
      <x:c r="AL336" s="32"/>
      <x:c r="AM336" s="32"/>
      <x:c r="AN336" s="32"/>
      <x:c r="AO336" s="32"/>
      <x:c r="AP336" s="32"/>
      <x:c r="AQ336" s="32"/>
      <x:c r="AR336" s="32"/>
      <x:c r="AS336" s="32"/>
      <x:c r="AT336" s="32"/>
      <x:c r="AU336" s="32"/>
      <x:c r="AV336" s="32"/>
      <x:c r="AW336" s="32"/>
      <x:c r="AX336" s="32"/>
      <x:c r="AZ336" s="32"/>
      <x:c r="BA336" s="32"/>
      <x:c r="BB336" s="32"/>
      <x:c r="BC336" s="32"/>
      <x:c r="BD336" s="32"/>
      <x:c r="BE336" s="32"/>
      <x:c r="BF336" s="32"/>
      <x:c r="BG336" s="32"/>
      <x:c r="BH336" s="32"/>
      <x:c r="BI336" s="32"/>
      <x:c r="BJ336" s="32"/>
      <x:c r="BK336" s="32"/>
      <x:c r="BL336" s="32"/>
      <x:c r="BM336" s="32"/>
    </x:row>
    <x:row r="337">
      <x:c r="A337" s="32"/>
      <x:c r="B337" s="32"/>
      <x:c r="C337" s="42"/>
      <x:c r="D337" s="32"/>
      <x:c r="E337" s="32"/>
      <x:c r="F337" s="32"/>
      <x:c r="G337" s="32"/>
      <x:c r="H337" s="32"/>
      <x:c r="I337" s="32"/>
      <x:c r="J337" s="32"/>
      <x:c r="K337" s="32"/>
      <x:c r="L337" s="32"/>
      <x:c r="M337" s="32"/>
      <x:c r="N337" s="32"/>
      <x:c r="O337" s="32"/>
      <x:c r="P337" s="32"/>
      <x:c r="Q337" s="32"/>
      <x:c r="R337" s="32"/>
      <x:c r="S337" s="32"/>
      <x:c r="T337" s="43" t="str">
        <x:f>IFERROR(S337/L337,"")</x:f>
      </x:c>
      <x:c r="U337" s="32"/>
      <x:c r="V337" s="32"/>
      <x:c r="W337" s="32"/>
      <x:c r="X337" s="32"/>
      <x:c r="Y337" s="32"/>
      <x:c r="Z337" s="32"/>
      <x:c r="AA337" s="32"/>
      <x:c r="AB337" s="32"/>
      <x:c r="AC337" s="32"/>
      <x:c r="AD337" s="32"/>
      <x:c r="AE337" s="32"/>
      <x:c r="AF337" s="32"/>
      <x:c r="AG337" s="32"/>
      <x:c r="AH337" s="32"/>
      <x:c r="AI337" s="32"/>
      <x:c r="AJ337" s="32"/>
      <x:c r="AK337" s="32"/>
      <x:c r="AL337" s="32"/>
      <x:c r="AM337" s="32"/>
      <x:c r="AN337" s="32"/>
      <x:c r="AO337" s="32"/>
      <x:c r="AP337" s="32"/>
      <x:c r="AQ337" s="32"/>
      <x:c r="AR337" s="32"/>
      <x:c r="AS337" s="32"/>
      <x:c r="AT337" s="32"/>
      <x:c r="AU337" s="32"/>
      <x:c r="AV337" s="32"/>
      <x:c r="AW337" s="32"/>
      <x:c r="AX337" s="32"/>
      <x:c r="AZ337" s="32"/>
      <x:c r="BA337" s="32"/>
      <x:c r="BB337" s="32"/>
      <x:c r="BC337" s="32"/>
      <x:c r="BD337" s="32"/>
      <x:c r="BE337" s="32"/>
      <x:c r="BF337" s="32"/>
      <x:c r="BG337" s="32"/>
      <x:c r="BH337" s="32"/>
      <x:c r="BI337" s="32"/>
      <x:c r="BJ337" s="32"/>
      <x:c r="BK337" s="32"/>
      <x:c r="BL337" s="32"/>
      <x:c r="BM337" s="32"/>
    </x:row>
    <x:row r="338">
      <x:c r="A338" s="32"/>
      <x:c r="B338" s="32"/>
      <x:c r="C338" s="42"/>
      <x:c r="D338" s="32"/>
      <x:c r="E338" s="32"/>
      <x:c r="F338" s="32"/>
      <x:c r="G338" s="32"/>
      <x:c r="H338" s="32"/>
      <x:c r="I338" s="32"/>
      <x:c r="J338" s="32"/>
      <x:c r="K338" s="32"/>
      <x:c r="L338" s="32"/>
      <x:c r="M338" s="32"/>
      <x:c r="N338" s="32"/>
      <x:c r="O338" s="32"/>
      <x:c r="P338" s="32"/>
      <x:c r="Q338" s="32"/>
      <x:c r="R338" s="32"/>
      <x:c r="S338" s="32"/>
      <x:c r="T338" s="43" t="str">
        <x:f>IFERROR(S338/L338,"")</x:f>
      </x:c>
      <x:c r="U338" s="32"/>
      <x:c r="V338" s="32"/>
      <x:c r="W338" s="32"/>
      <x:c r="X338" s="32"/>
      <x:c r="Y338" s="32"/>
      <x:c r="Z338" s="32"/>
      <x:c r="AA338" s="32"/>
      <x:c r="AB338" s="32"/>
      <x:c r="AC338" s="32"/>
      <x:c r="AD338" s="32"/>
      <x:c r="AE338" s="32"/>
      <x:c r="AF338" s="32"/>
      <x:c r="AG338" s="32"/>
      <x:c r="AH338" s="32"/>
      <x:c r="AI338" s="32"/>
      <x:c r="AJ338" s="32"/>
      <x:c r="AK338" s="32"/>
      <x:c r="AL338" s="32"/>
      <x:c r="AM338" s="32"/>
      <x:c r="AN338" s="32"/>
      <x:c r="AO338" s="32"/>
      <x:c r="AP338" s="32"/>
      <x:c r="AQ338" s="32"/>
      <x:c r="AR338" s="32"/>
      <x:c r="AS338" s="32"/>
      <x:c r="AT338" s="32"/>
      <x:c r="AU338" s="32"/>
      <x:c r="AV338" s="32"/>
      <x:c r="AW338" s="32"/>
      <x:c r="AX338" s="32"/>
      <x:c r="AZ338" s="32"/>
      <x:c r="BA338" s="32"/>
      <x:c r="BB338" s="32"/>
      <x:c r="BC338" s="32"/>
      <x:c r="BD338" s="32"/>
      <x:c r="BE338" s="32"/>
      <x:c r="BF338" s="32"/>
      <x:c r="BG338" s="32"/>
      <x:c r="BH338" s="32"/>
      <x:c r="BI338" s="32"/>
      <x:c r="BJ338" s="32"/>
      <x:c r="BK338" s="32"/>
      <x:c r="BL338" s="32"/>
      <x:c r="BM338" s="32"/>
    </x:row>
    <x:row r="339">
      <x:c r="A339" s="32"/>
      <x:c r="B339" s="32"/>
      <x:c r="C339" s="42"/>
      <x:c r="D339" s="32"/>
      <x:c r="E339" s="32"/>
      <x:c r="F339" s="32"/>
      <x:c r="G339" s="32"/>
      <x:c r="H339" s="32"/>
      <x:c r="I339" s="32"/>
      <x:c r="J339" s="32"/>
      <x:c r="K339" s="32"/>
      <x:c r="L339" s="32"/>
      <x:c r="M339" s="32"/>
      <x:c r="N339" s="32"/>
      <x:c r="O339" s="32"/>
      <x:c r="P339" s="32"/>
      <x:c r="Q339" s="32"/>
      <x:c r="R339" s="32"/>
      <x:c r="S339" s="32"/>
      <x:c r="T339" s="43" t="str">
        <x:f>IFERROR(S339/L339,"")</x:f>
      </x:c>
      <x:c r="U339" s="32"/>
      <x:c r="V339" s="32"/>
      <x:c r="W339" s="32"/>
      <x:c r="X339" s="32"/>
      <x:c r="Y339" s="32"/>
      <x:c r="Z339" s="32"/>
      <x:c r="AA339" s="32"/>
      <x:c r="AB339" s="32"/>
      <x:c r="AC339" s="32"/>
      <x:c r="AD339" s="32"/>
      <x:c r="AE339" s="32"/>
      <x:c r="AF339" s="32"/>
      <x:c r="AG339" s="32"/>
      <x:c r="AH339" s="32"/>
      <x:c r="AI339" s="32"/>
      <x:c r="AJ339" s="32"/>
      <x:c r="AK339" s="32"/>
      <x:c r="AL339" s="32"/>
      <x:c r="AM339" s="32"/>
      <x:c r="AN339" s="32"/>
      <x:c r="AO339" s="32"/>
      <x:c r="AP339" s="32"/>
      <x:c r="AQ339" s="32"/>
      <x:c r="AR339" s="32"/>
      <x:c r="AS339" s="32"/>
      <x:c r="AT339" s="32"/>
      <x:c r="AU339" s="32"/>
      <x:c r="AV339" s="32"/>
      <x:c r="AW339" s="32"/>
      <x:c r="AX339" s="32"/>
      <x:c r="AZ339" s="32"/>
      <x:c r="BA339" s="32"/>
      <x:c r="BB339" s="32"/>
      <x:c r="BC339" s="32"/>
      <x:c r="BD339" s="32"/>
      <x:c r="BE339" s="32"/>
      <x:c r="BF339" s="32"/>
      <x:c r="BG339" s="32"/>
      <x:c r="BH339" s="32"/>
      <x:c r="BI339" s="32"/>
      <x:c r="BJ339" s="32"/>
      <x:c r="BK339" s="32"/>
      <x:c r="BL339" s="32"/>
      <x:c r="BM339" s="32"/>
    </x:row>
    <x:row r="340">
      <x:c r="A340" s="32"/>
      <x:c r="B340" s="32"/>
      <x:c r="C340" s="42"/>
      <x:c r="D340" s="32"/>
      <x:c r="E340" s="32"/>
      <x:c r="F340" s="32"/>
      <x:c r="G340" s="32"/>
      <x:c r="H340" s="32"/>
      <x:c r="I340" s="32"/>
      <x:c r="J340" s="32"/>
      <x:c r="K340" s="32"/>
      <x:c r="L340" s="32"/>
      <x:c r="M340" s="32"/>
      <x:c r="N340" s="32"/>
      <x:c r="O340" s="32"/>
      <x:c r="P340" s="32"/>
      <x:c r="Q340" s="32"/>
      <x:c r="R340" s="32"/>
      <x:c r="S340" s="32"/>
      <x:c r="T340" s="43" t="str">
        <x:f>IFERROR(S340/L340,"")</x:f>
      </x:c>
      <x:c r="U340" s="32"/>
      <x:c r="V340" s="32"/>
      <x:c r="W340" s="32"/>
      <x:c r="X340" s="32"/>
      <x:c r="Y340" s="32"/>
      <x:c r="Z340" s="32"/>
      <x:c r="AA340" s="32"/>
      <x:c r="AB340" s="32"/>
      <x:c r="AC340" s="32"/>
      <x:c r="AD340" s="32"/>
      <x:c r="AE340" s="32"/>
      <x:c r="AF340" s="32"/>
      <x:c r="AG340" s="32"/>
      <x:c r="AH340" s="32"/>
      <x:c r="AI340" s="32"/>
      <x:c r="AJ340" s="32"/>
      <x:c r="AK340" s="32"/>
      <x:c r="AL340" s="32"/>
      <x:c r="AM340" s="32"/>
      <x:c r="AN340" s="32"/>
      <x:c r="AO340" s="32"/>
      <x:c r="AP340" s="32"/>
      <x:c r="AQ340" s="32"/>
      <x:c r="AR340" s="32"/>
      <x:c r="AS340" s="32"/>
      <x:c r="AT340" s="32"/>
      <x:c r="AU340" s="32"/>
      <x:c r="AV340" s="32"/>
      <x:c r="AW340" s="32"/>
      <x:c r="AX340" s="32"/>
      <x:c r="AZ340" s="32"/>
      <x:c r="BA340" s="32"/>
      <x:c r="BB340" s="32"/>
      <x:c r="BC340" s="32"/>
      <x:c r="BD340" s="32"/>
      <x:c r="BE340" s="32"/>
      <x:c r="BF340" s="32"/>
      <x:c r="BG340" s="32"/>
      <x:c r="BH340" s="32"/>
      <x:c r="BI340" s="32"/>
      <x:c r="BJ340" s="32"/>
      <x:c r="BK340" s="32"/>
      <x:c r="BL340" s="32"/>
      <x:c r="BM340" s="32"/>
    </x:row>
    <x:row r="341">
      <x:c r="A341" s="32"/>
      <x:c r="B341" s="32"/>
      <x:c r="C341" s="42"/>
      <x:c r="D341" s="32"/>
      <x:c r="E341" s="32"/>
      <x:c r="F341" s="32"/>
      <x:c r="G341" s="32"/>
      <x:c r="H341" s="32"/>
      <x:c r="I341" s="32"/>
      <x:c r="J341" s="32"/>
      <x:c r="K341" s="32"/>
      <x:c r="L341" s="32"/>
      <x:c r="M341" s="32"/>
      <x:c r="N341" s="32"/>
      <x:c r="O341" s="32"/>
      <x:c r="P341" s="32"/>
      <x:c r="Q341" s="32"/>
      <x:c r="R341" s="32"/>
      <x:c r="S341" s="32"/>
      <x:c r="T341" s="43" t="str">
        <x:f>IFERROR(S341/L341,"")</x:f>
      </x:c>
      <x:c r="U341" s="32"/>
      <x:c r="V341" s="32"/>
      <x:c r="W341" s="32"/>
      <x:c r="X341" s="32"/>
      <x:c r="Y341" s="32"/>
      <x:c r="Z341" s="32"/>
      <x:c r="AA341" s="32"/>
      <x:c r="AB341" s="32"/>
      <x:c r="AC341" s="32"/>
      <x:c r="AD341" s="32"/>
      <x:c r="AE341" s="32"/>
      <x:c r="AF341" s="32"/>
      <x:c r="AG341" s="32"/>
      <x:c r="AH341" s="32"/>
      <x:c r="AI341" s="32"/>
      <x:c r="AJ341" s="32"/>
      <x:c r="AK341" s="32"/>
      <x:c r="AL341" s="32"/>
      <x:c r="AM341" s="32"/>
      <x:c r="AN341" s="32"/>
      <x:c r="AO341" s="32"/>
      <x:c r="AP341" s="32"/>
      <x:c r="AQ341" s="32"/>
      <x:c r="AR341" s="32"/>
      <x:c r="AS341" s="32"/>
      <x:c r="AT341" s="32"/>
      <x:c r="AU341" s="32"/>
      <x:c r="AV341" s="32"/>
      <x:c r="AW341" s="32"/>
      <x:c r="AX341" s="32"/>
      <x:c r="AZ341" s="32"/>
      <x:c r="BA341" s="32"/>
      <x:c r="BB341" s="32"/>
      <x:c r="BC341" s="32"/>
      <x:c r="BD341" s="32"/>
      <x:c r="BE341" s="32"/>
      <x:c r="BF341" s="32"/>
      <x:c r="BG341" s="32"/>
      <x:c r="BH341" s="32"/>
      <x:c r="BI341" s="32"/>
      <x:c r="BJ341" s="32"/>
      <x:c r="BK341" s="32"/>
      <x:c r="BL341" s="32"/>
      <x:c r="BM341" s="32"/>
    </x:row>
    <x:row r="342">
      <x:c r="A342" s="32"/>
      <x:c r="B342" s="32"/>
      <x:c r="C342" s="42"/>
      <x:c r="D342" s="32"/>
      <x:c r="E342" s="32"/>
      <x:c r="F342" s="32"/>
      <x:c r="G342" s="32"/>
      <x:c r="H342" s="32"/>
      <x:c r="I342" s="32"/>
      <x:c r="J342" s="32"/>
      <x:c r="K342" s="32"/>
      <x:c r="L342" s="32"/>
      <x:c r="M342" s="32"/>
      <x:c r="N342" s="32"/>
      <x:c r="O342" s="32"/>
      <x:c r="P342" s="32"/>
      <x:c r="Q342" s="32"/>
      <x:c r="R342" s="32"/>
      <x:c r="S342" s="32"/>
      <x:c r="T342" s="43" t="str">
        <x:f>IFERROR(S342/L342,"")</x:f>
      </x:c>
      <x:c r="U342" s="32"/>
      <x:c r="V342" s="32"/>
      <x:c r="W342" s="32"/>
      <x:c r="X342" s="32"/>
      <x:c r="Y342" s="32"/>
      <x:c r="Z342" s="32"/>
      <x:c r="AA342" s="32"/>
      <x:c r="AB342" s="32"/>
      <x:c r="AC342" s="32"/>
      <x:c r="AD342" s="32"/>
      <x:c r="AE342" s="32"/>
      <x:c r="AF342" s="32"/>
      <x:c r="AG342" s="32"/>
      <x:c r="AH342" s="32"/>
      <x:c r="AI342" s="32"/>
      <x:c r="AJ342" s="32"/>
      <x:c r="AK342" s="32"/>
      <x:c r="AL342" s="32"/>
      <x:c r="AM342" s="32"/>
      <x:c r="AN342" s="32"/>
      <x:c r="AO342" s="32"/>
      <x:c r="AP342" s="32"/>
      <x:c r="AQ342" s="32"/>
      <x:c r="AR342" s="32"/>
      <x:c r="AS342" s="32"/>
      <x:c r="AT342" s="32"/>
      <x:c r="AU342" s="32"/>
      <x:c r="AV342" s="32"/>
      <x:c r="AW342" s="32"/>
      <x:c r="AX342" s="32"/>
      <x:c r="AZ342" s="32"/>
      <x:c r="BA342" s="32"/>
      <x:c r="BB342" s="32"/>
      <x:c r="BC342" s="32"/>
      <x:c r="BD342" s="32"/>
      <x:c r="BE342" s="32"/>
      <x:c r="BF342" s="32"/>
      <x:c r="BG342" s="32"/>
      <x:c r="BH342" s="32"/>
      <x:c r="BI342" s="32"/>
      <x:c r="BJ342" s="32"/>
      <x:c r="BK342" s="32"/>
      <x:c r="BL342" s="32"/>
      <x:c r="BM342" s="32"/>
    </x:row>
    <x:row r="343">
      <x:c r="A343" s="32"/>
      <x:c r="B343" s="32"/>
      <x:c r="C343" s="42"/>
      <x:c r="D343" s="32"/>
      <x:c r="E343" s="32"/>
      <x:c r="F343" s="32"/>
      <x:c r="G343" s="32"/>
      <x:c r="H343" s="32"/>
      <x:c r="I343" s="32"/>
      <x:c r="J343" s="32"/>
      <x:c r="K343" s="32"/>
      <x:c r="L343" s="32"/>
      <x:c r="M343" s="32"/>
      <x:c r="N343" s="32"/>
      <x:c r="O343" s="32"/>
      <x:c r="P343" s="32"/>
      <x:c r="Q343" s="32"/>
      <x:c r="R343" s="32"/>
      <x:c r="S343" s="32"/>
      <x:c r="T343" s="43" t="str">
        <x:f>IFERROR(S343/L343,"")</x:f>
      </x:c>
      <x:c r="U343" s="32"/>
      <x:c r="V343" s="32"/>
      <x:c r="W343" s="32"/>
      <x:c r="X343" s="32"/>
      <x:c r="Y343" s="32"/>
      <x:c r="Z343" s="32"/>
      <x:c r="AA343" s="32"/>
      <x:c r="AB343" s="32"/>
      <x:c r="AC343" s="32"/>
      <x:c r="AD343" s="32"/>
      <x:c r="AE343" s="32"/>
      <x:c r="AF343" s="32"/>
      <x:c r="AG343" s="32"/>
      <x:c r="AH343" s="32"/>
      <x:c r="AI343" s="32"/>
      <x:c r="AJ343" s="32"/>
      <x:c r="AK343" s="32"/>
      <x:c r="AL343" s="32"/>
      <x:c r="AM343" s="32"/>
      <x:c r="AN343" s="32"/>
      <x:c r="AO343" s="32"/>
      <x:c r="AP343" s="32"/>
      <x:c r="AQ343" s="32"/>
      <x:c r="AR343" s="32"/>
      <x:c r="AS343" s="32"/>
      <x:c r="AT343" s="32"/>
      <x:c r="AU343" s="32"/>
      <x:c r="AV343" s="32"/>
      <x:c r="AW343" s="32"/>
      <x:c r="AX343" s="32"/>
      <x:c r="AZ343" s="32"/>
      <x:c r="BA343" s="32"/>
      <x:c r="BB343" s="32"/>
      <x:c r="BC343" s="32"/>
      <x:c r="BD343" s="32"/>
      <x:c r="BE343" s="32"/>
      <x:c r="BF343" s="32"/>
      <x:c r="BG343" s="32"/>
      <x:c r="BH343" s="32"/>
      <x:c r="BI343" s="32"/>
      <x:c r="BJ343" s="32"/>
      <x:c r="BK343" s="32"/>
      <x:c r="BL343" s="32"/>
      <x:c r="BM343" s="32"/>
    </x:row>
    <x:row r="344">
      <x:c r="A344" s="32"/>
      <x:c r="B344" s="32"/>
      <x:c r="C344" s="42"/>
      <x:c r="D344" s="32"/>
      <x:c r="E344" s="32"/>
      <x:c r="F344" s="32"/>
      <x:c r="G344" s="32"/>
      <x:c r="H344" s="32"/>
      <x:c r="I344" s="32"/>
      <x:c r="J344" s="32"/>
      <x:c r="K344" s="32"/>
      <x:c r="L344" s="32"/>
      <x:c r="M344" s="32"/>
      <x:c r="N344" s="32"/>
      <x:c r="O344" s="32"/>
      <x:c r="P344" s="32"/>
      <x:c r="Q344" s="32"/>
      <x:c r="R344" s="32"/>
      <x:c r="S344" s="32"/>
      <x:c r="T344" s="43" t="str">
        <x:f>IFERROR(S344/L344,"")</x:f>
      </x:c>
      <x:c r="U344" s="32"/>
      <x:c r="V344" s="32"/>
      <x:c r="W344" s="32"/>
      <x:c r="X344" s="32"/>
      <x:c r="Y344" s="32"/>
      <x:c r="Z344" s="32"/>
      <x:c r="AA344" s="32"/>
      <x:c r="AB344" s="32"/>
      <x:c r="AC344" s="32"/>
      <x:c r="AD344" s="32"/>
      <x:c r="AE344" s="32"/>
      <x:c r="AF344" s="32"/>
      <x:c r="AG344" s="32"/>
      <x:c r="AH344" s="32"/>
      <x:c r="AI344" s="32"/>
      <x:c r="AJ344" s="32"/>
      <x:c r="AK344" s="32"/>
      <x:c r="AL344" s="32"/>
      <x:c r="AM344" s="32"/>
      <x:c r="AN344" s="32"/>
      <x:c r="AO344" s="32"/>
      <x:c r="AP344" s="32"/>
      <x:c r="AQ344" s="32"/>
      <x:c r="AR344" s="32"/>
      <x:c r="AS344" s="32"/>
      <x:c r="AT344" s="32"/>
      <x:c r="AU344" s="32"/>
      <x:c r="AV344" s="32"/>
      <x:c r="AW344" s="32"/>
      <x:c r="AX344" s="32"/>
      <x:c r="AZ344" s="32"/>
      <x:c r="BA344" s="32"/>
      <x:c r="BB344" s="32"/>
      <x:c r="BC344" s="32"/>
      <x:c r="BD344" s="32"/>
      <x:c r="BE344" s="32"/>
      <x:c r="BF344" s="32"/>
      <x:c r="BG344" s="32"/>
      <x:c r="BH344" s="32"/>
      <x:c r="BI344" s="32"/>
      <x:c r="BJ344" s="32"/>
      <x:c r="BK344" s="32"/>
      <x:c r="BL344" s="32"/>
      <x:c r="BM344" s="32"/>
    </x:row>
    <x:row r="345">
      <x:c r="A345" s="32"/>
      <x:c r="B345" s="32"/>
      <x:c r="C345" s="42"/>
      <x:c r="D345" s="32"/>
      <x:c r="E345" s="32"/>
      <x:c r="F345" s="32"/>
      <x:c r="G345" s="32"/>
      <x:c r="H345" s="32"/>
      <x:c r="I345" s="32"/>
      <x:c r="J345" s="32"/>
      <x:c r="K345" s="32"/>
      <x:c r="L345" s="32"/>
      <x:c r="M345" s="32"/>
      <x:c r="N345" s="32"/>
      <x:c r="O345" s="32"/>
      <x:c r="P345" s="32"/>
      <x:c r="Q345" s="32"/>
      <x:c r="R345" s="32"/>
      <x:c r="S345" s="32"/>
      <x:c r="T345" s="43" t="str">
        <x:f>IFERROR(S345/L345,"")</x:f>
      </x:c>
      <x:c r="U345" s="32"/>
      <x:c r="V345" s="32"/>
      <x:c r="W345" s="32"/>
      <x:c r="X345" s="32"/>
      <x:c r="Y345" s="32"/>
      <x:c r="Z345" s="32"/>
      <x:c r="AA345" s="32"/>
      <x:c r="AB345" s="32"/>
      <x:c r="AC345" s="32"/>
      <x:c r="AD345" s="32"/>
      <x:c r="AE345" s="32"/>
      <x:c r="AF345" s="32"/>
      <x:c r="AG345" s="32"/>
      <x:c r="AH345" s="32"/>
      <x:c r="AI345" s="32"/>
      <x:c r="AJ345" s="32"/>
      <x:c r="AK345" s="32"/>
      <x:c r="AL345" s="32"/>
      <x:c r="AM345" s="32"/>
      <x:c r="AN345" s="32"/>
      <x:c r="AO345" s="32"/>
      <x:c r="AP345" s="32"/>
      <x:c r="AQ345" s="32"/>
      <x:c r="AR345" s="32"/>
      <x:c r="AS345" s="32"/>
      <x:c r="AT345" s="32"/>
      <x:c r="AU345" s="32"/>
      <x:c r="AV345" s="32"/>
      <x:c r="AW345" s="32"/>
      <x:c r="AX345" s="32"/>
      <x:c r="AZ345" s="32"/>
      <x:c r="BA345" s="32"/>
      <x:c r="BB345" s="32"/>
      <x:c r="BC345" s="32"/>
      <x:c r="BD345" s="32"/>
      <x:c r="BE345" s="32"/>
      <x:c r="BF345" s="32"/>
      <x:c r="BG345" s="32"/>
      <x:c r="BH345" s="32"/>
      <x:c r="BI345" s="32"/>
      <x:c r="BJ345" s="32"/>
      <x:c r="BK345" s="32"/>
      <x:c r="BL345" s="32"/>
      <x:c r="BM345" s="32"/>
    </x:row>
    <x:row r="346">
      <x:c r="A346" s="32"/>
      <x:c r="B346" s="32"/>
      <x:c r="C346" s="42"/>
      <x:c r="D346" s="32"/>
      <x:c r="E346" s="32"/>
      <x:c r="F346" s="32"/>
      <x:c r="G346" s="32"/>
      <x:c r="H346" s="32"/>
      <x:c r="I346" s="32"/>
      <x:c r="J346" s="32"/>
      <x:c r="K346" s="32"/>
      <x:c r="L346" s="32"/>
      <x:c r="M346" s="32"/>
      <x:c r="N346" s="32"/>
      <x:c r="O346" s="32"/>
      <x:c r="P346" s="32"/>
      <x:c r="Q346" s="32"/>
      <x:c r="R346" s="32"/>
      <x:c r="S346" s="32"/>
      <x:c r="T346" s="43" t="str">
        <x:f>IFERROR(S346/L346,"")</x:f>
      </x:c>
      <x:c r="U346" s="32"/>
      <x:c r="V346" s="32"/>
      <x:c r="W346" s="32"/>
      <x:c r="X346" s="32"/>
      <x:c r="Y346" s="32"/>
      <x:c r="Z346" s="32"/>
      <x:c r="AA346" s="32"/>
      <x:c r="AB346" s="32"/>
      <x:c r="AC346" s="32"/>
      <x:c r="AD346" s="32"/>
      <x:c r="AE346" s="32"/>
      <x:c r="AF346" s="32"/>
      <x:c r="AG346" s="32"/>
      <x:c r="AH346" s="32"/>
      <x:c r="AI346" s="32"/>
      <x:c r="AJ346" s="32"/>
      <x:c r="AK346" s="32"/>
      <x:c r="AL346" s="32"/>
      <x:c r="AM346" s="32"/>
      <x:c r="AN346" s="32"/>
      <x:c r="AO346" s="32"/>
      <x:c r="AP346" s="32"/>
      <x:c r="AQ346" s="32"/>
      <x:c r="AR346" s="32"/>
      <x:c r="AS346" s="32"/>
      <x:c r="AT346" s="32"/>
      <x:c r="AU346" s="32"/>
      <x:c r="AV346" s="32"/>
      <x:c r="AW346" s="32"/>
      <x:c r="AX346" s="32"/>
      <x:c r="AZ346" s="32"/>
      <x:c r="BA346" s="32"/>
      <x:c r="BB346" s="32"/>
      <x:c r="BC346" s="32"/>
      <x:c r="BD346" s="32"/>
      <x:c r="BE346" s="32"/>
      <x:c r="BF346" s="32"/>
      <x:c r="BG346" s="32"/>
      <x:c r="BH346" s="32"/>
      <x:c r="BI346" s="32"/>
      <x:c r="BJ346" s="32"/>
      <x:c r="BK346" s="32"/>
      <x:c r="BL346" s="32"/>
      <x:c r="BM346" s="32"/>
    </x:row>
    <x:row r="347">
      <x:c r="A347" s="32"/>
      <x:c r="B347" s="32"/>
      <x:c r="C347" s="42"/>
      <x:c r="D347" s="32"/>
      <x:c r="E347" s="32"/>
      <x:c r="F347" s="32"/>
      <x:c r="G347" s="32"/>
      <x:c r="H347" s="32"/>
      <x:c r="I347" s="32"/>
      <x:c r="J347" s="32"/>
      <x:c r="K347" s="32"/>
      <x:c r="L347" s="32"/>
      <x:c r="M347" s="32"/>
      <x:c r="N347" s="32"/>
      <x:c r="O347" s="32"/>
      <x:c r="P347" s="32"/>
      <x:c r="Q347" s="32"/>
      <x:c r="R347" s="32"/>
      <x:c r="S347" s="32"/>
      <x:c r="T347" s="43" t="str">
        <x:f>IFERROR(S347/L347,"")</x:f>
      </x:c>
      <x:c r="U347" s="32"/>
      <x:c r="V347" s="32"/>
      <x:c r="W347" s="32"/>
      <x:c r="X347" s="32"/>
      <x:c r="Y347" s="32"/>
      <x:c r="Z347" s="32"/>
      <x:c r="AA347" s="32"/>
      <x:c r="AB347" s="32"/>
      <x:c r="AC347" s="32"/>
      <x:c r="AD347" s="32"/>
      <x:c r="AE347" s="32"/>
      <x:c r="AF347" s="32"/>
      <x:c r="AG347" s="32"/>
      <x:c r="AH347" s="32"/>
      <x:c r="AI347" s="32"/>
      <x:c r="AJ347" s="32"/>
      <x:c r="AK347" s="32"/>
      <x:c r="AL347" s="32"/>
      <x:c r="AM347" s="32"/>
      <x:c r="AN347" s="32"/>
      <x:c r="AO347" s="32"/>
      <x:c r="AP347" s="32"/>
      <x:c r="AQ347" s="32"/>
      <x:c r="AR347" s="32"/>
      <x:c r="AS347" s="32"/>
      <x:c r="AT347" s="32"/>
      <x:c r="AU347" s="32"/>
      <x:c r="AV347" s="32"/>
      <x:c r="AW347" s="32"/>
      <x:c r="AX347" s="32"/>
      <x:c r="AZ347" s="32"/>
      <x:c r="BA347" s="32"/>
      <x:c r="BB347" s="32"/>
      <x:c r="BC347" s="32"/>
      <x:c r="BD347" s="32"/>
      <x:c r="BE347" s="32"/>
      <x:c r="BF347" s="32"/>
      <x:c r="BG347" s="32"/>
      <x:c r="BH347" s="32"/>
      <x:c r="BI347" s="32"/>
      <x:c r="BJ347" s="32"/>
      <x:c r="BK347" s="32"/>
      <x:c r="BL347" s="32"/>
      <x:c r="BM347" s="32"/>
    </x:row>
    <x:row r="348">
      <x:c r="A348" s="32"/>
      <x:c r="B348" s="32"/>
      <x:c r="C348" s="42"/>
      <x:c r="D348" s="32"/>
      <x:c r="E348" s="32"/>
      <x:c r="F348" s="32"/>
      <x:c r="G348" s="32"/>
      <x:c r="H348" s="32"/>
      <x:c r="I348" s="32"/>
      <x:c r="J348" s="32"/>
      <x:c r="K348" s="32"/>
      <x:c r="L348" s="32"/>
      <x:c r="M348" s="32"/>
      <x:c r="N348" s="32"/>
      <x:c r="O348" s="32"/>
      <x:c r="P348" s="32"/>
      <x:c r="Q348" s="32"/>
      <x:c r="R348" s="32"/>
      <x:c r="S348" s="32"/>
      <x:c r="T348" s="43" t="str">
        <x:f>IFERROR(S348/L348,"")</x:f>
      </x:c>
      <x:c r="U348" s="32"/>
      <x:c r="V348" s="32"/>
      <x:c r="W348" s="32"/>
      <x:c r="X348" s="32"/>
      <x:c r="Y348" s="32"/>
      <x:c r="Z348" s="32"/>
      <x:c r="AA348" s="32"/>
      <x:c r="AB348" s="32"/>
      <x:c r="AC348" s="32"/>
      <x:c r="AD348" s="32"/>
      <x:c r="AE348" s="32"/>
      <x:c r="AF348" s="32"/>
      <x:c r="AG348" s="32"/>
      <x:c r="AH348" s="32"/>
      <x:c r="AI348" s="32"/>
      <x:c r="AJ348" s="32"/>
      <x:c r="AK348" s="32"/>
      <x:c r="AL348" s="32"/>
      <x:c r="AM348" s="32"/>
      <x:c r="AN348" s="32"/>
      <x:c r="AO348" s="32"/>
      <x:c r="AP348" s="32"/>
      <x:c r="AQ348" s="32"/>
      <x:c r="AR348" s="32"/>
      <x:c r="AS348" s="32"/>
      <x:c r="AT348" s="32"/>
      <x:c r="AU348" s="32"/>
      <x:c r="AV348" s="32"/>
      <x:c r="AW348" s="32"/>
      <x:c r="AX348" s="32"/>
      <x:c r="AZ348" s="32"/>
      <x:c r="BA348" s="32"/>
      <x:c r="BB348" s="32"/>
      <x:c r="BC348" s="32"/>
      <x:c r="BD348" s="32"/>
      <x:c r="BE348" s="32"/>
      <x:c r="BF348" s="32"/>
      <x:c r="BG348" s="32"/>
      <x:c r="BH348" s="32"/>
      <x:c r="BI348" s="32"/>
      <x:c r="BJ348" s="32"/>
      <x:c r="BK348" s="32"/>
      <x:c r="BL348" s="32"/>
      <x:c r="BM348" s="32"/>
    </x:row>
    <x:row r="349">
      <x:c r="A349" s="32"/>
      <x:c r="B349" s="32"/>
      <x:c r="C349" s="42"/>
      <x:c r="D349" s="32"/>
      <x:c r="E349" s="32"/>
      <x:c r="F349" s="32"/>
      <x:c r="G349" s="32"/>
      <x:c r="H349" s="32"/>
      <x:c r="I349" s="32"/>
      <x:c r="J349" s="32"/>
      <x:c r="K349" s="32"/>
      <x:c r="L349" s="32"/>
      <x:c r="M349" s="32"/>
      <x:c r="N349" s="32"/>
      <x:c r="O349" s="32"/>
      <x:c r="P349" s="32"/>
      <x:c r="Q349" s="32"/>
      <x:c r="R349" s="32"/>
      <x:c r="S349" s="32"/>
      <x:c r="T349" s="43" t="str">
        <x:f>IFERROR(S349/L349,"")</x:f>
      </x:c>
      <x:c r="U349" s="32"/>
      <x:c r="V349" s="32"/>
      <x:c r="W349" s="32"/>
      <x:c r="X349" s="32"/>
      <x:c r="Y349" s="32"/>
      <x:c r="Z349" s="32"/>
      <x:c r="AA349" s="32"/>
      <x:c r="AB349" s="32"/>
      <x:c r="AC349" s="32"/>
      <x:c r="AD349" s="32"/>
      <x:c r="AE349" s="32"/>
      <x:c r="AF349" s="32"/>
      <x:c r="AG349" s="32"/>
      <x:c r="AH349" s="32"/>
      <x:c r="AI349" s="32"/>
      <x:c r="AJ349" s="32"/>
      <x:c r="AK349" s="32"/>
      <x:c r="AL349" s="32"/>
      <x:c r="AM349" s="32"/>
      <x:c r="AN349" s="32"/>
      <x:c r="AO349" s="32"/>
      <x:c r="AP349" s="32"/>
      <x:c r="AQ349" s="32"/>
      <x:c r="AR349" s="32"/>
      <x:c r="AS349" s="32"/>
      <x:c r="AT349" s="32"/>
      <x:c r="AU349" s="32"/>
      <x:c r="AV349" s="32"/>
      <x:c r="AW349" s="32"/>
      <x:c r="AX349" s="32"/>
      <x:c r="AZ349" s="32"/>
      <x:c r="BA349" s="32"/>
      <x:c r="BB349" s="32"/>
      <x:c r="BC349" s="32"/>
      <x:c r="BD349" s="32"/>
      <x:c r="BE349" s="32"/>
      <x:c r="BF349" s="32"/>
      <x:c r="BG349" s="32"/>
      <x:c r="BH349" s="32"/>
      <x:c r="BI349" s="32"/>
      <x:c r="BJ349" s="32"/>
      <x:c r="BK349" s="32"/>
      <x:c r="BL349" s="32"/>
      <x:c r="BM349" s="32"/>
    </x:row>
    <x:row r="350">
      <x:c r="A350" s="32"/>
      <x:c r="B350" s="32"/>
      <x:c r="C350" s="42"/>
      <x:c r="D350" s="32"/>
      <x:c r="E350" s="32"/>
      <x:c r="F350" s="32"/>
      <x:c r="G350" s="32"/>
      <x:c r="H350" s="32"/>
      <x:c r="I350" s="32"/>
      <x:c r="J350" s="32"/>
      <x:c r="K350" s="32"/>
      <x:c r="L350" s="32"/>
      <x:c r="M350" s="32"/>
      <x:c r="N350" s="32"/>
      <x:c r="O350" s="32"/>
      <x:c r="P350" s="32"/>
      <x:c r="Q350" s="32"/>
      <x:c r="R350" s="32"/>
      <x:c r="S350" s="32"/>
      <x:c r="T350" s="43" t="str">
        <x:f>IFERROR(S350/L350,"")</x:f>
      </x:c>
      <x:c r="U350" s="32"/>
      <x:c r="V350" s="32"/>
      <x:c r="W350" s="32"/>
      <x:c r="X350" s="32"/>
      <x:c r="Y350" s="32"/>
      <x:c r="Z350" s="32"/>
      <x:c r="AA350" s="32"/>
      <x:c r="AB350" s="32"/>
      <x:c r="AC350" s="32"/>
      <x:c r="AD350" s="32"/>
      <x:c r="AE350" s="32"/>
      <x:c r="AF350" s="32"/>
      <x:c r="AG350" s="32"/>
      <x:c r="AH350" s="32"/>
      <x:c r="AI350" s="32"/>
      <x:c r="AJ350" s="32"/>
      <x:c r="AK350" s="32"/>
      <x:c r="AL350" s="32"/>
      <x:c r="AM350" s="32"/>
      <x:c r="AN350" s="32"/>
      <x:c r="AO350" s="32"/>
      <x:c r="AP350" s="32"/>
      <x:c r="AQ350" s="32"/>
      <x:c r="AR350" s="32"/>
      <x:c r="AS350" s="32"/>
      <x:c r="AT350" s="32"/>
      <x:c r="AU350" s="32"/>
      <x:c r="AV350" s="32"/>
      <x:c r="AW350" s="32"/>
      <x:c r="AX350" s="32"/>
      <x:c r="AZ350" s="32"/>
      <x:c r="BA350" s="32"/>
      <x:c r="BB350" s="32"/>
      <x:c r="BC350" s="32"/>
      <x:c r="BD350" s="32"/>
      <x:c r="BE350" s="32"/>
      <x:c r="BF350" s="32"/>
      <x:c r="BG350" s="32"/>
      <x:c r="BH350" s="32"/>
      <x:c r="BI350" s="32"/>
      <x:c r="BJ350" s="32"/>
      <x:c r="BK350" s="32"/>
      <x:c r="BL350" s="32"/>
      <x:c r="BM350" s="32"/>
    </x:row>
    <x:row r="351">
      <x:c r="A351" s="32"/>
      <x:c r="B351" s="32"/>
      <x:c r="C351" s="42"/>
      <x:c r="D351" s="32"/>
      <x:c r="E351" s="32"/>
      <x:c r="F351" s="32"/>
      <x:c r="G351" s="32"/>
      <x:c r="H351" s="32"/>
      <x:c r="I351" s="32"/>
      <x:c r="J351" s="32"/>
      <x:c r="K351" s="32"/>
      <x:c r="L351" s="32"/>
      <x:c r="M351" s="32"/>
      <x:c r="N351" s="32"/>
      <x:c r="O351" s="32"/>
      <x:c r="P351" s="32"/>
      <x:c r="Q351" s="32"/>
      <x:c r="R351" s="32"/>
      <x:c r="S351" s="32"/>
      <x:c r="T351" s="43" t="str">
        <x:f>IFERROR(S351/L351,"")</x:f>
      </x:c>
      <x:c r="U351" s="32"/>
      <x:c r="V351" s="32"/>
      <x:c r="W351" s="32"/>
      <x:c r="X351" s="32"/>
      <x:c r="Y351" s="32"/>
      <x:c r="Z351" s="32"/>
      <x:c r="AA351" s="32"/>
      <x:c r="AB351" s="32"/>
      <x:c r="AC351" s="32"/>
      <x:c r="AD351" s="32"/>
      <x:c r="AE351" s="32"/>
      <x:c r="AF351" s="32"/>
      <x:c r="AG351" s="32"/>
      <x:c r="AH351" s="32"/>
      <x:c r="AI351" s="32"/>
      <x:c r="AJ351" s="32"/>
      <x:c r="AK351" s="32"/>
      <x:c r="AL351" s="32"/>
      <x:c r="AM351" s="32"/>
      <x:c r="AN351" s="32"/>
      <x:c r="AO351" s="32"/>
      <x:c r="AP351" s="32"/>
      <x:c r="AQ351" s="32"/>
      <x:c r="AR351" s="32"/>
      <x:c r="AS351" s="32"/>
      <x:c r="AT351" s="32"/>
      <x:c r="AU351" s="32"/>
      <x:c r="AV351" s="32"/>
      <x:c r="AW351" s="32"/>
      <x:c r="AX351" s="32"/>
      <x:c r="AZ351" s="32"/>
      <x:c r="BA351" s="32"/>
      <x:c r="BB351" s="32"/>
      <x:c r="BC351" s="32"/>
      <x:c r="BD351" s="32"/>
      <x:c r="BE351" s="32"/>
      <x:c r="BF351" s="32"/>
      <x:c r="BG351" s="32"/>
      <x:c r="BH351" s="32"/>
      <x:c r="BI351" s="32"/>
      <x:c r="BJ351" s="32"/>
      <x:c r="BK351" s="32"/>
      <x:c r="BL351" s="32"/>
      <x:c r="BM351" s="32"/>
    </x:row>
    <x:row r="352">
      <x:c r="A352" s="32"/>
      <x:c r="B352" s="32"/>
      <x:c r="C352" s="42"/>
      <x:c r="D352" s="32"/>
      <x:c r="E352" s="32"/>
      <x:c r="F352" s="32"/>
      <x:c r="G352" s="32"/>
      <x:c r="H352" s="32"/>
      <x:c r="I352" s="32"/>
      <x:c r="J352" s="32"/>
      <x:c r="K352" s="32"/>
      <x:c r="L352" s="32"/>
      <x:c r="M352" s="32"/>
      <x:c r="N352" s="32"/>
      <x:c r="O352" s="32"/>
      <x:c r="P352" s="32"/>
      <x:c r="Q352" s="32"/>
      <x:c r="R352" s="32"/>
      <x:c r="S352" s="32"/>
      <x:c r="T352" s="43" t="str">
        <x:f>IFERROR(S352/L352,"")</x:f>
      </x:c>
      <x:c r="U352" s="32"/>
      <x:c r="V352" s="32"/>
      <x:c r="W352" s="32"/>
      <x:c r="X352" s="32"/>
      <x:c r="Y352" s="32"/>
      <x:c r="Z352" s="32"/>
      <x:c r="AA352" s="32"/>
      <x:c r="AB352" s="32"/>
      <x:c r="AC352" s="32"/>
      <x:c r="AD352" s="32"/>
      <x:c r="AE352" s="32"/>
      <x:c r="AF352" s="32"/>
      <x:c r="AG352" s="32"/>
      <x:c r="AH352" s="32"/>
      <x:c r="AI352" s="32"/>
      <x:c r="AJ352" s="32"/>
      <x:c r="AK352" s="32"/>
      <x:c r="AL352" s="32"/>
      <x:c r="AM352" s="32"/>
      <x:c r="AN352" s="32"/>
      <x:c r="AO352" s="32"/>
      <x:c r="AP352" s="32"/>
      <x:c r="AQ352" s="32"/>
      <x:c r="AR352" s="32"/>
      <x:c r="AS352" s="32"/>
      <x:c r="AT352" s="32"/>
      <x:c r="AU352" s="32"/>
      <x:c r="AV352" s="32"/>
      <x:c r="AW352" s="32"/>
      <x:c r="AX352" s="32"/>
      <x:c r="AZ352" s="32"/>
      <x:c r="BA352" s="32"/>
      <x:c r="BB352" s="32"/>
      <x:c r="BC352" s="32"/>
      <x:c r="BD352" s="32"/>
      <x:c r="BE352" s="32"/>
      <x:c r="BF352" s="32"/>
      <x:c r="BG352" s="32"/>
      <x:c r="BH352" s="32"/>
      <x:c r="BI352" s="32"/>
      <x:c r="BJ352" s="32"/>
      <x:c r="BK352" s="32"/>
      <x:c r="BL352" s="32"/>
      <x:c r="BM352" s="32"/>
    </x:row>
    <x:row r="353">
      <x:c r="A353" s="32"/>
      <x:c r="B353" s="32"/>
      <x:c r="C353" s="42"/>
      <x:c r="D353" s="32"/>
      <x:c r="E353" s="32"/>
      <x:c r="F353" s="32"/>
      <x:c r="G353" s="32"/>
      <x:c r="H353" s="32"/>
      <x:c r="I353" s="32"/>
      <x:c r="J353" s="32"/>
      <x:c r="K353" s="32"/>
      <x:c r="L353" s="32"/>
      <x:c r="M353" s="32"/>
      <x:c r="N353" s="32"/>
      <x:c r="O353" s="32"/>
      <x:c r="P353" s="32"/>
      <x:c r="Q353" s="32"/>
      <x:c r="R353" s="32"/>
      <x:c r="S353" s="32"/>
      <x:c r="T353" s="43" t="str">
        <x:f>IFERROR(S353/L353,"")</x:f>
      </x:c>
      <x:c r="U353" s="32"/>
      <x:c r="V353" s="32"/>
      <x:c r="W353" s="32"/>
      <x:c r="X353" s="32"/>
      <x:c r="Y353" s="32"/>
      <x:c r="Z353" s="32"/>
      <x:c r="AA353" s="32"/>
      <x:c r="AB353" s="32"/>
      <x:c r="AC353" s="32"/>
      <x:c r="AD353" s="32"/>
      <x:c r="AE353" s="32"/>
      <x:c r="AF353" s="32"/>
      <x:c r="AG353" s="32"/>
      <x:c r="AH353" s="32"/>
      <x:c r="AI353" s="32"/>
      <x:c r="AJ353" s="32"/>
      <x:c r="AK353" s="32"/>
      <x:c r="AL353" s="32"/>
      <x:c r="AM353" s="32"/>
      <x:c r="AN353" s="32"/>
      <x:c r="AO353" s="32"/>
      <x:c r="AP353" s="32"/>
      <x:c r="AQ353" s="32"/>
      <x:c r="AR353" s="32"/>
      <x:c r="AS353" s="32"/>
      <x:c r="AT353" s="32"/>
      <x:c r="AU353" s="32"/>
      <x:c r="AV353" s="32"/>
      <x:c r="AW353" s="32"/>
      <x:c r="AX353" s="32"/>
      <x:c r="AZ353" s="32"/>
      <x:c r="BA353" s="32"/>
      <x:c r="BB353" s="32"/>
      <x:c r="BC353" s="32"/>
      <x:c r="BD353" s="32"/>
      <x:c r="BE353" s="32"/>
      <x:c r="BF353" s="32"/>
      <x:c r="BG353" s="32"/>
      <x:c r="BH353" s="32"/>
      <x:c r="BI353" s="32"/>
      <x:c r="BJ353" s="32"/>
      <x:c r="BK353" s="32"/>
      <x:c r="BL353" s="32"/>
      <x:c r="BM353" s="32"/>
    </x:row>
    <x:row r="354">
      <x:c r="A354" s="32"/>
      <x:c r="B354" s="32"/>
      <x:c r="C354" s="42"/>
      <x:c r="D354" s="32"/>
      <x:c r="E354" s="32"/>
      <x:c r="F354" s="32"/>
      <x:c r="G354" s="32"/>
      <x:c r="H354" s="32"/>
      <x:c r="I354" s="32"/>
      <x:c r="J354" s="32"/>
      <x:c r="K354" s="32"/>
      <x:c r="L354" s="32"/>
      <x:c r="M354" s="32"/>
      <x:c r="N354" s="32"/>
      <x:c r="O354" s="32"/>
      <x:c r="P354" s="32"/>
      <x:c r="Q354" s="32"/>
      <x:c r="R354" s="32"/>
      <x:c r="S354" s="32"/>
      <x:c r="T354" s="43" t="str">
        <x:f>IFERROR(S354/L354,"")</x:f>
      </x:c>
      <x:c r="U354" s="32"/>
      <x:c r="V354" s="32"/>
      <x:c r="W354" s="32"/>
      <x:c r="X354" s="32"/>
      <x:c r="Y354" s="32"/>
      <x:c r="Z354" s="32"/>
      <x:c r="AA354" s="32"/>
      <x:c r="AB354" s="32"/>
      <x:c r="AC354" s="32"/>
      <x:c r="AD354" s="32"/>
      <x:c r="AE354" s="32"/>
      <x:c r="AF354" s="32"/>
      <x:c r="AG354" s="32"/>
      <x:c r="AH354" s="32"/>
      <x:c r="AI354" s="32"/>
      <x:c r="AJ354" s="32"/>
      <x:c r="AK354" s="32"/>
      <x:c r="AL354" s="32"/>
      <x:c r="AM354" s="32"/>
      <x:c r="AN354" s="32"/>
      <x:c r="AO354" s="32"/>
      <x:c r="AP354" s="32"/>
      <x:c r="AQ354" s="32"/>
      <x:c r="AR354" s="32"/>
      <x:c r="AS354" s="32"/>
      <x:c r="AT354" s="32"/>
      <x:c r="AU354" s="32"/>
      <x:c r="AV354" s="32"/>
      <x:c r="AW354" s="32"/>
      <x:c r="AX354" s="32"/>
      <x:c r="AZ354" s="32"/>
      <x:c r="BA354" s="32"/>
      <x:c r="BB354" s="32"/>
      <x:c r="BC354" s="32"/>
      <x:c r="BD354" s="32"/>
      <x:c r="BE354" s="32"/>
      <x:c r="BF354" s="32"/>
      <x:c r="BG354" s="32"/>
      <x:c r="BH354" s="32"/>
      <x:c r="BI354" s="32"/>
      <x:c r="BJ354" s="32"/>
      <x:c r="BK354" s="32"/>
      <x:c r="BL354" s="32"/>
      <x:c r="BM354" s="32"/>
    </x:row>
    <x:row r="355">
      <x:c r="A355" s="32"/>
      <x:c r="B355" s="32"/>
      <x:c r="C355" s="42"/>
      <x:c r="D355" s="32"/>
      <x:c r="E355" s="32"/>
      <x:c r="F355" s="32"/>
      <x:c r="G355" s="32"/>
      <x:c r="H355" s="32"/>
      <x:c r="I355" s="32"/>
      <x:c r="J355" s="32"/>
      <x:c r="K355" s="32"/>
      <x:c r="L355" s="32"/>
      <x:c r="M355" s="32"/>
      <x:c r="N355" s="32"/>
      <x:c r="O355" s="32"/>
      <x:c r="P355" s="32"/>
      <x:c r="Q355" s="32"/>
      <x:c r="R355" s="32"/>
      <x:c r="S355" s="32"/>
      <x:c r="T355" s="43" t="str">
        <x:f>IFERROR(S355/L355,"")</x:f>
      </x:c>
      <x:c r="U355" s="32"/>
      <x:c r="V355" s="32"/>
      <x:c r="W355" s="32"/>
      <x:c r="X355" s="32"/>
      <x:c r="Y355" s="32"/>
      <x:c r="Z355" s="32"/>
      <x:c r="AA355" s="32"/>
      <x:c r="AB355" s="32"/>
      <x:c r="AC355" s="32"/>
      <x:c r="AD355" s="32"/>
      <x:c r="AE355" s="32"/>
      <x:c r="AF355" s="32"/>
      <x:c r="AG355" s="32"/>
      <x:c r="AH355" s="32"/>
      <x:c r="AI355" s="32"/>
      <x:c r="AJ355" s="32"/>
      <x:c r="AK355" s="32"/>
      <x:c r="AL355" s="32"/>
      <x:c r="AM355" s="32"/>
      <x:c r="AN355" s="32"/>
      <x:c r="AO355" s="32"/>
      <x:c r="AP355" s="32"/>
      <x:c r="AQ355" s="32"/>
      <x:c r="AR355" s="32"/>
      <x:c r="AS355" s="32"/>
      <x:c r="AT355" s="32"/>
      <x:c r="AU355" s="32"/>
      <x:c r="AV355" s="32"/>
      <x:c r="AW355" s="32"/>
      <x:c r="AX355" s="32"/>
      <x:c r="AZ355" s="32"/>
      <x:c r="BA355" s="32"/>
      <x:c r="BB355" s="32"/>
      <x:c r="BC355" s="32"/>
      <x:c r="BD355" s="32"/>
      <x:c r="BE355" s="32"/>
      <x:c r="BF355" s="32"/>
      <x:c r="BG355" s="32"/>
      <x:c r="BH355" s="32"/>
      <x:c r="BI355" s="32"/>
      <x:c r="BJ355" s="32"/>
      <x:c r="BK355" s="32"/>
      <x:c r="BL355" s="32"/>
      <x:c r="BM355" s="32"/>
    </x:row>
    <x:row r="356">
      <x:c r="A356" s="32"/>
      <x:c r="B356" s="32"/>
      <x:c r="C356" s="42"/>
      <x:c r="D356" s="32"/>
      <x:c r="E356" s="32"/>
      <x:c r="F356" s="32"/>
      <x:c r="G356" s="32"/>
      <x:c r="H356" s="32"/>
      <x:c r="I356" s="32"/>
      <x:c r="J356" s="32"/>
      <x:c r="K356" s="32"/>
      <x:c r="L356" s="32"/>
      <x:c r="M356" s="32"/>
      <x:c r="N356" s="32"/>
      <x:c r="O356" s="32"/>
      <x:c r="P356" s="32"/>
      <x:c r="Q356" s="32"/>
      <x:c r="R356" s="32"/>
      <x:c r="S356" s="32"/>
      <x:c r="T356" s="43" t="str">
        <x:f>IFERROR(S356/L356,"")</x:f>
      </x:c>
      <x:c r="U356" s="32"/>
      <x:c r="V356" s="32"/>
      <x:c r="W356" s="32"/>
      <x:c r="X356" s="32"/>
      <x:c r="Y356" s="32"/>
      <x:c r="Z356" s="32"/>
      <x:c r="AA356" s="32"/>
      <x:c r="AB356" s="32"/>
      <x:c r="AC356" s="32"/>
      <x:c r="AD356" s="32"/>
      <x:c r="AE356" s="32"/>
      <x:c r="AF356" s="32"/>
      <x:c r="AG356" s="32"/>
      <x:c r="AH356" s="32"/>
      <x:c r="AI356" s="32"/>
      <x:c r="AJ356" s="32"/>
      <x:c r="AK356" s="32"/>
      <x:c r="AL356" s="32"/>
      <x:c r="AM356" s="32"/>
      <x:c r="AN356" s="32"/>
      <x:c r="AO356" s="32"/>
      <x:c r="AP356" s="32"/>
      <x:c r="AQ356" s="32"/>
      <x:c r="AR356" s="32"/>
      <x:c r="AS356" s="32"/>
      <x:c r="AT356" s="32"/>
      <x:c r="AU356" s="32"/>
      <x:c r="AV356" s="32"/>
      <x:c r="AW356" s="32"/>
      <x:c r="AX356" s="32"/>
      <x:c r="AZ356" s="32"/>
      <x:c r="BA356" s="32"/>
      <x:c r="BB356" s="32"/>
      <x:c r="BC356" s="32"/>
      <x:c r="BD356" s="32"/>
      <x:c r="BE356" s="32"/>
      <x:c r="BF356" s="32"/>
      <x:c r="BG356" s="32"/>
      <x:c r="BH356" s="32"/>
      <x:c r="BI356" s="32"/>
      <x:c r="BJ356" s="32"/>
      <x:c r="BK356" s="32"/>
      <x:c r="BL356" s="32"/>
      <x:c r="BM356" s="32"/>
    </x:row>
    <x:row r="357">
      <x:c r="A357" s="32"/>
      <x:c r="B357" s="32"/>
      <x:c r="C357" s="42"/>
      <x:c r="D357" s="32"/>
      <x:c r="E357" s="32"/>
      <x:c r="F357" s="32"/>
      <x:c r="G357" s="32"/>
      <x:c r="H357" s="32"/>
      <x:c r="I357" s="32"/>
      <x:c r="J357" s="32"/>
      <x:c r="K357" s="32"/>
      <x:c r="L357" s="32"/>
      <x:c r="M357" s="32"/>
      <x:c r="N357" s="32"/>
      <x:c r="O357" s="32"/>
      <x:c r="P357" s="32"/>
      <x:c r="Q357" s="32"/>
      <x:c r="R357" s="32"/>
      <x:c r="S357" s="32"/>
      <x:c r="T357" s="43" t="str">
        <x:f>IFERROR(S357/L357,"")</x:f>
      </x:c>
      <x:c r="U357" s="32"/>
      <x:c r="V357" s="32"/>
      <x:c r="W357" s="32"/>
      <x:c r="X357" s="32"/>
      <x:c r="Y357" s="32"/>
      <x:c r="Z357" s="32"/>
      <x:c r="AA357" s="32"/>
      <x:c r="AB357" s="32"/>
      <x:c r="AC357" s="32"/>
      <x:c r="AD357" s="32"/>
      <x:c r="AE357" s="32"/>
      <x:c r="AF357" s="32"/>
      <x:c r="AG357" s="32"/>
      <x:c r="AH357" s="32"/>
      <x:c r="AI357" s="32"/>
      <x:c r="AJ357" s="32"/>
      <x:c r="AK357" s="32"/>
      <x:c r="AL357" s="32"/>
      <x:c r="AM357" s="32"/>
      <x:c r="AN357" s="32"/>
      <x:c r="AO357" s="32"/>
      <x:c r="AP357" s="32"/>
      <x:c r="AQ357" s="32"/>
      <x:c r="AR357" s="32"/>
      <x:c r="AS357" s="32"/>
      <x:c r="AT357" s="32"/>
      <x:c r="AU357" s="32"/>
      <x:c r="AV357" s="32"/>
      <x:c r="AW357" s="32"/>
      <x:c r="AX357" s="32"/>
      <x:c r="AZ357" s="32"/>
      <x:c r="BA357" s="32"/>
      <x:c r="BB357" s="32"/>
      <x:c r="BC357" s="32"/>
      <x:c r="BD357" s="32"/>
      <x:c r="BE357" s="32"/>
      <x:c r="BF357" s="32"/>
      <x:c r="BG357" s="32"/>
      <x:c r="BH357" s="32"/>
      <x:c r="BI357" s="32"/>
      <x:c r="BJ357" s="32"/>
      <x:c r="BK357" s="32"/>
      <x:c r="BL357" s="32"/>
      <x:c r="BM357" s="32"/>
    </x:row>
    <x:row r="358">
      <x:c r="A358" s="32"/>
      <x:c r="B358" s="32"/>
      <x:c r="C358" s="42"/>
      <x:c r="D358" s="32"/>
      <x:c r="E358" s="32"/>
      <x:c r="F358" s="32"/>
      <x:c r="G358" s="32"/>
      <x:c r="H358" s="32"/>
      <x:c r="I358" s="32"/>
      <x:c r="J358" s="32"/>
      <x:c r="K358" s="32"/>
      <x:c r="L358" s="32"/>
      <x:c r="M358" s="32"/>
      <x:c r="N358" s="32"/>
      <x:c r="O358" s="32"/>
      <x:c r="P358" s="32"/>
      <x:c r="Q358" s="32"/>
      <x:c r="R358" s="32"/>
      <x:c r="S358" s="32"/>
      <x:c r="T358" s="43" t="str">
        <x:f>IFERROR(S358/L358,"")</x:f>
      </x:c>
      <x:c r="U358" s="32"/>
      <x:c r="V358" s="32"/>
      <x:c r="W358" s="32"/>
      <x:c r="X358" s="32"/>
      <x:c r="Y358" s="32"/>
      <x:c r="Z358" s="32"/>
      <x:c r="AA358" s="32"/>
      <x:c r="AB358" s="32"/>
      <x:c r="AC358" s="32"/>
      <x:c r="AD358" s="32"/>
      <x:c r="AE358" s="32"/>
      <x:c r="AF358" s="32"/>
      <x:c r="AG358" s="32"/>
      <x:c r="AH358" s="32"/>
      <x:c r="AI358" s="32"/>
      <x:c r="AJ358" s="32"/>
      <x:c r="AK358" s="32"/>
      <x:c r="AL358" s="32"/>
      <x:c r="AM358" s="32"/>
      <x:c r="AN358" s="32"/>
      <x:c r="AO358" s="32"/>
      <x:c r="AP358" s="32"/>
      <x:c r="AQ358" s="32"/>
      <x:c r="AR358" s="32"/>
      <x:c r="AS358" s="32"/>
      <x:c r="AT358" s="32"/>
      <x:c r="AU358" s="32"/>
      <x:c r="AV358" s="32"/>
      <x:c r="AW358" s="32"/>
      <x:c r="AX358" s="32"/>
      <x:c r="AZ358" s="32"/>
      <x:c r="BA358" s="32"/>
      <x:c r="BB358" s="32"/>
      <x:c r="BC358" s="32"/>
      <x:c r="BD358" s="32"/>
      <x:c r="BE358" s="32"/>
      <x:c r="BF358" s="32"/>
      <x:c r="BG358" s="32"/>
      <x:c r="BH358" s="32"/>
      <x:c r="BI358" s="32"/>
      <x:c r="BJ358" s="32"/>
      <x:c r="BK358" s="32"/>
      <x:c r="BL358" s="32"/>
      <x:c r="BM358" s="32"/>
    </x:row>
    <x:row r="359">
      <x:c r="A359" s="32"/>
      <x:c r="B359" s="32"/>
      <x:c r="C359" s="42"/>
      <x:c r="D359" s="32"/>
      <x:c r="E359" s="32"/>
      <x:c r="F359" s="32"/>
      <x:c r="G359" s="32"/>
      <x:c r="H359" s="32"/>
      <x:c r="I359" s="32"/>
      <x:c r="J359" s="32"/>
      <x:c r="K359" s="32"/>
      <x:c r="L359" s="32"/>
      <x:c r="M359" s="32"/>
      <x:c r="N359" s="32"/>
      <x:c r="O359" s="32"/>
      <x:c r="P359" s="32"/>
      <x:c r="Q359" s="32"/>
      <x:c r="R359" s="32"/>
      <x:c r="S359" s="32"/>
      <x:c r="T359" s="43" t="str">
        <x:f>IFERROR(S359/L359,"")</x:f>
      </x:c>
      <x:c r="U359" s="32"/>
      <x:c r="V359" s="32"/>
      <x:c r="W359" s="32"/>
      <x:c r="X359" s="32"/>
      <x:c r="Y359" s="32"/>
      <x:c r="Z359" s="32"/>
      <x:c r="AA359" s="32"/>
      <x:c r="AB359" s="32"/>
      <x:c r="AC359" s="32"/>
      <x:c r="AD359" s="32"/>
      <x:c r="AE359" s="32"/>
      <x:c r="AF359" s="32"/>
      <x:c r="AG359" s="32"/>
      <x:c r="AH359" s="32"/>
      <x:c r="AI359" s="32"/>
      <x:c r="AJ359" s="32"/>
      <x:c r="AK359" s="32"/>
      <x:c r="AL359" s="32"/>
      <x:c r="AM359" s="32"/>
      <x:c r="AN359" s="32"/>
      <x:c r="AO359" s="32"/>
      <x:c r="AP359" s="32"/>
      <x:c r="AQ359" s="32"/>
      <x:c r="AR359" s="32"/>
      <x:c r="AS359" s="32"/>
      <x:c r="AT359" s="32"/>
      <x:c r="AU359" s="32"/>
      <x:c r="AV359" s="32"/>
      <x:c r="AW359" s="32"/>
      <x:c r="AX359" s="32"/>
      <x:c r="AZ359" s="32"/>
      <x:c r="BA359" s="32"/>
      <x:c r="BB359" s="32"/>
      <x:c r="BC359" s="32"/>
      <x:c r="BD359" s="32"/>
      <x:c r="BE359" s="32"/>
      <x:c r="BF359" s="32"/>
      <x:c r="BG359" s="32"/>
      <x:c r="BH359" s="32"/>
      <x:c r="BI359" s="32"/>
      <x:c r="BJ359" s="32"/>
      <x:c r="BK359" s="32"/>
      <x:c r="BL359" s="32"/>
      <x:c r="BM359" s="32"/>
    </x:row>
    <x:row r="360">
      <x:c r="A360" s="32"/>
      <x:c r="B360" s="32"/>
      <x:c r="C360" s="42"/>
      <x:c r="D360" s="32"/>
      <x:c r="E360" s="32"/>
      <x:c r="F360" s="32"/>
      <x:c r="G360" s="32"/>
      <x:c r="H360" s="32"/>
      <x:c r="I360" s="32"/>
      <x:c r="J360" s="32"/>
      <x:c r="K360" s="32"/>
      <x:c r="L360" s="32"/>
      <x:c r="M360" s="32"/>
      <x:c r="N360" s="32"/>
      <x:c r="O360" s="32"/>
      <x:c r="P360" s="32"/>
      <x:c r="Q360" s="32"/>
      <x:c r="R360" s="32"/>
      <x:c r="S360" s="32"/>
      <x:c r="T360" s="43" t="str">
        <x:f>IFERROR(S360/L360,"")</x:f>
      </x:c>
      <x:c r="U360" s="32"/>
      <x:c r="V360" s="32"/>
      <x:c r="W360" s="32"/>
      <x:c r="X360" s="32"/>
      <x:c r="Y360" s="32"/>
      <x:c r="Z360" s="32"/>
      <x:c r="AA360" s="32"/>
      <x:c r="AB360" s="32"/>
      <x:c r="AC360" s="32"/>
      <x:c r="AD360" s="32"/>
      <x:c r="AE360" s="32"/>
      <x:c r="AF360" s="32"/>
      <x:c r="AG360" s="32"/>
      <x:c r="AH360" s="32"/>
      <x:c r="AI360" s="32"/>
      <x:c r="AJ360" s="32"/>
      <x:c r="AK360" s="32"/>
      <x:c r="AL360" s="32"/>
      <x:c r="AM360" s="32"/>
      <x:c r="AN360" s="32"/>
      <x:c r="AO360" s="32"/>
      <x:c r="AP360" s="32"/>
      <x:c r="AQ360" s="32"/>
      <x:c r="AR360" s="32"/>
      <x:c r="AS360" s="32"/>
      <x:c r="AT360" s="32"/>
      <x:c r="AU360" s="32"/>
      <x:c r="AV360" s="32"/>
      <x:c r="AW360" s="32"/>
      <x:c r="AX360" s="32"/>
      <x:c r="AZ360" s="32"/>
      <x:c r="BA360" s="32"/>
      <x:c r="BB360" s="32"/>
      <x:c r="BC360" s="32"/>
      <x:c r="BD360" s="32"/>
      <x:c r="BE360" s="32"/>
      <x:c r="BF360" s="32"/>
      <x:c r="BG360" s="32"/>
      <x:c r="BH360" s="32"/>
      <x:c r="BI360" s="32"/>
      <x:c r="BJ360" s="32"/>
      <x:c r="BK360" s="32"/>
      <x:c r="BL360" s="32"/>
      <x:c r="BM360" s="32"/>
    </x:row>
    <x:row r="361">
      <x:c r="A361" s="32"/>
      <x:c r="B361" s="32"/>
      <x:c r="C361" s="42"/>
      <x:c r="D361" s="32"/>
      <x:c r="E361" s="32"/>
      <x:c r="F361" s="32"/>
      <x:c r="G361" s="32"/>
      <x:c r="H361" s="32"/>
      <x:c r="I361" s="32"/>
      <x:c r="J361" s="32"/>
      <x:c r="K361" s="32"/>
      <x:c r="L361" s="32"/>
      <x:c r="M361" s="32"/>
      <x:c r="N361" s="32"/>
      <x:c r="O361" s="32"/>
      <x:c r="P361" s="32"/>
      <x:c r="Q361" s="32"/>
      <x:c r="R361" s="32"/>
      <x:c r="S361" s="32"/>
      <x:c r="T361" s="43" t="str">
        <x:f>IFERROR(S361/L361,"")</x:f>
      </x:c>
      <x:c r="U361" s="32"/>
      <x:c r="V361" s="32"/>
      <x:c r="W361" s="32"/>
      <x:c r="X361" s="32"/>
      <x:c r="Y361" s="32"/>
      <x:c r="Z361" s="32"/>
      <x:c r="AA361" s="32"/>
      <x:c r="AB361" s="32"/>
      <x:c r="AC361" s="32"/>
      <x:c r="AD361" s="32"/>
      <x:c r="AE361" s="32"/>
      <x:c r="AF361" s="32"/>
      <x:c r="AG361" s="32"/>
      <x:c r="AH361" s="32"/>
      <x:c r="AI361" s="32"/>
      <x:c r="AJ361" s="32"/>
      <x:c r="AK361" s="32"/>
      <x:c r="AL361" s="32"/>
      <x:c r="AM361" s="32"/>
      <x:c r="AN361" s="32"/>
      <x:c r="AO361" s="32"/>
      <x:c r="AP361" s="32"/>
      <x:c r="AQ361" s="32"/>
      <x:c r="AR361" s="32"/>
      <x:c r="AS361" s="32"/>
      <x:c r="AT361" s="32"/>
      <x:c r="AU361" s="32"/>
      <x:c r="AV361" s="32"/>
      <x:c r="AW361" s="32"/>
      <x:c r="AX361" s="32"/>
      <x:c r="AZ361" s="32"/>
      <x:c r="BA361" s="32"/>
      <x:c r="BB361" s="32"/>
      <x:c r="BC361" s="32"/>
      <x:c r="BD361" s="32"/>
      <x:c r="BE361" s="32"/>
      <x:c r="BF361" s="32"/>
      <x:c r="BG361" s="32"/>
      <x:c r="BH361" s="32"/>
      <x:c r="BI361" s="32"/>
      <x:c r="BJ361" s="32"/>
      <x:c r="BK361" s="32"/>
      <x:c r="BL361" s="32"/>
      <x:c r="BM361" s="32"/>
    </x:row>
    <x:row r="362">
      <x:c r="A362" s="32"/>
      <x:c r="B362" s="32"/>
      <x:c r="C362" s="42"/>
      <x:c r="D362" s="32"/>
      <x:c r="E362" s="32"/>
      <x:c r="F362" s="32"/>
      <x:c r="G362" s="32"/>
      <x:c r="H362" s="32"/>
      <x:c r="I362" s="32"/>
      <x:c r="J362" s="32"/>
      <x:c r="K362" s="32"/>
      <x:c r="L362" s="32"/>
      <x:c r="M362" s="32"/>
      <x:c r="N362" s="32"/>
      <x:c r="O362" s="32"/>
      <x:c r="P362" s="32"/>
      <x:c r="Q362" s="32"/>
      <x:c r="R362" s="32"/>
      <x:c r="S362" s="32"/>
      <x:c r="T362" s="43" t="str">
        <x:f>IFERROR(S362/L362,"")</x:f>
      </x:c>
      <x:c r="U362" s="32"/>
      <x:c r="V362" s="32"/>
      <x:c r="W362" s="32"/>
      <x:c r="X362" s="32"/>
      <x:c r="Y362" s="32"/>
      <x:c r="Z362" s="32"/>
      <x:c r="AA362" s="32"/>
      <x:c r="AB362" s="32"/>
      <x:c r="AC362" s="32"/>
      <x:c r="AD362" s="32"/>
      <x:c r="AE362" s="32"/>
      <x:c r="AF362" s="32"/>
      <x:c r="AG362" s="32"/>
      <x:c r="AH362" s="32"/>
      <x:c r="AI362" s="32"/>
      <x:c r="AJ362" s="32"/>
      <x:c r="AK362" s="32"/>
      <x:c r="AL362" s="32"/>
      <x:c r="AM362" s="32"/>
      <x:c r="AN362" s="32"/>
      <x:c r="AO362" s="32"/>
      <x:c r="AP362" s="32"/>
      <x:c r="AQ362" s="32"/>
      <x:c r="AR362" s="32"/>
      <x:c r="AS362" s="32"/>
      <x:c r="AT362" s="32"/>
      <x:c r="AU362" s="32"/>
      <x:c r="AV362" s="32"/>
      <x:c r="AW362" s="32"/>
      <x:c r="AX362" s="32"/>
      <x:c r="AZ362" s="32"/>
      <x:c r="BA362" s="32"/>
      <x:c r="BB362" s="32"/>
      <x:c r="BC362" s="32"/>
      <x:c r="BD362" s="32"/>
      <x:c r="BE362" s="32"/>
      <x:c r="BF362" s="32"/>
      <x:c r="BG362" s="32"/>
      <x:c r="BH362" s="32"/>
      <x:c r="BI362" s="32"/>
      <x:c r="BJ362" s="32"/>
      <x:c r="BK362" s="32"/>
      <x:c r="BL362" s="32"/>
      <x:c r="BM362" s="32"/>
    </x:row>
    <x:row r="363">
      <x:c r="A363" s="32"/>
      <x:c r="B363" s="32"/>
      <x:c r="C363" s="42"/>
      <x:c r="D363" s="32"/>
      <x:c r="E363" s="32"/>
      <x:c r="F363" s="32"/>
      <x:c r="G363" s="32"/>
      <x:c r="H363" s="32"/>
      <x:c r="I363" s="32"/>
      <x:c r="J363" s="32"/>
      <x:c r="K363" s="32"/>
      <x:c r="L363" s="32"/>
      <x:c r="M363" s="32"/>
      <x:c r="N363" s="32"/>
      <x:c r="O363" s="32"/>
      <x:c r="P363" s="32"/>
      <x:c r="Q363" s="32"/>
      <x:c r="R363" s="32"/>
      <x:c r="S363" s="32"/>
      <x:c r="T363" s="43" t="str">
        <x:f>IFERROR(S363/L363,"")</x:f>
      </x:c>
      <x:c r="U363" s="32"/>
      <x:c r="V363" s="32"/>
      <x:c r="W363" s="32"/>
      <x:c r="X363" s="32"/>
      <x:c r="Y363" s="32"/>
      <x:c r="Z363" s="32"/>
      <x:c r="AA363" s="32"/>
      <x:c r="AB363" s="32"/>
      <x:c r="AC363" s="32"/>
      <x:c r="AD363" s="32"/>
      <x:c r="AE363" s="32"/>
      <x:c r="AF363" s="32"/>
      <x:c r="AG363" s="32"/>
      <x:c r="AH363" s="32"/>
      <x:c r="AI363" s="32"/>
      <x:c r="AJ363" s="32"/>
      <x:c r="AK363" s="32"/>
      <x:c r="AL363" s="32"/>
      <x:c r="AM363" s="32"/>
      <x:c r="AN363" s="32"/>
      <x:c r="AO363" s="32"/>
      <x:c r="AP363" s="32"/>
      <x:c r="AQ363" s="32"/>
      <x:c r="AR363" s="32"/>
      <x:c r="AS363" s="32"/>
      <x:c r="AT363" s="32"/>
      <x:c r="AU363" s="32"/>
      <x:c r="AV363" s="32"/>
      <x:c r="AW363" s="32"/>
      <x:c r="AX363" s="32"/>
      <x:c r="AZ363" s="32"/>
      <x:c r="BA363" s="32"/>
      <x:c r="BB363" s="32"/>
      <x:c r="BC363" s="32"/>
      <x:c r="BD363" s="32"/>
      <x:c r="BE363" s="32"/>
      <x:c r="BF363" s="32"/>
      <x:c r="BG363" s="32"/>
      <x:c r="BH363" s="32"/>
      <x:c r="BI363" s="32"/>
      <x:c r="BJ363" s="32"/>
      <x:c r="BK363" s="32"/>
      <x:c r="BL363" s="32"/>
      <x:c r="BM363" s="32"/>
    </x:row>
    <x:row r="364">
      <x:c r="A364" s="32"/>
      <x:c r="B364" s="32"/>
      <x:c r="C364" s="42"/>
      <x:c r="D364" s="32"/>
      <x:c r="E364" s="32"/>
      <x:c r="F364" s="32"/>
      <x:c r="G364" s="32"/>
      <x:c r="H364" s="32"/>
      <x:c r="I364" s="32"/>
      <x:c r="J364" s="32"/>
      <x:c r="K364" s="32"/>
      <x:c r="L364" s="32"/>
      <x:c r="M364" s="32"/>
      <x:c r="N364" s="32"/>
      <x:c r="O364" s="32"/>
      <x:c r="P364" s="32"/>
      <x:c r="Q364" s="32"/>
      <x:c r="R364" s="32"/>
      <x:c r="S364" s="32"/>
      <x:c r="T364" s="43" t="str">
        <x:f>IFERROR(S364/L364,"")</x:f>
      </x:c>
      <x:c r="U364" s="32"/>
      <x:c r="V364" s="32"/>
      <x:c r="W364" s="32"/>
      <x:c r="X364" s="32"/>
      <x:c r="Y364" s="32"/>
      <x:c r="Z364" s="32"/>
      <x:c r="AA364" s="32"/>
      <x:c r="AB364" s="32"/>
      <x:c r="AC364" s="32"/>
      <x:c r="AD364" s="32"/>
      <x:c r="AE364" s="32"/>
      <x:c r="AF364" s="32"/>
      <x:c r="AG364" s="32"/>
      <x:c r="AH364" s="32"/>
      <x:c r="AI364" s="32"/>
      <x:c r="AJ364" s="32"/>
      <x:c r="AK364" s="32"/>
      <x:c r="AL364" s="32"/>
      <x:c r="AM364" s="32"/>
      <x:c r="AN364" s="32"/>
      <x:c r="AO364" s="32"/>
      <x:c r="AP364" s="32"/>
      <x:c r="AQ364" s="32"/>
      <x:c r="AR364" s="32"/>
      <x:c r="AS364" s="32"/>
      <x:c r="AT364" s="32"/>
      <x:c r="AU364" s="32"/>
      <x:c r="AV364" s="32"/>
      <x:c r="AW364" s="32"/>
      <x:c r="AX364" s="32"/>
      <x:c r="AZ364" s="32"/>
      <x:c r="BA364" s="32"/>
      <x:c r="BB364" s="32"/>
      <x:c r="BC364" s="32"/>
      <x:c r="BD364" s="32"/>
      <x:c r="BE364" s="32"/>
      <x:c r="BF364" s="32"/>
      <x:c r="BG364" s="32"/>
      <x:c r="BH364" s="32"/>
      <x:c r="BI364" s="32"/>
      <x:c r="BJ364" s="32"/>
      <x:c r="BK364" s="32"/>
      <x:c r="BL364" s="32"/>
      <x:c r="BM364" s="32"/>
    </x:row>
    <x:row r="365">
      <x:c r="A365" s="32"/>
      <x:c r="B365" s="32"/>
      <x:c r="C365" s="42"/>
      <x:c r="D365" s="32"/>
      <x:c r="E365" s="32"/>
      <x:c r="F365" s="32"/>
      <x:c r="G365" s="32"/>
      <x:c r="H365" s="32"/>
      <x:c r="I365" s="32"/>
      <x:c r="J365" s="32"/>
      <x:c r="K365" s="32"/>
      <x:c r="L365" s="32"/>
      <x:c r="M365" s="32"/>
      <x:c r="N365" s="32"/>
      <x:c r="O365" s="32"/>
      <x:c r="P365" s="32"/>
      <x:c r="Q365" s="32"/>
      <x:c r="R365" s="32"/>
      <x:c r="S365" s="32"/>
      <x:c r="T365" s="43" t="str">
        <x:f>IFERROR(S365/L365,"")</x:f>
      </x:c>
      <x:c r="U365" s="32"/>
      <x:c r="V365" s="32"/>
      <x:c r="W365" s="32"/>
      <x:c r="X365" s="32"/>
      <x:c r="Y365" s="32"/>
      <x:c r="Z365" s="32"/>
      <x:c r="AA365" s="32"/>
      <x:c r="AB365" s="32"/>
      <x:c r="AC365" s="32"/>
      <x:c r="AD365" s="32"/>
      <x:c r="AE365" s="32"/>
      <x:c r="AF365" s="32"/>
      <x:c r="AG365" s="32"/>
      <x:c r="AH365" s="32"/>
      <x:c r="AI365" s="32"/>
      <x:c r="AJ365" s="32"/>
      <x:c r="AK365" s="32"/>
      <x:c r="AL365" s="32"/>
      <x:c r="AM365" s="32"/>
      <x:c r="AN365" s="32"/>
      <x:c r="AO365" s="32"/>
      <x:c r="AP365" s="32"/>
      <x:c r="AQ365" s="32"/>
      <x:c r="AR365" s="32"/>
      <x:c r="AS365" s="32"/>
      <x:c r="AT365" s="32"/>
      <x:c r="AU365" s="32"/>
      <x:c r="AV365" s="32"/>
      <x:c r="AW365" s="32"/>
      <x:c r="AX365" s="32"/>
      <x:c r="AZ365" s="32"/>
      <x:c r="BA365" s="32"/>
      <x:c r="BB365" s="32"/>
      <x:c r="BC365" s="32"/>
      <x:c r="BD365" s="32"/>
      <x:c r="BE365" s="32"/>
      <x:c r="BF365" s="32"/>
      <x:c r="BG365" s="32"/>
      <x:c r="BH365" s="32"/>
      <x:c r="BI365" s="32"/>
      <x:c r="BJ365" s="32"/>
      <x:c r="BK365" s="32"/>
      <x:c r="BL365" s="32"/>
      <x:c r="BM365" s="32"/>
    </x:row>
    <x:row r="366">
      <x:c r="A366" s="32"/>
      <x:c r="B366" s="32"/>
      <x:c r="C366" s="42"/>
      <x:c r="D366" s="32"/>
      <x:c r="E366" s="32"/>
      <x:c r="F366" s="32"/>
      <x:c r="G366" s="32"/>
      <x:c r="H366" s="32"/>
      <x:c r="I366" s="32"/>
      <x:c r="J366" s="32"/>
      <x:c r="K366" s="32"/>
      <x:c r="L366" s="32"/>
      <x:c r="M366" s="32"/>
      <x:c r="N366" s="32"/>
      <x:c r="O366" s="32"/>
      <x:c r="P366" s="32"/>
      <x:c r="Q366" s="32"/>
      <x:c r="R366" s="32"/>
      <x:c r="S366" s="32"/>
      <x:c r="T366" s="43" t="str">
        <x:f>IFERROR(S366/L366,"")</x:f>
      </x:c>
      <x:c r="U366" s="32"/>
      <x:c r="V366" s="32"/>
      <x:c r="W366" s="32"/>
      <x:c r="X366" s="32"/>
      <x:c r="Y366" s="32"/>
      <x:c r="Z366" s="32"/>
      <x:c r="AA366" s="32"/>
      <x:c r="AB366" s="32"/>
      <x:c r="AC366" s="32"/>
      <x:c r="AD366" s="32"/>
      <x:c r="AE366" s="32"/>
      <x:c r="AF366" s="32"/>
      <x:c r="AG366" s="32"/>
      <x:c r="AH366" s="32"/>
      <x:c r="AI366" s="32"/>
      <x:c r="AJ366" s="32"/>
      <x:c r="AK366" s="32"/>
      <x:c r="AL366" s="32"/>
      <x:c r="AM366" s="32"/>
      <x:c r="AN366" s="32"/>
      <x:c r="AO366" s="32"/>
      <x:c r="AP366" s="32"/>
      <x:c r="AQ366" s="32"/>
      <x:c r="AR366" s="32"/>
      <x:c r="AS366" s="32"/>
      <x:c r="AT366" s="32"/>
      <x:c r="AU366" s="32"/>
      <x:c r="AV366" s="32"/>
      <x:c r="AW366" s="32"/>
      <x:c r="AX366" s="32"/>
      <x:c r="AZ366" s="32"/>
      <x:c r="BA366" s="32"/>
      <x:c r="BB366" s="32"/>
      <x:c r="BC366" s="32"/>
      <x:c r="BD366" s="32"/>
      <x:c r="BE366" s="32"/>
      <x:c r="BF366" s="32"/>
      <x:c r="BG366" s="32"/>
      <x:c r="BH366" s="32"/>
      <x:c r="BI366" s="32"/>
      <x:c r="BJ366" s="32"/>
      <x:c r="BK366" s="32"/>
      <x:c r="BL366" s="32"/>
      <x:c r="BM366" s="32"/>
    </x:row>
    <x:row r="367">
      <x:c r="A367" s="32"/>
      <x:c r="B367" s="32"/>
      <x:c r="C367" s="42"/>
      <x:c r="D367" s="32"/>
      <x:c r="E367" s="32"/>
      <x:c r="F367" s="32"/>
      <x:c r="G367" s="32"/>
      <x:c r="H367" s="32"/>
      <x:c r="I367" s="32"/>
      <x:c r="J367" s="32"/>
      <x:c r="K367" s="32"/>
      <x:c r="L367" s="32"/>
      <x:c r="M367" s="32"/>
      <x:c r="N367" s="32"/>
      <x:c r="O367" s="32"/>
      <x:c r="P367" s="32"/>
      <x:c r="Q367" s="32"/>
      <x:c r="R367" s="32"/>
      <x:c r="S367" s="32"/>
      <x:c r="T367" s="43" t="str">
        <x:f>IFERROR(S367/L367,"")</x:f>
      </x:c>
      <x:c r="U367" s="32"/>
      <x:c r="V367" s="32"/>
      <x:c r="W367" s="32"/>
      <x:c r="X367" s="32"/>
      <x:c r="Y367" s="32"/>
      <x:c r="Z367" s="32"/>
      <x:c r="AA367" s="32"/>
      <x:c r="AB367" s="32"/>
      <x:c r="AC367" s="32"/>
      <x:c r="AD367" s="32"/>
      <x:c r="AE367" s="32"/>
      <x:c r="AF367" s="32"/>
      <x:c r="AG367" s="32"/>
      <x:c r="AH367" s="32"/>
      <x:c r="AI367" s="32"/>
      <x:c r="AJ367" s="32"/>
      <x:c r="AK367" s="32"/>
      <x:c r="AL367" s="32"/>
      <x:c r="AM367" s="32"/>
      <x:c r="AN367" s="32"/>
      <x:c r="AO367" s="32"/>
      <x:c r="AP367" s="32"/>
      <x:c r="AQ367" s="32"/>
      <x:c r="AR367" s="32"/>
      <x:c r="AS367" s="32"/>
      <x:c r="AT367" s="32"/>
      <x:c r="AU367" s="32"/>
      <x:c r="AV367" s="32"/>
      <x:c r="AW367" s="32"/>
      <x:c r="AX367" s="32"/>
      <x:c r="AZ367" s="32"/>
      <x:c r="BA367" s="32"/>
      <x:c r="BB367" s="32"/>
      <x:c r="BC367" s="32"/>
      <x:c r="BD367" s="32"/>
      <x:c r="BE367" s="32"/>
      <x:c r="BF367" s="32"/>
      <x:c r="BG367" s="32"/>
      <x:c r="BH367" s="32"/>
      <x:c r="BI367" s="32"/>
      <x:c r="BJ367" s="32"/>
      <x:c r="BK367" s="32"/>
      <x:c r="BL367" s="32"/>
      <x:c r="BM367" s="32"/>
    </x:row>
    <x:row r="368">
      <x:c r="A368" s="32"/>
      <x:c r="B368" s="32"/>
      <x:c r="C368" s="42"/>
      <x:c r="D368" s="32"/>
      <x:c r="E368" s="32"/>
      <x:c r="F368" s="32"/>
      <x:c r="G368" s="32"/>
      <x:c r="H368" s="32"/>
      <x:c r="I368" s="32"/>
      <x:c r="J368" s="32"/>
      <x:c r="K368" s="32"/>
      <x:c r="L368" s="32"/>
      <x:c r="M368" s="32"/>
      <x:c r="N368" s="32"/>
      <x:c r="O368" s="32"/>
      <x:c r="P368" s="32"/>
      <x:c r="Q368" s="32"/>
      <x:c r="R368" s="32"/>
      <x:c r="S368" s="32"/>
      <x:c r="T368" s="43" t="str">
        <x:f>IFERROR(S368/L368,"")</x:f>
      </x:c>
      <x:c r="U368" s="32"/>
      <x:c r="V368" s="32"/>
      <x:c r="W368" s="32"/>
      <x:c r="X368" s="32"/>
      <x:c r="Y368" s="32"/>
      <x:c r="Z368" s="32"/>
      <x:c r="AA368" s="32"/>
      <x:c r="AB368" s="32"/>
      <x:c r="AC368" s="32"/>
      <x:c r="AD368" s="32"/>
      <x:c r="AE368" s="32"/>
      <x:c r="AF368" s="32"/>
      <x:c r="AG368" s="32"/>
      <x:c r="AH368" s="32"/>
      <x:c r="AI368" s="32"/>
      <x:c r="AJ368" s="32"/>
      <x:c r="AK368" s="32"/>
      <x:c r="AL368" s="32"/>
      <x:c r="AM368" s="32"/>
      <x:c r="AN368" s="32"/>
      <x:c r="AO368" s="32"/>
      <x:c r="AP368" s="32"/>
      <x:c r="AQ368" s="32"/>
      <x:c r="AR368" s="32"/>
      <x:c r="AS368" s="32"/>
      <x:c r="AT368" s="32"/>
      <x:c r="AU368" s="32"/>
      <x:c r="AV368" s="32"/>
      <x:c r="AW368" s="32"/>
      <x:c r="AX368" s="32"/>
      <x:c r="AZ368" s="32"/>
      <x:c r="BA368" s="32"/>
      <x:c r="BB368" s="32"/>
      <x:c r="BC368" s="32"/>
      <x:c r="BD368" s="32"/>
      <x:c r="BE368" s="32"/>
      <x:c r="BF368" s="32"/>
      <x:c r="BG368" s="32"/>
      <x:c r="BH368" s="32"/>
      <x:c r="BI368" s="32"/>
      <x:c r="BJ368" s="32"/>
      <x:c r="BK368" s="32"/>
      <x:c r="BL368" s="32"/>
      <x:c r="BM368" s="32"/>
    </x:row>
    <x:row r="369">
      <x:c r="A369" s="32"/>
      <x:c r="B369" s="32"/>
      <x:c r="C369" s="42"/>
      <x:c r="D369" s="32"/>
      <x:c r="E369" s="32"/>
      <x:c r="F369" s="32"/>
      <x:c r="G369" s="32"/>
      <x:c r="H369" s="32"/>
      <x:c r="I369" s="32"/>
      <x:c r="J369" s="32"/>
      <x:c r="K369" s="32"/>
      <x:c r="L369" s="32"/>
      <x:c r="M369" s="32"/>
      <x:c r="N369" s="32"/>
      <x:c r="O369" s="32"/>
      <x:c r="P369" s="32"/>
      <x:c r="Q369" s="32"/>
      <x:c r="R369" s="32"/>
      <x:c r="S369" s="32"/>
      <x:c r="T369" s="43" t="str">
        <x:f>IFERROR(S369/L369,"")</x:f>
      </x:c>
      <x:c r="U369" s="32"/>
      <x:c r="V369" s="32"/>
      <x:c r="W369" s="32"/>
      <x:c r="X369" s="32"/>
      <x:c r="Y369" s="32"/>
      <x:c r="Z369" s="32"/>
      <x:c r="AA369" s="32"/>
      <x:c r="AB369" s="32"/>
      <x:c r="AC369" s="32"/>
      <x:c r="AD369" s="32"/>
      <x:c r="AE369" s="32"/>
      <x:c r="AF369" s="32"/>
      <x:c r="AG369" s="32"/>
      <x:c r="AH369" s="32"/>
      <x:c r="AI369" s="32"/>
      <x:c r="AJ369" s="32"/>
      <x:c r="AK369" s="32"/>
      <x:c r="AL369" s="32"/>
      <x:c r="AM369" s="32"/>
      <x:c r="AN369" s="32"/>
      <x:c r="AO369" s="32"/>
      <x:c r="AP369" s="32"/>
      <x:c r="AQ369" s="32"/>
      <x:c r="AR369" s="32"/>
      <x:c r="AS369" s="32"/>
      <x:c r="AT369" s="32"/>
      <x:c r="AU369" s="32"/>
      <x:c r="AV369" s="32"/>
      <x:c r="AW369" s="32"/>
      <x:c r="AX369" s="32"/>
      <x:c r="AZ369" s="32"/>
      <x:c r="BA369" s="32"/>
      <x:c r="BB369" s="32"/>
      <x:c r="BC369" s="32"/>
      <x:c r="BD369" s="32"/>
      <x:c r="BE369" s="32"/>
      <x:c r="BF369" s="32"/>
      <x:c r="BG369" s="32"/>
      <x:c r="BH369" s="32"/>
      <x:c r="BI369" s="32"/>
      <x:c r="BJ369" s="32"/>
      <x:c r="BK369" s="32"/>
      <x:c r="BL369" s="32"/>
      <x:c r="BM369" s="32"/>
    </x:row>
    <x:row r="370">
      <x:c r="A370" s="32"/>
      <x:c r="B370" s="32"/>
      <x:c r="C370" s="42"/>
      <x:c r="D370" s="32"/>
      <x:c r="E370" s="32"/>
      <x:c r="F370" s="32"/>
      <x:c r="G370" s="32"/>
      <x:c r="H370" s="32"/>
      <x:c r="I370" s="32"/>
      <x:c r="J370" s="32"/>
      <x:c r="K370" s="32"/>
      <x:c r="L370" s="32"/>
      <x:c r="M370" s="32"/>
      <x:c r="N370" s="32"/>
      <x:c r="O370" s="32"/>
      <x:c r="P370" s="32"/>
      <x:c r="Q370" s="32"/>
      <x:c r="R370" s="32"/>
      <x:c r="S370" s="32"/>
      <x:c r="T370" s="43" t="str">
        <x:f>IFERROR(S370/L370,"")</x:f>
      </x:c>
      <x:c r="U370" s="32"/>
      <x:c r="V370" s="32"/>
      <x:c r="W370" s="32"/>
      <x:c r="X370" s="32"/>
      <x:c r="Y370" s="32"/>
      <x:c r="Z370" s="32"/>
      <x:c r="AA370" s="32"/>
      <x:c r="AB370" s="32"/>
      <x:c r="AC370" s="32"/>
      <x:c r="AD370" s="32"/>
      <x:c r="AE370" s="32"/>
      <x:c r="AF370" s="32"/>
      <x:c r="AG370" s="32"/>
      <x:c r="AH370" s="32"/>
      <x:c r="AI370" s="32"/>
      <x:c r="AJ370" s="32"/>
      <x:c r="AK370" s="32"/>
      <x:c r="AL370" s="32"/>
      <x:c r="AM370" s="32"/>
      <x:c r="AN370" s="32"/>
      <x:c r="AO370" s="32"/>
      <x:c r="AP370" s="32"/>
      <x:c r="AQ370" s="32"/>
      <x:c r="AR370" s="32"/>
      <x:c r="AS370" s="32"/>
      <x:c r="AT370" s="32"/>
      <x:c r="AU370" s="32"/>
      <x:c r="AV370" s="32"/>
      <x:c r="AW370" s="32"/>
      <x:c r="AX370" s="32"/>
      <x:c r="AZ370" s="32"/>
      <x:c r="BA370" s="32"/>
      <x:c r="BB370" s="32"/>
      <x:c r="BC370" s="32"/>
      <x:c r="BD370" s="32"/>
      <x:c r="BE370" s="32"/>
      <x:c r="BF370" s="32"/>
      <x:c r="BG370" s="32"/>
      <x:c r="BH370" s="32"/>
      <x:c r="BI370" s="32"/>
      <x:c r="BJ370" s="32"/>
      <x:c r="BK370" s="32"/>
      <x:c r="BL370" s="32"/>
      <x:c r="BM370" s="32"/>
    </x:row>
    <x:row r="371">
      <x:c r="A371" s="32"/>
      <x:c r="B371" s="32"/>
      <x:c r="C371" s="42"/>
      <x:c r="D371" s="32"/>
      <x:c r="E371" s="32"/>
      <x:c r="F371" s="32"/>
      <x:c r="G371" s="32"/>
      <x:c r="H371" s="32"/>
      <x:c r="I371" s="32"/>
      <x:c r="J371" s="32"/>
      <x:c r="K371" s="32"/>
      <x:c r="L371" s="32"/>
      <x:c r="M371" s="32"/>
      <x:c r="N371" s="32"/>
      <x:c r="O371" s="32"/>
      <x:c r="P371" s="32"/>
      <x:c r="Q371" s="32"/>
      <x:c r="R371" s="32"/>
      <x:c r="S371" s="32"/>
      <x:c r="T371" s="43" t="str">
        <x:f>IFERROR(S371/L371,"")</x:f>
      </x:c>
      <x:c r="U371" s="32"/>
      <x:c r="V371" s="32"/>
      <x:c r="W371" s="32"/>
      <x:c r="X371" s="32"/>
      <x:c r="Y371" s="32"/>
      <x:c r="Z371" s="32"/>
      <x:c r="AA371" s="32"/>
      <x:c r="AB371" s="32"/>
      <x:c r="AC371" s="32"/>
      <x:c r="AD371" s="32"/>
      <x:c r="AE371" s="32"/>
      <x:c r="AF371" s="32"/>
      <x:c r="AG371" s="32"/>
      <x:c r="AH371" s="32"/>
      <x:c r="AI371" s="32"/>
      <x:c r="AJ371" s="32"/>
      <x:c r="AK371" s="32"/>
      <x:c r="AL371" s="32"/>
      <x:c r="AM371" s="32"/>
      <x:c r="AN371" s="32"/>
      <x:c r="AO371" s="32"/>
      <x:c r="AP371" s="32"/>
      <x:c r="AQ371" s="32"/>
      <x:c r="AR371" s="32"/>
      <x:c r="AS371" s="32"/>
      <x:c r="AT371" s="32"/>
      <x:c r="AU371" s="32"/>
      <x:c r="AV371" s="32"/>
      <x:c r="AW371" s="32"/>
      <x:c r="AX371" s="32"/>
      <x:c r="AZ371" s="32"/>
      <x:c r="BA371" s="32"/>
      <x:c r="BB371" s="32"/>
      <x:c r="BC371" s="32"/>
      <x:c r="BD371" s="32"/>
      <x:c r="BE371" s="32"/>
      <x:c r="BF371" s="32"/>
      <x:c r="BG371" s="32"/>
      <x:c r="BH371" s="32"/>
      <x:c r="BI371" s="32"/>
      <x:c r="BJ371" s="32"/>
      <x:c r="BK371" s="32"/>
      <x:c r="BL371" s="32"/>
      <x:c r="BM371" s="32"/>
    </x:row>
    <x:row r="372">
      <x:c r="A372" s="32"/>
      <x:c r="B372" s="32"/>
      <x:c r="C372" s="42"/>
      <x:c r="D372" s="32"/>
      <x:c r="E372" s="32"/>
      <x:c r="F372" s="32"/>
      <x:c r="G372" s="32"/>
      <x:c r="H372" s="32"/>
      <x:c r="I372" s="32"/>
      <x:c r="J372" s="32"/>
      <x:c r="K372" s="32"/>
      <x:c r="L372" s="32"/>
      <x:c r="M372" s="32"/>
      <x:c r="N372" s="32"/>
      <x:c r="O372" s="32"/>
      <x:c r="P372" s="32"/>
      <x:c r="Q372" s="32"/>
      <x:c r="R372" s="32"/>
      <x:c r="S372" s="32"/>
      <x:c r="T372" s="43" t="str">
        <x:f>IFERROR(S372/L372,"")</x:f>
      </x:c>
      <x:c r="U372" s="32"/>
      <x:c r="V372" s="32"/>
      <x:c r="W372" s="32"/>
      <x:c r="X372" s="32"/>
      <x:c r="Y372" s="32"/>
      <x:c r="Z372" s="32"/>
      <x:c r="AA372" s="32"/>
      <x:c r="AB372" s="32"/>
      <x:c r="AC372" s="32"/>
      <x:c r="AD372" s="32"/>
      <x:c r="AE372" s="32"/>
      <x:c r="AF372" s="32"/>
      <x:c r="AG372" s="32"/>
      <x:c r="AH372" s="32"/>
      <x:c r="AI372" s="32"/>
      <x:c r="AJ372" s="32"/>
      <x:c r="AK372" s="32"/>
      <x:c r="AL372" s="32"/>
      <x:c r="AM372" s="32"/>
      <x:c r="AN372" s="32"/>
      <x:c r="AO372" s="32"/>
      <x:c r="AP372" s="32"/>
      <x:c r="AQ372" s="32"/>
      <x:c r="AR372" s="32"/>
      <x:c r="AS372" s="32"/>
      <x:c r="AT372" s="32"/>
      <x:c r="AU372" s="32"/>
      <x:c r="AV372" s="32"/>
      <x:c r="AW372" s="32"/>
      <x:c r="AX372" s="32"/>
      <x:c r="AZ372" s="32"/>
      <x:c r="BA372" s="32"/>
      <x:c r="BB372" s="32"/>
      <x:c r="BC372" s="32"/>
      <x:c r="BD372" s="32"/>
      <x:c r="BE372" s="32"/>
      <x:c r="BF372" s="32"/>
      <x:c r="BG372" s="32"/>
      <x:c r="BH372" s="32"/>
      <x:c r="BI372" s="32"/>
      <x:c r="BJ372" s="32"/>
      <x:c r="BK372" s="32"/>
      <x:c r="BL372" s="32"/>
      <x:c r="BM372" s="32"/>
    </x:row>
    <x:row r="373">
      <x:c r="A373" s="32"/>
      <x:c r="B373" s="32"/>
      <x:c r="C373" s="42"/>
      <x:c r="D373" s="32"/>
      <x:c r="E373" s="32"/>
      <x:c r="F373" s="32"/>
      <x:c r="G373" s="32"/>
      <x:c r="H373" s="32"/>
      <x:c r="I373" s="32"/>
      <x:c r="J373" s="32"/>
      <x:c r="K373" s="32"/>
      <x:c r="L373" s="32"/>
      <x:c r="M373" s="32"/>
      <x:c r="N373" s="32"/>
      <x:c r="O373" s="32"/>
      <x:c r="P373" s="32"/>
      <x:c r="Q373" s="32"/>
      <x:c r="R373" s="32"/>
      <x:c r="S373" s="32"/>
      <x:c r="T373" s="43" t="str">
        <x:f>IFERROR(S373/L373,"")</x:f>
      </x:c>
      <x:c r="U373" s="32"/>
      <x:c r="V373" s="32"/>
      <x:c r="W373" s="32"/>
      <x:c r="X373" s="32"/>
      <x:c r="Y373" s="32"/>
      <x:c r="Z373" s="32"/>
      <x:c r="AA373" s="32"/>
      <x:c r="AB373" s="32"/>
      <x:c r="AC373" s="32"/>
      <x:c r="AD373" s="32"/>
      <x:c r="AE373" s="32"/>
      <x:c r="AF373" s="32"/>
      <x:c r="AG373" s="32"/>
      <x:c r="AH373" s="32"/>
      <x:c r="AI373" s="32"/>
      <x:c r="AJ373" s="32"/>
      <x:c r="AK373" s="32"/>
      <x:c r="AL373" s="32"/>
      <x:c r="AM373" s="32"/>
      <x:c r="AN373" s="32"/>
      <x:c r="AO373" s="32"/>
      <x:c r="AP373" s="32"/>
      <x:c r="AQ373" s="32"/>
      <x:c r="AR373" s="32"/>
      <x:c r="AS373" s="32"/>
      <x:c r="AT373" s="32"/>
      <x:c r="AU373" s="32"/>
      <x:c r="AV373" s="32"/>
      <x:c r="AW373" s="32"/>
      <x:c r="AX373" s="32"/>
      <x:c r="AZ373" s="32"/>
      <x:c r="BA373" s="32"/>
      <x:c r="BB373" s="32"/>
      <x:c r="BC373" s="32"/>
      <x:c r="BD373" s="32"/>
      <x:c r="BE373" s="32"/>
      <x:c r="BF373" s="32"/>
      <x:c r="BG373" s="32"/>
      <x:c r="BH373" s="32"/>
      <x:c r="BI373" s="32"/>
      <x:c r="BJ373" s="32"/>
      <x:c r="BK373" s="32"/>
      <x:c r="BL373" s="32"/>
      <x:c r="BM373" s="32"/>
    </x:row>
    <x:row r="374">
      <x:c r="A374" s="32"/>
      <x:c r="B374" s="32"/>
      <x:c r="C374" s="42"/>
      <x:c r="D374" s="32"/>
      <x:c r="E374" s="32"/>
      <x:c r="F374" s="32"/>
      <x:c r="G374" s="32"/>
      <x:c r="H374" s="32"/>
      <x:c r="I374" s="32"/>
      <x:c r="J374" s="32"/>
      <x:c r="K374" s="32"/>
      <x:c r="L374" s="32"/>
      <x:c r="M374" s="32"/>
      <x:c r="N374" s="32"/>
      <x:c r="O374" s="32"/>
      <x:c r="P374" s="32"/>
      <x:c r="Q374" s="32"/>
      <x:c r="R374" s="32"/>
      <x:c r="S374" s="32"/>
      <x:c r="T374" s="43" t="str">
        <x:f>IFERROR(S374/L374,"")</x:f>
      </x:c>
      <x:c r="U374" s="32"/>
      <x:c r="V374" s="32"/>
      <x:c r="W374" s="32"/>
      <x:c r="X374" s="32"/>
      <x:c r="Y374" s="32"/>
      <x:c r="Z374" s="32"/>
      <x:c r="AA374" s="32"/>
      <x:c r="AB374" s="32"/>
      <x:c r="AC374" s="32"/>
      <x:c r="AD374" s="32"/>
      <x:c r="AE374" s="32"/>
      <x:c r="AF374" s="32"/>
      <x:c r="AG374" s="32"/>
      <x:c r="AH374" s="32"/>
      <x:c r="AI374" s="32"/>
      <x:c r="AJ374" s="32"/>
      <x:c r="AK374" s="32"/>
      <x:c r="AL374" s="32"/>
      <x:c r="AM374" s="32"/>
      <x:c r="AN374" s="32"/>
      <x:c r="AO374" s="32"/>
      <x:c r="AP374" s="32"/>
      <x:c r="AQ374" s="32"/>
      <x:c r="AR374" s="32"/>
      <x:c r="AS374" s="32"/>
      <x:c r="AT374" s="32"/>
      <x:c r="AU374" s="32"/>
      <x:c r="AV374" s="32"/>
      <x:c r="AW374" s="32"/>
      <x:c r="AX374" s="32"/>
      <x:c r="AZ374" s="32"/>
      <x:c r="BA374" s="32"/>
      <x:c r="BB374" s="32"/>
      <x:c r="BC374" s="32"/>
      <x:c r="BD374" s="32"/>
      <x:c r="BE374" s="32"/>
      <x:c r="BF374" s="32"/>
      <x:c r="BG374" s="32"/>
      <x:c r="BH374" s="32"/>
      <x:c r="BI374" s="32"/>
      <x:c r="BJ374" s="32"/>
      <x:c r="BK374" s="32"/>
      <x:c r="BL374" s="32"/>
      <x:c r="BM374" s="32"/>
    </x:row>
    <x:row r="375">
      <x:c r="A375" s="32"/>
      <x:c r="B375" s="32"/>
      <x:c r="C375" s="42"/>
      <x:c r="D375" s="32"/>
      <x:c r="E375" s="32"/>
      <x:c r="F375" s="32"/>
      <x:c r="G375" s="32"/>
      <x:c r="H375" s="32"/>
      <x:c r="I375" s="32"/>
      <x:c r="J375" s="32"/>
      <x:c r="K375" s="32"/>
      <x:c r="L375" s="32"/>
      <x:c r="M375" s="32"/>
      <x:c r="N375" s="32"/>
      <x:c r="O375" s="32"/>
      <x:c r="P375" s="32"/>
      <x:c r="Q375" s="32"/>
      <x:c r="R375" s="32"/>
      <x:c r="S375" s="32"/>
      <x:c r="T375" s="43" t="str">
        <x:f>IFERROR(S375/L375,"")</x:f>
      </x:c>
      <x:c r="U375" s="32"/>
      <x:c r="V375" s="32"/>
      <x:c r="W375" s="32"/>
      <x:c r="X375" s="32"/>
      <x:c r="Y375" s="32"/>
      <x:c r="Z375" s="32"/>
      <x:c r="AA375" s="32"/>
      <x:c r="AB375" s="32"/>
      <x:c r="AC375" s="32"/>
      <x:c r="AD375" s="32"/>
      <x:c r="AE375" s="32"/>
      <x:c r="AF375" s="32"/>
      <x:c r="AG375" s="32"/>
      <x:c r="AH375" s="32"/>
      <x:c r="AI375" s="32"/>
      <x:c r="AJ375" s="32"/>
      <x:c r="AK375" s="32"/>
      <x:c r="AL375" s="32"/>
      <x:c r="AM375" s="32"/>
      <x:c r="AN375" s="32"/>
      <x:c r="AO375" s="32"/>
      <x:c r="AP375" s="32"/>
      <x:c r="AQ375" s="32"/>
      <x:c r="AR375" s="32"/>
      <x:c r="AS375" s="32"/>
      <x:c r="AT375" s="32"/>
      <x:c r="AU375" s="32"/>
      <x:c r="AV375" s="32"/>
      <x:c r="AW375" s="32"/>
      <x:c r="AX375" s="32"/>
      <x:c r="AZ375" s="32"/>
      <x:c r="BA375" s="32"/>
      <x:c r="BB375" s="32"/>
      <x:c r="BC375" s="32"/>
      <x:c r="BD375" s="32"/>
      <x:c r="BE375" s="32"/>
      <x:c r="BF375" s="32"/>
      <x:c r="BG375" s="32"/>
      <x:c r="BH375" s="32"/>
      <x:c r="BI375" s="32"/>
      <x:c r="BJ375" s="32"/>
      <x:c r="BK375" s="32"/>
      <x:c r="BL375" s="32"/>
      <x:c r="BM375" s="32"/>
    </x:row>
    <x:row r="376">
      <x:c r="A376" s="32"/>
      <x:c r="B376" s="32"/>
      <x:c r="C376" s="42"/>
      <x:c r="D376" s="32"/>
      <x:c r="E376" s="32"/>
      <x:c r="F376" s="32"/>
      <x:c r="G376" s="32"/>
      <x:c r="H376" s="32"/>
      <x:c r="I376" s="32"/>
      <x:c r="J376" s="32"/>
      <x:c r="K376" s="32"/>
      <x:c r="L376" s="32"/>
      <x:c r="M376" s="32"/>
      <x:c r="N376" s="32"/>
      <x:c r="O376" s="32"/>
      <x:c r="P376" s="32"/>
      <x:c r="Q376" s="32"/>
      <x:c r="R376" s="32"/>
      <x:c r="S376" s="32"/>
      <x:c r="T376" s="43" t="str">
        <x:f>IFERROR(S376/L376,"")</x:f>
      </x:c>
      <x:c r="U376" s="32"/>
      <x:c r="V376" s="32"/>
      <x:c r="W376" s="32"/>
      <x:c r="X376" s="32"/>
      <x:c r="Y376" s="32"/>
      <x:c r="Z376" s="32"/>
      <x:c r="AA376" s="32"/>
      <x:c r="AB376" s="32"/>
      <x:c r="AC376" s="32"/>
      <x:c r="AD376" s="32"/>
      <x:c r="AE376" s="32"/>
      <x:c r="AF376" s="32"/>
      <x:c r="AG376" s="32"/>
      <x:c r="AH376" s="32"/>
      <x:c r="AI376" s="32"/>
      <x:c r="AJ376" s="32"/>
      <x:c r="AK376" s="32"/>
      <x:c r="AL376" s="32"/>
      <x:c r="AM376" s="32"/>
      <x:c r="AN376" s="32"/>
      <x:c r="AO376" s="32"/>
      <x:c r="AP376" s="32"/>
      <x:c r="AQ376" s="32"/>
      <x:c r="AR376" s="32"/>
      <x:c r="AS376" s="32"/>
      <x:c r="AT376" s="32"/>
      <x:c r="AU376" s="32"/>
      <x:c r="AV376" s="32"/>
      <x:c r="AW376" s="32"/>
      <x:c r="AX376" s="32"/>
      <x:c r="AZ376" s="32"/>
      <x:c r="BA376" s="32"/>
      <x:c r="BB376" s="32"/>
      <x:c r="BC376" s="32"/>
      <x:c r="BD376" s="32"/>
      <x:c r="BE376" s="32"/>
      <x:c r="BF376" s="32"/>
      <x:c r="BG376" s="32"/>
      <x:c r="BH376" s="32"/>
      <x:c r="BI376" s="32"/>
      <x:c r="BJ376" s="32"/>
      <x:c r="BK376" s="32"/>
      <x:c r="BL376" s="32"/>
      <x:c r="BM376" s="32"/>
    </x:row>
    <x:row r="377">
      <x:c r="A377" s="32"/>
      <x:c r="B377" s="32"/>
      <x:c r="C377" s="42"/>
      <x:c r="D377" s="32"/>
      <x:c r="E377" s="32"/>
      <x:c r="F377" s="32"/>
      <x:c r="G377" s="32"/>
      <x:c r="H377" s="32"/>
      <x:c r="I377" s="32"/>
      <x:c r="J377" s="32"/>
      <x:c r="K377" s="32"/>
      <x:c r="L377" s="32"/>
      <x:c r="M377" s="32"/>
      <x:c r="N377" s="32"/>
      <x:c r="O377" s="32"/>
      <x:c r="P377" s="32"/>
      <x:c r="Q377" s="32"/>
      <x:c r="R377" s="32"/>
      <x:c r="S377" s="32"/>
      <x:c r="T377" s="43" t="str">
        <x:f>IFERROR(S377/L377,"")</x:f>
      </x:c>
      <x:c r="U377" s="32"/>
      <x:c r="V377" s="32"/>
      <x:c r="W377" s="32"/>
      <x:c r="X377" s="32"/>
      <x:c r="Y377" s="32"/>
      <x:c r="Z377" s="32"/>
      <x:c r="AA377" s="32"/>
      <x:c r="AB377" s="32"/>
      <x:c r="AC377" s="32"/>
      <x:c r="AD377" s="32"/>
      <x:c r="AE377" s="32"/>
      <x:c r="AF377" s="32"/>
      <x:c r="AG377" s="32"/>
      <x:c r="AH377" s="32"/>
      <x:c r="AI377" s="32"/>
      <x:c r="AJ377" s="32"/>
      <x:c r="AK377" s="32"/>
      <x:c r="AL377" s="32"/>
      <x:c r="AM377" s="32"/>
      <x:c r="AN377" s="32"/>
      <x:c r="AO377" s="32"/>
      <x:c r="AP377" s="32"/>
      <x:c r="AQ377" s="32"/>
      <x:c r="AR377" s="32"/>
      <x:c r="AS377" s="32"/>
      <x:c r="AT377" s="32"/>
      <x:c r="AU377" s="32"/>
      <x:c r="AV377" s="32"/>
      <x:c r="AW377" s="32"/>
      <x:c r="AX377" s="32"/>
      <x:c r="AZ377" s="32"/>
      <x:c r="BA377" s="32"/>
      <x:c r="BB377" s="32"/>
      <x:c r="BC377" s="32"/>
      <x:c r="BD377" s="32"/>
      <x:c r="BE377" s="32"/>
      <x:c r="BF377" s="32"/>
      <x:c r="BG377" s="32"/>
      <x:c r="BH377" s="32"/>
      <x:c r="BI377" s="32"/>
      <x:c r="BJ377" s="32"/>
      <x:c r="BK377" s="32"/>
      <x:c r="BL377" s="32"/>
      <x:c r="BM377" s="32"/>
    </x:row>
    <x:row r="378">
      <x:c r="A378" s="32"/>
      <x:c r="B378" s="32"/>
      <x:c r="C378" s="42"/>
      <x:c r="D378" s="32"/>
      <x:c r="E378" s="32"/>
      <x:c r="F378" s="32"/>
      <x:c r="G378" s="32"/>
      <x:c r="H378" s="32"/>
      <x:c r="I378" s="32"/>
      <x:c r="J378" s="32"/>
      <x:c r="K378" s="32"/>
      <x:c r="L378" s="32"/>
      <x:c r="M378" s="32"/>
      <x:c r="N378" s="32"/>
      <x:c r="O378" s="32"/>
      <x:c r="P378" s="32"/>
      <x:c r="Q378" s="32"/>
      <x:c r="R378" s="32"/>
      <x:c r="S378" s="32"/>
      <x:c r="T378" s="43" t="str">
        <x:f>IFERROR(S378/L378,"")</x:f>
      </x:c>
      <x:c r="U378" s="32"/>
      <x:c r="V378" s="32"/>
      <x:c r="W378" s="32"/>
      <x:c r="X378" s="32"/>
      <x:c r="Y378" s="32"/>
      <x:c r="Z378" s="32"/>
      <x:c r="AA378" s="32"/>
      <x:c r="AB378" s="32"/>
      <x:c r="AC378" s="32"/>
      <x:c r="AD378" s="32"/>
      <x:c r="AE378" s="32"/>
      <x:c r="AF378" s="32"/>
      <x:c r="AG378" s="32"/>
      <x:c r="AH378" s="32"/>
      <x:c r="AI378" s="32"/>
      <x:c r="AJ378" s="32"/>
      <x:c r="AK378" s="32"/>
      <x:c r="AL378" s="32"/>
      <x:c r="AM378" s="32"/>
      <x:c r="AN378" s="32"/>
      <x:c r="AO378" s="32"/>
      <x:c r="AP378" s="32"/>
      <x:c r="AQ378" s="32"/>
      <x:c r="AR378" s="32"/>
      <x:c r="AS378" s="32"/>
      <x:c r="AT378" s="32"/>
      <x:c r="AU378" s="32"/>
      <x:c r="AV378" s="32"/>
      <x:c r="AW378" s="32"/>
      <x:c r="AX378" s="32"/>
      <x:c r="AZ378" s="32"/>
      <x:c r="BA378" s="32"/>
      <x:c r="BB378" s="32"/>
      <x:c r="BC378" s="32"/>
      <x:c r="BD378" s="32"/>
      <x:c r="BE378" s="32"/>
      <x:c r="BF378" s="32"/>
      <x:c r="BG378" s="32"/>
      <x:c r="BH378" s="32"/>
      <x:c r="BI378" s="32"/>
      <x:c r="BJ378" s="32"/>
      <x:c r="BK378" s="32"/>
      <x:c r="BL378" s="32"/>
      <x:c r="BM378" s="32"/>
    </x:row>
    <x:row r="379">
      <x:c r="A379" s="32"/>
      <x:c r="B379" s="32"/>
      <x:c r="C379" s="42"/>
      <x:c r="D379" s="32"/>
      <x:c r="E379" s="32"/>
      <x:c r="F379" s="32"/>
      <x:c r="G379" s="32"/>
      <x:c r="H379" s="32"/>
      <x:c r="I379" s="32"/>
      <x:c r="J379" s="32"/>
      <x:c r="K379" s="32"/>
      <x:c r="L379" s="32"/>
      <x:c r="M379" s="32"/>
      <x:c r="N379" s="32"/>
      <x:c r="O379" s="32"/>
      <x:c r="P379" s="32"/>
      <x:c r="Q379" s="32"/>
      <x:c r="R379" s="32"/>
      <x:c r="S379" s="32"/>
      <x:c r="T379" s="43" t="str">
        <x:f>IFERROR(S379/L379,"")</x:f>
      </x:c>
      <x:c r="U379" s="32"/>
      <x:c r="V379" s="32"/>
      <x:c r="W379" s="32"/>
      <x:c r="X379" s="32"/>
      <x:c r="Y379" s="32"/>
      <x:c r="Z379" s="32"/>
      <x:c r="AA379" s="32"/>
      <x:c r="AB379" s="32"/>
      <x:c r="AC379" s="32"/>
      <x:c r="AD379" s="32"/>
      <x:c r="AE379" s="32"/>
      <x:c r="AF379" s="32"/>
      <x:c r="AG379" s="32"/>
      <x:c r="AH379" s="32"/>
      <x:c r="AI379" s="32"/>
      <x:c r="AJ379" s="32"/>
      <x:c r="AK379" s="32"/>
      <x:c r="AL379" s="32"/>
      <x:c r="AM379" s="32"/>
      <x:c r="AN379" s="32"/>
      <x:c r="AO379" s="32"/>
      <x:c r="AP379" s="32"/>
      <x:c r="AQ379" s="32"/>
      <x:c r="AR379" s="32"/>
      <x:c r="AS379" s="32"/>
      <x:c r="AT379" s="32"/>
      <x:c r="AU379" s="32"/>
      <x:c r="AV379" s="32"/>
      <x:c r="AW379" s="32"/>
      <x:c r="AX379" s="32"/>
      <x:c r="AZ379" s="32"/>
      <x:c r="BA379" s="32"/>
      <x:c r="BB379" s="32"/>
      <x:c r="BC379" s="32"/>
      <x:c r="BD379" s="32"/>
      <x:c r="BE379" s="32"/>
      <x:c r="BF379" s="32"/>
      <x:c r="BG379" s="32"/>
      <x:c r="BH379" s="32"/>
      <x:c r="BI379" s="32"/>
      <x:c r="BJ379" s="32"/>
      <x:c r="BK379" s="32"/>
      <x:c r="BL379" s="32"/>
      <x:c r="BM379" s="32"/>
    </x:row>
    <x:row r="380">
      <x:c r="A380" s="32"/>
      <x:c r="B380" s="32"/>
      <x:c r="C380" s="42"/>
      <x:c r="D380" s="32"/>
      <x:c r="E380" s="32"/>
      <x:c r="F380" s="32"/>
      <x:c r="G380" s="32"/>
      <x:c r="H380" s="32"/>
      <x:c r="I380" s="32"/>
      <x:c r="J380" s="32"/>
      <x:c r="K380" s="32"/>
      <x:c r="L380" s="32"/>
      <x:c r="M380" s="32"/>
      <x:c r="N380" s="32"/>
      <x:c r="O380" s="32"/>
      <x:c r="P380" s="32"/>
      <x:c r="Q380" s="32"/>
      <x:c r="R380" s="32"/>
      <x:c r="S380" s="32"/>
      <x:c r="T380" s="43" t="str">
        <x:f>IFERROR(S380/L380,"")</x:f>
      </x:c>
      <x:c r="U380" s="32"/>
      <x:c r="V380" s="32"/>
      <x:c r="W380" s="32"/>
      <x:c r="X380" s="32"/>
      <x:c r="Y380" s="32"/>
      <x:c r="Z380" s="32"/>
      <x:c r="AA380" s="32"/>
      <x:c r="AB380" s="32"/>
      <x:c r="AC380" s="32"/>
      <x:c r="AD380" s="32"/>
      <x:c r="AE380" s="32"/>
      <x:c r="AF380" s="32"/>
      <x:c r="AG380" s="32"/>
      <x:c r="AH380" s="32"/>
      <x:c r="AI380" s="32"/>
      <x:c r="AJ380" s="32"/>
      <x:c r="AK380" s="32"/>
      <x:c r="AL380" s="32"/>
      <x:c r="AM380" s="32"/>
      <x:c r="AN380" s="32"/>
      <x:c r="AO380" s="32"/>
      <x:c r="AP380" s="32"/>
      <x:c r="AQ380" s="32"/>
      <x:c r="AR380" s="32"/>
      <x:c r="AS380" s="32"/>
      <x:c r="AT380" s="32"/>
      <x:c r="AU380" s="32"/>
      <x:c r="AV380" s="32"/>
      <x:c r="AW380" s="32"/>
      <x:c r="AX380" s="32"/>
      <x:c r="AZ380" s="32"/>
      <x:c r="BA380" s="32"/>
      <x:c r="BB380" s="32"/>
      <x:c r="BC380" s="32"/>
      <x:c r="BD380" s="32"/>
      <x:c r="BE380" s="32"/>
      <x:c r="BF380" s="32"/>
      <x:c r="BG380" s="32"/>
      <x:c r="BH380" s="32"/>
      <x:c r="BI380" s="32"/>
      <x:c r="BJ380" s="32"/>
      <x:c r="BK380" s="32"/>
      <x:c r="BL380" s="32"/>
      <x:c r="BM380" s="32"/>
    </x:row>
    <x:row r="381">
      <x:c r="A381" s="32"/>
      <x:c r="B381" s="32"/>
      <x:c r="C381" s="42"/>
      <x:c r="D381" s="32"/>
      <x:c r="E381" s="32"/>
      <x:c r="F381" s="32"/>
      <x:c r="G381" s="32"/>
      <x:c r="H381" s="32"/>
      <x:c r="I381" s="32"/>
      <x:c r="J381" s="32"/>
      <x:c r="K381" s="32"/>
      <x:c r="L381" s="32"/>
      <x:c r="M381" s="32"/>
      <x:c r="N381" s="32"/>
      <x:c r="O381" s="32"/>
      <x:c r="P381" s="32"/>
      <x:c r="Q381" s="32"/>
      <x:c r="R381" s="32"/>
      <x:c r="S381" s="32"/>
      <x:c r="T381" s="43" t="str">
        <x:f>IFERROR(S381/L381,"")</x:f>
      </x:c>
      <x:c r="U381" s="32"/>
      <x:c r="V381" s="32"/>
      <x:c r="W381" s="32"/>
      <x:c r="X381" s="32"/>
      <x:c r="Y381" s="32"/>
      <x:c r="Z381" s="32"/>
      <x:c r="AA381" s="32"/>
      <x:c r="AB381" s="32"/>
      <x:c r="AC381" s="32"/>
      <x:c r="AD381" s="32"/>
      <x:c r="AE381" s="32"/>
      <x:c r="AF381" s="32"/>
      <x:c r="AG381" s="32"/>
      <x:c r="AH381" s="32"/>
      <x:c r="AI381" s="32"/>
      <x:c r="AJ381" s="32"/>
      <x:c r="AK381" s="32"/>
      <x:c r="AL381" s="32"/>
      <x:c r="AM381" s="32"/>
      <x:c r="AN381" s="32"/>
      <x:c r="AO381" s="32"/>
      <x:c r="AP381" s="32"/>
      <x:c r="AQ381" s="32"/>
      <x:c r="AR381" s="32"/>
      <x:c r="AS381" s="32"/>
      <x:c r="AT381" s="32"/>
      <x:c r="AU381" s="32"/>
      <x:c r="AV381" s="32"/>
      <x:c r="AW381" s="32"/>
      <x:c r="AX381" s="32"/>
      <x:c r="AZ381" s="32"/>
      <x:c r="BA381" s="32"/>
      <x:c r="BB381" s="32"/>
      <x:c r="BC381" s="32"/>
      <x:c r="BD381" s="32"/>
      <x:c r="BE381" s="32"/>
      <x:c r="BF381" s="32"/>
      <x:c r="BG381" s="32"/>
      <x:c r="BH381" s="32"/>
      <x:c r="BI381" s="32"/>
      <x:c r="BJ381" s="32"/>
      <x:c r="BK381" s="32"/>
      <x:c r="BL381" s="32"/>
      <x:c r="BM381" s="32"/>
    </x:row>
    <x:row r="382">
      <x:c r="A382" s="32"/>
      <x:c r="B382" s="32"/>
      <x:c r="C382" s="42"/>
      <x:c r="D382" s="32"/>
      <x:c r="E382" s="32"/>
      <x:c r="F382" s="32"/>
      <x:c r="G382" s="32"/>
      <x:c r="H382" s="32"/>
      <x:c r="I382" s="32"/>
      <x:c r="J382" s="32"/>
      <x:c r="K382" s="32"/>
      <x:c r="L382" s="32"/>
      <x:c r="M382" s="32"/>
      <x:c r="N382" s="32"/>
      <x:c r="O382" s="32"/>
      <x:c r="P382" s="32"/>
      <x:c r="Q382" s="32"/>
      <x:c r="R382" s="32"/>
      <x:c r="S382" s="32"/>
      <x:c r="T382" s="43" t="str">
        <x:f>IFERROR(S382/L382,"")</x:f>
      </x:c>
      <x:c r="U382" s="32"/>
      <x:c r="V382" s="32"/>
      <x:c r="W382" s="32"/>
      <x:c r="X382" s="32"/>
      <x:c r="Y382" s="32"/>
      <x:c r="Z382" s="32"/>
      <x:c r="AA382" s="32"/>
      <x:c r="AB382" s="32"/>
      <x:c r="AC382" s="32"/>
      <x:c r="AD382" s="32"/>
      <x:c r="AE382" s="32"/>
      <x:c r="AF382" s="32"/>
      <x:c r="AG382" s="32"/>
      <x:c r="AH382" s="32"/>
      <x:c r="AI382" s="32"/>
      <x:c r="AJ382" s="32"/>
      <x:c r="AK382" s="32"/>
      <x:c r="AL382" s="32"/>
      <x:c r="AM382" s="32"/>
      <x:c r="AN382" s="32"/>
      <x:c r="AO382" s="32"/>
      <x:c r="AP382" s="32"/>
      <x:c r="AQ382" s="32"/>
      <x:c r="AR382" s="32"/>
      <x:c r="AS382" s="32"/>
      <x:c r="AT382" s="32"/>
      <x:c r="AU382" s="32"/>
      <x:c r="AV382" s="32"/>
      <x:c r="AW382" s="32"/>
      <x:c r="AX382" s="32"/>
      <x:c r="AZ382" s="32"/>
      <x:c r="BA382" s="32"/>
      <x:c r="BB382" s="32"/>
      <x:c r="BC382" s="32"/>
      <x:c r="BD382" s="32"/>
      <x:c r="BE382" s="32"/>
      <x:c r="BF382" s="32"/>
      <x:c r="BG382" s="32"/>
      <x:c r="BH382" s="32"/>
      <x:c r="BI382" s="32"/>
      <x:c r="BJ382" s="32"/>
      <x:c r="BK382" s="32"/>
      <x:c r="BL382" s="32"/>
      <x:c r="BM382" s="32"/>
    </x:row>
    <x:row r="383">
      <x:c r="A383" s="32"/>
      <x:c r="B383" s="32"/>
      <x:c r="C383" s="42"/>
      <x:c r="D383" s="32"/>
      <x:c r="E383" s="32"/>
      <x:c r="F383" s="32"/>
      <x:c r="G383" s="32"/>
      <x:c r="H383" s="32"/>
      <x:c r="I383" s="32"/>
      <x:c r="J383" s="32"/>
      <x:c r="K383" s="32"/>
      <x:c r="L383" s="32"/>
      <x:c r="M383" s="32"/>
      <x:c r="N383" s="32"/>
      <x:c r="O383" s="32"/>
      <x:c r="P383" s="32"/>
      <x:c r="Q383" s="32"/>
      <x:c r="R383" s="32"/>
      <x:c r="S383" s="32"/>
      <x:c r="T383" s="43" t="str">
        <x:f>IFERROR(S383/L383,"")</x:f>
      </x:c>
      <x:c r="U383" s="32"/>
      <x:c r="V383" s="32"/>
      <x:c r="W383" s="32"/>
      <x:c r="X383" s="32"/>
      <x:c r="Y383" s="32"/>
      <x:c r="Z383" s="32"/>
      <x:c r="AA383" s="32"/>
      <x:c r="AB383" s="32"/>
      <x:c r="AC383" s="32"/>
      <x:c r="AD383" s="32"/>
      <x:c r="AE383" s="32"/>
      <x:c r="AF383" s="32"/>
      <x:c r="AG383" s="32"/>
      <x:c r="AH383" s="32"/>
      <x:c r="AI383" s="32"/>
      <x:c r="AJ383" s="32"/>
      <x:c r="AK383" s="32"/>
      <x:c r="AL383" s="32"/>
      <x:c r="AM383" s="32"/>
      <x:c r="AN383" s="32"/>
      <x:c r="AO383" s="32"/>
      <x:c r="AP383" s="32"/>
      <x:c r="AQ383" s="32"/>
      <x:c r="AR383" s="32"/>
      <x:c r="AS383" s="32"/>
      <x:c r="AT383" s="32"/>
      <x:c r="AU383" s="32"/>
      <x:c r="AV383" s="32"/>
      <x:c r="AW383" s="32"/>
      <x:c r="AX383" s="32"/>
      <x:c r="AZ383" s="32"/>
      <x:c r="BA383" s="32"/>
      <x:c r="BB383" s="32"/>
      <x:c r="BC383" s="32"/>
      <x:c r="BD383" s="32"/>
      <x:c r="BE383" s="32"/>
      <x:c r="BF383" s="32"/>
      <x:c r="BG383" s="32"/>
      <x:c r="BH383" s="32"/>
      <x:c r="BI383" s="32"/>
      <x:c r="BJ383" s="32"/>
      <x:c r="BK383" s="32"/>
      <x:c r="BL383" s="32"/>
      <x:c r="BM383" s="32"/>
    </x:row>
    <x:row r="384">
      <x:c r="A384" s="32"/>
      <x:c r="B384" s="32"/>
      <x:c r="C384" s="42"/>
      <x:c r="D384" s="32"/>
      <x:c r="E384" s="32"/>
      <x:c r="F384" s="32"/>
      <x:c r="G384" s="32"/>
      <x:c r="H384" s="32"/>
      <x:c r="I384" s="32"/>
      <x:c r="J384" s="32"/>
      <x:c r="K384" s="32"/>
      <x:c r="L384" s="32"/>
      <x:c r="M384" s="32"/>
      <x:c r="N384" s="32"/>
      <x:c r="O384" s="32"/>
      <x:c r="P384" s="32"/>
      <x:c r="Q384" s="32"/>
      <x:c r="R384" s="32"/>
      <x:c r="S384" s="32"/>
      <x:c r="T384" s="43" t="str">
        <x:f>IFERROR(S384/L384,"")</x:f>
      </x:c>
      <x:c r="U384" s="32"/>
      <x:c r="V384" s="32"/>
      <x:c r="W384" s="32"/>
      <x:c r="X384" s="32"/>
      <x:c r="Y384" s="32"/>
      <x:c r="Z384" s="32"/>
      <x:c r="AA384" s="32"/>
      <x:c r="AB384" s="32"/>
      <x:c r="AC384" s="32"/>
      <x:c r="AD384" s="32"/>
      <x:c r="AE384" s="32"/>
      <x:c r="AF384" s="32"/>
      <x:c r="AG384" s="32"/>
      <x:c r="AH384" s="32"/>
      <x:c r="AI384" s="32"/>
      <x:c r="AJ384" s="32"/>
      <x:c r="AK384" s="32"/>
      <x:c r="AL384" s="32"/>
      <x:c r="AM384" s="32"/>
      <x:c r="AN384" s="32"/>
      <x:c r="AO384" s="32"/>
      <x:c r="AP384" s="32"/>
      <x:c r="AQ384" s="32"/>
      <x:c r="AR384" s="32"/>
      <x:c r="AS384" s="32"/>
      <x:c r="AT384" s="32"/>
      <x:c r="AU384" s="32"/>
      <x:c r="AV384" s="32"/>
      <x:c r="AW384" s="32"/>
      <x:c r="AX384" s="32"/>
      <x:c r="AZ384" s="32"/>
      <x:c r="BA384" s="32"/>
      <x:c r="BB384" s="32"/>
      <x:c r="BC384" s="32"/>
      <x:c r="BD384" s="32"/>
      <x:c r="BE384" s="32"/>
      <x:c r="BF384" s="32"/>
      <x:c r="BG384" s="32"/>
      <x:c r="BH384" s="32"/>
      <x:c r="BI384" s="32"/>
      <x:c r="BJ384" s="32"/>
      <x:c r="BK384" s="32"/>
      <x:c r="BL384" s="32"/>
      <x:c r="BM384" s="32"/>
    </x:row>
    <x:row r="385">
      <x:c r="A385" s="32"/>
      <x:c r="B385" s="32"/>
      <x:c r="C385" s="42"/>
      <x:c r="D385" s="32"/>
      <x:c r="E385" s="32"/>
      <x:c r="F385" s="32"/>
      <x:c r="G385" s="32"/>
      <x:c r="H385" s="32"/>
      <x:c r="I385" s="32"/>
      <x:c r="J385" s="32"/>
      <x:c r="K385" s="32"/>
      <x:c r="L385" s="32"/>
      <x:c r="M385" s="32"/>
      <x:c r="N385" s="32"/>
      <x:c r="O385" s="32"/>
      <x:c r="P385" s="32"/>
      <x:c r="Q385" s="32"/>
      <x:c r="R385" s="32"/>
      <x:c r="S385" s="32"/>
      <x:c r="T385" s="43" t="str">
        <x:f>IFERROR(S385/L385,"")</x:f>
      </x:c>
      <x:c r="U385" s="32"/>
      <x:c r="V385" s="32"/>
      <x:c r="W385" s="32"/>
      <x:c r="X385" s="32"/>
      <x:c r="Y385" s="32"/>
      <x:c r="Z385" s="32"/>
      <x:c r="AA385" s="32"/>
      <x:c r="AB385" s="32"/>
      <x:c r="AC385" s="32"/>
      <x:c r="AD385" s="32"/>
      <x:c r="AE385" s="32"/>
      <x:c r="AF385" s="32"/>
      <x:c r="AG385" s="32"/>
      <x:c r="AH385" s="32"/>
      <x:c r="AI385" s="32"/>
      <x:c r="AJ385" s="32"/>
      <x:c r="AK385" s="32"/>
      <x:c r="AL385" s="32"/>
      <x:c r="AM385" s="32"/>
      <x:c r="AN385" s="32"/>
      <x:c r="AO385" s="32"/>
      <x:c r="AP385" s="32"/>
      <x:c r="AQ385" s="32"/>
      <x:c r="AR385" s="32"/>
      <x:c r="AS385" s="32"/>
      <x:c r="AT385" s="32"/>
      <x:c r="AU385" s="32"/>
      <x:c r="AV385" s="32"/>
      <x:c r="AW385" s="32"/>
      <x:c r="AX385" s="32"/>
      <x:c r="AZ385" s="32"/>
      <x:c r="BA385" s="32"/>
      <x:c r="BB385" s="32"/>
      <x:c r="BC385" s="32"/>
      <x:c r="BD385" s="32"/>
      <x:c r="BE385" s="32"/>
      <x:c r="BF385" s="32"/>
      <x:c r="BG385" s="32"/>
      <x:c r="BH385" s="32"/>
      <x:c r="BI385" s="32"/>
      <x:c r="BJ385" s="32"/>
      <x:c r="BK385" s="32"/>
      <x:c r="BL385" s="32"/>
      <x:c r="BM385" s="32"/>
    </x:row>
    <x:row r="386">
      <x:c r="A386" s="32"/>
      <x:c r="B386" s="32"/>
      <x:c r="C386" s="42"/>
      <x:c r="D386" s="32"/>
      <x:c r="E386" s="32"/>
      <x:c r="F386" s="32"/>
      <x:c r="G386" s="32"/>
      <x:c r="H386" s="32"/>
      <x:c r="I386" s="32"/>
      <x:c r="J386" s="32"/>
      <x:c r="K386" s="32"/>
      <x:c r="L386" s="32"/>
      <x:c r="M386" s="32"/>
      <x:c r="N386" s="32"/>
      <x:c r="O386" s="32"/>
      <x:c r="P386" s="32"/>
      <x:c r="Q386" s="32"/>
      <x:c r="R386" s="32"/>
      <x:c r="S386" s="32"/>
      <x:c r="T386" s="43" t="str">
        <x:f>IFERROR(S386/L386,"")</x:f>
      </x:c>
      <x:c r="U386" s="32"/>
      <x:c r="V386" s="32"/>
      <x:c r="W386" s="32"/>
      <x:c r="X386" s="32"/>
      <x:c r="Y386" s="32"/>
      <x:c r="Z386" s="32"/>
      <x:c r="AA386" s="32"/>
      <x:c r="AB386" s="32"/>
      <x:c r="AC386" s="32"/>
      <x:c r="AD386" s="32"/>
      <x:c r="AE386" s="32"/>
      <x:c r="AF386" s="32"/>
      <x:c r="AG386" s="32"/>
      <x:c r="AH386" s="32"/>
      <x:c r="AI386" s="32"/>
      <x:c r="AJ386" s="32"/>
      <x:c r="AK386" s="32"/>
      <x:c r="AL386" s="32"/>
      <x:c r="AM386" s="32"/>
      <x:c r="AN386" s="32"/>
      <x:c r="AO386" s="32"/>
      <x:c r="AP386" s="32"/>
      <x:c r="AQ386" s="32"/>
      <x:c r="AR386" s="32"/>
      <x:c r="AS386" s="32"/>
      <x:c r="AT386" s="32"/>
      <x:c r="AU386" s="32"/>
      <x:c r="AV386" s="32"/>
      <x:c r="AW386" s="32"/>
      <x:c r="AX386" s="32"/>
      <x:c r="AZ386" s="32"/>
      <x:c r="BA386" s="32"/>
      <x:c r="BB386" s="32"/>
      <x:c r="BC386" s="32"/>
      <x:c r="BD386" s="32"/>
      <x:c r="BE386" s="32"/>
      <x:c r="BF386" s="32"/>
      <x:c r="BG386" s="32"/>
      <x:c r="BH386" s="32"/>
      <x:c r="BI386" s="32"/>
      <x:c r="BJ386" s="32"/>
      <x:c r="BK386" s="32"/>
      <x:c r="BL386" s="32"/>
      <x:c r="BM386" s="32"/>
    </x:row>
    <x:row r="387">
      <x:c r="A387" s="32"/>
      <x:c r="B387" s="32"/>
      <x:c r="C387" s="42"/>
      <x:c r="D387" s="32"/>
      <x:c r="E387" s="32"/>
      <x:c r="F387" s="32"/>
      <x:c r="G387" s="32"/>
      <x:c r="H387" s="32"/>
      <x:c r="I387" s="32"/>
      <x:c r="J387" s="32"/>
      <x:c r="K387" s="32"/>
      <x:c r="L387" s="32"/>
      <x:c r="M387" s="32"/>
      <x:c r="N387" s="32"/>
      <x:c r="O387" s="32"/>
      <x:c r="P387" s="32"/>
      <x:c r="Q387" s="32"/>
      <x:c r="R387" s="32"/>
      <x:c r="S387" s="32"/>
      <x:c r="T387" s="43" t="str">
        <x:f>IFERROR(S387/L387,"")</x:f>
      </x:c>
      <x:c r="U387" s="32"/>
      <x:c r="V387" s="32"/>
      <x:c r="W387" s="32"/>
      <x:c r="X387" s="32"/>
      <x:c r="Y387" s="32"/>
      <x:c r="Z387" s="32"/>
      <x:c r="AA387" s="32"/>
      <x:c r="AB387" s="32"/>
      <x:c r="AC387" s="32"/>
      <x:c r="AD387" s="32"/>
      <x:c r="AE387" s="32"/>
      <x:c r="AF387" s="32"/>
      <x:c r="AG387" s="32"/>
      <x:c r="AH387" s="32"/>
      <x:c r="AI387" s="32"/>
      <x:c r="AJ387" s="32"/>
      <x:c r="AK387" s="32"/>
      <x:c r="AL387" s="32"/>
      <x:c r="AM387" s="32"/>
      <x:c r="AN387" s="32"/>
      <x:c r="AO387" s="32"/>
      <x:c r="AP387" s="32"/>
      <x:c r="AQ387" s="32"/>
      <x:c r="AR387" s="32"/>
      <x:c r="AS387" s="32"/>
      <x:c r="AT387" s="32"/>
      <x:c r="AU387" s="32"/>
      <x:c r="AV387" s="32"/>
      <x:c r="AW387" s="32"/>
      <x:c r="AX387" s="32"/>
      <x:c r="AZ387" s="32"/>
      <x:c r="BA387" s="32"/>
      <x:c r="BB387" s="32"/>
      <x:c r="BC387" s="32"/>
      <x:c r="BD387" s="32"/>
      <x:c r="BE387" s="32"/>
      <x:c r="BF387" s="32"/>
      <x:c r="BG387" s="32"/>
      <x:c r="BH387" s="32"/>
      <x:c r="BI387" s="32"/>
      <x:c r="BJ387" s="32"/>
      <x:c r="BK387" s="32"/>
      <x:c r="BL387" s="32"/>
      <x:c r="BM387" s="32"/>
    </x:row>
    <x:row r="388">
      <x:c r="A388" s="32"/>
      <x:c r="B388" s="32"/>
      <x:c r="C388" s="42"/>
      <x:c r="D388" s="32"/>
      <x:c r="E388" s="32"/>
      <x:c r="F388" s="32"/>
      <x:c r="G388" s="32"/>
      <x:c r="H388" s="32"/>
      <x:c r="I388" s="32"/>
      <x:c r="J388" s="32"/>
      <x:c r="K388" s="32"/>
      <x:c r="L388" s="32"/>
      <x:c r="M388" s="32"/>
      <x:c r="N388" s="32"/>
      <x:c r="O388" s="32"/>
      <x:c r="P388" s="32"/>
      <x:c r="Q388" s="32"/>
      <x:c r="R388" s="32"/>
      <x:c r="S388" s="32"/>
      <x:c r="T388" s="43" t="str">
        <x:f>IFERROR(S388/L388,"")</x:f>
      </x:c>
      <x:c r="U388" s="32"/>
      <x:c r="V388" s="32"/>
      <x:c r="W388" s="32"/>
      <x:c r="X388" s="32"/>
      <x:c r="Y388" s="32"/>
      <x:c r="Z388" s="32"/>
      <x:c r="AA388" s="32"/>
      <x:c r="AB388" s="32"/>
      <x:c r="AC388" s="32"/>
      <x:c r="AD388" s="32"/>
      <x:c r="AE388" s="32"/>
      <x:c r="AF388" s="32"/>
      <x:c r="AG388" s="32"/>
      <x:c r="AH388" s="32"/>
      <x:c r="AI388" s="32"/>
      <x:c r="AJ388" s="32"/>
      <x:c r="AK388" s="32"/>
      <x:c r="AL388" s="32"/>
      <x:c r="AM388" s="32"/>
      <x:c r="AN388" s="32"/>
      <x:c r="AO388" s="32"/>
      <x:c r="AP388" s="32"/>
      <x:c r="AQ388" s="32"/>
      <x:c r="AR388" s="32"/>
      <x:c r="AS388" s="32"/>
      <x:c r="AT388" s="32"/>
      <x:c r="AU388" s="32"/>
      <x:c r="AV388" s="32"/>
      <x:c r="AW388" s="32"/>
      <x:c r="AX388" s="32"/>
      <x:c r="AZ388" s="32"/>
      <x:c r="BA388" s="32"/>
      <x:c r="BB388" s="32"/>
      <x:c r="BC388" s="32"/>
      <x:c r="BD388" s="32"/>
      <x:c r="BE388" s="32"/>
      <x:c r="BF388" s="32"/>
      <x:c r="BG388" s="32"/>
      <x:c r="BH388" s="32"/>
      <x:c r="BI388" s="32"/>
      <x:c r="BJ388" s="32"/>
      <x:c r="BK388" s="32"/>
      <x:c r="BL388" s="32"/>
      <x:c r="BM388" s="32"/>
    </x:row>
    <x:row r="389">
      <x:c r="A389" s="32"/>
      <x:c r="B389" s="32"/>
      <x:c r="C389" s="42"/>
      <x:c r="D389" s="32"/>
      <x:c r="E389" s="32"/>
      <x:c r="F389" s="32"/>
      <x:c r="G389" s="32"/>
      <x:c r="H389" s="32"/>
      <x:c r="I389" s="32"/>
      <x:c r="J389" s="32"/>
      <x:c r="K389" s="32"/>
      <x:c r="L389" s="32"/>
      <x:c r="M389" s="32"/>
      <x:c r="N389" s="32"/>
      <x:c r="O389" s="32"/>
      <x:c r="P389" s="32"/>
      <x:c r="Q389" s="32"/>
      <x:c r="R389" s="32"/>
      <x:c r="S389" s="32"/>
      <x:c r="T389" s="43" t="str">
        <x:f>IFERROR(S389/L389,"")</x:f>
      </x:c>
      <x:c r="U389" s="32"/>
      <x:c r="V389" s="32"/>
      <x:c r="W389" s="32"/>
      <x:c r="X389" s="32"/>
      <x:c r="Y389" s="32"/>
      <x:c r="Z389" s="32"/>
      <x:c r="AA389" s="32"/>
      <x:c r="AB389" s="32"/>
      <x:c r="AC389" s="32"/>
      <x:c r="AD389" s="32"/>
      <x:c r="AE389" s="32"/>
      <x:c r="AF389" s="32"/>
      <x:c r="AG389" s="32"/>
      <x:c r="AH389" s="32"/>
      <x:c r="AI389" s="32"/>
      <x:c r="AJ389" s="32"/>
      <x:c r="AK389" s="32"/>
      <x:c r="AL389" s="32"/>
      <x:c r="AM389" s="32"/>
      <x:c r="AN389" s="32"/>
      <x:c r="AO389" s="32"/>
      <x:c r="AP389" s="32"/>
      <x:c r="AQ389" s="32"/>
      <x:c r="AR389" s="32"/>
      <x:c r="AS389" s="32"/>
      <x:c r="AT389" s="32"/>
      <x:c r="AU389" s="32"/>
      <x:c r="AV389" s="32"/>
      <x:c r="AW389" s="32"/>
      <x:c r="AX389" s="32"/>
      <x:c r="AZ389" s="32"/>
      <x:c r="BA389" s="32"/>
      <x:c r="BB389" s="32"/>
      <x:c r="BC389" s="32"/>
      <x:c r="BD389" s="32"/>
      <x:c r="BE389" s="32"/>
      <x:c r="BF389" s="32"/>
      <x:c r="BG389" s="32"/>
      <x:c r="BH389" s="32"/>
      <x:c r="BI389" s="32"/>
      <x:c r="BJ389" s="32"/>
      <x:c r="BK389" s="32"/>
      <x:c r="BL389" s="32"/>
      <x:c r="BM389" s="32"/>
    </x:row>
    <x:row r="390">
      <x:c r="A390" s="32"/>
      <x:c r="B390" s="32"/>
      <x:c r="C390" s="42"/>
      <x:c r="D390" s="32"/>
      <x:c r="E390" s="32"/>
      <x:c r="F390" s="32"/>
      <x:c r="G390" s="32"/>
      <x:c r="H390" s="32"/>
      <x:c r="I390" s="32"/>
      <x:c r="J390" s="32"/>
      <x:c r="K390" s="32"/>
      <x:c r="L390" s="32"/>
      <x:c r="M390" s="32"/>
      <x:c r="N390" s="32"/>
      <x:c r="O390" s="32"/>
      <x:c r="P390" s="32"/>
      <x:c r="Q390" s="32"/>
      <x:c r="R390" s="32"/>
      <x:c r="S390" s="32"/>
      <x:c r="T390" s="43" t="str">
        <x:f>IFERROR(S390/L390,"")</x:f>
      </x:c>
      <x:c r="U390" s="32"/>
      <x:c r="V390" s="32"/>
      <x:c r="W390" s="32"/>
      <x:c r="X390" s="32"/>
      <x:c r="Y390" s="32"/>
      <x:c r="Z390" s="32"/>
      <x:c r="AA390" s="32"/>
      <x:c r="AB390" s="32"/>
      <x:c r="AC390" s="32"/>
      <x:c r="AD390" s="32"/>
      <x:c r="AE390" s="32"/>
      <x:c r="AF390" s="32"/>
      <x:c r="AG390" s="32"/>
      <x:c r="AH390" s="32"/>
      <x:c r="AI390" s="32"/>
      <x:c r="AJ390" s="32"/>
      <x:c r="AK390" s="32"/>
      <x:c r="AL390" s="32"/>
      <x:c r="AM390" s="32"/>
      <x:c r="AN390" s="32"/>
      <x:c r="AO390" s="32"/>
      <x:c r="AP390" s="32"/>
      <x:c r="AQ390" s="32"/>
      <x:c r="AR390" s="32"/>
      <x:c r="AS390" s="32"/>
      <x:c r="AT390" s="32"/>
      <x:c r="AU390" s="32"/>
      <x:c r="AV390" s="32"/>
      <x:c r="AW390" s="32"/>
      <x:c r="AX390" s="32"/>
      <x:c r="AZ390" s="32"/>
      <x:c r="BA390" s="32"/>
      <x:c r="BB390" s="32"/>
      <x:c r="BC390" s="32"/>
      <x:c r="BD390" s="32"/>
      <x:c r="BE390" s="32"/>
      <x:c r="BF390" s="32"/>
      <x:c r="BG390" s="32"/>
      <x:c r="BH390" s="32"/>
      <x:c r="BI390" s="32"/>
      <x:c r="BJ390" s="32"/>
      <x:c r="BK390" s="32"/>
      <x:c r="BL390" s="32"/>
      <x:c r="BM390" s="32"/>
    </x:row>
    <x:row r="391">
      <x:c r="A391" s="32"/>
      <x:c r="B391" s="32"/>
      <x:c r="C391" s="42"/>
      <x:c r="D391" s="32"/>
      <x:c r="E391" s="32"/>
      <x:c r="F391" s="32"/>
      <x:c r="G391" s="32"/>
      <x:c r="H391" s="32"/>
      <x:c r="I391" s="32"/>
      <x:c r="J391" s="32"/>
      <x:c r="K391" s="32"/>
      <x:c r="L391" s="32"/>
      <x:c r="M391" s="32"/>
      <x:c r="N391" s="32"/>
      <x:c r="O391" s="32"/>
      <x:c r="P391" s="32"/>
      <x:c r="Q391" s="32"/>
      <x:c r="R391" s="32"/>
      <x:c r="S391" s="32"/>
      <x:c r="T391" s="43" t="str">
        <x:f>IFERROR(S391/L391,"")</x:f>
      </x:c>
      <x:c r="U391" s="32"/>
      <x:c r="V391" s="32"/>
      <x:c r="W391" s="32"/>
      <x:c r="X391" s="32"/>
      <x:c r="Y391" s="32"/>
      <x:c r="Z391" s="32"/>
      <x:c r="AA391" s="32"/>
      <x:c r="AB391" s="32"/>
      <x:c r="AC391" s="32"/>
      <x:c r="AD391" s="32"/>
      <x:c r="AE391" s="32"/>
      <x:c r="AF391" s="32"/>
      <x:c r="AG391" s="32"/>
      <x:c r="AH391" s="32"/>
      <x:c r="AI391" s="32"/>
      <x:c r="AJ391" s="32"/>
      <x:c r="AK391" s="32"/>
      <x:c r="AL391" s="32"/>
      <x:c r="AM391" s="32"/>
      <x:c r="AN391" s="32"/>
      <x:c r="AO391" s="32"/>
      <x:c r="AP391" s="32"/>
      <x:c r="AQ391" s="32"/>
      <x:c r="AR391" s="32"/>
      <x:c r="AS391" s="32"/>
      <x:c r="AT391" s="32"/>
      <x:c r="AU391" s="32"/>
      <x:c r="AV391" s="32"/>
      <x:c r="AW391" s="32"/>
      <x:c r="AX391" s="32"/>
      <x:c r="AZ391" s="32"/>
      <x:c r="BA391" s="32"/>
      <x:c r="BB391" s="32"/>
      <x:c r="BC391" s="32"/>
      <x:c r="BD391" s="32"/>
      <x:c r="BE391" s="32"/>
      <x:c r="BF391" s="32"/>
      <x:c r="BG391" s="32"/>
      <x:c r="BH391" s="32"/>
      <x:c r="BI391" s="32"/>
      <x:c r="BJ391" s="32"/>
      <x:c r="BK391" s="32"/>
      <x:c r="BL391" s="32"/>
      <x:c r="BM391" s="32"/>
    </x:row>
    <x:row r="392">
      <x:c r="A392" s="32"/>
      <x:c r="B392" s="32"/>
      <x:c r="C392" s="42"/>
      <x:c r="D392" s="32"/>
      <x:c r="E392" s="32"/>
      <x:c r="F392" s="32"/>
      <x:c r="G392" s="32"/>
      <x:c r="H392" s="32"/>
      <x:c r="I392" s="32"/>
      <x:c r="J392" s="32"/>
      <x:c r="K392" s="32"/>
      <x:c r="L392" s="32"/>
      <x:c r="M392" s="32"/>
      <x:c r="N392" s="32"/>
      <x:c r="O392" s="32"/>
      <x:c r="P392" s="32"/>
      <x:c r="Q392" s="32"/>
      <x:c r="R392" s="32"/>
      <x:c r="S392" s="32"/>
      <x:c r="T392" s="43" t="str">
        <x:f>IFERROR(S392/L392,"")</x:f>
      </x:c>
      <x:c r="U392" s="32"/>
      <x:c r="V392" s="32"/>
      <x:c r="W392" s="32"/>
      <x:c r="X392" s="32"/>
      <x:c r="Y392" s="32"/>
      <x:c r="Z392" s="32"/>
      <x:c r="AA392" s="32"/>
      <x:c r="AB392" s="32"/>
      <x:c r="AC392" s="32"/>
      <x:c r="AD392" s="32"/>
      <x:c r="AE392" s="32"/>
      <x:c r="AF392" s="32"/>
      <x:c r="AG392" s="32"/>
      <x:c r="AH392" s="32"/>
      <x:c r="AI392" s="32"/>
      <x:c r="AJ392" s="32"/>
      <x:c r="AK392" s="32"/>
      <x:c r="AL392" s="32"/>
      <x:c r="AM392" s="32"/>
      <x:c r="AN392" s="32"/>
      <x:c r="AO392" s="32"/>
      <x:c r="AP392" s="32"/>
      <x:c r="AQ392" s="32"/>
      <x:c r="AR392" s="32"/>
      <x:c r="AS392" s="32"/>
      <x:c r="AT392" s="32"/>
      <x:c r="AU392" s="32"/>
      <x:c r="AV392" s="32"/>
      <x:c r="AW392" s="32"/>
      <x:c r="AX392" s="32"/>
      <x:c r="AZ392" s="32"/>
      <x:c r="BA392" s="32"/>
      <x:c r="BB392" s="32"/>
      <x:c r="BC392" s="32"/>
      <x:c r="BD392" s="32"/>
      <x:c r="BE392" s="32"/>
      <x:c r="BF392" s="32"/>
      <x:c r="BG392" s="32"/>
      <x:c r="BH392" s="32"/>
      <x:c r="BI392" s="32"/>
      <x:c r="BJ392" s="32"/>
      <x:c r="BK392" s="32"/>
      <x:c r="BL392" s="32"/>
      <x:c r="BM392" s="32"/>
    </x:row>
    <x:row r="393">
      <x:c r="A393" s="32"/>
      <x:c r="B393" s="32"/>
      <x:c r="C393" s="42"/>
      <x:c r="D393" s="32"/>
      <x:c r="E393" s="32"/>
      <x:c r="F393" s="32"/>
      <x:c r="G393" s="32"/>
      <x:c r="H393" s="32"/>
      <x:c r="I393" s="32"/>
      <x:c r="J393" s="32"/>
      <x:c r="K393" s="32"/>
      <x:c r="L393" s="32"/>
      <x:c r="M393" s="32"/>
      <x:c r="N393" s="32"/>
      <x:c r="O393" s="32"/>
      <x:c r="P393" s="32"/>
      <x:c r="Q393" s="32"/>
      <x:c r="R393" s="32"/>
      <x:c r="S393" s="32"/>
      <x:c r="T393" s="43" t="str">
        <x:f>IFERROR(S393/L393,"")</x:f>
      </x:c>
      <x:c r="U393" s="32"/>
      <x:c r="V393" s="32"/>
      <x:c r="W393" s="32"/>
      <x:c r="X393" s="32"/>
      <x:c r="Y393" s="32"/>
      <x:c r="Z393" s="32"/>
      <x:c r="AA393" s="32"/>
      <x:c r="AB393" s="32"/>
      <x:c r="AC393" s="32"/>
      <x:c r="AD393" s="32"/>
      <x:c r="AE393" s="32"/>
      <x:c r="AF393" s="32"/>
      <x:c r="AG393" s="32"/>
      <x:c r="AH393" s="32"/>
      <x:c r="AI393" s="32"/>
      <x:c r="AJ393" s="32"/>
      <x:c r="AK393" s="32"/>
      <x:c r="AL393" s="32"/>
      <x:c r="AM393" s="32"/>
      <x:c r="AN393" s="32"/>
      <x:c r="AO393" s="32"/>
      <x:c r="AP393" s="32"/>
      <x:c r="AQ393" s="32"/>
      <x:c r="AR393" s="32"/>
      <x:c r="AS393" s="32"/>
      <x:c r="AT393" s="32"/>
      <x:c r="AU393" s="32"/>
      <x:c r="AV393" s="32"/>
      <x:c r="AW393" s="32"/>
      <x:c r="AX393" s="32"/>
      <x:c r="AZ393" s="32"/>
      <x:c r="BA393" s="32"/>
      <x:c r="BB393" s="32"/>
      <x:c r="BC393" s="32"/>
      <x:c r="BD393" s="32"/>
      <x:c r="BE393" s="32"/>
      <x:c r="BF393" s="32"/>
      <x:c r="BG393" s="32"/>
      <x:c r="BH393" s="32"/>
      <x:c r="BI393" s="32"/>
      <x:c r="BJ393" s="32"/>
      <x:c r="BK393" s="32"/>
      <x:c r="BL393" s="32"/>
      <x:c r="BM393" s="32"/>
    </x:row>
    <x:row r="394">
      <x:c r="A394" s="32"/>
      <x:c r="B394" s="32"/>
      <x:c r="C394" s="42"/>
      <x:c r="D394" s="32"/>
      <x:c r="E394" s="32"/>
      <x:c r="F394" s="32"/>
      <x:c r="G394" s="32"/>
      <x:c r="H394" s="32"/>
      <x:c r="I394" s="32"/>
      <x:c r="J394" s="32"/>
      <x:c r="K394" s="32"/>
      <x:c r="L394" s="32"/>
      <x:c r="M394" s="32"/>
      <x:c r="N394" s="32"/>
      <x:c r="O394" s="32"/>
      <x:c r="P394" s="32"/>
      <x:c r="Q394" s="32"/>
      <x:c r="R394" s="32"/>
      <x:c r="S394" s="32"/>
      <x:c r="T394" s="43" t="str">
        <x:f>IFERROR(S394/L394,"")</x:f>
      </x:c>
      <x:c r="U394" s="32"/>
      <x:c r="V394" s="32"/>
      <x:c r="W394" s="32"/>
      <x:c r="X394" s="32"/>
      <x:c r="Y394" s="32"/>
      <x:c r="Z394" s="32"/>
      <x:c r="AA394" s="32"/>
      <x:c r="AB394" s="32"/>
      <x:c r="AC394" s="32"/>
      <x:c r="AD394" s="32"/>
      <x:c r="AE394" s="32"/>
      <x:c r="AF394" s="32"/>
      <x:c r="AG394" s="32"/>
      <x:c r="AH394" s="32"/>
      <x:c r="AI394" s="32"/>
      <x:c r="AJ394" s="32"/>
      <x:c r="AK394" s="32"/>
      <x:c r="AL394" s="32"/>
      <x:c r="AM394" s="32"/>
      <x:c r="AN394" s="32"/>
      <x:c r="AO394" s="32"/>
      <x:c r="AP394" s="32"/>
      <x:c r="AQ394" s="32"/>
      <x:c r="AR394" s="32"/>
      <x:c r="AS394" s="32"/>
      <x:c r="AT394" s="32"/>
      <x:c r="AU394" s="32"/>
      <x:c r="AV394" s="32"/>
      <x:c r="AW394" s="32"/>
      <x:c r="AX394" s="32"/>
      <x:c r="AZ394" s="32"/>
      <x:c r="BA394" s="32"/>
      <x:c r="BB394" s="32"/>
      <x:c r="BC394" s="32"/>
      <x:c r="BD394" s="32"/>
      <x:c r="BE394" s="32"/>
      <x:c r="BF394" s="32"/>
      <x:c r="BG394" s="32"/>
      <x:c r="BH394" s="32"/>
      <x:c r="BI394" s="32"/>
      <x:c r="BJ394" s="32"/>
      <x:c r="BK394" s="32"/>
      <x:c r="BL394" s="32"/>
      <x:c r="BM394" s="32"/>
    </x:row>
    <x:row r="395">
      <x:c r="A395" s="32"/>
      <x:c r="B395" s="32"/>
      <x:c r="C395" s="42"/>
      <x:c r="D395" s="32"/>
      <x:c r="E395" s="32"/>
      <x:c r="F395" s="32"/>
      <x:c r="G395" s="32"/>
      <x:c r="H395" s="32"/>
      <x:c r="I395" s="32"/>
      <x:c r="J395" s="32"/>
      <x:c r="K395" s="32"/>
      <x:c r="L395" s="32"/>
      <x:c r="M395" s="32"/>
      <x:c r="N395" s="32"/>
      <x:c r="O395" s="32"/>
      <x:c r="P395" s="32"/>
      <x:c r="Q395" s="32"/>
      <x:c r="R395" s="32"/>
      <x:c r="S395" s="32"/>
      <x:c r="T395" s="43" t="str">
        <x:f>IFERROR(S395/L395,"")</x:f>
      </x:c>
      <x:c r="U395" s="32"/>
      <x:c r="V395" s="32"/>
      <x:c r="W395" s="32"/>
      <x:c r="X395" s="32"/>
      <x:c r="Y395" s="32"/>
      <x:c r="Z395" s="32"/>
      <x:c r="AA395" s="32"/>
      <x:c r="AB395" s="32"/>
      <x:c r="AC395" s="32"/>
      <x:c r="AD395" s="32"/>
      <x:c r="AE395" s="32"/>
      <x:c r="AF395" s="32"/>
      <x:c r="AG395" s="32"/>
      <x:c r="AH395" s="32"/>
      <x:c r="AI395" s="32"/>
      <x:c r="AJ395" s="32"/>
      <x:c r="AK395" s="32"/>
      <x:c r="AL395" s="32"/>
      <x:c r="AM395" s="32"/>
      <x:c r="AN395" s="32"/>
      <x:c r="AO395" s="32"/>
      <x:c r="AP395" s="32"/>
      <x:c r="AQ395" s="32"/>
      <x:c r="AR395" s="32"/>
      <x:c r="AS395" s="32"/>
      <x:c r="AT395" s="32"/>
      <x:c r="AU395" s="32"/>
      <x:c r="AV395" s="32"/>
      <x:c r="AW395" s="32"/>
      <x:c r="AX395" s="32"/>
      <x:c r="AZ395" s="32"/>
      <x:c r="BA395" s="32"/>
      <x:c r="BB395" s="32"/>
      <x:c r="BC395" s="32"/>
      <x:c r="BD395" s="32"/>
      <x:c r="BE395" s="32"/>
      <x:c r="BF395" s="32"/>
      <x:c r="BG395" s="32"/>
      <x:c r="BH395" s="32"/>
      <x:c r="BI395" s="32"/>
      <x:c r="BJ395" s="32"/>
      <x:c r="BK395" s="32"/>
      <x:c r="BL395" s="32"/>
      <x:c r="BM395" s="32"/>
    </x:row>
    <x:row r="396">
      <x:c r="A396" s="32"/>
      <x:c r="B396" s="32"/>
      <x:c r="C396" s="42"/>
      <x:c r="D396" s="32"/>
      <x:c r="E396" s="32"/>
      <x:c r="F396" s="32"/>
      <x:c r="G396" s="32"/>
      <x:c r="H396" s="32"/>
      <x:c r="I396" s="32"/>
      <x:c r="J396" s="32"/>
      <x:c r="K396" s="32"/>
      <x:c r="L396" s="32"/>
      <x:c r="M396" s="32"/>
      <x:c r="N396" s="32"/>
      <x:c r="O396" s="32"/>
      <x:c r="P396" s="32"/>
      <x:c r="Q396" s="32"/>
      <x:c r="R396" s="32"/>
      <x:c r="S396" s="32"/>
      <x:c r="T396" s="43" t="str">
        <x:f>IFERROR(S396/L396,"")</x:f>
      </x:c>
      <x:c r="U396" s="32"/>
      <x:c r="V396" s="32"/>
      <x:c r="W396" s="32"/>
      <x:c r="X396" s="32"/>
      <x:c r="Y396" s="32"/>
      <x:c r="Z396" s="32"/>
      <x:c r="AA396" s="32"/>
      <x:c r="AB396" s="32"/>
      <x:c r="AC396" s="32"/>
      <x:c r="AD396" s="32"/>
      <x:c r="AE396" s="32"/>
      <x:c r="AF396" s="32"/>
      <x:c r="AG396" s="32"/>
      <x:c r="AH396" s="32"/>
      <x:c r="AI396" s="32"/>
      <x:c r="AJ396" s="32"/>
      <x:c r="AK396" s="32"/>
      <x:c r="AL396" s="32"/>
      <x:c r="AM396" s="32"/>
      <x:c r="AN396" s="32"/>
      <x:c r="AO396" s="32"/>
      <x:c r="AP396" s="32"/>
      <x:c r="AQ396" s="32"/>
      <x:c r="AR396" s="32"/>
      <x:c r="AS396" s="32"/>
      <x:c r="AT396" s="32"/>
      <x:c r="AU396" s="32"/>
      <x:c r="AV396" s="32"/>
      <x:c r="AW396" s="32"/>
      <x:c r="AX396" s="32"/>
      <x:c r="AZ396" s="32"/>
      <x:c r="BA396" s="32"/>
      <x:c r="BB396" s="32"/>
      <x:c r="BC396" s="32"/>
      <x:c r="BD396" s="32"/>
      <x:c r="BE396" s="32"/>
      <x:c r="BF396" s="32"/>
      <x:c r="BG396" s="32"/>
      <x:c r="BH396" s="32"/>
      <x:c r="BI396" s="32"/>
      <x:c r="BJ396" s="32"/>
      <x:c r="BK396" s="32"/>
      <x:c r="BL396" s="32"/>
      <x:c r="BM396" s="32"/>
    </x:row>
    <x:row r="397">
      <x:c r="A397" s="32"/>
      <x:c r="B397" s="32"/>
      <x:c r="C397" s="42"/>
      <x:c r="D397" s="32"/>
      <x:c r="E397" s="32"/>
      <x:c r="F397" s="32"/>
      <x:c r="G397" s="32"/>
      <x:c r="H397" s="32"/>
      <x:c r="I397" s="32"/>
      <x:c r="J397" s="32"/>
      <x:c r="K397" s="32"/>
      <x:c r="L397" s="32"/>
      <x:c r="M397" s="32"/>
      <x:c r="N397" s="32"/>
      <x:c r="O397" s="32"/>
      <x:c r="P397" s="32"/>
      <x:c r="Q397" s="32"/>
      <x:c r="R397" s="32"/>
      <x:c r="S397" s="32"/>
      <x:c r="T397" s="43" t="str">
        <x:f>IFERROR(S397/L397,"")</x:f>
      </x:c>
      <x:c r="U397" s="32"/>
      <x:c r="V397" s="32"/>
      <x:c r="W397" s="32"/>
      <x:c r="X397" s="32"/>
      <x:c r="Y397" s="32"/>
      <x:c r="Z397" s="32"/>
      <x:c r="AA397" s="32"/>
      <x:c r="AB397" s="32"/>
      <x:c r="AC397" s="32"/>
      <x:c r="AD397" s="32"/>
      <x:c r="AE397" s="32"/>
      <x:c r="AF397" s="32"/>
      <x:c r="AG397" s="32"/>
      <x:c r="AH397" s="32"/>
      <x:c r="AI397" s="32"/>
      <x:c r="AJ397" s="32"/>
      <x:c r="AK397" s="32"/>
      <x:c r="AL397" s="32"/>
      <x:c r="AM397" s="32"/>
      <x:c r="AN397" s="32"/>
      <x:c r="AO397" s="32"/>
      <x:c r="AP397" s="32"/>
      <x:c r="AQ397" s="32"/>
      <x:c r="AR397" s="32"/>
      <x:c r="AS397" s="32"/>
      <x:c r="AT397" s="32"/>
      <x:c r="AU397" s="32"/>
      <x:c r="AV397" s="32"/>
      <x:c r="AW397" s="32"/>
      <x:c r="AX397" s="32"/>
      <x:c r="AZ397" s="32"/>
      <x:c r="BA397" s="32"/>
      <x:c r="BB397" s="32"/>
      <x:c r="BC397" s="32"/>
      <x:c r="BD397" s="32"/>
      <x:c r="BE397" s="32"/>
      <x:c r="BF397" s="32"/>
      <x:c r="BG397" s="32"/>
      <x:c r="BH397" s="32"/>
      <x:c r="BI397" s="32"/>
      <x:c r="BJ397" s="32"/>
      <x:c r="BK397" s="32"/>
      <x:c r="BL397" s="32"/>
      <x:c r="BM397" s="32"/>
    </x:row>
    <x:row r="398">
      <x:c r="A398" s="32"/>
      <x:c r="B398" s="32"/>
      <x:c r="C398" s="42"/>
      <x:c r="D398" s="32"/>
      <x:c r="E398" s="32"/>
      <x:c r="F398" s="32"/>
      <x:c r="G398" s="32"/>
      <x:c r="H398" s="32"/>
      <x:c r="I398" s="32"/>
      <x:c r="J398" s="32"/>
      <x:c r="K398" s="32"/>
      <x:c r="L398" s="32"/>
      <x:c r="M398" s="32"/>
      <x:c r="N398" s="32"/>
      <x:c r="O398" s="32"/>
      <x:c r="P398" s="32"/>
      <x:c r="Q398" s="32"/>
      <x:c r="R398" s="32"/>
      <x:c r="S398" s="32"/>
      <x:c r="T398" s="43" t="str">
        <x:f>IFERROR(S398/L398,"")</x:f>
      </x:c>
      <x:c r="U398" s="32"/>
      <x:c r="V398" s="32"/>
      <x:c r="W398" s="32"/>
      <x:c r="X398" s="32"/>
      <x:c r="Y398" s="32"/>
      <x:c r="Z398" s="32"/>
      <x:c r="AA398" s="32"/>
      <x:c r="AB398" s="32"/>
      <x:c r="AC398" s="32"/>
      <x:c r="AD398" s="32"/>
      <x:c r="AE398" s="32"/>
      <x:c r="AF398" s="32"/>
      <x:c r="AG398" s="32"/>
      <x:c r="AH398" s="32"/>
      <x:c r="AI398" s="32"/>
      <x:c r="AJ398" s="32"/>
      <x:c r="AK398" s="32"/>
      <x:c r="AL398" s="32"/>
      <x:c r="AM398" s="32"/>
      <x:c r="AN398" s="32"/>
      <x:c r="AO398" s="32"/>
      <x:c r="AP398" s="32"/>
      <x:c r="AQ398" s="32"/>
      <x:c r="AR398" s="32"/>
      <x:c r="AS398" s="32"/>
      <x:c r="AT398" s="32"/>
      <x:c r="AU398" s="32"/>
      <x:c r="AV398" s="32"/>
      <x:c r="AW398" s="32"/>
      <x:c r="AX398" s="32"/>
      <x:c r="AZ398" s="32"/>
      <x:c r="BA398" s="32"/>
      <x:c r="BB398" s="32"/>
      <x:c r="BC398" s="32"/>
      <x:c r="BD398" s="32"/>
      <x:c r="BE398" s="32"/>
      <x:c r="BF398" s="32"/>
      <x:c r="BG398" s="32"/>
      <x:c r="BH398" s="32"/>
      <x:c r="BI398" s="32"/>
      <x:c r="BJ398" s="32"/>
      <x:c r="BK398" s="32"/>
      <x:c r="BL398" s="32"/>
      <x:c r="BM398" s="32"/>
    </x:row>
    <x:row r="399">
      <x:c r="A399" s="32"/>
      <x:c r="B399" s="32"/>
      <x:c r="C399" s="42"/>
      <x:c r="D399" s="32"/>
      <x:c r="E399" s="32"/>
      <x:c r="F399" s="32"/>
      <x:c r="G399" s="32"/>
      <x:c r="H399" s="32"/>
      <x:c r="I399" s="32"/>
      <x:c r="J399" s="32"/>
      <x:c r="K399" s="32"/>
      <x:c r="L399" s="32"/>
      <x:c r="M399" s="32"/>
      <x:c r="N399" s="32"/>
      <x:c r="O399" s="32"/>
      <x:c r="P399" s="32"/>
      <x:c r="Q399" s="32"/>
      <x:c r="R399" s="32"/>
      <x:c r="S399" s="32"/>
      <x:c r="T399" s="43" t="str">
        <x:f>IFERROR(S399/L399,"")</x:f>
      </x:c>
      <x:c r="U399" s="32"/>
      <x:c r="V399" s="32"/>
      <x:c r="W399" s="32"/>
      <x:c r="X399" s="32"/>
      <x:c r="Y399" s="32"/>
      <x:c r="Z399" s="32"/>
      <x:c r="AA399" s="32"/>
      <x:c r="AB399" s="32"/>
      <x:c r="AC399" s="32"/>
      <x:c r="AD399" s="32"/>
      <x:c r="AE399" s="32"/>
      <x:c r="AF399" s="32"/>
      <x:c r="AG399" s="32"/>
      <x:c r="AH399" s="32"/>
      <x:c r="AI399" s="32"/>
      <x:c r="AJ399" s="32"/>
      <x:c r="AK399" s="32"/>
      <x:c r="AL399" s="32"/>
      <x:c r="AM399" s="32"/>
      <x:c r="AN399" s="32"/>
      <x:c r="AO399" s="32"/>
      <x:c r="AP399" s="32"/>
      <x:c r="AQ399" s="32"/>
      <x:c r="AR399" s="32"/>
      <x:c r="AS399" s="32"/>
      <x:c r="AT399" s="32"/>
      <x:c r="AU399" s="32"/>
      <x:c r="AV399" s="32"/>
      <x:c r="AW399" s="32"/>
      <x:c r="AX399" s="32"/>
      <x:c r="AZ399" s="32"/>
      <x:c r="BA399" s="32"/>
      <x:c r="BB399" s="32"/>
      <x:c r="BC399" s="32"/>
      <x:c r="BD399" s="32"/>
      <x:c r="BE399" s="32"/>
      <x:c r="BF399" s="32"/>
      <x:c r="BG399" s="32"/>
      <x:c r="BH399" s="32"/>
      <x:c r="BI399" s="32"/>
      <x:c r="BJ399" s="32"/>
      <x:c r="BK399" s="32"/>
      <x:c r="BL399" s="32"/>
      <x:c r="BM399" s="32"/>
    </x:row>
    <x:row r="400">
      <x:c r="A400" s="32"/>
      <x:c r="B400" s="32"/>
      <x:c r="C400" s="42"/>
      <x:c r="D400" s="32"/>
      <x:c r="E400" s="32"/>
      <x:c r="F400" s="32"/>
      <x:c r="G400" s="32"/>
      <x:c r="H400" s="32"/>
      <x:c r="I400" s="32"/>
      <x:c r="J400" s="32"/>
      <x:c r="K400" s="32"/>
      <x:c r="L400" s="32"/>
      <x:c r="M400" s="32"/>
      <x:c r="N400" s="32"/>
      <x:c r="O400" s="32"/>
      <x:c r="P400" s="32"/>
      <x:c r="Q400" s="32"/>
      <x:c r="R400" s="32"/>
      <x:c r="S400" s="32"/>
      <x:c r="T400" s="43" t="str">
        <x:f>IFERROR(S400/L400,"")</x:f>
      </x:c>
      <x:c r="U400" s="32"/>
      <x:c r="V400" s="32"/>
      <x:c r="W400" s="32"/>
      <x:c r="X400" s="32"/>
      <x:c r="Y400" s="32"/>
      <x:c r="Z400" s="32"/>
      <x:c r="AA400" s="32"/>
      <x:c r="AB400" s="32"/>
      <x:c r="AC400" s="32"/>
      <x:c r="AD400" s="32"/>
      <x:c r="AE400" s="32"/>
      <x:c r="AF400" s="32"/>
      <x:c r="AG400" s="32"/>
      <x:c r="AH400" s="32"/>
      <x:c r="AI400" s="32"/>
      <x:c r="AJ400" s="32"/>
      <x:c r="AK400" s="32"/>
      <x:c r="AL400" s="32"/>
      <x:c r="AM400" s="32"/>
      <x:c r="AN400" s="32"/>
      <x:c r="AO400" s="32"/>
      <x:c r="AP400" s="32"/>
      <x:c r="AQ400" s="32"/>
      <x:c r="AR400" s="32"/>
      <x:c r="AS400" s="32"/>
      <x:c r="AT400" s="32"/>
      <x:c r="AU400" s="32"/>
      <x:c r="AV400" s="32"/>
      <x:c r="AW400" s="32"/>
      <x:c r="AX400" s="32"/>
      <x:c r="AZ400" s="32"/>
      <x:c r="BA400" s="32"/>
      <x:c r="BB400" s="32"/>
      <x:c r="BC400" s="32"/>
      <x:c r="BD400" s="32"/>
      <x:c r="BE400" s="32"/>
      <x:c r="BF400" s="32"/>
      <x:c r="BG400" s="32"/>
      <x:c r="BH400" s="32"/>
      <x:c r="BI400" s="32"/>
      <x:c r="BJ400" s="32"/>
      <x:c r="BK400" s="32"/>
      <x:c r="BL400" s="32"/>
      <x:c r="BM400" s="32"/>
    </x:row>
    <x:row r="401">
      <x:c r="A401" s="32"/>
      <x:c r="B401" s="32"/>
      <x:c r="C401" s="42"/>
      <x:c r="D401" s="32"/>
      <x:c r="E401" s="32"/>
      <x:c r="F401" s="32"/>
      <x:c r="G401" s="32"/>
      <x:c r="H401" s="32"/>
      <x:c r="I401" s="32"/>
      <x:c r="J401" s="32"/>
      <x:c r="K401" s="32"/>
      <x:c r="L401" s="32"/>
      <x:c r="M401" s="32"/>
      <x:c r="N401" s="32"/>
      <x:c r="O401" s="32"/>
      <x:c r="P401" s="32"/>
      <x:c r="Q401" s="32"/>
      <x:c r="R401" s="32"/>
      <x:c r="S401" s="32"/>
      <x:c r="T401" s="43" t="str">
        <x:f>IFERROR(S401/L401,"")</x:f>
      </x:c>
      <x:c r="U401" s="32"/>
      <x:c r="V401" s="32"/>
      <x:c r="W401" s="32"/>
      <x:c r="X401" s="32"/>
      <x:c r="Y401" s="32"/>
      <x:c r="Z401" s="32"/>
      <x:c r="AA401" s="32"/>
      <x:c r="AB401" s="32"/>
      <x:c r="AC401" s="32"/>
      <x:c r="AD401" s="32"/>
      <x:c r="AE401" s="32"/>
      <x:c r="AF401" s="32"/>
      <x:c r="AG401" s="32"/>
      <x:c r="AH401" s="32"/>
      <x:c r="AI401" s="32"/>
      <x:c r="AJ401" s="32"/>
      <x:c r="AK401" s="32"/>
      <x:c r="AL401" s="32"/>
      <x:c r="AM401" s="32"/>
      <x:c r="AN401" s="32"/>
      <x:c r="AO401" s="32"/>
      <x:c r="AP401" s="32"/>
      <x:c r="AQ401" s="32"/>
      <x:c r="AR401" s="32"/>
      <x:c r="AS401" s="32"/>
      <x:c r="AT401" s="32"/>
      <x:c r="AU401" s="32"/>
      <x:c r="AV401" s="32"/>
      <x:c r="AW401" s="32"/>
      <x:c r="AX401" s="32"/>
      <x:c r="AZ401" s="32"/>
      <x:c r="BA401" s="32"/>
      <x:c r="BB401" s="32"/>
      <x:c r="BC401" s="32"/>
      <x:c r="BD401" s="32"/>
      <x:c r="BE401" s="32"/>
      <x:c r="BF401" s="32"/>
      <x:c r="BG401" s="32"/>
      <x:c r="BH401" s="32"/>
      <x:c r="BI401" s="32"/>
      <x:c r="BJ401" s="32"/>
      <x:c r="BK401" s="32"/>
      <x:c r="BL401" s="32"/>
      <x:c r="BM401" s="32"/>
    </x:row>
    <x:row r="402">
      <x:c r="A402" s="32"/>
      <x:c r="B402" s="32"/>
      <x:c r="C402" s="42"/>
      <x:c r="D402" s="32"/>
      <x:c r="E402" s="32"/>
      <x:c r="F402" s="32"/>
      <x:c r="G402" s="32"/>
      <x:c r="H402" s="32"/>
      <x:c r="I402" s="32"/>
      <x:c r="J402" s="32"/>
      <x:c r="K402" s="32"/>
      <x:c r="L402" s="32"/>
      <x:c r="M402" s="32"/>
      <x:c r="N402" s="32"/>
      <x:c r="O402" s="32"/>
      <x:c r="P402" s="32"/>
      <x:c r="Q402" s="32"/>
      <x:c r="R402" s="32"/>
      <x:c r="S402" s="32"/>
      <x:c r="T402" s="43" t="str">
        <x:f>IFERROR(S402/L402,"")</x:f>
      </x:c>
      <x:c r="U402" s="32"/>
      <x:c r="V402" s="32"/>
      <x:c r="W402" s="32"/>
      <x:c r="X402" s="32"/>
      <x:c r="Y402" s="32"/>
      <x:c r="Z402" s="32"/>
      <x:c r="AA402" s="32"/>
      <x:c r="AB402" s="32"/>
      <x:c r="AC402" s="32"/>
      <x:c r="AD402" s="32"/>
      <x:c r="AE402" s="32"/>
      <x:c r="AF402" s="32"/>
      <x:c r="AG402" s="32"/>
      <x:c r="AH402" s="32"/>
      <x:c r="AI402" s="32"/>
      <x:c r="AJ402" s="32"/>
      <x:c r="AK402" s="32"/>
      <x:c r="AL402" s="32"/>
      <x:c r="AM402" s="32"/>
      <x:c r="AN402" s="32"/>
      <x:c r="AO402" s="32"/>
      <x:c r="AP402" s="32"/>
      <x:c r="AQ402" s="32"/>
      <x:c r="AR402" s="32"/>
      <x:c r="AS402" s="32"/>
      <x:c r="AT402" s="32"/>
      <x:c r="AU402" s="32"/>
      <x:c r="AV402" s="32"/>
      <x:c r="AW402" s="32"/>
      <x:c r="AX402" s="32"/>
      <x:c r="AZ402" s="32"/>
      <x:c r="BA402" s="32"/>
      <x:c r="BB402" s="32"/>
      <x:c r="BC402" s="32"/>
      <x:c r="BD402" s="32"/>
      <x:c r="BE402" s="32"/>
      <x:c r="BF402" s="32"/>
      <x:c r="BG402" s="32"/>
      <x:c r="BH402" s="32"/>
      <x:c r="BI402" s="32"/>
      <x:c r="BJ402" s="32"/>
      <x:c r="BK402" s="32"/>
      <x:c r="BL402" s="32"/>
      <x:c r="BM402" s="32"/>
    </x:row>
    <x:row r="403">
      <x:c r="A403" s="32"/>
      <x:c r="B403" s="32"/>
      <x:c r="C403" s="42"/>
      <x:c r="D403" s="32"/>
      <x:c r="E403" s="32"/>
      <x:c r="F403" s="32"/>
      <x:c r="G403" s="32"/>
      <x:c r="H403" s="32"/>
      <x:c r="I403" s="32"/>
      <x:c r="J403" s="32"/>
      <x:c r="K403" s="32"/>
      <x:c r="L403" s="32"/>
      <x:c r="M403" s="32"/>
      <x:c r="N403" s="32"/>
      <x:c r="O403" s="32"/>
      <x:c r="P403" s="32"/>
      <x:c r="Q403" s="32"/>
      <x:c r="R403" s="32"/>
      <x:c r="S403" s="32"/>
      <x:c r="T403" s="43" t="str">
        <x:f>IFERROR(S403/L403,"")</x:f>
      </x:c>
      <x:c r="U403" s="32"/>
      <x:c r="V403" s="32"/>
      <x:c r="W403" s="32"/>
      <x:c r="X403" s="32"/>
      <x:c r="Y403" s="32"/>
      <x:c r="Z403" s="32"/>
      <x:c r="AA403" s="32"/>
      <x:c r="AB403" s="32"/>
      <x:c r="AC403" s="32"/>
      <x:c r="AD403" s="32"/>
      <x:c r="AE403" s="32"/>
      <x:c r="AF403" s="32"/>
      <x:c r="AG403" s="32"/>
      <x:c r="AH403" s="32"/>
      <x:c r="AI403" s="32"/>
      <x:c r="AJ403" s="32"/>
      <x:c r="AK403" s="32"/>
      <x:c r="AL403" s="32"/>
      <x:c r="AM403" s="32"/>
      <x:c r="AN403" s="32"/>
      <x:c r="AO403" s="32"/>
      <x:c r="AP403" s="32"/>
      <x:c r="AQ403" s="32"/>
      <x:c r="AR403" s="32"/>
      <x:c r="AS403" s="32"/>
      <x:c r="AT403" s="32"/>
      <x:c r="AU403" s="32"/>
      <x:c r="AV403" s="32"/>
      <x:c r="AW403" s="32"/>
      <x:c r="AX403" s="32"/>
      <x:c r="AZ403" s="32"/>
      <x:c r="BA403" s="32"/>
      <x:c r="BB403" s="32"/>
      <x:c r="BC403" s="32"/>
      <x:c r="BD403" s="32"/>
      <x:c r="BE403" s="32"/>
      <x:c r="BF403" s="32"/>
      <x:c r="BG403" s="32"/>
      <x:c r="BH403" s="32"/>
      <x:c r="BI403" s="32"/>
      <x:c r="BJ403" s="32"/>
      <x:c r="BK403" s="32"/>
      <x:c r="BL403" s="32"/>
      <x:c r="BM403" s="32"/>
    </x:row>
    <x:row r="404">
      <x:c r="A404" s="32"/>
      <x:c r="B404" s="32"/>
      <x:c r="C404" s="42"/>
      <x:c r="D404" s="32"/>
      <x:c r="E404" s="32"/>
      <x:c r="F404" s="32"/>
      <x:c r="G404" s="32"/>
      <x:c r="H404" s="32"/>
      <x:c r="I404" s="32"/>
      <x:c r="J404" s="32"/>
      <x:c r="K404" s="32"/>
      <x:c r="L404" s="32"/>
      <x:c r="M404" s="32"/>
      <x:c r="N404" s="32"/>
      <x:c r="O404" s="32"/>
      <x:c r="P404" s="32"/>
      <x:c r="Q404" s="32"/>
      <x:c r="R404" s="32"/>
      <x:c r="S404" s="32"/>
      <x:c r="T404" s="43" t="str">
        <x:f>IFERROR(S404/L404,"")</x:f>
      </x:c>
      <x:c r="U404" s="32"/>
      <x:c r="V404" s="32"/>
      <x:c r="W404" s="32"/>
      <x:c r="X404" s="32"/>
      <x:c r="Y404" s="32"/>
      <x:c r="Z404" s="32"/>
      <x:c r="AA404" s="32"/>
      <x:c r="AB404" s="32"/>
      <x:c r="AC404" s="32"/>
      <x:c r="AD404" s="32"/>
      <x:c r="AE404" s="32"/>
      <x:c r="AF404" s="32"/>
      <x:c r="AG404" s="32"/>
      <x:c r="AH404" s="32"/>
      <x:c r="AI404" s="32"/>
      <x:c r="AJ404" s="32"/>
      <x:c r="AK404" s="32"/>
      <x:c r="AL404" s="32"/>
      <x:c r="AM404" s="32"/>
      <x:c r="AN404" s="32"/>
      <x:c r="AO404" s="32"/>
      <x:c r="AP404" s="32"/>
      <x:c r="AQ404" s="32"/>
      <x:c r="AR404" s="32"/>
      <x:c r="AS404" s="32"/>
      <x:c r="AT404" s="32"/>
      <x:c r="AU404" s="32"/>
      <x:c r="AV404" s="32"/>
      <x:c r="AW404" s="32"/>
      <x:c r="AX404" s="32"/>
      <x:c r="AZ404" s="32"/>
      <x:c r="BA404" s="32"/>
      <x:c r="BB404" s="32"/>
      <x:c r="BC404" s="32"/>
      <x:c r="BD404" s="32"/>
      <x:c r="BE404" s="32"/>
      <x:c r="BF404" s="32"/>
      <x:c r="BG404" s="32"/>
      <x:c r="BH404" s="32"/>
      <x:c r="BI404" s="32"/>
      <x:c r="BJ404" s="32"/>
      <x:c r="BK404" s="32"/>
      <x:c r="BL404" s="32"/>
      <x:c r="BM404" s="32"/>
    </x:row>
    <x:row r="405">
      <x:c r="A405" s="32"/>
      <x:c r="B405" s="32"/>
      <x:c r="C405" s="42"/>
      <x:c r="D405" s="32"/>
      <x:c r="E405" s="32"/>
      <x:c r="F405" s="32"/>
      <x:c r="G405" s="32"/>
      <x:c r="H405" s="32"/>
      <x:c r="I405" s="32"/>
      <x:c r="J405" s="32"/>
      <x:c r="K405" s="32"/>
      <x:c r="L405" s="32"/>
      <x:c r="M405" s="32"/>
      <x:c r="N405" s="32"/>
      <x:c r="O405" s="32"/>
      <x:c r="P405" s="32"/>
      <x:c r="Q405" s="32"/>
      <x:c r="R405" s="32"/>
      <x:c r="S405" s="32"/>
      <x:c r="T405" s="43" t="str">
        <x:f>IFERROR(S405/L405,"")</x:f>
      </x:c>
      <x:c r="U405" s="32"/>
      <x:c r="V405" s="32"/>
      <x:c r="W405" s="32"/>
      <x:c r="X405" s="32"/>
      <x:c r="Y405" s="32"/>
      <x:c r="Z405" s="32"/>
      <x:c r="AA405" s="32"/>
      <x:c r="AB405" s="32"/>
      <x:c r="AC405" s="32"/>
      <x:c r="AD405" s="32"/>
      <x:c r="AE405" s="32"/>
      <x:c r="AF405" s="32"/>
      <x:c r="AG405" s="32"/>
      <x:c r="AH405" s="32"/>
      <x:c r="AI405" s="32"/>
      <x:c r="AJ405" s="32"/>
      <x:c r="AK405" s="32"/>
      <x:c r="AL405" s="32"/>
      <x:c r="AM405" s="32"/>
      <x:c r="AN405" s="32"/>
      <x:c r="AO405" s="32"/>
      <x:c r="AP405" s="32"/>
      <x:c r="AQ405" s="32"/>
      <x:c r="AR405" s="32"/>
      <x:c r="AS405" s="32"/>
      <x:c r="AT405" s="32"/>
      <x:c r="AU405" s="32"/>
      <x:c r="AV405" s="32"/>
      <x:c r="AW405" s="32"/>
      <x:c r="AX405" s="32"/>
      <x:c r="AZ405" s="32"/>
      <x:c r="BA405" s="32"/>
      <x:c r="BB405" s="32"/>
      <x:c r="BC405" s="32"/>
      <x:c r="BD405" s="32"/>
      <x:c r="BE405" s="32"/>
      <x:c r="BF405" s="32"/>
      <x:c r="BG405" s="32"/>
      <x:c r="BH405" s="32"/>
      <x:c r="BI405" s="32"/>
      <x:c r="BJ405" s="32"/>
      <x:c r="BK405" s="32"/>
      <x:c r="BL405" s="32"/>
      <x:c r="BM405" s="32"/>
    </x:row>
    <x:row r="406">
      <x:c r="A406" s="32"/>
      <x:c r="B406" s="32"/>
      <x:c r="C406" s="42"/>
      <x:c r="D406" s="32"/>
      <x:c r="E406" s="32"/>
      <x:c r="F406" s="32"/>
      <x:c r="G406" s="32"/>
      <x:c r="H406" s="32"/>
      <x:c r="I406" s="32"/>
      <x:c r="J406" s="32"/>
      <x:c r="K406" s="32"/>
      <x:c r="L406" s="32"/>
      <x:c r="M406" s="32"/>
      <x:c r="N406" s="32"/>
      <x:c r="O406" s="32"/>
      <x:c r="P406" s="32"/>
      <x:c r="Q406" s="32"/>
      <x:c r="R406" s="32"/>
      <x:c r="S406" s="32"/>
      <x:c r="T406" s="43" t="str">
        <x:f>IFERROR(S406/L406,"")</x:f>
      </x:c>
      <x:c r="U406" s="32"/>
      <x:c r="V406" s="32"/>
      <x:c r="W406" s="32"/>
      <x:c r="X406" s="32"/>
      <x:c r="Y406" s="32"/>
      <x:c r="Z406" s="32"/>
      <x:c r="AA406" s="32"/>
      <x:c r="AB406" s="32"/>
      <x:c r="AC406" s="32"/>
      <x:c r="AD406" s="32"/>
      <x:c r="AE406" s="32"/>
      <x:c r="AF406" s="32"/>
      <x:c r="AG406" s="32"/>
      <x:c r="AH406" s="32"/>
      <x:c r="AI406" s="32"/>
      <x:c r="AJ406" s="32"/>
      <x:c r="AK406" s="32"/>
      <x:c r="AL406" s="32"/>
      <x:c r="AM406" s="32"/>
      <x:c r="AN406" s="32"/>
      <x:c r="AO406" s="32"/>
      <x:c r="AP406" s="32"/>
      <x:c r="AQ406" s="32"/>
      <x:c r="AR406" s="32"/>
      <x:c r="AS406" s="32"/>
      <x:c r="AT406" s="32"/>
      <x:c r="AU406" s="32"/>
      <x:c r="AV406" s="32"/>
      <x:c r="AW406" s="32"/>
      <x:c r="AX406" s="32"/>
      <x:c r="AZ406" s="32"/>
      <x:c r="BA406" s="32"/>
      <x:c r="BB406" s="32"/>
      <x:c r="BC406" s="32"/>
      <x:c r="BD406" s="32"/>
      <x:c r="BE406" s="32"/>
      <x:c r="BF406" s="32"/>
      <x:c r="BG406" s="32"/>
      <x:c r="BH406" s="32"/>
      <x:c r="BI406" s="32"/>
      <x:c r="BJ406" s="32"/>
      <x:c r="BK406" s="32"/>
      <x:c r="BL406" s="32"/>
      <x:c r="BM406" s="32"/>
    </x:row>
    <x:row r="407">
      <x:c r="A407" s="32"/>
      <x:c r="B407" s="32"/>
      <x:c r="C407" s="42"/>
      <x:c r="D407" s="32"/>
      <x:c r="E407" s="32"/>
      <x:c r="F407" s="32"/>
      <x:c r="G407" s="32"/>
      <x:c r="H407" s="32"/>
      <x:c r="I407" s="32"/>
      <x:c r="J407" s="32"/>
      <x:c r="K407" s="32"/>
      <x:c r="L407" s="32"/>
      <x:c r="M407" s="32"/>
      <x:c r="N407" s="32"/>
      <x:c r="O407" s="32"/>
      <x:c r="P407" s="32"/>
      <x:c r="Q407" s="32"/>
      <x:c r="R407" s="32"/>
      <x:c r="S407" s="32"/>
      <x:c r="T407" s="43" t="str">
        <x:f>IFERROR(S407/L407,"")</x:f>
      </x:c>
      <x:c r="U407" s="32"/>
      <x:c r="V407" s="32"/>
      <x:c r="W407" s="32"/>
      <x:c r="X407" s="32"/>
      <x:c r="Y407" s="32"/>
      <x:c r="Z407" s="32"/>
      <x:c r="AA407" s="32"/>
      <x:c r="AB407" s="32"/>
      <x:c r="AC407" s="32"/>
      <x:c r="AD407" s="32"/>
      <x:c r="AE407" s="32"/>
      <x:c r="AF407" s="32"/>
      <x:c r="AG407" s="32"/>
      <x:c r="AH407" s="32"/>
      <x:c r="AI407" s="32"/>
      <x:c r="AJ407" s="32"/>
      <x:c r="AK407" s="32"/>
      <x:c r="AL407" s="32"/>
      <x:c r="AM407" s="32"/>
      <x:c r="AN407" s="32"/>
      <x:c r="AO407" s="32"/>
      <x:c r="AP407" s="32"/>
      <x:c r="AQ407" s="32"/>
      <x:c r="AR407" s="32"/>
      <x:c r="AS407" s="32"/>
      <x:c r="AT407" s="32"/>
      <x:c r="AU407" s="32"/>
      <x:c r="AV407" s="32"/>
      <x:c r="AW407" s="32"/>
      <x:c r="AX407" s="32"/>
      <x:c r="AZ407" s="32"/>
      <x:c r="BA407" s="32"/>
      <x:c r="BB407" s="32"/>
      <x:c r="BC407" s="32"/>
      <x:c r="BD407" s="32"/>
      <x:c r="BE407" s="32"/>
      <x:c r="BF407" s="32"/>
      <x:c r="BG407" s="32"/>
      <x:c r="BH407" s="32"/>
      <x:c r="BI407" s="32"/>
      <x:c r="BJ407" s="32"/>
      <x:c r="BK407" s="32"/>
      <x:c r="BL407" s="32"/>
      <x:c r="BM407" s="32"/>
    </x:row>
    <x:row r="408">
      <x:c r="A408" s="32"/>
      <x:c r="B408" s="32"/>
      <x:c r="C408" s="42"/>
      <x:c r="D408" s="32"/>
      <x:c r="E408" s="32"/>
      <x:c r="F408" s="32"/>
      <x:c r="G408" s="32"/>
      <x:c r="H408" s="32"/>
      <x:c r="I408" s="32"/>
      <x:c r="J408" s="32"/>
      <x:c r="K408" s="32"/>
      <x:c r="L408" s="32"/>
      <x:c r="M408" s="32"/>
      <x:c r="N408" s="32"/>
      <x:c r="O408" s="32"/>
      <x:c r="P408" s="32"/>
      <x:c r="Q408" s="32"/>
      <x:c r="R408" s="32"/>
      <x:c r="S408" s="32"/>
      <x:c r="T408" s="43" t="str">
        <x:f>IFERROR(S408/L408,"")</x:f>
      </x:c>
      <x:c r="U408" s="32"/>
      <x:c r="V408" s="32"/>
      <x:c r="W408" s="32"/>
      <x:c r="X408" s="32"/>
      <x:c r="Y408" s="32"/>
      <x:c r="Z408" s="32"/>
      <x:c r="AA408" s="32"/>
      <x:c r="AB408" s="32"/>
      <x:c r="AC408" s="32"/>
      <x:c r="AD408" s="32"/>
      <x:c r="AE408" s="32"/>
      <x:c r="AF408" s="32"/>
      <x:c r="AG408" s="32"/>
      <x:c r="AH408" s="32"/>
      <x:c r="AI408" s="32"/>
      <x:c r="AJ408" s="32"/>
      <x:c r="AK408" s="32"/>
      <x:c r="AL408" s="32"/>
      <x:c r="AM408" s="32"/>
      <x:c r="AN408" s="32"/>
      <x:c r="AO408" s="32"/>
      <x:c r="AP408" s="32"/>
      <x:c r="AQ408" s="32"/>
      <x:c r="AR408" s="32"/>
      <x:c r="AS408" s="32"/>
      <x:c r="AT408" s="32"/>
      <x:c r="AU408" s="32"/>
      <x:c r="AV408" s="32"/>
      <x:c r="AW408" s="32"/>
      <x:c r="AX408" s="32"/>
      <x:c r="AZ408" s="32"/>
      <x:c r="BA408" s="32"/>
      <x:c r="BB408" s="32"/>
      <x:c r="BC408" s="32"/>
      <x:c r="BD408" s="32"/>
      <x:c r="BE408" s="32"/>
      <x:c r="BF408" s="32"/>
      <x:c r="BG408" s="32"/>
      <x:c r="BH408" s="32"/>
      <x:c r="BI408" s="32"/>
      <x:c r="BJ408" s="32"/>
      <x:c r="BK408" s="32"/>
      <x:c r="BL408" s="32"/>
      <x:c r="BM408" s="32"/>
    </x:row>
    <x:row r="409">
      <x:c r="A409" s="32"/>
      <x:c r="B409" s="32"/>
      <x:c r="C409" s="42"/>
      <x:c r="D409" s="32"/>
      <x:c r="E409" s="32"/>
      <x:c r="F409" s="32"/>
      <x:c r="G409" s="32"/>
      <x:c r="H409" s="32"/>
      <x:c r="I409" s="32"/>
      <x:c r="J409" s="32"/>
      <x:c r="K409" s="32"/>
      <x:c r="L409" s="32"/>
      <x:c r="M409" s="32"/>
      <x:c r="N409" s="32"/>
      <x:c r="O409" s="32"/>
      <x:c r="P409" s="32"/>
      <x:c r="Q409" s="32"/>
      <x:c r="R409" s="32"/>
      <x:c r="S409" s="32"/>
      <x:c r="T409" s="43" t="str">
        <x:f>IFERROR(S409/L409,"")</x:f>
      </x:c>
      <x:c r="U409" s="32"/>
      <x:c r="V409" s="32"/>
      <x:c r="W409" s="32"/>
      <x:c r="X409" s="32"/>
      <x:c r="Y409" s="32"/>
      <x:c r="Z409" s="32"/>
      <x:c r="AA409" s="32"/>
      <x:c r="AB409" s="32"/>
      <x:c r="AC409" s="32"/>
      <x:c r="AD409" s="32"/>
      <x:c r="AE409" s="32"/>
      <x:c r="AF409" s="32"/>
      <x:c r="AG409" s="32"/>
      <x:c r="AH409" s="32"/>
      <x:c r="AI409" s="32"/>
      <x:c r="AJ409" s="32"/>
      <x:c r="AK409" s="32"/>
      <x:c r="AL409" s="32"/>
      <x:c r="AM409" s="32"/>
      <x:c r="AN409" s="32"/>
      <x:c r="AO409" s="32"/>
      <x:c r="AP409" s="32"/>
      <x:c r="AQ409" s="32"/>
      <x:c r="AR409" s="32"/>
      <x:c r="AS409" s="32"/>
      <x:c r="AT409" s="32"/>
      <x:c r="AU409" s="32"/>
      <x:c r="AV409" s="32"/>
      <x:c r="AW409" s="32"/>
      <x:c r="AX409" s="32"/>
      <x:c r="AZ409" s="32"/>
      <x:c r="BA409" s="32"/>
      <x:c r="BB409" s="32"/>
      <x:c r="BC409" s="32"/>
      <x:c r="BD409" s="32"/>
      <x:c r="BE409" s="32"/>
      <x:c r="BF409" s="32"/>
      <x:c r="BG409" s="32"/>
      <x:c r="BH409" s="32"/>
      <x:c r="BI409" s="32"/>
      <x:c r="BJ409" s="32"/>
      <x:c r="BK409" s="32"/>
      <x:c r="BL409" s="32"/>
      <x:c r="BM409" s="32"/>
    </x:row>
    <x:row r="410">
      <x:c r="A410" s="32"/>
      <x:c r="B410" s="32"/>
      <x:c r="C410" s="42"/>
      <x:c r="D410" s="32"/>
      <x:c r="E410" s="32"/>
      <x:c r="F410" s="32"/>
      <x:c r="G410" s="32"/>
      <x:c r="H410" s="32"/>
      <x:c r="I410" s="32"/>
      <x:c r="J410" s="32"/>
      <x:c r="K410" s="32"/>
      <x:c r="L410" s="32"/>
      <x:c r="M410" s="32"/>
      <x:c r="N410" s="32"/>
      <x:c r="O410" s="32"/>
      <x:c r="P410" s="32"/>
      <x:c r="Q410" s="32"/>
      <x:c r="R410" s="32"/>
      <x:c r="S410" s="32"/>
      <x:c r="T410" s="43" t="str">
        <x:f>IFERROR(S410/L410,"")</x:f>
      </x:c>
      <x:c r="U410" s="32"/>
      <x:c r="V410" s="32"/>
      <x:c r="W410" s="32"/>
      <x:c r="X410" s="32"/>
      <x:c r="Y410" s="32"/>
      <x:c r="Z410" s="32"/>
      <x:c r="AA410" s="32"/>
      <x:c r="AB410" s="32"/>
      <x:c r="AC410" s="32"/>
      <x:c r="AD410" s="32"/>
      <x:c r="AE410" s="32"/>
      <x:c r="AF410" s="32"/>
      <x:c r="AG410" s="32"/>
      <x:c r="AH410" s="32"/>
      <x:c r="AI410" s="32"/>
      <x:c r="AJ410" s="32"/>
      <x:c r="AK410" s="32"/>
      <x:c r="AL410" s="32"/>
      <x:c r="AM410" s="32"/>
      <x:c r="AN410" s="32"/>
      <x:c r="AO410" s="32"/>
      <x:c r="AP410" s="32"/>
      <x:c r="AQ410" s="32"/>
      <x:c r="AR410" s="32"/>
      <x:c r="AS410" s="32"/>
      <x:c r="AT410" s="32"/>
      <x:c r="AU410" s="32"/>
      <x:c r="AV410" s="32"/>
      <x:c r="AW410" s="32"/>
      <x:c r="AX410" s="32"/>
      <x:c r="AZ410" s="32"/>
      <x:c r="BA410" s="32"/>
      <x:c r="BB410" s="32"/>
      <x:c r="BC410" s="32"/>
      <x:c r="BD410" s="32"/>
      <x:c r="BE410" s="32"/>
      <x:c r="BF410" s="32"/>
      <x:c r="BG410" s="32"/>
      <x:c r="BH410" s="32"/>
      <x:c r="BI410" s="32"/>
      <x:c r="BJ410" s="32"/>
      <x:c r="BK410" s="32"/>
      <x:c r="BL410" s="32"/>
      <x:c r="BM410" s="32"/>
    </x:row>
    <x:row r="411">
      <x:c r="A411" s="32"/>
      <x:c r="B411" s="32"/>
      <x:c r="C411" s="42"/>
      <x:c r="D411" s="32"/>
      <x:c r="E411" s="32"/>
      <x:c r="F411" s="32"/>
      <x:c r="G411" s="32"/>
      <x:c r="H411" s="32"/>
      <x:c r="I411" s="32"/>
      <x:c r="J411" s="32"/>
      <x:c r="K411" s="32"/>
      <x:c r="L411" s="32"/>
      <x:c r="M411" s="32"/>
      <x:c r="N411" s="32"/>
      <x:c r="O411" s="32"/>
      <x:c r="P411" s="32"/>
      <x:c r="Q411" s="32"/>
      <x:c r="R411" s="32"/>
      <x:c r="S411" s="32"/>
      <x:c r="T411" s="43" t="str">
        <x:f>IFERROR(S411/L411,"")</x:f>
      </x:c>
      <x:c r="U411" s="32"/>
      <x:c r="V411" s="32"/>
      <x:c r="W411" s="32"/>
      <x:c r="X411" s="32"/>
      <x:c r="Y411" s="32"/>
      <x:c r="Z411" s="32"/>
      <x:c r="AA411" s="32"/>
      <x:c r="AB411" s="32"/>
      <x:c r="AC411" s="32"/>
      <x:c r="AD411" s="32"/>
      <x:c r="AE411" s="32"/>
      <x:c r="AF411" s="32"/>
      <x:c r="AG411" s="32"/>
      <x:c r="AH411" s="32"/>
      <x:c r="AI411" s="32"/>
      <x:c r="AJ411" s="32"/>
      <x:c r="AK411" s="32"/>
      <x:c r="AL411" s="32"/>
      <x:c r="AM411" s="32"/>
      <x:c r="AN411" s="32"/>
      <x:c r="AO411" s="32"/>
      <x:c r="AP411" s="32"/>
      <x:c r="AQ411" s="32"/>
      <x:c r="AR411" s="32"/>
      <x:c r="AS411" s="32"/>
      <x:c r="AT411" s="32"/>
      <x:c r="AU411" s="32"/>
      <x:c r="AV411" s="32"/>
      <x:c r="AW411" s="32"/>
      <x:c r="AX411" s="32"/>
      <x:c r="AZ411" s="32"/>
      <x:c r="BA411" s="32"/>
      <x:c r="BB411" s="32"/>
      <x:c r="BC411" s="32"/>
      <x:c r="BD411" s="32"/>
      <x:c r="BE411" s="32"/>
      <x:c r="BF411" s="32"/>
      <x:c r="BG411" s="32"/>
      <x:c r="BH411" s="32"/>
      <x:c r="BI411" s="32"/>
      <x:c r="BJ411" s="32"/>
      <x:c r="BK411" s="32"/>
      <x:c r="BL411" s="32"/>
      <x:c r="BM411" s="32"/>
    </x:row>
    <x:row r="412">
      <x:c r="A412" s="32"/>
      <x:c r="B412" s="32"/>
      <x:c r="C412" s="42"/>
      <x:c r="D412" s="32"/>
      <x:c r="E412" s="32"/>
      <x:c r="F412" s="32"/>
      <x:c r="G412" s="32"/>
      <x:c r="H412" s="32"/>
      <x:c r="I412" s="32"/>
      <x:c r="J412" s="32"/>
      <x:c r="K412" s="32"/>
      <x:c r="L412" s="32"/>
      <x:c r="M412" s="32"/>
      <x:c r="N412" s="32"/>
      <x:c r="O412" s="32"/>
      <x:c r="P412" s="32"/>
      <x:c r="Q412" s="32"/>
      <x:c r="R412" s="32"/>
      <x:c r="S412" s="32"/>
      <x:c r="T412" s="43" t="str">
        <x:f>IFERROR(S412/L412,"")</x:f>
      </x:c>
      <x:c r="U412" s="32"/>
      <x:c r="V412" s="32"/>
      <x:c r="W412" s="32"/>
      <x:c r="X412" s="32"/>
      <x:c r="Y412" s="32"/>
      <x:c r="Z412" s="32"/>
      <x:c r="AA412" s="32"/>
      <x:c r="AB412" s="32"/>
      <x:c r="AC412" s="32"/>
      <x:c r="AD412" s="32"/>
      <x:c r="AE412" s="32"/>
      <x:c r="AF412" s="32"/>
      <x:c r="AG412" s="32"/>
      <x:c r="AH412" s="32"/>
      <x:c r="AI412" s="32"/>
      <x:c r="AJ412" s="32"/>
      <x:c r="AK412" s="32"/>
      <x:c r="AL412" s="32"/>
      <x:c r="AM412" s="32"/>
      <x:c r="AN412" s="32"/>
      <x:c r="AO412" s="32"/>
      <x:c r="AP412" s="32"/>
      <x:c r="AQ412" s="32"/>
      <x:c r="AR412" s="32"/>
      <x:c r="AS412" s="32"/>
      <x:c r="AT412" s="32"/>
      <x:c r="AU412" s="32"/>
      <x:c r="AV412" s="32"/>
      <x:c r="AW412" s="32"/>
      <x:c r="AX412" s="32"/>
      <x:c r="AZ412" s="32"/>
      <x:c r="BA412" s="32"/>
      <x:c r="BB412" s="32"/>
      <x:c r="BC412" s="32"/>
      <x:c r="BD412" s="32"/>
      <x:c r="BE412" s="32"/>
      <x:c r="BF412" s="32"/>
      <x:c r="BG412" s="32"/>
      <x:c r="BH412" s="32"/>
      <x:c r="BI412" s="32"/>
      <x:c r="BJ412" s="32"/>
      <x:c r="BK412" s="32"/>
      <x:c r="BL412" s="32"/>
      <x:c r="BM412" s="32"/>
    </x:row>
    <x:row r="413">
      <x:c r="A413" s="32"/>
      <x:c r="B413" s="32"/>
      <x:c r="C413" s="42"/>
      <x:c r="D413" s="32"/>
      <x:c r="E413" s="32"/>
      <x:c r="F413" s="32"/>
      <x:c r="G413" s="32"/>
      <x:c r="H413" s="32"/>
      <x:c r="I413" s="32"/>
      <x:c r="J413" s="32"/>
      <x:c r="K413" s="32"/>
      <x:c r="L413" s="32"/>
      <x:c r="M413" s="32"/>
      <x:c r="N413" s="32"/>
      <x:c r="O413" s="32"/>
      <x:c r="P413" s="32"/>
      <x:c r="Q413" s="32"/>
      <x:c r="R413" s="32"/>
      <x:c r="S413" s="32"/>
      <x:c r="T413" s="43" t="str">
        <x:f>IFERROR(S413/L413,"")</x:f>
      </x:c>
      <x:c r="U413" s="32"/>
      <x:c r="V413" s="32"/>
      <x:c r="W413" s="32"/>
      <x:c r="X413" s="32"/>
      <x:c r="Y413" s="32"/>
      <x:c r="Z413" s="32"/>
      <x:c r="AA413" s="32"/>
      <x:c r="AB413" s="32"/>
      <x:c r="AC413" s="32"/>
      <x:c r="AD413" s="32"/>
      <x:c r="AE413" s="32"/>
      <x:c r="AF413" s="32"/>
      <x:c r="AG413" s="32"/>
      <x:c r="AH413" s="32"/>
      <x:c r="AI413" s="32"/>
      <x:c r="AJ413" s="32"/>
      <x:c r="AK413" s="32"/>
      <x:c r="AL413" s="32"/>
      <x:c r="AM413" s="32"/>
      <x:c r="AN413" s="32"/>
      <x:c r="AO413" s="32"/>
      <x:c r="AP413" s="32"/>
      <x:c r="AQ413" s="32"/>
      <x:c r="AR413" s="32"/>
      <x:c r="AS413" s="32"/>
      <x:c r="AT413" s="32"/>
      <x:c r="AU413" s="32"/>
      <x:c r="AV413" s="32"/>
      <x:c r="AW413" s="32"/>
      <x:c r="AX413" s="32"/>
      <x:c r="AZ413" s="32"/>
      <x:c r="BA413" s="32"/>
      <x:c r="BB413" s="32"/>
      <x:c r="BC413" s="32"/>
      <x:c r="BD413" s="32"/>
      <x:c r="BE413" s="32"/>
      <x:c r="BF413" s="32"/>
      <x:c r="BG413" s="32"/>
      <x:c r="BH413" s="32"/>
      <x:c r="BI413" s="32"/>
      <x:c r="BJ413" s="32"/>
      <x:c r="BK413" s="32"/>
      <x:c r="BL413" s="32"/>
      <x:c r="BM413" s="32"/>
    </x:row>
    <x:row r="414">
      <x:c r="A414" s="32"/>
      <x:c r="B414" s="32"/>
      <x:c r="C414" s="42"/>
      <x:c r="D414" s="32"/>
      <x:c r="E414" s="32"/>
      <x:c r="F414" s="32"/>
      <x:c r="G414" s="32"/>
      <x:c r="H414" s="32"/>
      <x:c r="I414" s="32"/>
      <x:c r="J414" s="32"/>
      <x:c r="K414" s="32"/>
      <x:c r="L414" s="32"/>
      <x:c r="M414" s="32"/>
      <x:c r="N414" s="32"/>
      <x:c r="O414" s="32"/>
      <x:c r="P414" s="32"/>
      <x:c r="Q414" s="32"/>
      <x:c r="R414" s="32"/>
      <x:c r="S414" s="32"/>
      <x:c r="T414" s="43" t="str">
        <x:f>IFERROR(S414/L414,"")</x:f>
      </x:c>
      <x:c r="U414" s="32"/>
      <x:c r="V414" s="32"/>
      <x:c r="W414" s="32"/>
      <x:c r="X414" s="32"/>
      <x:c r="Y414" s="32"/>
      <x:c r="Z414" s="32"/>
      <x:c r="AA414" s="32"/>
      <x:c r="AB414" s="32"/>
      <x:c r="AC414" s="32"/>
      <x:c r="AD414" s="32"/>
      <x:c r="AE414" s="32"/>
      <x:c r="AF414" s="32"/>
      <x:c r="AG414" s="32"/>
      <x:c r="AH414" s="32"/>
      <x:c r="AI414" s="32"/>
      <x:c r="AJ414" s="32"/>
      <x:c r="AK414" s="32"/>
      <x:c r="AL414" s="32"/>
      <x:c r="AM414" s="32"/>
      <x:c r="AN414" s="32"/>
      <x:c r="AO414" s="32"/>
      <x:c r="AP414" s="32"/>
      <x:c r="AQ414" s="32"/>
      <x:c r="AR414" s="32"/>
      <x:c r="AS414" s="32"/>
      <x:c r="AT414" s="32"/>
      <x:c r="AU414" s="32"/>
      <x:c r="AV414" s="32"/>
      <x:c r="AW414" s="32"/>
      <x:c r="AX414" s="32"/>
      <x:c r="AZ414" s="32"/>
      <x:c r="BA414" s="32"/>
      <x:c r="BB414" s="32"/>
      <x:c r="BC414" s="32"/>
      <x:c r="BD414" s="32"/>
      <x:c r="BE414" s="32"/>
      <x:c r="BF414" s="32"/>
      <x:c r="BG414" s="32"/>
      <x:c r="BH414" s="32"/>
      <x:c r="BI414" s="32"/>
      <x:c r="BJ414" s="32"/>
      <x:c r="BK414" s="32"/>
      <x:c r="BL414" s="32"/>
      <x:c r="BM414" s="32"/>
    </x:row>
    <x:row r="415">
      <x:c r="A415" s="32"/>
      <x:c r="B415" s="32"/>
      <x:c r="C415" s="42"/>
      <x:c r="D415" s="32"/>
      <x:c r="E415" s="32"/>
      <x:c r="F415" s="32"/>
      <x:c r="G415" s="32"/>
      <x:c r="H415" s="32"/>
      <x:c r="I415" s="32"/>
      <x:c r="J415" s="32"/>
      <x:c r="K415" s="32"/>
      <x:c r="L415" s="32"/>
      <x:c r="M415" s="32"/>
      <x:c r="N415" s="32"/>
      <x:c r="O415" s="32"/>
      <x:c r="P415" s="32"/>
      <x:c r="Q415" s="32"/>
      <x:c r="R415" s="32"/>
      <x:c r="S415" s="32"/>
      <x:c r="T415" s="43" t="str">
        <x:f>IFERROR(S415/L415,"")</x:f>
      </x:c>
      <x:c r="U415" s="32"/>
      <x:c r="V415" s="32"/>
      <x:c r="W415" s="32"/>
      <x:c r="X415" s="32"/>
      <x:c r="Y415" s="32"/>
      <x:c r="Z415" s="32"/>
      <x:c r="AA415" s="32"/>
      <x:c r="AB415" s="32"/>
      <x:c r="AC415" s="32"/>
      <x:c r="AD415" s="32"/>
      <x:c r="AE415" s="32"/>
      <x:c r="AF415" s="32"/>
      <x:c r="AG415" s="32"/>
      <x:c r="AH415" s="32"/>
      <x:c r="AI415" s="32"/>
      <x:c r="AJ415" s="32"/>
      <x:c r="AK415" s="32"/>
      <x:c r="AL415" s="32"/>
      <x:c r="AM415" s="32"/>
      <x:c r="AN415" s="32"/>
      <x:c r="AO415" s="32"/>
      <x:c r="AP415" s="32"/>
      <x:c r="AQ415" s="32"/>
      <x:c r="AR415" s="32"/>
      <x:c r="AS415" s="32"/>
      <x:c r="AT415" s="32"/>
      <x:c r="AU415" s="32"/>
      <x:c r="AV415" s="32"/>
      <x:c r="AW415" s="32"/>
      <x:c r="AX415" s="32"/>
      <x:c r="AZ415" s="32"/>
      <x:c r="BA415" s="32"/>
      <x:c r="BB415" s="32"/>
      <x:c r="BC415" s="32"/>
      <x:c r="BD415" s="32"/>
      <x:c r="BE415" s="32"/>
      <x:c r="BF415" s="32"/>
      <x:c r="BG415" s="32"/>
      <x:c r="BH415" s="32"/>
      <x:c r="BI415" s="32"/>
      <x:c r="BJ415" s="32"/>
      <x:c r="BK415" s="32"/>
      <x:c r="BL415" s="32"/>
      <x:c r="BM415" s="32"/>
    </x:row>
    <x:row r="416">
      <x:c r="A416" s="32"/>
      <x:c r="B416" s="32"/>
      <x:c r="C416" s="42"/>
      <x:c r="D416" s="32"/>
      <x:c r="E416" s="32"/>
      <x:c r="F416" s="32"/>
      <x:c r="G416" s="32"/>
      <x:c r="H416" s="32"/>
      <x:c r="I416" s="32"/>
      <x:c r="J416" s="32"/>
      <x:c r="K416" s="32"/>
      <x:c r="L416" s="32"/>
      <x:c r="M416" s="32"/>
      <x:c r="N416" s="32"/>
      <x:c r="O416" s="32"/>
      <x:c r="P416" s="32"/>
      <x:c r="Q416" s="32"/>
      <x:c r="R416" s="32"/>
      <x:c r="S416" s="32"/>
      <x:c r="T416" s="43" t="str">
        <x:f>IFERROR(S416/L416,"")</x:f>
      </x:c>
      <x:c r="U416" s="32"/>
      <x:c r="V416" s="32"/>
      <x:c r="W416" s="32"/>
      <x:c r="X416" s="32"/>
      <x:c r="Y416" s="32"/>
      <x:c r="Z416" s="32"/>
      <x:c r="AA416" s="32"/>
      <x:c r="AB416" s="32"/>
      <x:c r="AC416" s="32"/>
      <x:c r="AD416" s="32"/>
      <x:c r="AE416" s="32"/>
      <x:c r="AF416" s="32"/>
      <x:c r="AG416" s="32"/>
      <x:c r="AH416" s="32"/>
      <x:c r="AI416" s="32"/>
      <x:c r="AJ416" s="32"/>
      <x:c r="AK416" s="32"/>
      <x:c r="AL416" s="32"/>
      <x:c r="AM416" s="32"/>
      <x:c r="AN416" s="32"/>
      <x:c r="AO416" s="32"/>
      <x:c r="AP416" s="32"/>
      <x:c r="AQ416" s="32"/>
      <x:c r="AR416" s="32"/>
      <x:c r="AS416" s="32"/>
      <x:c r="AT416" s="32"/>
      <x:c r="AU416" s="32"/>
      <x:c r="AV416" s="32"/>
      <x:c r="AW416" s="32"/>
      <x:c r="AX416" s="32"/>
      <x:c r="AZ416" s="32"/>
      <x:c r="BA416" s="32"/>
      <x:c r="BB416" s="32"/>
      <x:c r="BC416" s="32"/>
      <x:c r="BD416" s="32"/>
      <x:c r="BE416" s="32"/>
      <x:c r="BF416" s="32"/>
      <x:c r="BG416" s="32"/>
      <x:c r="BH416" s="32"/>
      <x:c r="BI416" s="32"/>
      <x:c r="BJ416" s="32"/>
      <x:c r="BK416" s="32"/>
      <x:c r="BL416" s="32"/>
      <x:c r="BM416" s="32"/>
    </x:row>
    <x:row r="417">
      <x:c r="A417" s="32"/>
      <x:c r="B417" s="32"/>
      <x:c r="C417" s="42"/>
      <x:c r="D417" s="32"/>
      <x:c r="E417" s="32"/>
      <x:c r="F417" s="32"/>
      <x:c r="G417" s="32"/>
      <x:c r="H417" s="32"/>
      <x:c r="I417" s="32"/>
      <x:c r="J417" s="32"/>
      <x:c r="K417" s="32"/>
      <x:c r="L417" s="32"/>
      <x:c r="M417" s="32"/>
      <x:c r="N417" s="32"/>
      <x:c r="O417" s="32"/>
      <x:c r="P417" s="32"/>
      <x:c r="Q417" s="32"/>
      <x:c r="R417" s="32"/>
      <x:c r="S417" s="32"/>
      <x:c r="T417" s="43" t="str">
        <x:f>IFERROR(S417/L417,"")</x:f>
      </x:c>
      <x:c r="U417" s="32"/>
      <x:c r="V417" s="32"/>
      <x:c r="W417" s="32"/>
      <x:c r="X417" s="32"/>
      <x:c r="Y417" s="32"/>
      <x:c r="Z417" s="32"/>
      <x:c r="AA417" s="32"/>
      <x:c r="AB417" s="32"/>
      <x:c r="AC417" s="32"/>
      <x:c r="AD417" s="32"/>
      <x:c r="AE417" s="32"/>
      <x:c r="AF417" s="32"/>
      <x:c r="AG417" s="32"/>
      <x:c r="AH417" s="32"/>
      <x:c r="AI417" s="32"/>
      <x:c r="AJ417" s="32"/>
      <x:c r="AK417" s="32"/>
      <x:c r="AL417" s="32"/>
      <x:c r="AM417" s="32"/>
      <x:c r="AN417" s="32"/>
      <x:c r="AO417" s="32"/>
      <x:c r="AP417" s="32"/>
      <x:c r="AQ417" s="32"/>
      <x:c r="AR417" s="32"/>
      <x:c r="AS417" s="32"/>
      <x:c r="AT417" s="32"/>
      <x:c r="AU417" s="32"/>
      <x:c r="AV417" s="32"/>
      <x:c r="AW417" s="32"/>
      <x:c r="AX417" s="32"/>
      <x:c r="AZ417" s="32"/>
      <x:c r="BA417" s="32"/>
      <x:c r="BB417" s="32"/>
      <x:c r="BC417" s="32"/>
      <x:c r="BD417" s="32"/>
      <x:c r="BE417" s="32"/>
      <x:c r="BF417" s="32"/>
      <x:c r="BG417" s="32"/>
      <x:c r="BH417" s="32"/>
      <x:c r="BI417" s="32"/>
      <x:c r="BJ417" s="32"/>
      <x:c r="BK417" s="32"/>
      <x:c r="BL417" s="32"/>
      <x:c r="BM417" s="32"/>
    </x:row>
    <x:row r="418">
      <x:c r="A418" s="32"/>
      <x:c r="B418" s="32"/>
      <x:c r="C418" s="42"/>
      <x:c r="D418" s="32"/>
      <x:c r="E418" s="32"/>
      <x:c r="F418" s="32"/>
      <x:c r="G418" s="32"/>
      <x:c r="H418" s="32"/>
      <x:c r="I418" s="32"/>
      <x:c r="J418" s="32"/>
      <x:c r="K418" s="32"/>
      <x:c r="L418" s="32"/>
      <x:c r="M418" s="32"/>
      <x:c r="N418" s="32"/>
      <x:c r="O418" s="32"/>
      <x:c r="P418" s="32"/>
      <x:c r="Q418" s="32"/>
      <x:c r="R418" s="32"/>
      <x:c r="S418" s="32"/>
      <x:c r="T418" s="43" t="str">
        <x:f>IFERROR(S418/L418,"")</x:f>
      </x:c>
      <x:c r="U418" s="32"/>
      <x:c r="V418" s="32"/>
      <x:c r="W418" s="32"/>
      <x:c r="X418" s="32"/>
      <x:c r="Y418" s="32"/>
      <x:c r="Z418" s="32"/>
      <x:c r="AA418" s="32"/>
      <x:c r="AB418" s="32"/>
      <x:c r="AC418" s="32"/>
      <x:c r="AD418" s="32"/>
      <x:c r="AE418" s="32"/>
      <x:c r="AF418" s="32"/>
      <x:c r="AG418" s="32"/>
      <x:c r="AH418" s="32"/>
      <x:c r="AI418" s="32"/>
      <x:c r="AJ418" s="32"/>
      <x:c r="AK418" s="32"/>
      <x:c r="AL418" s="32"/>
      <x:c r="AM418" s="32"/>
      <x:c r="AN418" s="32"/>
      <x:c r="AO418" s="32"/>
      <x:c r="AP418" s="32"/>
      <x:c r="AQ418" s="32"/>
      <x:c r="AR418" s="32"/>
      <x:c r="AS418" s="32"/>
      <x:c r="AT418" s="32"/>
      <x:c r="AU418" s="32"/>
      <x:c r="AV418" s="32"/>
      <x:c r="AW418" s="32"/>
      <x:c r="AX418" s="32"/>
      <x:c r="AZ418" s="32"/>
      <x:c r="BA418" s="32"/>
      <x:c r="BB418" s="32"/>
      <x:c r="BC418" s="32"/>
      <x:c r="BD418" s="32"/>
      <x:c r="BE418" s="32"/>
      <x:c r="BF418" s="32"/>
      <x:c r="BG418" s="32"/>
      <x:c r="BH418" s="32"/>
      <x:c r="BI418" s="32"/>
      <x:c r="BJ418" s="32"/>
      <x:c r="BK418" s="32"/>
      <x:c r="BL418" s="32"/>
      <x:c r="BM418" s="32"/>
    </x:row>
    <x:row r="419">
      <x:c r="A419" s="32"/>
      <x:c r="B419" s="32"/>
      <x:c r="C419" s="42"/>
      <x:c r="D419" s="32"/>
      <x:c r="E419" s="32"/>
      <x:c r="F419" s="32"/>
      <x:c r="G419" s="32"/>
      <x:c r="H419" s="32"/>
      <x:c r="I419" s="32"/>
      <x:c r="J419" s="32"/>
      <x:c r="K419" s="32"/>
      <x:c r="L419" s="32"/>
      <x:c r="M419" s="32"/>
      <x:c r="N419" s="32"/>
      <x:c r="O419" s="32"/>
      <x:c r="P419" s="32"/>
      <x:c r="Q419" s="32"/>
      <x:c r="R419" s="32"/>
      <x:c r="S419" s="32"/>
      <x:c r="T419" s="43" t="str">
        <x:f>IFERROR(S419/L419,"")</x:f>
      </x:c>
      <x:c r="U419" s="32"/>
      <x:c r="V419" s="32"/>
      <x:c r="W419" s="32"/>
      <x:c r="X419" s="32"/>
      <x:c r="Y419" s="32"/>
      <x:c r="Z419" s="32"/>
      <x:c r="AA419" s="32"/>
      <x:c r="AB419" s="32"/>
      <x:c r="AC419" s="32"/>
      <x:c r="AD419" s="32"/>
      <x:c r="AE419" s="32"/>
      <x:c r="AF419" s="32"/>
      <x:c r="AG419" s="32"/>
      <x:c r="AH419" s="32"/>
      <x:c r="AI419" s="32"/>
      <x:c r="AJ419" s="32"/>
      <x:c r="AK419" s="32"/>
      <x:c r="AL419" s="32"/>
      <x:c r="AM419" s="32"/>
      <x:c r="AN419" s="32"/>
      <x:c r="AO419" s="32"/>
      <x:c r="AP419" s="32"/>
      <x:c r="AQ419" s="32"/>
      <x:c r="AR419" s="32"/>
      <x:c r="AS419" s="32"/>
      <x:c r="AT419" s="32"/>
      <x:c r="AU419" s="32"/>
      <x:c r="AV419" s="32"/>
      <x:c r="AW419" s="32"/>
      <x:c r="AX419" s="32"/>
      <x:c r="AZ419" s="32"/>
      <x:c r="BA419" s="32"/>
      <x:c r="BB419" s="32"/>
      <x:c r="BC419" s="32"/>
      <x:c r="BD419" s="32"/>
      <x:c r="BE419" s="32"/>
      <x:c r="BF419" s="32"/>
      <x:c r="BG419" s="32"/>
      <x:c r="BH419" s="32"/>
      <x:c r="BI419" s="32"/>
      <x:c r="BJ419" s="32"/>
      <x:c r="BK419" s="32"/>
      <x:c r="BL419" s="32"/>
      <x:c r="BM419" s="32"/>
    </x:row>
    <x:row r="420">
      <x:c r="A420" s="32"/>
      <x:c r="B420" s="32"/>
      <x:c r="C420" s="42"/>
      <x:c r="D420" s="32"/>
      <x:c r="E420" s="32"/>
      <x:c r="F420" s="32"/>
      <x:c r="G420" s="32"/>
      <x:c r="H420" s="32"/>
      <x:c r="I420" s="32"/>
      <x:c r="J420" s="32"/>
      <x:c r="K420" s="32"/>
      <x:c r="L420" s="32"/>
      <x:c r="M420" s="32"/>
      <x:c r="N420" s="32"/>
      <x:c r="O420" s="32"/>
      <x:c r="P420" s="32"/>
      <x:c r="Q420" s="32"/>
      <x:c r="R420" s="32"/>
      <x:c r="S420" s="32"/>
      <x:c r="T420" s="43" t="str">
        <x:f>IFERROR(S420/L420,"")</x:f>
      </x:c>
      <x:c r="U420" s="32"/>
      <x:c r="V420" s="32"/>
      <x:c r="W420" s="32"/>
      <x:c r="X420" s="32"/>
      <x:c r="Y420" s="32"/>
      <x:c r="Z420" s="32"/>
      <x:c r="AA420" s="32"/>
      <x:c r="AB420" s="32"/>
      <x:c r="AC420" s="32"/>
      <x:c r="AD420" s="32"/>
      <x:c r="AE420" s="32"/>
      <x:c r="AF420" s="32"/>
      <x:c r="AG420" s="32"/>
      <x:c r="AH420" s="32"/>
      <x:c r="AI420" s="32"/>
      <x:c r="AJ420" s="32"/>
      <x:c r="AK420" s="32"/>
      <x:c r="AL420" s="32"/>
      <x:c r="AM420" s="32"/>
      <x:c r="AN420" s="32"/>
      <x:c r="AO420" s="32"/>
      <x:c r="AP420" s="32"/>
      <x:c r="AQ420" s="32"/>
      <x:c r="AR420" s="32"/>
      <x:c r="AS420" s="32"/>
      <x:c r="AT420" s="32"/>
      <x:c r="AU420" s="32"/>
      <x:c r="AV420" s="32"/>
      <x:c r="AW420" s="32"/>
      <x:c r="AX420" s="32"/>
      <x:c r="AZ420" s="32"/>
      <x:c r="BA420" s="32"/>
      <x:c r="BB420" s="32"/>
      <x:c r="BC420" s="32"/>
      <x:c r="BD420" s="32"/>
      <x:c r="BE420" s="32"/>
      <x:c r="BF420" s="32"/>
      <x:c r="BG420" s="32"/>
      <x:c r="BH420" s="32"/>
      <x:c r="BI420" s="32"/>
      <x:c r="BJ420" s="32"/>
      <x:c r="BK420" s="32"/>
      <x:c r="BL420" s="32"/>
      <x:c r="BM420" s="32"/>
    </x:row>
    <x:row r="421">
      <x:c r="A421" s="32"/>
      <x:c r="B421" s="32"/>
      <x:c r="C421" s="42"/>
      <x:c r="D421" s="32"/>
      <x:c r="E421" s="32"/>
      <x:c r="F421" s="32"/>
      <x:c r="G421" s="32"/>
      <x:c r="H421" s="32"/>
      <x:c r="I421" s="32"/>
      <x:c r="J421" s="32"/>
      <x:c r="K421" s="32"/>
      <x:c r="L421" s="32"/>
      <x:c r="M421" s="32"/>
      <x:c r="N421" s="32"/>
      <x:c r="O421" s="32"/>
      <x:c r="P421" s="32"/>
      <x:c r="Q421" s="32"/>
      <x:c r="R421" s="32"/>
      <x:c r="S421" s="32"/>
      <x:c r="T421" s="43" t="str">
        <x:f>IFERROR(S421/L421,"")</x:f>
      </x:c>
      <x:c r="U421" s="32"/>
      <x:c r="V421" s="32"/>
      <x:c r="W421" s="32"/>
      <x:c r="X421" s="32"/>
      <x:c r="Y421" s="32"/>
      <x:c r="Z421" s="32"/>
      <x:c r="AA421" s="32"/>
      <x:c r="AB421" s="32"/>
      <x:c r="AC421" s="32"/>
      <x:c r="AD421" s="32"/>
      <x:c r="AE421" s="32"/>
      <x:c r="AF421" s="32"/>
      <x:c r="AG421" s="32"/>
      <x:c r="AH421" s="32"/>
      <x:c r="AI421" s="32"/>
      <x:c r="AJ421" s="32"/>
      <x:c r="AK421" s="32"/>
      <x:c r="AL421" s="32"/>
      <x:c r="AM421" s="32"/>
      <x:c r="AN421" s="32"/>
      <x:c r="AO421" s="32"/>
      <x:c r="AP421" s="32"/>
      <x:c r="AQ421" s="32"/>
      <x:c r="AR421" s="32"/>
      <x:c r="AS421" s="32"/>
      <x:c r="AT421" s="32"/>
      <x:c r="AU421" s="32"/>
      <x:c r="AV421" s="32"/>
      <x:c r="AW421" s="32"/>
      <x:c r="AX421" s="32"/>
      <x:c r="AZ421" s="32"/>
      <x:c r="BA421" s="32"/>
      <x:c r="BB421" s="32"/>
      <x:c r="BC421" s="32"/>
      <x:c r="BD421" s="32"/>
      <x:c r="BE421" s="32"/>
      <x:c r="BF421" s="32"/>
      <x:c r="BG421" s="32"/>
      <x:c r="BH421" s="32"/>
      <x:c r="BI421" s="32"/>
      <x:c r="BJ421" s="32"/>
      <x:c r="BK421" s="32"/>
      <x:c r="BL421" s="32"/>
      <x:c r="BM421" s="32"/>
    </x:row>
    <x:row r="422">
      <x:c r="A422" s="32"/>
      <x:c r="B422" s="32"/>
      <x:c r="C422" s="42"/>
      <x:c r="D422" s="32"/>
      <x:c r="E422" s="32"/>
      <x:c r="F422" s="32"/>
      <x:c r="G422" s="32"/>
      <x:c r="H422" s="32"/>
      <x:c r="I422" s="32"/>
      <x:c r="J422" s="32"/>
      <x:c r="K422" s="32"/>
      <x:c r="L422" s="32"/>
      <x:c r="M422" s="32"/>
      <x:c r="N422" s="32"/>
      <x:c r="O422" s="32"/>
      <x:c r="P422" s="32"/>
      <x:c r="Q422" s="32"/>
      <x:c r="R422" s="32"/>
      <x:c r="S422" s="32"/>
      <x:c r="T422" s="43" t="str">
        <x:f>IFERROR(S422/L422,"")</x:f>
      </x:c>
      <x:c r="U422" s="32"/>
      <x:c r="V422" s="32"/>
      <x:c r="W422" s="32"/>
      <x:c r="X422" s="32"/>
      <x:c r="Y422" s="32"/>
      <x:c r="Z422" s="32"/>
      <x:c r="AA422" s="32"/>
      <x:c r="AB422" s="32"/>
      <x:c r="AC422" s="32"/>
      <x:c r="AD422" s="32"/>
      <x:c r="AE422" s="32"/>
      <x:c r="AF422" s="32"/>
      <x:c r="AG422" s="32"/>
      <x:c r="AH422" s="32"/>
      <x:c r="AI422" s="32"/>
      <x:c r="AJ422" s="32"/>
      <x:c r="AK422" s="32"/>
      <x:c r="AL422" s="32"/>
      <x:c r="AM422" s="32"/>
      <x:c r="AN422" s="32"/>
      <x:c r="AO422" s="32"/>
      <x:c r="AP422" s="32"/>
      <x:c r="AQ422" s="32"/>
      <x:c r="AR422" s="32"/>
      <x:c r="AS422" s="32"/>
      <x:c r="AT422" s="32"/>
      <x:c r="AU422" s="32"/>
      <x:c r="AV422" s="32"/>
      <x:c r="AW422" s="32"/>
      <x:c r="AX422" s="32"/>
      <x:c r="AZ422" s="32"/>
      <x:c r="BA422" s="32"/>
      <x:c r="BB422" s="32"/>
      <x:c r="BC422" s="32"/>
      <x:c r="BD422" s="32"/>
      <x:c r="BE422" s="32"/>
      <x:c r="BF422" s="32"/>
      <x:c r="BG422" s="32"/>
      <x:c r="BH422" s="32"/>
      <x:c r="BI422" s="32"/>
      <x:c r="BJ422" s="32"/>
      <x:c r="BK422" s="32"/>
      <x:c r="BL422" s="32"/>
      <x:c r="BM422" s="32"/>
    </x:row>
    <x:row r="423">
      <x:c r="A423" s="32"/>
      <x:c r="B423" s="32"/>
      <x:c r="C423" s="42"/>
      <x:c r="D423" s="32"/>
      <x:c r="E423" s="32"/>
      <x:c r="F423" s="32"/>
      <x:c r="G423" s="32"/>
      <x:c r="H423" s="32"/>
      <x:c r="I423" s="32"/>
      <x:c r="J423" s="32"/>
      <x:c r="K423" s="32"/>
      <x:c r="L423" s="32"/>
      <x:c r="M423" s="32"/>
      <x:c r="N423" s="32"/>
      <x:c r="O423" s="32"/>
      <x:c r="P423" s="32"/>
      <x:c r="Q423" s="32"/>
      <x:c r="R423" s="32"/>
      <x:c r="S423" s="32"/>
      <x:c r="T423" s="43" t="str">
        <x:f>IFERROR(S423/L423,"")</x:f>
      </x:c>
      <x:c r="U423" s="32"/>
      <x:c r="V423" s="32"/>
      <x:c r="W423" s="32"/>
      <x:c r="X423" s="32"/>
      <x:c r="Y423" s="32"/>
      <x:c r="Z423" s="32"/>
      <x:c r="AA423" s="32"/>
      <x:c r="AB423" s="32"/>
      <x:c r="AC423" s="32"/>
      <x:c r="AD423" s="32"/>
      <x:c r="AE423" s="32"/>
      <x:c r="AF423" s="32"/>
      <x:c r="AG423" s="32"/>
      <x:c r="AH423" s="32"/>
      <x:c r="AI423" s="32"/>
      <x:c r="AJ423" s="32"/>
      <x:c r="AK423" s="32"/>
      <x:c r="AL423" s="32"/>
      <x:c r="AM423" s="32"/>
      <x:c r="AN423" s="32"/>
      <x:c r="AO423" s="32"/>
      <x:c r="AP423" s="32"/>
      <x:c r="AQ423" s="32"/>
      <x:c r="AR423" s="32"/>
      <x:c r="AS423" s="32"/>
      <x:c r="AT423" s="32"/>
      <x:c r="AU423" s="32"/>
      <x:c r="AV423" s="32"/>
      <x:c r="AW423" s="32"/>
      <x:c r="AX423" s="32"/>
      <x:c r="AZ423" s="32"/>
      <x:c r="BA423" s="32"/>
      <x:c r="BB423" s="32"/>
      <x:c r="BC423" s="32"/>
      <x:c r="BD423" s="32"/>
      <x:c r="BE423" s="32"/>
      <x:c r="BF423" s="32"/>
      <x:c r="BG423" s="32"/>
      <x:c r="BH423" s="32"/>
      <x:c r="BI423" s="32"/>
      <x:c r="BJ423" s="32"/>
      <x:c r="BK423" s="32"/>
      <x:c r="BL423" s="32"/>
      <x:c r="BM423" s="32"/>
    </x:row>
    <x:row r="424">
      <x:c r="A424" s="32"/>
      <x:c r="B424" s="32"/>
      <x:c r="C424" s="42"/>
      <x:c r="D424" s="32"/>
      <x:c r="E424" s="32"/>
      <x:c r="F424" s="32"/>
      <x:c r="G424" s="32"/>
      <x:c r="H424" s="32"/>
      <x:c r="I424" s="32"/>
      <x:c r="J424" s="32"/>
      <x:c r="K424" s="32"/>
      <x:c r="L424" s="32"/>
      <x:c r="M424" s="32"/>
      <x:c r="N424" s="32"/>
      <x:c r="O424" s="32"/>
      <x:c r="P424" s="32"/>
      <x:c r="Q424" s="32"/>
      <x:c r="R424" s="32"/>
      <x:c r="S424" s="32"/>
      <x:c r="T424" s="43" t="str">
        <x:f>IFERROR(S424/L424,"")</x:f>
      </x:c>
      <x:c r="U424" s="32"/>
      <x:c r="V424" s="32"/>
      <x:c r="W424" s="32"/>
      <x:c r="X424" s="32"/>
      <x:c r="Y424" s="32"/>
      <x:c r="Z424" s="32"/>
      <x:c r="AA424" s="32"/>
      <x:c r="AB424" s="32"/>
      <x:c r="AC424" s="32"/>
      <x:c r="AD424" s="32"/>
      <x:c r="AE424" s="32"/>
      <x:c r="AF424" s="32"/>
      <x:c r="AG424" s="32"/>
      <x:c r="AH424" s="32"/>
      <x:c r="AI424" s="32"/>
      <x:c r="AJ424" s="32"/>
      <x:c r="AK424" s="32"/>
      <x:c r="AL424" s="32"/>
      <x:c r="AM424" s="32"/>
      <x:c r="AN424" s="32"/>
      <x:c r="AO424" s="32"/>
      <x:c r="AP424" s="32"/>
      <x:c r="AQ424" s="32"/>
      <x:c r="AR424" s="32"/>
      <x:c r="AS424" s="32"/>
      <x:c r="AT424" s="32"/>
      <x:c r="AU424" s="32"/>
      <x:c r="AV424" s="32"/>
      <x:c r="AW424" s="32"/>
      <x:c r="AX424" s="32"/>
      <x:c r="AZ424" s="32"/>
      <x:c r="BA424" s="32"/>
      <x:c r="BB424" s="32"/>
      <x:c r="BC424" s="32"/>
      <x:c r="BD424" s="32"/>
      <x:c r="BE424" s="32"/>
      <x:c r="BF424" s="32"/>
      <x:c r="BG424" s="32"/>
      <x:c r="BH424" s="32"/>
      <x:c r="BI424" s="32"/>
      <x:c r="BJ424" s="32"/>
      <x:c r="BK424" s="32"/>
      <x:c r="BL424" s="32"/>
      <x:c r="BM424" s="32"/>
    </x:row>
    <x:row r="425">
      <x:c r="A425" s="32"/>
      <x:c r="B425" s="32"/>
      <x:c r="C425" s="42"/>
      <x:c r="D425" s="32"/>
      <x:c r="E425" s="32"/>
      <x:c r="F425" s="32"/>
      <x:c r="G425" s="32"/>
      <x:c r="H425" s="32"/>
      <x:c r="I425" s="32"/>
      <x:c r="J425" s="32"/>
      <x:c r="K425" s="32"/>
      <x:c r="L425" s="32"/>
      <x:c r="M425" s="32"/>
      <x:c r="N425" s="32"/>
      <x:c r="O425" s="32"/>
      <x:c r="P425" s="32"/>
      <x:c r="Q425" s="32"/>
      <x:c r="R425" s="32"/>
      <x:c r="S425" s="32"/>
      <x:c r="T425" s="43" t="str">
        <x:f>IFERROR(S425/L425,"")</x:f>
      </x:c>
      <x:c r="U425" s="32"/>
      <x:c r="V425" s="32"/>
      <x:c r="W425" s="32"/>
      <x:c r="X425" s="32"/>
      <x:c r="Y425" s="32"/>
      <x:c r="Z425" s="32"/>
      <x:c r="AA425" s="32"/>
      <x:c r="AB425" s="32"/>
      <x:c r="AC425" s="32"/>
      <x:c r="AD425" s="32"/>
      <x:c r="AE425" s="32"/>
      <x:c r="AF425" s="32"/>
      <x:c r="AG425" s="32"/>
      <x:c r="AH425" s="32"/>
      <x:c r="AI425" s="32"/>
      <x:c r="AJ425" s="32"/>
      <x:c r="AK425" s="32"/>
      <x:c r="AL425" s="32"/>
      <x:c r="AM425" s="32"/>
      <x:c r="AN425" s="32"/>
      <x:c r="AO425" s="32"/>
      <x:c r="AP425" s="32"/>
      <x:c r="AQ425" s="32"/>
      <x:c r="AR425" s="32"/>
      <x:c r="AS425" s="32"/>
      <x:c r="AT425" s="32"/>
      <x:c r="AU425" s="32"/>
      <x:c r="AV425" s="32"/>
      <x:c r="AW425" s="32"/>
      <x:c r="AX425" s="32"/>
      <x:c r="AZ425" s="32"/>
      <x:c r="BA425" s="32"/>
      <x:c r="BB425" s="32"/>
      <x:c r="BC425" s="32"/>
      <x:c r="BD425" s="32"/>
      <x:c r="BE425" s="32"/>
      <x:c r="BF425" s="32"/>
      <x:c r="BG425" s="32"/>
      <x:c r="BH425" s="32"/>
      <x:c r="BI425" s="32"/>
      <x:c r="BJ425" s="32"/>
      <x:c r="BK425" s="32"/>
      <x:c r="BL425" s="32"/>
      <x:c r="BM425" s="32"/>
    </x:row>
    <x:row r="426">
      <x:c r="A426" s="32"/>
      <x:c r="B426" s="32"/>
      <x:c r="C426" s="42"/>
      <x:c r="D426" s="32"/>
      <x:c r="E426" s="32"/>
      <x:c r="F426" s="32"/>
      <x:c r="G426" s="32"/>
      <x:c r="H426" s="32"/>
      <x:c r="I426" s="32"/>
      <x:c r="J426" s="32"/>
      <x:c r="K426" s="32"/>
      <x:c r="L426" s="32"/>
      <x:c r="M426" s="32"/>
      <x:c r="N426" s="32"/>
      <x:c r="O426" s="32"/>
      <x:c r="P426" s="32"/>
      <x:c r="Q426" s="32"/>
      <x:c r="R426" s="32"/>
      <x:c r="S426" s="32"/>
      <x:c r="T426" s="43" t="str">
        <x:f>IFERROR(S426/L426,"")</x:f>
      </x:c>
      <x:c r="U426" s="32"/>
      <x:c r="V426" s="32"/>
      <x:c r="W426" s="32"/>
      <x:c r="X426" s="32"/>
      <x:c r="Y426" s="32"/>
      <x:c r="Z426" s="32"/>
      <x:c r="AA426" s="32"/>
      <x:c r="AB426" s="32"/>
      <x:c r="AC426" s="32"/>
      <x:c r="AD426" s="32"/>
      <x:c r="AE426" s="32"/>
      <x:c r="AF426" s="32"/>
      <x:c r="AG426" s="32"/>
      <x:c r="AH426" s="32"/>
      <x:c r="AI426" s="32"/>
      <x:c r="AJ426" s="32"/>
      <x:c r="AK426" s="32"/>
      <x:c r="AL426" s="32"/>
      <x:c r="AM426" s="32"/>
      <x:c r="AN426" s="32"/>
      <x:c r="AO426" s="32"/>
      <x:c r="AP426" s="32"/>
      <x:c r="AQ426" s="32"/>
      <x:c r="AR426" s="32"/>
      <x:c r="AS426" s="32"/>
      <x:c r="AT426" s="32"/>
      <x:c r="AU426" s="32"/>
      <x:c r="AV426" s="32"/>
      <x:c r="AW426" s="32"/>
      <x:c r="AX426" s="32"/>
      <x:c r="AZ426" s="32"/>
      <x:c r="BA426" s="32"/>
      <x:c r="BB426" s="32"/>
      <x:c r="BC426" s="32"/>
      <x:c r="BD426" s="32"/>
      <x:c r="BE426" s="32"/>
      <x:c r="BF426" s="32"/>
      <x:c r="BG426" s="32"/>
      <x:c r="BH426" s="32"/>
      <x:c r="BI426" s="32"/>
      <x:c r="BJ426" s="32"/>
      <x:c r="BK426" s="32"/>
      <x:c r="BL426" s="32"/>
      <x:c r="BM426" s="32"/>
    </x:row>
    <x:row r="427">
      <x:c r="A427" s="32"/>
      <x:c r="B427" s="32"/>
      <x:c r="C427" s="42"/>
      <x:c r="D427" s="32"/>
      <x:c r="E427" s="32"/>
      <x:c r="F427" s="32"/>
      <x:c r="G427" s="32"/>
      <x:c r="H427" s="32"/>
      <x:c r="I427" s="32"/>
      <x:c r="J427" s="32"/>
      <x:c r="K427" s="32"/>
      <x:c r="L427" s="32"/>
      <x:c r="M427" s="32"/>
      <x:c r="N427" s="32"/>
      <x:c r="O427" s="32"/>
      <x:c r="P427" s="32"/>
      <x:c r="Q427" s="32"/>
      <x:c r="R427" s="32"/>
      <x:c r="S427" s="32"/>
      <x:c r="T427" s="43" t="str">
        <x:f>IFERROR(S427/L427,"")</x:f>
      </x:c>
      <x:c r="U427" s="32"/>
      <x:c r="V427" s="32"/>
      <x:c r="W427" s="32"/>
      <x:c r="X427" s="32"/>
      <x:c r="Y427" s="32"/>
      <x:c r="Z427" s="32"/>
      <x:c r="AA427" s="32"/>
      <x:c r="AB427" s="32"/>
      <x:c r="AC427" s="32"/>
      <x:c r="AD427" s="32"/>
      <x:c r="AE427" s="32"/>
      <x:c r="AF427" s="32"/>
      <x:c r="AG427" s="32"/>
      <x:c r="AH427" s="32"/>
      <x:c r="AI427" s="32"/>
      <x:c r="AJ427" s="32"/>
      <x:c r="AK427" s="32"/>
      <x:c r="AL427" s="32"/>
      <x:c r="AM427" s="32"/>
      <x:c r="AN427" s="32"/>
      <x:c r="AO427" s="32"/>
      <x:c r="AP427" s="32"/>
      <x:c r="AQ427" s="32"/>
      <x:c r="AR427" s="32"/>
      <x:c r="AS427" s="32"/>
      <x:c r="AT427" s="32"/>
      <x:c r="AU427" s="32"/>
      <x:c r="AV427" s="32"/>
      <x:c r="AW427" s="32"/>
      <x:c r="AX427" s="32"/>
      <x:c r="AZ427" s="32"/>
      <x:c r="BA427" s="32"/>
      <x:c r="BB427" s="32"/>
      <x:c r="BC427" s="32"/>
      <x:c r="BD427" s="32"/>
      <x:c r="BE427" s="32"/>
      <x:c r="BF427" s="32"/>
      <x:c r="BG427" s="32"/>
      <x:c r="BH427" s="32"/>
      <x:c r="BI427" s="32"/>
      <x:c r="BJ427" s="32"/>
      <x:c r="BK427" s="32"/>
      <x:c r="BL427" s="32"/>
      <x:c r="BM427" s="32"/>
    </x:row>
    <x:row r="428">
      <x:c r="A428" s="32"/>
      <x:c r="B428" s="32"/>
      <x:c r="C428" s="42"/>
      <x:c r="D428" s="32"/>
      <x:c r="E428" s="32"/>
      <x:c r="F428" s="32"/>
      <x:c r="G428" s="32"/>
      <x:c r="H428" s="32"/>
      <x:c r="I428" s="32"/>
      <x:c r="J428" s="32"/>
      <x:c r="K428" s="32"/>
      <x:c r="L428" s="32"/>
      <x:c r="M428" s="32"/>
      <x:c r="N428" s="32"/>
      <x:c r="O428" s="32"/>
      <x:c r="P428" s="32"/>
      <x:c r="Q428" s="32"/>
      <x:c r="R428" s="32"/>
      <x:c r="S428" s="32"/>
      <x:c r="T428" s="43" t="str">
        <x:f>IFERROR(S428/L428,"")</x:f>
      </x:c>
      <x:c r="U428" s="32"/>
      <x:c r="V428" s="32"/>
      <x:c r="W428" s="32"/>
      <x:c r="X428" s="32"/>
      <x:c r="Y428" s="32"/>
      <x:c r="Z428" s="32"/>
      <x:c r="AA428" s="32"/>
      <x:c r="AB428" s="32"/>
      <x:c r="AC428" s="32"/>
      <x:c r="AD428" s="32"/>
      <x:c r="AE428" s="32"/>
      <x:c r="AF428" s="32"/>
      <x:c r="AG428" s="32"/>
      <x:c r="AH428" s="32"/>
      <x:c r="AI428" s="32"/>
      <x:c r="AJ428" s="32"/>
      <x:c r="AK428" s="32"/>
      <x:c r="AL428" s="32"/>
      <x:c r="AM428" s="32"/>
      <x:c r="AN428" s="32"/>
      <x:c r="AO428" s="32"/>
      <x:c r="AP428" s="32"/>
      <x:c r="AQ428" s="32"/>
      <x:c r="AR428" s="32"/>
      <x:c r="AS428" s="32"/>
      <x:c r="AT428" s="32"/>
      <x:c r="AU428" s="32"/>
      <x:c r="AV428" s="32"/>
      <x:c r="AW428" s="32"/>
      <x:c r="AX428" s="32"/>
      <x:c r="AZ428" s="32"/>
      <x:c r="BA428" s="32"/>
      <x:c r="BB428" s="32"/>
      <x:c r="BC428" s="32"/>
      <x:c r="BD428" s="32"/>
      <x:c r="BE428" s="32"/>
      <x:c r="BF428" s="32"/>
      <x:c r="BG428" s="32"/>
      <x:c r="BH428" s="32"/>
      <x:c r="BI428" s="32"/>
      <x:c r="BJ428" s="32"/>
      <x:c r="BK428" s="32"/>
      <x:c r="BL428" s="32"/>
      <x:c r="BM428" s="32"/>
    </x:row>
    <x:row r="429">
      <x:c r="A429" s="32"/>
      <x:c r="B429" s="32"/>
      <x:c r="C429" s="42"/>
      <x:c r="D429" s="32"/>
      <x:c r="E429" s="32"/>
      <x:c r="F429" s="32"/>
      <x:c r="G429" s="32"/>
      <x:c r="H429" s="32"/>
      <x:c r="I429" s="32"/>
      <x:c r="J429" s="32"/>
      <x:c r="K429" s="32"/>
      <x:c r="L429" s="32"/>
      <x:c r="M429" s="32"/>
      <x:c r="N429" s="32"/>
      <x:c r="O429" s="32"/>
      <x:c r="P429" s="32"/>
      <x:c r="Q429" s="32"/>
      <x:c r="R429" s="32"/>
      <x:c r="S429" s="32"/>
      <x:c r="T429" s="43" t="str">
        <x:f>IFERROR(S429/L429,"")</x:f>
      </x:c>
      <x:c r="U429" s="32"/>
      <x:c r="V429" s="32"/>
      <x:c r="W429" s="32"/>
      <x:c r="X429" s="32"/>
      <x:c r="Y429" s="32"/>
      <x:c r="Z429" s="32"/>
      <x:c r="AA429" s="32"/>
      <x:c r="AB429" s="32"/>
      <x:c r="AC429" s="32"/>
      <x:c r="AD429" s="32"/>
      <x:c r="AE429" s="32"/>
      <x:c r="AF429" s="32"/>
      <x:c r="AG429" s="32"/>
      <x:c r="AH429" s="32"/>
      <x:c r="AI429" s="32"/>
      <x:c r="AJ429" s="32"/>
      <x:c r="AK429" s="32"/>
      <x:c r="AL429" s="32"/>
      <x:c r="AM429" s="32"/>
      <x:c r="AN429" s="32"/>
      <x:c r="AO429" s="32"/>
      <x:c r="AP429" s="32"/>
      <x:c r="AQ429" s="32"/>
      <x:c r="AR429" s="32"/>
      <x:c r="AS429" s="32"/>
      <x:c r="AT429" s="32"/>
      <x:c r="AU429" s="32"/>
      <x:c r="AV429" s="32"/>
      <x:c r="AW429" s="32"/>
      <x:c r="AX429" s="32"/>
      <x:c r="AZ429" s="32"/>
      <x:c r="BA429" s="32"/>
      <x:c r="BB429" s="32"/>
      <x:c r="BC429" s="32"/>
      <x:c r="BD429" s="32"/>
      <x:c r="BE429" s="32"/>
      <x:c r="BF429" s="32"/>
      <x:c r="BG429" s="32"/>
      <x:c r="BH429" s="32"/>
      <x:c r="BI429" s="32"/>
      <x:c r="BJ429" s="32"/>
      <x:c r="BK429" s="32"/>
      <x:c r="BL429" s="32"/>
      <x:c r="BM429" s="32"/>
    </x:row>
    <x:row r="430">
      <x:c r="A430" s="32"/>
      <x:c r="B430" s="32"/>
      <x:c r="C430" s="42"/>
      <x:c r="D430" s="32"/>
      <x:c r="E430" s="32"/>
      <x:c r="F430" s="32"/>
      <x:c r="G430" s="32"/>
      <x:c r="H430" s="32"/>
      <x:c r="I430" s="32"/>
      <x:c r="J430" s="32"/>
      <x:c r="K430" s="32"/>
      <x:c r="L430" s="32"/>
      <x:c r="M430" s="32"/>
      <x:c r="N430" s="32"/>
      <x:c r="O430" s="32"/>
      <x:c r="P430" s="32"/>
      <x:c r="Q430" s="32"/>
      <x:c r="R430" s="32"/>
      <x:c r="S430" s="32"/>
      <x:c r="T430" s="43" t="str">
        <x:f>IFERROR(S430/L430,"")</x:f>
      </x:c>
      <x:c r="U430" s="32"/>
      <x:c r="V430" s="32"/>
      <x:c r="W430" s="32"/>
      <x:c r="X430" s="32"/>
      <x:c r="Y430" s="32"/>
      <x:c r="Z430" s="32"/>
      <x:c r="AA430" s="32"/>
      <x:c r="AB430" s="32"/>
      <x:c r="AC430" s="32"/>
      <x:c r="AD430" s="32"/>
      <x:c r="AE430" s="32"/>
      <x:c r="AF430" s="32"/>
      <x:c r="AG430" s="32"/>
      <x:c r="AH430" s="32"/>
      <x:c r="AI430" s="32"/>
      <x:c r="AJ430" s="32"/>
      <x:c r="AK430" s="32"/>
      <x:c r="AL430" s="32"/>
      <x:c r="AM430" s="32"/>
      <x:c r="AN430" s="32"/>
      <x:c r="AO430" s="32"/>
      <x:c r="AP430" s="32"/>
      <x:c r="AQ430" s="32"/>
      <x:c r="AR430" s="32"/>
      <x:c r="AS430" s="32"/>
      <x:c r="AT430" s="32"/>
      <x:c r="AU430" s="32"/>
      <x:c r="AV430" s="32"/>
      <x:c r="AW430" s="32"/>
      <x:c r="AX430" s="32"/>
      <x:c r="AZ430" s="32"/>
      <x:c r="BA430" s="32"/>
      <x:c r="BB430" s="32"/>
      <x:c r="BC430" s="32"/>
      <x:c r="BD430" s="32"/>
      <x:c r="BE430" s="32"/>
      <x:c r="BF430" s="32"/>
      <x:c r="BG430" s="32"/>
      <x:c r="BH430" s="32"/>
      <x:c r="BI430" s="32"/>
      <x:c r="BJ430" s="32"/>
      <x:c r="BK430" s="32"/>
      <x:c r="BL430" s="32"/>
      <x:c r="BM430" s="32"/>
    </x:row>
    <x:row r="431">
      <x:c r="A431" s="32"/>
      <x:c r="B431" s="32"/>
      <x:c r="C431" s="42"/>
      <x:c r="D431" s="32"/>
      <x:c r="E431" s="32"/>
      <x:c r="F431" s="32"/>
      <x:c r="G431" s="32"/>
      <x:c r="H431" s="32"/>
      <x:c r="I431" s="32"/>
      <x:c r="J431" s="32"/>
      <x:c r="K431" s="32"/>
      <x:c r="L431" s="32"/>
      <x:c r="M431" s="32"/>
      <x:c r="N431" s="32"/>
      <x:c r="O431" s="32"/>
      <x:c r="P431" s="32"/>
      <x:c r="Q431" s="32"/>
      <x:c r="R431" s="32"/>
      <x:c r="S431" s="32"/>
      <x:c r="T431" s="43" t="str">
        <x:f>IFERROR(S431/L431,"")</x:f>
      </x:c>
      <x:c r="U431" s="32"/>
      <x:c r="V431" s="32"/>
      <x:c r="W431" s="32"/>
      <x:c r="X431" s="32"/>
      <x:c r="Y431" s="32"/>
      <x:c r="Z431" s="32"/>
      <x:c r="AA431" s="32"/>
      <x:c r="AB431" s="32"/>
      <x:c r="AC431" s="32"/>
      <x:c r="AD431" s="32"/>
      <x:c r="AE431" s="32"/>
      <x:c r="AF431" s="32"/>
      <x:c r="AG431" s="32"/>
      <x:c r="AH431" s="32"/>
      <x:c r="AI431" s="32"/>
      <x:c r="AJ431" s="32"/>
      <x:c r="AK431" s="32"/>
      <x:c r="AL431" s="32"/>
      <x:c r="AM431" s="32"/>
      <x:c r="AN431" s="32"/>
      <x:c r="AO431" s="32"/>
      <x:c r="AP431" s="32"/>
      <x:c r="AQ431" s="32"/>
      <x:c r="AR431" s="32"/>
      <x:c r="AS431" s="32"/>
      <x:c r="AT431" s="32"/>
      <x:c r="AU431" s="32"/>
      <x:c r="AV431" s="32"/>
      <x:c r="AW431" s="32"/>
      <x:c r="AX431" s="32"/>
      <x:c r="AZ431" s="32"/>
      <x:c r="BA431" s="32"/>
      <x:c r="BB431" s="32"/>
      <x:c r="BC431" s="32"/>
      <x:c r="BD431" s="32"/>
      <x:c r="BE431" s="32"/>
      <x:c r="BF431" s="32"/>
      <x:c r="BG431" s="32"/>
      <x:c r="BH431" s="32"/>
      <x:c r="BI431" s="32"/>
      <x:c r="BJ431" s="32"/>
      <x:c r="BK431" s="32"/>
      <x:c r="BL431" s="32"/>
      <x:c r="BM431" s="32"/>
    </x:row>
    <x:row r="432">
      <x:c r="A432" s="32"/>
      <x:c r="B432" s="32"/>
      <x:c r="C432" s="42"/>
      <x:c r="D432" s="32"/>
      <x:c r="E432" s="32"/>
      <x:c r="F432" s="32"/>
      <x:c r="G432" s="32"/>
      <x:c r="H432" s="32"/>
      <x:c r="I432" s="32"/>
      <x:c r="J432" s="32"/>
      <x:c r="K432" s="32"/>
      <x:c r="L432" s="32"/>
      <x:c r="M432" s="32"/>
      <x:c r="N432" s="32"/>
      <x:c r="O432" s="32"/>
      <x:c r="P432" s="32"/>
      <x:c r="Q432" s="32"/>
      <x:c r="R432" s="32"/>
      <x:c r="S432" s="32"/>
      <x:c r="T432" s="43" t="str">
        <x:f>IFERROR(S432/L432,"")</x:f>
      </x:c>
      <x:c r="U432" s="32"/>
      <x:c r="V432" s="32"/>
      <x:c r="W432" s="32"/>
      <x:c r="X432" s="32"/>
      <x:c r="Y432" s="32"/>
      <x:c r="Z432" s="32"/>
      <x:c r="AA432" s="32"/>
      <x:c r="AB432" s="32"/>
      <x:c r="AC432" s="32"/>
      <x:c r="AD432" s="32"/>
      <x:c r="AE432" s="32"/>
      <x:c r="AF432" s="32"/>
      <x:c r="AG432" s="32"/>
      <x:c r="AH432" s="32"/>
      <x:c r="AI432" s="32"/>
      <x:c r="AJ432" s="32"/>
      <x:c r="AK432" s="32"/>
      <x:c r="AL432" s="32"/>
      <x:c r="AM432" s="32"/>
      <x:c r="AN432" s="32"/>
      <x:c r="AO432" s="32"/>
      <x:c r="AP432" s="32"/>
      <x:c r="AQ432" s="32"/>
      <x:c r="AR432" s="32"/>
      <x:c r="AS432" s="32"/>
      <x:c r="AT432" s="32"/>
      <x:c r="AU432" s="32"/>
      <x:c r="AV432" s="32"/>
      <x:c r="AW432" s="32"/>
      <x:c r="AX432" s="32"/>
      <x:c r="AZ432" s="32"/>
      <x:c r="BA432" s="32"/>
      <x:c r="BB432" s="32"/>
      <x:c r="BC432" s="32"/>
      <x:c r="BD432" s="32"/>
      <x:c r="BE432" s="32"/>
      <x:c r="BF432" s="32"/>
      <x:c r="BG432" s="32"/>
      <x:c r="BH432" s="32"/>
      <x:c r="BI432" s="32"/>
      <x:c r="BJ432" s="32"/>
      <x:c r="BK432" s="32"/>
      <x:c r="BL432" s="32"/>
      <x:c r="BM432" s="32"/>
    </x:row>
    <x:row r="433">
      <x:c r="A433" s="32"/>
      <x:c r="B433" s="32"/>
      <x:c r="C433" s="42"/>
      <x:c r="D433" s="32"/>
      <x:c r="E433" s="32"/>
      <x:c r="F433" s="32"/>
      <x:c r="G433" s="32"/>
      <x:c r="H433" s="32"/>
      <x:c r="I433" s="32"/>
      <x:c r="J433" s="32"/>
      <x:c r="K433" s="32"/>
      <x:c r="L433" s="32"/>
      <x:c r="M433" s="32"/>
      <x:c r="N433" s="32"/>
      <x:c r="O433" s="32"/>
      <x:c r="P433" s="32"/>
      <x:c r="Q433" s="32"/>
      <x:c r="R433" s="32"/>
      <x:c r="S433" s="32"/>
      <x:c r="T433" s="43" t="str">
        <x:f>IFERROR(S433/L433,"")</x:f>
      </x:c>
      <x:c r="U433" s="32"/>
      <x:c r="V433" s="32"/>
      <x:c r="W433" s="32"/>
      <x:c r="X433" s="32"/>
      <x:c r="Y433" s="32"/>
      <x:c r="Z433" s="32"/>
      <x:c r="AA433" s="32"/>
      <x:c r="AB433" s="32"/>
      <x:c r="AC433" s="32"/>
      <x:c r="AD433" s="32"/>
      <x:c r="AE433" s="32"/>
      <x:c r="AF433" s="32"/>
      <x:c r="AG433" s="32"/>
      <x:c r="AH433" s="32"/>
      <x:c r="AI433" s="32"/>
      <x:c r="AJ433" s="32"/>
      <x:c r="AK433" s="32"/>
      <x:c r="AL433" s="32"/>
      <x:c r="AM433" s="32"/>
      <x:c r="AN433" s="32"/>
      <x:c r="AO433" s="32"/>
      <x:c r="AP433" s="32"/>
      <x:c r="AQ433" s="32"/>
      <x:c r="AR433" s="32"/>
      <x:c r="AS433" s="32"/>
      <x:c r="AT433" s="32"/>
      <x:c r="AU433" s="32"/>
      <x:c r="AV433" s="32"/>
      <x:c r="AW433" s="32"/>
      <x:c r="AX433" s="32"/>
      <x:c r="AZ433" s="32"/>
      <x:c r="BA433" s="32"/>
      <x:c r="BB433" s="32"/>
      <x:c r="BC433" s="32"/>
      <x:c r="BD433" s="32"/>
      <x:c r="BE433" s="32"/>
      <x:c r="BF433" s="32"/>
      <x:c r="BG433" s="32"/>
      <x:c r="BH433" s="32"/>
      <x:c r="BI433" s="32"/>
      <x:c r="BJ433" s="32"/>
      <x:c r="BK433" s="32"/>
      <x:c r="BL433" s="32"/>
      <x:c r="BM433" s="32"/>
    </x:row>
    <x:row r="434">
      <x:c r="A434" s="32"/>
      <x:c r="B434" s="32"/>
      <x:c r="C434" s="42"/>
      <x:c r="D434" s="32"/>
      <x:c r="E434" s="32"/>
      <x:c r="F434" s="32"/>
      <x:c r="G434" s="32"/>
      <x:c r="H434" s="32"/>
      <x:c r="I434" s="32"/>
      <x:c r="J434" s="32"/>
      <x:c r="K434" s="32"/>
      <x:c r="L434" s="32"/>
      <x:c r="M434" s="32"/>
      <x:c r="N434" s="32"/>
      <x:c r="O434" s="32"/>
      <x:c r="P434" s="32"/>
      <x:c r="Q434" s="32"/>
      <x:c r="R434" s="32"/>
      <x:c r="S434" s="32"/>
      <x:c r="T434" s="43" t="str">
        <x:f>IFERROR(S434/L434,"")</x:f>
      </x:c>
      <x:c r="U434" s="32"/>
      <x:c r="V434" s="32"/>
      <x:c r="W434" s="32"/>
      <x:c r="X434" s="32"/>
      <x:c r="Y434" s="32"/>
      <x:c r="Z434" s="32"/>
      <x:c r="AA434" s="32"/>
      <x:c r="AB434" s="32"/>
      <x:c r="AC434" s="32"/>
      <x:c r="AD434" s="32"/>
      <x:c r="AE434" s="32"/>
      <x:c r="AF434" s="32"/>
      <x:c r="AG434" s="32"/>
      <x:c r="AH434" s="32"/>
      <x:c r="AI434" s="32"/>
      <x:c r="AJ434" s="32"/>
      <x:c r="AK434" s="32"/>
      <x:c r="AL434" s="32"/>
      <x:c r="AM434" s="32"/>
      <x:c r="AN434" s="32"/>
      <x:c r="AO434" s="32"/>
      <x:c r="AP434" s="32"/>
      <x:c r="AQ434" s="32"/>
      <x:c r="AR434" s="32"/>
      <x:c r="AS434" s="32"/>
      <x:c r="AT434" s="32"/>
      <x:c r="AU434" s="32"/>
      <x:c r="AV434" s="32"/>
      <x:c r="AW434" s="32"/>
      <x:c r="AX434" s="32"/>
      <x:c r="AZ434" s="32"/>
      <x:c r="BA434" s="32"/>
      <x:c r="BB434" s="32"/>
      <x:c r="BC434" s="32"/>
      <x:c r="BD434" s="32"/>
      <x:c r="BE434" s="32"/>
      <x:c r="BF434" s="32"/>
      <x:c r="BG434" s="32"/>
      <x:c r="BH434" s="32"/>
      <x:c r="BI434" s="32"/>
      <x:c r="BJ434" s="32"/>
      <x:c r="BK434" s="32"/>
      <x:c r="BL434" s="32"/>
      <x:c r="BM434" s="32"/>
    </x:row>
    <x:row r="435">
      <x:c r="A435" s="32"/>
      <x:c r="B435" s="32"/>
      <x:c r="C435" s="42"/>
      <x:c r="D435" s="32"/>
      <x:c r="E435" s="32"/>
      <x:c r="F435" s="32"/>
      <x:c r="G435" s="32"/>
      <x:c r="H435" s="32"/>
      <x:c r="I435" s="32"/>
      <x:c r="J435" s="32"/>
      <x:c r="K435" s="32"/>
      <x:c r="L435" s="32"/>
      <x:c r="M435" s="32"/>
      <x:c r="N435" s="32"/>
      <x:c r="O435" s="32"/>
      <x:c r="P435" s="32"/>
      <x:c r="Q435" s="32"/>
      <x:c r="R435" s="32"/>
      <x:c r="S435" s="32"/>
      <x:c r="T435" s="43" t="str">
        <x:f>IFERROR(S435/L435,"")</x:f>
      </x:c>
      <x:c r="U435" s="32"/>
      <x:c r="V435" s="32"/>
      <x:c r="W435" s="32"/>
      <x:c r="X435" s="32"/>
      <x:c r="Y435" s="32"/>
      <x:c r="Z435" s="32"/>
      <x:c r="AA435" s="32"/>
      <x:c r="AB435" s="32"/>
      <x:c r="AC435" s="32"/>
      <x:c r="AD435" s="32"/>
      <x:c r="AE435" s="32"/>
      <x:c r="AF435" s="32"/>
      <x:c r="AG435" s="32"/>
      <x:c r="AH435" s="32"/>
      <x:c r="AI435" s="32"/>
      <x:c r="AJ435" s="32"/>
      <x:c r="AK435" s="32"/>
      <x:c r="AL435" s="32"/>
      <x:c r="AM435" s="32"/>
      <x:c r="AN435" s="32"/>
      <x:c r="AO435" s="32"/>
      <x:c r="AP435" s="32"/>
      <x:c r="AQ435" s="32"/>
      <x:c r="AR435" s="32"/>
      <x:c r="AS435" s="32"/>
      <x:c r="AT435" s="32"/>
      <x:c r="AU435" s="32"/>
      <x:c r="AV435" s="32"/>
      <x:c r="AW435" s="32"/>
      <x:c r="AX435" s="32"/>
      <x:c r="AZ435" s="32"/>
      <x:c r="BA435" s="32"/>
      <x:c r="BB435" s="32"/>
      <x:c r="BC435" s="32"/>
      <x:c r="BD435" s="32"/>
      <x:c r="BE435" s="32"/>
      <x:c r="BF435" s="32"/>
      <x:c r="BG435" s="32"/>
      <x:c r="BH435" s="32"/>
      <x:c r="BI435" s="32"/>
      <x:c r="BJ435" s="32"/>
      <x:c r="BK435" s="32"/>
      <x:c r="BL435" s="32"/>
      <x:c r="BM435" s="32"/>
    </x:row>
    <x:row r="436">
      <x:c r="A436" s="32"/>
      <x:c r="B436" s="32"/>
      <x:c r="C436" s="42"/>
      <x:c r="D436" s="32"/>
      <x:c r="E436" s="32"/>
      <x:c r="F436" s="32"/>
      <x:c r="G436" s="32"/>
      <x:c r="H436" s="32"/>
      <x:c r="I436" s="32"/>
      <x:c r="J436" s="32"/>
      <x:c r="K436" s="32"/>
      <x:c r="L436" s="32"/>
      <x:c r="M436" s="32"/>
      <x:c r="N436" s="32"/>
      <x:c r="O436" s="32"/>
      <x:c r="P436" s="32"/>
      <x:c r="Q436" s="32"/>
      <x:c r="R436" s="32"/>
      <x:c r="S436" s="32"/>
      <x:c r="T436" s="43" t="str">
        <x:f>IFERROR(S436/L436,"")</x:f>
      </x:c>
      <x:c r="U436" s="32"/>
      <x:c r="V436" s="32"/>
      <x:c r="W436" s="32"/>
      <x:c r="X436" s="32"/>
      <x:c r="Y436" s="32"/>
      <x:c r="Z436" s="32"/>
      <x:c r="AA436" s="32"/>
      <x:c r="AB436" s="32"/>
      <x:c r="AC436" s="32"/>
      <x:c r="AD436" s="32"/>
      <x:c r="AE436" s="32"/>
      <x:c r="AF436" s="32"/>
      <x:c r="AG436" s="32"/>
      <x:c r="AH436" s="32"/>
      <x:c r="AI436" s="32"/>
      <x:c r="AJ436" s="32"/>
      <x:c r="AK436" s="32"/>
      <x:c r="AL436" s="32"/>
      <x:c r="AM436" s="32"/>
      <x:c r="AN436" s="32"/>
      <x:c r="AO436" s="32"/>
      <x:c r="AP436" s="32"/>
      <x:c r="AQ436" s="32"/>
      <x:c r="AR436" s="32"/>
      <x:c r="AS436" s="32"/>
      <x:c r="AT436" s="32"/>
      <x:c r="AU436" s="32"/>
      <x:c r="AV436" s="32"/>
      <x:c r="AW436" s="32"/>
      <x:c r="AX436" s="32"/>
      <x:c r="AZ436" s="32"/>
      <x:c r="BA436" s="32"/>
      <x:c r="BB436" s="32"/>
      <x:c r="BC436" s="32"/>
      <x:c r="BD436" s="32"/>
      <x:c r="BE436" s="32"/>
      <x:c r="BF436" s="32"/>
      <x:c r="BG436" s="32"/>
      <x:c r="BH436" s="32"/>
      <x:c r="BI436" s="32"/>
      <x:c r="BJ436" s="32"/>
      <x:c r="BK436" s="32"/>
      <x:c r="BL436" s="32"/>
      <x:c r="BM436" s="32"/>
    </x:row>
    <x:row r="437">
      <x:c r="A437" s="32"/>
      <x:c r="B437" s="32"/>
      <x:c r="C437" s="42"/>
      <x:c r="D437" s="32"/>
      <x:c r="E437" s="32"/>
      <x:c r="F437" s="32"/>
      <x:c r="G437" s="32"/>
      <x:c r="H437" s="32"/>
      <x:c r="I437" s="32"/>
      <x:c r="J437" s="32"/>
      <x:c r="K437" s="32"/>
      <x:c r="L437" s="32"/>
      <x:c r="M437" s="32"/>
      <x:c r="N437" s="32"/>
      <x:c r="O437" s="32"/>
      <x:c r="P437" s="32"/>
      <x:c r="Q437" s="32"/>
      <x:c r="R437" s="32"/>
      <x:c r="S437" s="32"/>
      <x:c r="T437" s="43" t="str">
        <x:f>IFERROR(S437/L437,"")</x:f>
      </x:c>
      <x:c r="U437" s="32"/>
      <x:c r="V437" s="32"/>
      <x:c r="W437" s="32"/>
      <x:c r="X437" s="32"/>
      <x:c r="Y437" s="32"/>
      <x:c r="Z437" s="32"/>
      <x:c r="AA437" s="32"/>
      <x:c r="AB437" s="32"/>
      <x:c r="AC437" s="32"/>
      <x:c r="AD437" s="32"/>
      <x:c r="AE437" s="32"/>
      <x:c r="AF437" s="32"/>
      <x:c r="AG437" s="32"/>
      <x:c r="AH437" s="32"/>
      <x:c r="AI437" s="32"/>
      <x:c r="AJ437" s="32"/>
      <x:c r="AK437" s="32"/>
      <x:c r="AL437" s="32"/>
      <x:c r="AM437" s="32"/>
      <x:c r="AN437" s="32"/>
      <x:c r="AO437" s="32"/>
      <x:c r="AP437" s="32"/>
      <x:c r="AQ437" s="32"/>
      <x:c r="AR437" s="32"/>
      <x:c r="AS437" s="32"/>
      <x:c r="AT437" s="32"/>
      <x:c r="AU437" s="32"/>
      <x:c r="AV437" s="32"/>
      <x:c r="AW437" s="32"/>
      <x:c r="AX437" s="32"/>
      <x:c r="AZ437" s="32"/>
      <x:c r="BA437" s="32"/>
      <x:c r="BB437" s="32"/>
      <x:c r="BC437" s="32"/>
      <x:c r="BD437" s="32"/>
      <x:c r="BE437" s="32"/>
      <x:c r="BF437" s="32"/>
      <x:c r="BG437" s="32"/>
      <x:c r="BH437" s="32"/>
      <x:c r="BI437" s="32"/>
      <x:c r="BJ437" s="32"/>
      <x:c r="BK437" s="32"/>
      <x:c r="BL437" s="32"/>
      <x:c r="BM437" s="32"/>
    </x:row>
    <x:row r="438">
      <x:c r="A438" s="32"/>
      <x:c r="B438" s="32"/>
      <x:c r="C438" s="42"/>
      <x:c r="D438" s="32"/>
      <x:c r="E438" s="32"/>
      <x:c r="F438" s="32"/>
      <x:c r="G438" s="32"/>
      <x:c r="H438" s="32"/>
      <x:c r="I438" s="32"/>
      <x:c r="J438" s="32"/>
      <x:c r="K438" s="32"/>
      <x:c r="L438" s="32"/>
      <x:c r="M438" s="32"/>
      <x:c r="N438" s="32"/>
      <x:c r="O438" s="32"/>
      <x:c r="P438" s="32"/>
      <x:c r="Q438" s="32"/>
      <x:c r="R438" s="32"/>
      <x:c r="S438" s="32"/>
      <x:c r="T438" s="43" t="str">
        <x:f>IFERROR(S438/L438,"")</x:f>
      </x:c>
      <x:c r="U438" s="32"/>
      <x:c r="V438" s="32"/>
      <x:c r="W438" s="32"/>
      <x:c r="X438" s="32"/>
      <x:c r="Y438" s="32"/>
      <x:c r="Z438" s="32"/>
      <x:c r="AA438" s="32"/>
      <x:c r="AB438" s="32"/>
      <x:c r="AC438" s="32"/>
      <x:c r="AD438" s="32"/>
      <x:c r="AE438" s="32"/>
      <x:c r="AF438" s="32"/>
      <x:c r="AG438" s="32"/>
      <x:c r="AH438" s="32"/>
      <x:c r="AI438" s="32"/>
      <x:c r="AJ438" s="32"/>
      <x:c r="AK438" s="32"/>
      <x:c r="AL438" s="32"/>
      <x:c r="AM438" s="32"/>
      <x:c r="AN438" s="32"/>
      <x:c r="AO438" s="32"/>
      <x:c r="AP438" s="32"/>
      <x:c r="AQ438" s="32"/>
      <x:c r="AR438" s="32"/>
      <x:c r="AS438" s="32"/>
      <x:c r="AT438" s="32"/>
      <x:c r="AU438" s="32"/>
      <x:c r="AV438" s="32"/>
      <x:c r="AW438" s="32"/>
      <x:c r="AX438" s="32"/>
      <x:c r="AZ438" s="32"/>
      <x:c r="BA438" s="32"/>
      <x:c r="BB438" s="32"/>
      <x:c r="BC438" s="32"/>
      <x:c r="BD438" s="32"/>
      <x:c r="BE438" s="32"/>
      <x:c r="BF438" s="32"/>
      <x:c r="BG438" s="32"/>
      <x:c r="BH438" s="32"/>
      <x:c r="BI438" s="32"/>
      <x:c r="BJ438" s="32"/>
      <x:c r="BK438" s="32"/>
      <x:c r="BL438" s="32"/>
      <x:c r="BM438" s="32"/>
    </x:row>
    <x:row r="439">
      <x:c r="A439" s="32"/>
      <x:c r="B439" s="32"/>
      <x:c r="C439" s="42"/>
      <x:c r="D439" s="32"/>
      <x:c r="E439" s="32"/>
      <x:c r="F439" s="32"/>
      <x:c r="G439" s="32"/>
      <x:c r="H439" s="32"/>
      <x:c r="I439" s="32"/>
      <x:c r="J439" s="32"/>
      <x:c r="K439" s="32"/>
      <x:c r="L439" s="32"/>
      <x:c r="M439" s="32"/>
      <x:c r="N439" s="32"/>
      <x:c r="O439" s="32"/>
      <x:c r="P439" s="32"/>
      <x:c r="Q439" s="32"/>
      <x:c r="R439" s="32"/>
      <x:c r="S439" s="32"/>
      <x:c r="T439" s="43" t="str">
        <x:f>IFERROR(S439/L439,"")</x:f>
      </x:c>
      <x:c r="U439" s="32"/>
      <x:c r="V439" s="32"/>
      <x:c r="W439" s="32"/>
      <x:c r="X439" s="32"/>
      <x:c r="Y439" s="32"/>
      <x:c r="Z439" s="32"/>
      <x:c r="AA439" s="32"/>
      <x:c r="AB439" s="32"/>
      <x:c r="AC439" s="32"/>
      <x:c r="AD439" s="32"/>
      <x:c r="AE439" s="32"/>
      <x:c r="AF439" s="32"/>
      <x:c r="AG439" s="32"/>
      <x:c r="AH439" s="32"/>
      <x:c r="AI439" s="32"/>
      <x:c r="AJ439" s="32"/>
      <x:c r="AK439" s="32"/>
      <x:c r="AL439" s="32"/>
      <x:c r="AM439" s="32"/>
      <x:c r="AN439" s="32"/>
      <x:c r="AO439" s="32"/>
      <x:c r="AP439" s="32"/>
      <x:c r="AQ439" s="32"/>
      <x:c r="AR439" s="32"/>
      <x:c r="AS439" s="32"/>
      <x:c r="AT439" s="32"/>
      <x:c r="AU439" s="32"/>
      <x:c r="AV439" s="32"/>
      <x:c r="AW439" s="32"/>
      <x:c r="AX439" s="32"/>
      <x:c r="AZ439" s="32"/>
      <x:c r="BA439" s="32"/>
      <x:c r="BB439" s="32"/>
      <x:c r="BC439" s="32"/>
      <x:c r="BD439" s="32"/>
      <x:c r="BE439" s="32"/>
      <x:c r="BF439" s="32"/>
      <x:c r="BG439" s="32"/>
      <x:c r="BH439" s="32"/>
      <x:c r="BI439" s="32"/>
      <x:c r="BJ439" s="32"/>
      <x:c r="BK439" s="32"/>
      <x:c r="BL439" s="32"/>
      <x:c r="BM439" s="32"/>
    </x:row>
    <x:row r="440">
      <x:c r="A440" s="32"/>
      <x:c r="B440" s="32"/>
      <x:c r="C440" s="42"/>
      <x:c r="D440" s="32"/>
      <x:c r="E440" s="32"/>
      <x:c r="F440" s="32"/>
      <x:c r="G440" s="32"/>
      <x:c r="H440" s="32"/>
      <x:c r="I440" s="32"/>
      <x:c r="J440" s="32"/>
      <x:c r="K440" s="32"/>
      <x:c r="L440" s="32"/>
      <x:c r="M440" s="32"/>
      <x:c r="N440" s="32"/>
      <x:c r="O440" s="32"/>
      <x:c r="P440" s="32"/>
      <x:c r="Q440" s="32"/>
      <x:c r="R440" s="32"/>
      <x:c r="S440" s="32"/>
      <x:c r="T440" s="43" t="str">
        <x:f>IFERROR(S440/L440,"")</x:f>
      </x:c>
      <x:c r="U440" s="32"/>
      <x:c r="V440" s="32"/>
      <x:c r="W440" s="32"/>
      <x:c r="X440" s="32"/>
      <x:c r="Y440" s="32"/>
      <x:c r="Z440" s="32"/>
      <x:c r="AA440" s="32"/>
      <x:c r="AB440" s="32"/>
      <x:c r="AC440" s="32"/>
      <x:c r="AD440" s="32"/>
      <x:c r="AE440" s="32"/>
      <x:c r="AF440" s="32"/>
      <x:c r="AG440" s="32"/>
      <x:c r="AH440" s="32"/>
      <x:c r="AI440" s="32"/>
      <x:c r="AJ440" s="32"/>
      <x:c r="AK440" s="32"/>
      <x:c r="AL440" s="32"/>
      <x:c r="AM440" s="32"/>
      <x:c r="AN440" s="32"/>
      <x:c r="AO440" s="32"/>
      <x:c r="AP440" s="32"/>
      <x:c r="AQ440" s="32"/>
      <x:c r="AR440" s="32"/>
      <x:c r="AS440" s="32"/>
      <x:c r="AT440" s="32"/>
      <x:c r="AU440" s="32"/>
      <x:c r="AV440" s="32"/>
      <x:c r="AW440" s="32"/>
      <x:c r="AX440" s="32"/>
      <x:c r="AZ440" s="32"/>
      <x:c r="BA440" s="32"/>
      <x:c r="BB440" s="32"/>
      <x:c r="BC440" s="32"/>
      <x:c r="BD440" s="32"/>
      <x:c r="BE440" s="32"/>
      <x:c r="BF440" s="32"/>
      <x:c r="BG440" s="32"/>
      <x:c r="BH440" s="32"/>
      <x:c r="BI440" s="32"/>
      <x:c r="BJ440" s="32"/>
      <x:c r="BK440" s="32"/>
      <x:c r="BL440" s="32"/>
      <x:c r="BM440" s="32"/>
    </x:row>
    <x:row r="441">
      <x:c r="A441" s="32"/>
      <x:c r="B441" s="32"/>
      <x:c r="C441" s="42"/>
      <x:c r="D441" s="32"/>
      <x:c r="E441" s="32"/>
      <x:c r="F441" s="32"/>
      <x:c r="G441" s="32"/>
      <x:c r="H441" s="32"/>
      <x:c r="I441" s="32"/>
      <x:c r="J441" s="32"/>
      <x:c r="K441" s="32"/>
      <x:c r="L441" s="32"/>
      <x:c r="M441" s="32"/>
      <x:c r="N441" s="32"/>
      <x:c r="O441" s="32"/>
      <x:c r="P441" s="32"/>
      <x:c r="Q441" s="32"/>
      <x:c r="R441" s="32"/>
      <x:c r="S441" s="32"/>
      <x:c r="T441" s="43" t="str">
        <x:f>IFERROR(S441/L441,"")</x:f>
      </x:c>
      <x:c r="U441" s="32"/>
      <x:c r="V441" s="32"/>
      <x:c r="W441" s="32"/>
      <x:c r="X441" s="32"/>
      <x:c r="Y441" s="32"/>
      <x:c r="Z441" s="32"/>
      <x:c r="AA441" s="32"/>
      <x:c r="AB441" s="32"/>
      <x:c r="AC441" s="32"/>
      <x:c r="AD441" s="32"/>
      <x:c r="AE441" s="32"/>
      <x:c r="AF441" s="32"/>
      <x:c r="AG441" s="32"/>
      <x:c r="AH441" s="32"/>
      <x:c r="AI441" s="32"/>
      <x:c r="AJ441" s="32"/>
      <x:c r="AK441" s="32"/>
      <x:c r="AL441" s="32"/>
      <x:c r="AM441" s="32"/>
      <x:c r="AN441" s="32"/>
      <x:c r="AO441" s="32"/>
      <x:c r="AP441" s="32"/>
      <x:c r="AQ441" s="32"/>
      <x:c r="AR441" s="32"/>
      <x:c r="AS441" s="32"/>
      <x:c r="AT441" s="32"/>
      <x:c r="AU441" s="32"/>
      <x:c r="AV441" s="32"/>
      <x:c r="AW441" s="32"/>
      <x:c r="AX441" s="32"/>
      <x:c r="AZ441" s="32"/>
      <x:c r="BA441" s="32"/>
      <x:c r="BB441" s="32"/>
      <x:c r="BC441" s="32"/>
      <x:c r="BD441" s="32"/>
      <x:c r="BE441" s="32"/>
      <x:c r="BF441" s="32"/>
      <x:c r="BG441" s="32"/>
      <x:c r="BH441" s="32"/>
      <x:c r="BI441" s="32"/>
      <x:c r="BJ441" s="32"/>
      <x:c r="BK441" s="32"/>
      <x:c r="BL441" s="32"/>
      <x:c r="BM441" s="32"/>
    </x:row>
    <x:row r="442">
      <x:c r="A442" s="32"/>
      <x:c r="B442" s="32"/>
      <x:c r="C442" s="42"/>
      <x:c r="D442" s="32"/>
      <x:c r="E442" s="32"/>
      <x:c r="F442" s="32"/>
      <x:c r="G442" s="32"/>
      <x:c r="H442" s="32"/>
      <x:c r="I442" s="32"/>
      <x:c r="J442" s="32"/>
      <x:c r="K442" s="32"/>
      <x:c r="L442" s="32"/>
      <x:c r="M442" s="32"/>
      <x:c r="N442" s="32"/>
      <x:c r="O442" s="32"/>
      <x:c r="P442" s="32"/>
      <x:c r="Q442" s="32"/>
      <x:c r="R442" s="32"/>
      <x:c r="S442" s="32"/>
      <x:c r="T442" s="43" t="str">
        <x:f>IFERROR(S442/L442,"")</x:f>
      </x:c>
      <x:c r="U442" s="32"/>
      <x:c r="V442" s="32"/>
      <x:c r="W442" s="32"/>
      <x:c r="X442" s="32"/>
      <x:c r="Y442" s="32"/>
      <x:c r="Z442" s="32"/>
      <x:c r="AA442" s="32"/>
      <x:c r="AB442" s="32"/>
      <x:c r="AC442" s="32"/>
      <x:c r="AD442" s="32"/>
      <x:c r="AE442" s="32"/>
      <x:c r="AF442" s="32"/>
      <x:c r="AG442" s="32"/>
      <x:c r="AH442" s="32"/>
      <x:c r="AI442" s="32"/>
      <x:c r="AJ442" s="32"/>
      <x:c r="AK442" s="32"/>
      <x:c r="AL442" s="32"/>
      <x:c r="AM442" s="32"/>
      <x:c r="AN442" s="32"/>
      <x:c r="AO442" s="32"/>
      <x:c r="AP442" s="32"/>
      <x:c r="AQ442" s="32"/>
      <x:c r="AR442" s="32"/>
      <x:c r="AS442" s="32"/>
      <x:c r="AT442" s="32"/>
      <x:c r="AU442" s="32"/>
      <x:c r="AV442" s="32"/>
      <x:c r="AW442" s="32"/>
      <x:c r="AX442" s="32"/>
      <x:c r="AZ442" s="32"/>
      <x:c r="BA442" s="32"/>
      <x:c r="BB442" s="32"/>
      <x:c r="BC442" s="32"/>
      <x:c r="BD442" s="32"/>
      <x:c r="BE442" s="32"/>
      <x:c r="BF442" s="32"/>
      <x:c r="BG442" s="32"/>
      <x:c r="BH442" s="32"/>
      <x:c r="BI442" s="32"/>
      <x:c r="BJ442" s="32"/>
      <x:c r="BK442" s="32"/>
      <x:c r="BL442" s="32"/>
      <x:c r="BM442" s="32"/>
    </x:row>
    <x:row r="443">
      <x:c r="A443" s="32"/>
      <x:c r="B443" s="32"/>
      <x:c r="C443" s="42"/>
      <x:c r="D443" s="32"/>
      <x:c r="E443" s="32"/>
      <x:c r="F443" s="32"/>
      <x:c r="G443" s="32"/>
      <x:c r="H443" s="32"/>
      <x:c r="I443" s="32"/>
      <x:c r="J443" s="32"/>
      <x:c r="K443" s="32"/>
      <x:c r="L443" s="32"/>
      <x:c r="M443" s="32"/>
      <x:c r="N443" s="32"/>
      <x:c r="O443" s="32"/>
      <x:c r="P443" s="32"/>
      <x:c r="Q443" s="32"/>
      <x:c r="R443" s="32"/>
      <x:c r="S443" s="32"/>
      <x:c r="T443" s="43" t="str">
        <x:f>IFERROR(S443/L443,"")</x:f>
      </x:c>
      <x:c r="U443" s="32"/>
      <x:c r="V443" s="32"/>
      <x:c r="W443" s="32"/>
      <x:c r="X443" s="32"/>
      <x:c r="Y443" s="32"/>
      <x:c r="Z443" s="32"/>
      <x:c r="AA443" s="32"/>
      <x:c r="AB443" s="32"/>
      <x:c r="AC443" s="32"/>
      <x:c r="AD443" s="32"/>
      <x:c r="AE443" s="32"/>
      <x:c r="AF443" s="32"/>
      <x:c r="AG443" s="32"/>
      <x:c r="AH443" s="32"/>
      <x:c r="AI443" s="32"/>
      <x:c r="AJ443" s="32"/>
      <x:c r="AK443" s="32"/>
      <x:c r="AL443" s="32"/>
      <x:c r="AM443" s="32"/>
      <x:c r="AN443" s="32"/>
      <x:c r="AO443" s="32"/>
      <x:c r="AP443" s="32"/>
      <x:c r="AQ443" s="32"/>
      <x:c r="AR443" s="32"/>
      <x:c r="AS443" s="32"/>
      <x:c r="AT443" s="32"/>
      <x:c r="AU443" s="32"/>
      <x:c r="AV443" s="32"/>
      <x:c r="AW443" s="32"/>
      <x:c r="AX443" s="32"/>
      <x:c r="AZ443" s="32"/>
      <x:c r="BA443" s="32"/>
      <x:c r="BB443" s="32"/>
      <x:c r="BC443" s="32"/>
      <x:c r="BD443" s="32"/>
      <x:c r="BE443" s="32"/>
      <x:c r="BF443" s="32"/>
      <x:c r="BG443" s="32"/>
      <x:c r="BH443" s="32"/>
      <x:c r="BI443" s="32"/>
      <x:c r="BJ443" s="32"/>
      <x:c r="BK443" s="32"/>
      <x:c r="BL443" s="32"/>
      <x:c r="BM443" s="32"/>
    </x:row>
    <x:row r="444">
      <x:c r="A444" s="32"/>
      <x:c r="B444" s="32"/>
      <x:c r="C444" s="42"/>
      <x:c r="D444" s="32"/>
      <x:c r="E444" s="32"/>
      <x:c r="F444" s="32"/>
      <x:c r="G444" s="32"/>
      <x:c r="H444" s="32"/>
      <x:c r="I444" s="32"/>
      <x:c r="J444" s="32"/>
      <x:c r="K444" s="32"/>
      <x:c r="L444" s="32"/>
      <x:c r="M444" s="32"/>
      <x:c r="N444" s="32"/>
      <x:c r="O444" s="32"/>
      <x:c r="P444" s="32"/>
      <x:c r="Q444" s="32"/>
      <x:c r="R444" s="32"/>
      <x:c r="S444" s="32"/>
      <x:c r="T444" s="43" t="str">
        <x:f>IFERROR(S444/L444,"")</x:f>
      </x:c>
      <x:c r="U444" s="32"/>
      <x:c r="V444" s="32"/>
      <x:c r="W444" s="32"/>
      <x:c r="X444" s="32"/>
      <x:c r="Y444" s="32"/>
      <x:c r="Z444" s="32"/>
      <x:c r="AA444" s="32"/>
      <x:c r="AB444" s="32"/>
      <x:c r="AC444" s="32"/>
      <x:c r="AD444" s="32"/>
      <x:c r="AE444" s="32"/>
      <x:c r="AF444" s="32"/>
      <x:c r="AG444" s="32"/>
      <x:c r="AH444" s="32"/>
      <x:c r="AI444" s="32"/>
      <x:c r="AJ444" s="32"/>
      <x:c r="AK444" s="32"/>
      <x:c r="AL444" s="32"/>
      <x:c r="AM444" s="32"/>
      <x:c r="AN444" s="32"/>
      <x:c r="AO444" s="32"/>
      <x:c r="AP444" s="32"/>
      <x:c r="AQ444" s="32"/>
      <x:c r="AR444" s="32"/>
      <x:c r="AS444" s="32"/>
      <x:c r="AT444" s="32"/>
      <x:c r="AU444" s="32"/>
      <x:c r="AV444" s="32"/>
      <x:c r="AW444" s="32"/>
      <x:c r="AX444" s="32"/>
      <x:c r="AZ444" s="32"/>
      <x:c r="BA444" s="32"/>
      <x:c r="BB444" s="32"/>
      <x:c r="BC444" s="32"/>
      <x:c r="BD444" s="32"/>
      <x:c r="BE444" s="32"/>
      <x:c r="BF444" s="32"/>
      <x:c r="BG444" s="32"/>
      <x:c r="BH444" s="32"/>
      <x:c r="BI444" s="32"/>
      <x:c r="BJ444" s="32"/>
      <x:c r="BK444" s="32"/>
      <x:c r="BL444" s="32"/>
      <x:c r="BM444" s="32"/>
    </x:row>
    <x:row r="445">
      <x:c r="A445" s="32"/>
      <x:c r="B445" s="32"/>
      <x:c r="C445" s="42"/>
      <x:c r="D445" s="32"/>
      <x:c r="E445" s="32"/>
      <x:c r="F445" s="32"/>
      <x:c r="G445" s="32"/>
      <x:c r="H445" s="32"/>
      <x:c r="I445" s="32"/>
      <x:c r="J445" s="32"/>
      <x:c r="K445" s="32"/>
      <x:c r="L445" s="32"/>
      <x:c r="M445" s="32"/>
      <x:c r="N445" s="32"/>
      <x:c r="O445" s="32"/>
      <x:c r="P445" s="32"/>
      <x:c r="Q445" s="32"/>
      <x:c r="R445" s="32"/>
      <x:c r="S445" s="32"/>
      <x:c r="T445" s="43" t="str">
        <x:f>IFERROR(S445/L445,"")</x:f>
      </x:c>
      <x:c r="U445" s="32"/>
      <x:c r="V445" s="32"/>
      <x:c r="W445" s="32"/>
      <x:c r="X445" s="32"/>
      <x:c r="Y445" s="32"/>
      <x:c r="Z445" s="32"/>
      <x:c r="AA445" s="32"/>
      <x:c r="AB445" s="32"/>
      <x:c r="AC445" s="32"/>
      <x:c r="AD445" s="32"/>
      <x:c r="AE445" s="32"/>
      <x:c r="AF445" s="32"/>
      <x:c r="AG445" s="32"/>
      <x:c r="AH445" s="32"/>
      <x:c r="AI445" s="32"/>
      <x:c r="AJ445" s="32"/>
      <x:c r="AK445" s="32"/>
      <x:c r="AL445" s="32"/>
      <x:c r="AM445" s="32"/>
      <x:c r="AN445" s="32"/>
      <x:c r="AO445" s="32"/>
      <x:c r="AP445" s="32"/>
      <x:c r="AQ445" s="32"/>
      <x:c r="AR445" s="32"/>
      <x:c r="AS445" s="32"/>
      <x:c r="AT445" s="32"/>
      <x:c r="AU445" s="32"/>
      <x:c r="AV445" s="32"/>
      <x:c r="AW445" s="32"/>
      <x:c r="AX445" s="32"/>
      <x:c r="AZ445" s="32"/>
      <x:c r="BA445" s="32"/>
      <x:c r="BB445" s="32"/>
      <x:c r="BC445" s="32"/>
      <x:c r="BD445" s="32"/>
      <x:c r="BE445" s="32"/>
      <x:c r="BF445" s="32"/>
      <x:c r="BG445" s="32"/>
      <x:c r="BH445" s="32"/>
      <x:c r="BI445" s="32"/>
      <x:c r="BJ445" s="32"/>
      <x:c r="BK445" s="32"/>
      <x:c r="BL445" s="32"/>
      <x:c r="BM445" s="32"/>
    </x:row>
    <x:row r="446">
      <x:c r="A446" s="32"/>
      <x:c r="B446" s="32"/>
      <x:c r="C446" s="42"/>
      <x:c r="D446" s="32"/>
      <x:c r="E446" s="32"/>
      <x:c r="F446" s="32"/>
      <x:c r="G446" s="32"/>
      <x:c r="H446" s="32"/>
      <x:c r="I446" s="32"/>
      <x:c r="J446" s="32"/>
      <x:c r="K446" s="32"/>
      <x:c r="L446" s="32"/>
      <x:c r="M446" s="32"/>
      <x:c r="N446" s="32"/>
      <x:c r="O446" s="32"/>
      <x:c r="P446" s="32"/>
      <x:c r="Q446" s="32"/>
      <x:c r="R446" s="32"/>
      <x:c r="S446" s="32"/>
      <x:c r="T446" s="43" t="str">
        <x:f>IFERROR(S446/L446,"")</x:f>
      </x:c>
      <x:c r="U446" s="32"/>
      <x:c r="V446" s="32"/>
      <x:c r="W446" s="32"/>
      <x:c r="X446" s="32"/>
      <x:c r="Y446" s="32"/>
      <x:c r="Z446" s="32"/>
      <x:c r="AA446" s="32"/>
      <x:c r="AB446" s="32"/>
      <x:c r="AC446" s="32"/>
      <x:c r="AD446" s="32"/>
      <x:c r="AE446" s="32"/>
      <x:c r="AF446" s="32"/>
      <x:c r="AG446" s="32"/>
      <x:c r="AH446" s="32"/>
      <x:c r="AI446" s="32"/>
      <x:c r="AJ446" s="32"/>
      <x:c r="AK446" s="32"/>
      <x:c r="AL446" s="32"/>
      <x:c r="AM446" s="32"/>
      <x:c r="AN446" s="32"/>
      <x:c r="AO446" s="32"/>
      <x:c r="AP446" s="32"/>
      <x:c r="AQ446" s="32"/>
      <x:c r="AR446" s="32"/>
      <x:c r="AS446" s="32"/>
      <x:c r="AT446" s="32"/>
      <x:c r="AU446" s="32"/>
      <x:c r="AV446" s="32"/>
      <x:c r="AW446" s="32"/>
      <x:c r="AX446" s="32"/>
      <x:c r="AZ446" s="32"/>
      <x:c r="BA446" s="32"/>
      <x:c r="BB446" s="32"/>
      <x:c r="BC446" s="32"/>
      <x:c r="BD446" s="32"/>
      <x:c r="BE446" s="32"/>
      <x:c r="BF446" s="32"/>
      <x:c r="BG446" s="32"/>
      <x:c r="BH446" s="32"/>
      <x:c r="BI446" s="32"/>
      <x:c r="BJ446" s="32"/>
      <x:c r="BK446" s="32"/>
      <x:c r="BL446" s="32"/>
      <x:c r="BM446" s="32"/>
    </x:row>
    <x:row r="447">
      <x:c r="A447" s="32"/>
      <x:c r="B447" s="32"/>
      <x:c r="C447" s="42"/>
      <x:c r="D447" s="32"/>
      <x:c r="E447" s="32"/>
      <x:c r="F447" s="32"/>
      <x:c r="G447" s="32"/>
      <x:c r="H447" s="32"/>
      <x:c r="I447" s="32"/>
      <x:c r="J447" s="32"/>
      <x:c r="K447" s="32"/>
      <x:c r="L447" s="32"/>
      <x:c r="M447" s="32"/>
      <x:c r="N447" s="32"/>
      <x:c r="O447" s="32"/>
      <x:c r="P447" s="32"/>
      <x:c r="Q447" s="32"/>
      <x:c r="R447" s="32"/>
      <x:c r="S447" s="32"/>
      <x:c r="T447" s="43" t="str">
        <x:f>IFERROR(S447/L447,"")</x:f>
      </x:c>
      <x:c r="U447" s="32"/>
      <x:c r="V447" s="32"/>
      <x:c r="W447" s="32"/>
      <x:c r="X447" s="32"/>
      <x:c r="Y447" s="32"/>
      <x:c r="Z447" s="32"/>
      <x:c r="AA447" s="32"/>
      <x:c r="AB447" s="32"/>
      <x:c r="AC447" s="32"/>
      <x:c r="AD447" s="32"/>
      <x:c r="AE447" s="32"/>
      <x:c r="AF447" s="32"/>
      <x:c r="AG447" s="32"/>
      <x:c r="AH447" s="32"/>
      <x:c r="AI447" s="32"/>
      <x:c r="AJ447" s="32"/>
      <x:c r="AK447" s="32"/>
      <x:c r="AL447" s="32"/>
      <x:c r="AM447" s="32"/>
      <x:c r="AN447" s="32"/>
      <x:c r="AO447" s="32"/>
      <x:c r="AP447" s="32"/>
      <x:c r="AQ447" s="32"/>
      <x:c r="AR447" s="32"/>
      <x:c r="AS447" s="32"/>
      <x:c r="AT447" s="32"/>
      <x:c r="AU447" s="32"/>
      <x:c r="AV447" s="32"/>
      <x:c r="AW447" s="32"/>
      <x:c r="AX447" s="32"/>
      <x:c r="AZ447" s="32"/>
      <x:c r="BA447" s="32"/>
      <x:c r="BB447" s="32"/>
      <x:c r="BC447" s="32"/>
      <x:c r="BD447" s="32"/>
      <x:c r="BE447" s="32"/>
      <x:c r="BF447" s="32"/>
      <x:c r="BG447" s="32"/>
      <x:c r="BH447" s="32"/>
      <x:c r="BI447" s="32"/>
      <x:c r="BJ447" s="32"/>
      <x:c r="BK447" s="32"/>
      <x:c r="BL447" s="32"/>
      <x:c r="BM447" s="32"/>
    </x:row>
    <x:row r="448">
      <x:c r="A448" s="32"/>
      <x:c r="B448" s="32"/>
      <x:c r="C448" s="42"/>
      <x:c r="D448" s="32"/>
      <x:c r="E448" s="32"/>
      <x:c r="F448" s="32"/>
      <x:c r="G448" s="32"/>
      <x:c r="H448" s="32"/>
      <x:c r="I448" s="32"/>
      <x:c r="J448" s="32"/>
      <x:c r="K448" s="32"/>
      <x:c r="L448" s="32"/>
      <x:c r="M448" s="32"/>
      <x:c r="N448" s="32"/>
      <x:c r="O448" s="32"/>
      <x:c r="P448" s="32"/>
      <x:c r="Q448" s="32"/>
      <x:c r="R448" s="32"/>
      <x:c r="S448" s="32"/>
      <x:c r="T448" s="43" t="str">
        <x:f>IFERROR(S448/L448,"")</x:f>
      </x:c>
      <x:c r="U448" s="32"/>
      <x:c r="V448" s="32"/>
      <x:c r="W448" s="32"/>
      <x:c r="X448" s="32"/>
      <x:c r="Y448" s="32"/>
      <x:c r="Z448" s="32"/>
      <x:c r="AA448" s="32"/>
      <x:c r="AB448" s="32"/>
      <x:c r="AC448" s="32"/>
      <x:c r="AD448" s="32"/>
      <x:c r="AE448" s="32"/>
      <x:c r="AF448" s="32"/>
      <x:c r="AG448" s="32"/>
      <x:c r="AH448" s="32"/>
      <x:c r="AI448" s="32"/>
      <x:c r="AJ448" s="32"/>
      <x:c r="AK448" s="32"/>
      <x:c r="AL448" s="32"/>
      <x:c r="AM448" s="32"/>
      <x:c r="AN448" s="32"/>
      <x:c r="AO448" s="32"/>
      <x:c r="AP448" s="32"/>
      <x:c r="AQ448" s="32"/>
      <x:c r="AR448" s="32"/>
      <x:c r="AS448" s="32"/>
      <x:c r="AT448" s="32"/>
      <x:c r="AU448" s="32"/>
      <x:c r="AV448" s="32"/>
      <x:c r="AW448" s="32"/>
      <x:c r="AX448" s="32"/>
      <x:c r="AZ448" s="32"/>
      <x:c r="BA448" s="32"/>
      <x:c r="BB448" s="32"/>
      <x:c r="BC448" s="32"/>
      <x:c r="BD448" s="32"/>
      <x:c r="BE448" s="32"/>
      <x:c r="BF448" s="32"/>
      <x:c r="BG448" s="32"/>
      <x:c r="BH448" s="32"/>
      <x:c r="BI448" s="32"/>
      <x:c r="BJ448" s="32"/>
      <x:c r="BK448" s="32"/>
      <x:c r="BL448" s="32"/>
      <x:c r="BM448" s="32"/>
    </x:row>
    <x:row r="449">
      <x:c r="A449" s="32"/>
      <x:c r="B449" s="32"/>
      <x:c r="C449" s="42"/>
      <x:c r="D449" s="32"/>
      <x:c r="E449" s="32"/>
      <x:c r="F449" s="32"/>
      <x:c r="G449" s="32"/>
      <x:c r="H449" s="32"/>
      <x:c r="I449" s="32"/>
      <x:c r="J449" s="32"/>
      <x:c r="K449" s="32"/>
      <x:c r="L449" s="32"/>
      <x:c r="M449" s="32"/>
      <x:c r="N449" s="32"/>
      <x:c r="O449" s="32"/>
      <x:c r="P449" s="32"/>
      <x:c r="Q449" s="32"/>
      <x:c r="R449" s="32"/>
      <x:c r="S449" s="32"/>
      <x:c r="T449" s="43" t="str">
        <x:f>IFERROR(S449/L449,"")</x:f>
      </x:c>
      <x:c r="U449" s="32"/>
      <x:c r="V449" s="32"/>
      <x:c r="W449" s="32"/>
      <x:c r="X449" s="32"/>
      <x:c r="Y449" s="32"/>
      <x:c r="Z449" s="32"/>
      <x:c r="AA449" s="32"/>
      <x:c r="AB449" s="32"/>
      <x:c r="AC449" s="32"/>
      <x:c r="AD449" s="32"/>
      <x:c r="AE449" s="32"/>
      <x:c r="AF449" s="32"/>
      <x:c r="AG449" s="32"/>
      <x:c r="AH449" s="32"/>
      <x:c r="AI449" s="32"/>
      <x:c r="AJ449" s="32"/>
      <x:c r="AK449" s="32"/>
      <x:c r="AL449" s="32"/>
      <x:c r="AM449" s="32"/>
      <x:c r="AN449" s="32"/>
      <x:c r="AO449" s="32"/>
      <x:c r="AP449" s="32"/>
      <x:c r="AQ449" s="32"/>
      <x:c r="AR449" s="32"/>
      <x:c r="AS449" s="32"/>
      <x:c r="AT449" s="32"/>
      <x:c r="AU449" s="32"/>
      <x:c r="AV449" s="32"/>
      <x:c r="AW449" s="32"/>
      <x:c r="AX449" s="32"/>
      <x:c r="AZ449" s="32"/>
      <x:c r="BA449" s="32"/>
      <x:c r="BB449" s="32"/>
      <x:c r="BC449" s="32"/>
      <x:c r="BD449" s="32"/>
      <x:c r="BE449" s="32"/>
      <x:c r="BF449" s="32"/>
      <x:c r="BG449" s="32"/>
      <x:c r="BH449" s="32"/>
      <x:c r="BI449" s="32"/>
      <x:c r="BJ449" s="32"/>
      <x:c r="BK449" s="32"/>
      <x:c r="BL449" s="32"/>
      <x:c r="BM449" s="32"/>
    </x:row>
    <x:row r="450">
      <x:c r="A450" s="32"/>
      <x:c r="B450" s="32"/>
      <x:c r="C450" s="42"/>
      <x:c r="D450" s="32"/>
      <x:c r="E450" s="32"/>
      <x:c r="F450" s="32"/>
      <x:c r="G450" s="32"/>
      <x:c r="H450" s="32"/>
      <x:c r="I450" s="32"/>
      <x:c r="J450" s="32"/>
      <x:c r="K450" s="32"/>
      <x:c r="L450" s="32"/>
      <x:c r="M450" s="32"/>
      <x:c r="N450" s="32"/>
      <x:c r="O450" s="32"/>
      <x:c r="P450" s="32"/>
      <x:c r="Q450" s="32"/>
      <x:c r="R450" s="32"/>
      <x:c r="S450" s="32"/>
      <x:c r="T450" s="43" t="str">
        <x:f>IFERROR(S450/L450,"")</x:f>
      </x:c>
      <x:c r="U450" s="32"/>
      <x:c r="V450" s="32"/>
      <x:c r="W450" s="32"/>
      <x:c r="X450" s="32"/>
      <x:c r="Y450" s="32"/>
      <x:c r="Z450" s="32"/>
      <x:c r="AA450" s="32"/>
      <x:c r="AB450" s="32"/>
      <x:c r="AC450" s="32"/>
      <x:c r="AD450" s="32"/>
      <x:c r="AE450" s="32"/>
      <x:c r="AF450" s="32"/>
      <x:c r="AG450" s="32"/>
      <x:c r="AH450" s="32"/>
      <x:c r="AI450" s="32"/>
      <x:c r="AJ450" s="32"/>
      <x:c r="AK450" s="32"/>
      <x:c r="AL450" s="32"/>
      <x:c r="AM450" s="32"/>
      <x:c r="AN450" s="32"/>
      <x:c r="AO450" s="32"/>
      <x:c r="AP450" s="32"/>
      <x:c r="AQ450" s="32"/>
      <x:c r="AR450" s="32"/>
      <x:c r="AS450" s="32"/>
      <x:c r="AT450" s="32"/>
      <x:c r="AU450" s="32"/>
      <x:c r="AV450" s="32"/>
      <x:c r="AW450" s="32"/>
      <x:c r="AX450" s="32"/>
      <x:c r="AZ450" s="32"/>
      <x:c r="BA450" s="32"/>
      <x:c r="BB450" s="32"/>
      <x:c r="BC450" s="32"/>
      <x:c r="BD450" s="32"/>
      <x:c r="BE450" s="32"/>
      <x:c r="BF450" s="32"/>
      <x:c r="BG450" s="32"/>
      <x:c r="BH450" s="32"/>
      <x:c r="BI450" s="32"/>
      <x:c r="BJ450" s="32"/>
      <x:c r="BK450" s="32"/>
      <x:c r="BL450" s="32"/>
      <x:c r="BM450" s="32"/>
    </x:row>
    <x:row r="451">
      <x:c r="A451" s="32"/>
      <x:c r="B451" s="32"/>
      <x:c r="C451" s="42"/>
      <x:c r="D451" s="32"/>
      <x:c r="E451" s="32"/>
      <x:c r="F451" s="32"/>
      <x:c r="G451" s="32"/>
      <x:c r="H451" s="32"/>
      <x:c r="I451" s="32"/>
      <x:c r="J451" s="32"/>
      <x:c r="K451" s="32"/>
      <x:c r="L451" s="32"/>
      <x:c r="M451" s="32"/>
      <x:c r="N451" s="32"/>
      <x:c r="O451" s="32"/>
      <x:c r="P451" s="32"/>
      <x:c r="Q451" s="32"/>
      <x:c r="R451" s="32"/>
      <x:c r="S451" s="32"/>
      <x:c r="T451" s="43" t="str">
        <x:f>IFERROR(S451/L451,"")</x:f>
      </x:c>
      <x:c r="U451" s="32"/>
      <x:c r="V451" s="32"/>
      <x:c r="W451" s="32"/>
      <x:c r="X451" s="32"/>
      <x:c r="Y451" s="32"/>
      <x:c r="Z451" s="32"/>
      <x:c r="AA451" s="32"/>
      <x:c r="AB451" s="32"/>
      <x:c r="AC451" s="32"/>
      <x:c r="AD451" s="32"/>
      <x:c r="AE451" s="32"/>
      <x:c r="AF451" s="32"/>
      <x:c r="AG451" s="32"/>
      <x:c r="AH451" s="32"/>
      <x:c r="AI451" s="32"/>
      <x:c r="AJ451" s="32"/>
      <x:c r="AK451" s="32"/>
      <x:c r="AL451" s="32"/>
      <x:c r="AM451" s="32"/>
      <x:c r="AN451" s="32"/>
      <x:c r="AO451" s="32"/>
      <x:c r="AP451" s="32"/>
      <x:c r="AQ451" s="32"/>
      <x:c r="AR451" s="32"/>
      <x:c r="AS451" s="32"/>
      <x:c r="AT451" s="32"/>
      <x:c r="AU451" s="32"/>
      <x:c r="AV451" s="32"/>
      <x:c r="AW451" s="32"/>
      <x:c r="AX451" s="32"/>
      <x:c r="AZ451" s="32"/>
      <x:c r="BA451" s="32"/>
      <x:c r="BB451" s="32"/>
      <x:c r="BC451" s="32"/>
      <x:c r="BD451" s="32"/>
      <x:c r="BE451" s="32"/>
      <x:c r="BF451" s="32"/>
      <x:c r="BG451" s="32"/>
      <x:c r="BH451" s="32"/>
      <x:c r="BI451" s="32"/>
      <x:c r="BJ451" s="32"/>
      <x:c r="BK451" s="32"/>
      <x:c r="BL451" s="32"/>
      <x:c r="BM451" s="32"/>
    </x:row>
    <x:row r="452">
      <x:c r="A452" s="32"/>
      <x:c r="B452" s="32"/>
      <x:c r="C452" s="42"/>
      <x:c r="D452" s="32"/>
      <x:c r="E452" s="32"/>
      <x:c r="F452" s="32"/>
      <x:c r="G452" s="32"/>
      <x:c r="H452" s="32"/>
      <x:c r="I452" s="32"/>
      <x:c r="J452" s="32"/>
      <x:c r="K452" s="32"/>
      <x:c r="L452" s="32"/>
      <x:c r="M452" s="32"/>
      <x:c r="N452" s="32"/>
      <x:c r="O452" s="32"/>
      <x:c r="P452" s="32"/>
      <x:c r="Q452" s="32"/>
      <x:c r="R452" s="32"/>
      <x:c r="S452" s="32"/>
      <x:c r="T452" s="43" t="str">
        <x:f>IFERROR(S452/L452,"")</x:f>
      </x:c>
      <x:c r="U452" s="32"/>
      <x:c r="V452" s="32"/>
      <x:c r="W452" s="32"/>
      <x:c r="X452" s="32"/>
      <x:c r="Y452" s="32"/>
      <x:c r="Z452" s="32"/>
      <x:c r="AA452" s="32"/>
      <x:c r="AB452" s="32"/>
      <x:c r="AC452" s="32"/>
      <x:c r="AD452" s="32"/>
      <x:c r="AE452" s="32"/>
      <x:c r="AF452" s="32"/>
      <x:c r="AG452" s="32"/>
      <x:c r="AH452" s="32"/>
      <x:c r="AI452" s="32"/>
      <x:c r="AJ452" s="32"/>
      <x:c r="AK452" s="32"/>
      <x:c r="AL452" s="32"/>
      <x:c r="AM452" s="32"/>
      <x:c r="AN452" s="32"/>
      <x:c r="AO452" s="32"/>
      <x:c r="AP452" s="32"/>
      <x:c r="AQ452" s="32"/>
      <x:c r="AR452" s="32"/>
      <x:c r="AS452" s="32"/>
      <x:c r="AT452" s="32"/>
      <x:c r="AU452" s="32"/>
      <x:c r="AV452" s="32"/>
      <x:c r="AW452" s="32"/>
      <x:c r="AX452" s="32"/>
      <x:c r="AZ452" s="32"/>
      <x:c r="BA452" s="32"/>
      <x:c r="BB452" s="32"/>
      <x:c r="BC452" s="32"/>
      <x:c r="BD452" s="32"/>
      <x:c r="BE452" s="32"/>
      <x:c r="BF452" s="32"/>
      <x:c r="BG452" s="32"/>
      <x:c r="BH452" s="32"/>
      <x:c r="BI452" s="32"/>
      <x:c r="BJ452" s="32"/>
      <x:c r="BK452" s="32"/>
      <x:c r="BL452" s="32"/>
      <x:c r="BM452" s="32"/>
    </x:row>
    <x:row r="453">
      <x:c r="A453" s="32"/>
      <x:c r="B453" s="32"/>
      <x:c r="C453" s="42"/>
      <x:c r="D453" s="32"/>
      <x:c r="E453" s="32"/>
      <x:c r="F453" s="32"/>
      <x:c r="G453" s="32"/>
      <x:c r="H453" s="32"/>
      <x:c r="I453" s="32"/>
      <x:c r="J453" s="32"/>
      <x:c r="K453" s="32"/>
      <x:c r="L453" s="32"/>
      <x:c r="M453" s="32"/>
      <x:c r="N453" s="32"/>
      <x:c r="O453" s="32"/>
      <x:c r="P453" s="32"/>
      <x:c r="Q453" s="32"/>
      <x:c r="R453" s="32"/>
      <x:c r="S453" s="32"/>
      <x:c r="T453" s="43" t="str">
        <x:f>IFERROR(S453/L453,"")</x:f>
      </x:c>
      <x:c r="U453" s="32"/>
      <x:c r="V453" s="32"/>
      <x:c r="W453" s="32"/>
      <x:c r="X453" s="32"/>
      <x:c r="Y453" s="32"/>
      <x:c r="Z453" s="32"/>
      <x:c r="AA453" s="32"/>
      <x:c r="AB453" s="32"/>
      <x:c r="AC453" s="32"/>
      <x:c r="AD453" s="32"/>
      <x:c r="AE453" s="32"/>
      <x:c r="AF453" s="32"/>
      <x:c r="AG453" s="32"/>
      <x:c r="AH453" s="32"/>
      <x:c r="AI453" s="32"/>
      <x:c r="AJ453" s="32"/>
      <x:c r="AK453" s="32"/>
      <x:c r="AL453" s="32"/>
      <x:c r="AM453" s="32"/>
      <x:c r="AN453" s="32"/>
      <x:c r="AO453" s="32"/>
      <x:c r="AP453" s="32"/>
      <x:c r="AQ453" s="32"/>
      <x:c r="AR453" s="32"/>
      <x:c r="AS453" s="32"/>
      <x:c r="AT453" s="32"/>
      <x:c r="AU453" s="32"/>
      <x:c r="AV453" s="32"/>
      <x:c r="AW453" s="32"/>
      <x:c r="AX453" s="32"/>
      <x:c r="AZ453" s="32"/>
      <x:c r="BA453" s="32"/>
      <x:c r="BB453" s="32"/>
      <x:c r="BC453" s="32"/>
      <x:c r="BD453" s="32"/>
      <x:c r="BE453" s="32"/>
      <x:c r="BF453" s="32"/>
      <x:c r="BG453" s="32"/>
      <x:c r="BH453" s="32"/>
      <x:c r="BI453" s="32"/>
      <x:c r="BJ453" s="32"/>
      <x:c r="BK453" s="32"/>
      <x:c r="BL453" s="32"/>
      <x:c r="BM453" s="32"/>
    </x:row>
    <x:row r="454">
      <x:c r="A454" s="32"/>
      <x:c r="B454" s="32"/>
      <x:c r="C454" s="42"/>
      <x:c r="D454" s="32"/>
      <x:c r="E454" s="32"/>
      <x:c r="F454" s="32"/>
      <x:c r="G454" s="32"/>
      <x:c r="H454" s="32"/>
      <x:c r="I454" s="32"/>
      <x:c r="J454" s="32"/>
      <x:c r="K454" s="32"/>
      <x:c r="L454" s="32"/>
      <x:c r="M454" s="32"/>
      <x:c r="N454" s="32"/>
      <x:c r="O454" s="32"/>
      <x:c r="P454" s="32"/>
      <x:c r="Q454" s="32"/>
      <x:c r="R454" s="32"/>
      <x:c r="S454" s="32"/>
      <x:c r="T454" s="43" t="str">
        <x:f>IFERROR(S454/L454,"")</x:f>
      </x:c>
      <x:c r="U454" s="32"/>
      <x:c r="V454" s="32"/>
      <x:c r="W454" s="32"/>
      <x:c r="X454" s="32"/>
      <x:c r="Y454" s="32"/>
      <x:c r="Z454" s="32"/>
      <x:c r="AA454" s="32"/>
      <x:c r="AB454" s="32"/>
      <x:c r="AC454" s="32"/>
      <x:c r="AD454" s="32"/>
      <x:c r="AE454" s="32"/>
      <x:c r="AF454" s="32"/>
      <x:c r="AG454" s="32"/>
      <x:c r="AH454" s="32"/>
      <x:c r="AI454" s="32"/>
      <x:c r="AJ454" s="32"/>
      <x:c r="AK454" s="32"/>
      <x:c r="AL454" s="32"/>
      <x:c r="AM454" s="32"/>
      <x:c r="AN454" s="32"/>
      <x:c r="AO454" s="32"/>
      <x:c r="AP454" s="32"/>
      <x:c r="AQ454" s="32"/>
      <x:c r="AR454" s="32"/>
      <x:c r="AS454" s="32"/>
      <x:c r="AT454" s="32"/>
      <x:c r="AU454" s="32"/>
      <x:c r="AV454" s="32"/>
      <x:c r="AW454" s="32"/>
      <x:c r="AX454" s="32"/>
      <x:c r="AZ454" s="32"/>
      <x:c r="BA454" s="32"/>
      <x:c r="BB454" s="32"/>
      <x:c r="BC454" s="32"/>
      <x:c r="BD454" s="32"/>
      <x:c r="BE454" s="32"/>
      <x:c r="BF454" s="32"/>
      <x:c r="BG454" s="32"/>
      <x:c r="BH454" s="32"/>
      <x:c r="BI454" s="32"/>
      <x:c r="BJ454" s="32"/>
      <x:c r="BK454" s="32"/>
      <x:c r="BL454" s="32"/>
      <x:c r="BM454" s="32"/>
    </x:row>
    <x:row r="455">
      <x:c r="A455" s="32"/>
      <x:c r="B455" s="32"/>
      <x:c r="C455" s="42"/>
      <x:c r="D455" s="32"/>
      <x:c r="E455" s="32"/>
      <x:c r="F455" s="32"/>
      <x:c r="G455" s="32"/>
      <x:c r="H455" s="32"/>
      <x:c r="I455" s="32"/>
      <x:c r="J455" s="32"/>
      <x:c r="K455" s="32"/>
      <x:c r="L455" s="32"/>
      <x:c r="M455" s="32"/>
      <x:c r="N455" s="32"/>
      <x:c r="O455" s="32"/>
      <x:c r="P455" s="32"/>
      <x:c r="Q455" s="32"/>
      <x:c r="R455" s="32"/>
      <x:c r="S455" s="32"/>
      <x:c r="T455" s="43" t="str">
        <x:f>IFERROR(S455/L455,"")</x:f>
      </x:c>
      <x:c r="U455" s="32"/>
      <x:c r="V455" s="32"/>
      <x:c r="W455" s="32"/>
      <x:c r="X455" s="32"/>
      <x:c r="Y455" s="32"/>
      <x:c r="Z455" s="32"/>
      <x:c r="AA455" s="32"/>
      <x:c r="AB455" s="32"/>
      <x:c r="AC455" s="32"/>
      <x:c r="AD455" s="32"/>
      <x:c r="AE455" s="32"/>
      <x:c r="AF455" s="32"/>
      <x:c r="AG455" s="32"/>
      <x:c r="AH455" s="32"/>
      <x:c r="AI455" s="32"/>
      <x:c r="AJ455" s="32"/>
      <x:c r="AK455" s="32"/>
      <x:c r="AL455" s="32"/>
      <x:c r="AM455" s="32"/>
      <x:c r="AN455" s="32"/>
      <x:c r="AO455" s="32"/>
      <x:c r="AP455" s="32"/>
      <x:c r="AQ455" s="32"/>
      <x:c r="AR455" s="32"/>
      <x:c r="AS455" s="32"/>
      <x:c r="AT455" s="32"/>
      <x:c r="AU455" s="32"/>
      <x:c r="AV455" s="32"/>
      <x:c r="AW455" s="32"/>
      <x:c r="AX455" s="32"/>
      <x:c r="AZ455" s="32"/>
      <x:c r="BA455" s="32"/>
      <x:c r="BB455" s="32"/>
      <x:c r="BC455" s="32"/>
      <x:c r="BD455" s="32"/>
      <x:c r="BE455" s="32"/>
      <x:c r="BF455" s="32"/>
      <x:c r="BG455" s="32"/>
      <x:c r="BH455" s="32"/>
      <x:c r="BI455" s="32"/>
      <x:c r="BJ455" s="32"/>
      <x:c r="BK455" s="32"/>
      <x:c r="BL455" s="32"/>
      <x:c r="BM455" s="32"/>
    </x:row>
    <x:row r="456">
      <x:c r="A456" s="32"/>
      <x:c r="B456" s="32"/>
      <x:c r="C456" s="42"/>
      <x:c r="D456" s="32"/>
      <x:c r="E456" s="32"/>
      <x:c r="F456" s="32"/>
      <x:c r="G456" s="32"/>
      <x:c r="H456" s="32"/>
      <x:c r="I456" s="32"/>
      <x:c r="J456" s="32"/>
      <x:c r="K456" s="32"/>
      <x:c r="L456" s="32"/>
      <x:c r="M456" s="32"/>
      <x:c r="N456" s="32"/>
      <x:c r="O456" s="32"/>
      <x:c r="P456" s="32"/>
      <x:c r="Q456" s="32"/>
      <x:c r="R456" s="32"/>
      <x:c r="S456" s="32"/>
      <x:c r="T456" s="43" t="str">
        <x:f>IFERROR(S456/L456,"")</x:f>
      </x:c>
      <x:c r="U456" s="32"/>
      <x:c r="V456" s="32"/>
      <x:c r="W456" s="32"/>
      <x:c r="X456" s="32"/>
      <x:c r="Y456" s="32"/>
      <x:c r="Z456" s="32"/>
      <x:c r="AA456" s="32"/>
      <x:c r="AB456" s="32"/>
      <x:c r="AC456" s="32"/>
      <x:c r="AD456" s="32"/>
      <x:c r="AE456" s="32"/>
      <x:c r="AF456" s="32"/>
      <x:c r="AG456" s="32"/>
      <x:c r="AH456" s="32"/>
      <x:c r="AI456" s="32"/>
      <x:c r="AJ456" s="32"/>
      <x:c r="AK456" s="32"/>
      <x:c r="AL456" s="32"/>
      <x:c r="AM456" s="32"/>
      <x:c r="AN456" s="32"/>
      <x:c r="AO456" s="32"/>
      <x:c r="AP456" s="32"/>
      <x:c r="AQ456" s="32"/>
      <x:c r="AR456" s="32"/>
      <x:c r="AS456" s="32"/>
      <x:c r="AT456" s="32"/>
      <x:c r="AU456" s="32"/>
      <x:c r="AV456" s="32"/>
      <x:c r="AW456" s="32"/>
      <x:c r="AX456" s="32"/>
      <x:c r="AZ456" s="32"/>
      <x:c r="BA456" s="32"/>
      <x:c r="BB456" s="32"/>
      <x:c r="BC456" s="32"/>
      <x:c r="BD456" s="32"/>
      <x:c r="BE456" s="32"/>
      <x:c r="BF456" s="32"/>
      <x:c r="BG456" s="32"/>
      <x:c r="BH456" s="32"/>
      <x:c r="BI456" s="32"/>
      <x:c r="BJ456" s="32"/>
      <x:c r="BK456" s="32"/>
      <x:c r="BL456" s="32"/>
      <x:c r="BM456" s="32"/>
    </x:row>
    <x:row r="457">
      <x:c r="A457" s="32"/>
      <x:c r="B457" s="32"/>
      <x:c r="C457" s="42"/>
      <x:c r="D457" s="32"/>
      <x:c r="E457" s="32"/>
      <x:c r="F457" s="32"/>
      <x:c r="G457" s="32"/>
      <x:c r="H457" s="32"/>
      <x:c r="I457" s="32"/>
      <x:c r="J457" s="32"/>
      <x:c r="K457" s="32"/>
      <x:c r="L457" s="32"/>
      <x:c r="M457" s="32"/>
      <x:c r="N457" s="32"/>
      <x:c r="O457" s="32"/>
      <x:c r="P457" s="32"/>
      <x:c r="Q457" s="32"/>
      <x:c r="R457" s="32"/>
      <x:c r="S457" s="32"/>
      <x:c r="T457" s="43" t="str">
        <x:f>IFERROR(S457/L457,"")</x:f>
      </x:c>
      <x:c r="U457" s="32"/>
      <x:c r="V457" s="32"/>
      <x:c r="W457" s="32"/>
      <x:c r="X457" s="32"/>
      <x:c r="Y457" s="32"/>
      <x:c r="Z457" s="32"/>
      <x:c r="AA457" s="32"/>
      <x:c r="AB457" s="32"/>
      <x:c r="AC457" s="32"/>
      <x:c r="AD457" s="32"/>
      <x:c r="AE457" s="32"/>
      <x:c r="AF457" s="32"/>
      <x:c r="AG457" s="32"/>
      <x:c r="AH457" s="32"/>
      <x:c r="AI457" s="32"/>
      <x:c r="AJ457" s="32"/>
      <x:c r="AK457" s="32"/>
      <x:c r="AL457" s="32"/>
      <x:c r="AM457" s="32"/>
      <x:c r="AN457" s="32"/>
      <x:c r="AO457" s="32"/>
      <x:c r="AP457" s="32"/>
      <x:c r="AQ457" s="32"/>
      <x:c r="AR457" s="32"/>
      <x:c r="AS457" s="32"/>
      <x:c r="AT457" s="32"/>
      <x:c r="AU457" s="32"/>
      <x:c r="AV457" s="32"/>
      <x:c r="AW457" s="32"/>
      <x:c r="AX457" s="32"/>
      <x:c r="AZ457" s="32"/>
      <x:c r="BA457" s="32"/>
      <x:c r="BB457" s="32"/>
      <x:c r="BC457" s="32"/>
      <x:c r="BD457" s="32"/>
      <x:c r="BE457" s="32"/>
      <x:c r="BF457" s="32"/>
      <x:c r="BG457" s="32"/>
      <x:c r="BH457" s="32"/>
      <x:c r="BI457" s="32"/>
      <x:c r="BJ457" s="32"/>
      <x:c r="BK457" s="32"/>
      <x:c r="BL457" s="32"/>
      <x:c r="BM457" s="32"/>
    </x:row>
    <x:row r="458">
      <x:c r="A458" s="32"/>
      <x:c r="B458" s="32"/>
      <x:c r="C458" s="42"/>
      <x:c r="D458" s="32"/>
      <x:c r="E458" s="32"/>
      <x:c r="F458" s="32"/>
      <x:c r="G458" s="32"/>
      <x:c r="H458" s="32"/>
      <x:c r="I458" s="32"/>
      <x:c r="J458" s="32"/>
      <x:c r="K458" s="32"/>
      <x:c r="L458" s="32"/>
      <x:c r="M458" s="32"/>
      <x:c r="N458" s="32"/>
      <x:c r="O458" s="32"/>
      <x:c r="P458" s="32"/>
      <x:c r="Q458" s="32"/>
      <x:c r="R458" s="32"/>
      <x:c r="S458" s="32"/>
      <x:c r="T458" s="43" t="str">
        <x:f>IFERROR(S458/L458,"")</x:f>
      </x:c>
      <x:c r="U458" s="32"/>
      <x:c r="V458" s="32"/>
      <x:c r="W458" s="32"/>
      <x:c r="X458" s="32"/>
      <x:c r="Y458" s="32"/>
      <x:c r="Z458" s="32"/>
      <x:c r="AA458" s="32"/>
      <x:c r="AB458" s="32"/>
      <x:c r="AC458" s="32"/>
      <x:c r="AD458" s="32"/>
      <x:c r="AE458" s="32"/>
      <x:c r="AF458" s="32"/>
      <x:c r="AG458" s="32"/>
      <x:c r="AH458" s="32"/>
      <x:c r="AI458" s="32"/>
      <x:c r="AJ458" s="32"/>
      <x:c r="AK458" s="32"/>
      <x:c r="AL458" s="32"/>
      <x:c r="AM458" s="32"/>
      <x:c r="AN458" s="32"/>
      <x:c r="AO458" s="32"/>
      <x:c r="AP458" s="32"/>
      <x:c r="AQ458" s="32"/>
      <x:c r="AR458" s="32"/>
      <x:c r="AS458" s="32"/>
      <x:c r="AT458" s="32"/>
      <x:c r="AU458" s="32"/>
      <x:c r="AV458" s="32"/>
      <x:c r="AW458" s="32"/>
      <x:c r="AX458" s="32"/>
      <x:c r="AZ458" s="32"/>
      <x:c r="BA458" s="32"/>
      <x:c r="BB458" s="32"/>
      <x:c r="BC458" s="32"/>
      <x:c r="BD458" s="32"/>
      <x:c r="BE458" s="32"/>
      <x:c r="BF458" s="32"/>
      <x:c r="BG458" s="32"/>
      <x:c r="BH458" s="32"/>
      <x:c r="BI458" s="32"/>
      <x:c r="BJ458" s="32"/>
      <x:c r="BK458" s="32"/>
      <x:c r="BL458" s="32"/>
      <x:c r="BM458" s="32"/>
    </x:row>
    <x:row r="459">
      <x:c r="A459" s="32"/>
      <x:c r="B459" s="32"/>
      <x:c r="C459" s="42"/>
      <x:c r="D459" s="32"/>
      <x:c r="E459" s="32"/>
      <x:c r="F459" s="32"/>
      <x:c r="G459" s="32"/>
      <x:c r="H459" s="32"/>
      <x:c r="I459" s="32"/>
      <x:c r="J459" s="32"/>
      <x:c r="K459" s="32"/>
      <x:c r="L459" s="32"/>
      <x:c r="M459" s="32"/>
      <x:c r="N459" s="32"/>
      <x:c r="O459" s="32"/>
      <x:c r="P459" s="32"/>
      <x:c r="Q459" s="32"/>
      <x:c r="R459" s="32"/>
      <x:c r="S459" s="32"/>
      <x:c r="T459" s="43" t="str">
        <x:f>IFERROR(S459/L459,"")</x:f>
      </x:c>
      <x:c r="U459" s="32"/>
      <x:c r="V459" s="32"/>
      <x:c r="W459" s="32"/>
      <x:c r="X459" s="32"/>
      <x:c r="Y459" s="32"/>
      <x:c r="Z459" s="32"/>
      <x:c r="AA459" s="32"/>
      <x:c r="AB459" s="32"/>
      <x:c r="AC459" s="32"/>
      <x:c r="AD459" s="32"/>
      <x:c r="AE459" s="32"/>
      <x:c r="AF459" s="32"/>
      <x:c r="AG459" s="32"/>
      <x:c r="AH459" s="32"/>
      <x:c r="AI459" s="32"/>
      <x:c r="AJ459" s="32"/>
      <x:c r="AK459" s="32"/>
      <x:c r="AL459" s="32"/>
      <x:c r="AM459" s="32"/>
      <x:c r="AN459" s="32"/>
      <x:c r="AO459" s="32"/>
      <x:c r="AP459" s="32"/>
      <x:c r="AQ459" s="32"/>
      <x:c r="AR459" s="32"/>
      <x:c r="AS459" s="32"/>
      <x:c r="AT459" s="32"/>
      <x:c r="AU459" s="32"/>
      <x:c r="AV459" s="32"/>
      <x:c r="AW459" s="32"/>
      <x:c r="AX459" s="32"/>
      <x:c r="AZ459" s="32"/>
      <x:c r="BA459" s="32"/>
      <x:c r="BB459" s="32"/>
      <x:c r="BC459" s="32"/>
      <x:c r="BD459" s="32"/>
      <x:c r="BE459" s="32"/>
      <x:c r="BF459" s="32"/>
      <x:c r="BG459" s="32"/>
      <x:c r="BH459" s="32"/>
      <x:c r="BI459" s="32"/>
      <x:c r="BJ459" s="32"/>
      <x:c r="BK459" s="32"/>
      <x:c r="BL459" s="32"/>
      <x:c r="BM459" s="32"/>
    </x:row>
    <x:row r="460">
      <x:c r="A460" s="32"/>
      <x:c r="B460" s="32"/>
      <x:c r="C460" s="42"/>
      <x:c r="D460" s="32"/>
      <x:c r="E460" s="32"/>
      <x:c r="F460" s="32"/>
      <x:c r="G460" s="32"/>
      <x:c r="H460" s="32"/>
      <x:c r="I460" s="32"/>
      <x:c r="J460" s="32"/>
      <x:c r="K460" s="32"/>
      <x:c r="L460" s="32"/>
      <x:c r="M460" s="32"/>
      <x:c r="N460" s="32"/>
      <x:c r="O460" s="32"/>
      <x:c r="P460" s="32"/>
      <x:c r="Q460" s="32"/>
      <x:c r="R460" s="32"/>
      <x:c r="S460" s="32"/>
      <x:c r="T460" s="43" t="str">
        <x:f>IFERROR(S460/L460,"")</x:f>
      </x:c>
      <x:c r="U460" s="32"/>
      <x:c r="V460" s="32"/>
      <x:c r="W460" s="32"/>
      <x:c r="X460" s="32"/>
      <x:c r="Y460" s="32"/>
      <x:c r="Z460" s="32"/>
      <x:c r="AA460" s="32"/>
      <x:c r="AB460" s="32"/>
      <x:c r="AC460" s="32"/>
      <x:c r="AD460" s="32"/>
      <x:c r="AE460" s="32"/>
      <x:c r="AF460" s="32"/>
      <x:c r="AG460" s="32"/>
      <x:c r="AH460" s="32"/>
      <x:c r="AI460" s="32"/>
      <x:c r="AJ460" s="32"/>
      <x:c r="AK460" s="32"/>
      <x:c r="AL460" s="32"/>
      <x:c r="AM460" s="32"/>
      <x:c r="AN460" s="32"/>
      <x:c r="AO460" s="32"/>
      <x:c r="AP460" s="32"/>
      <x:c r="AQ460" s="32"/>
      <x:c r="AR460" s="32"/>
      <x:c r="AS460" s="32"/>
      <x:c r="AT460" s="32"/>
      <x:c r="AU460" s="32"/>
      <x:c r="AV460" s="32"/>
      <x:c r="AW460" s="32"/>
      <x:c r="AX460" s="32"/>
      <x:c r="AZ460" s="32"/>
      <x:c r="BA460" s="32"/>
      <x:c r="BB460" s="32"/>
      <x:c r="BC460" s="32"/>
      <x:c r="BD460" s="32"/>
      <x:c r="BE460" s="32"/>
      <x:c r="BF460" s="32"/>
      <x:c r="BG460" s="32"/>
      <x:c r="BH460" s="32"/>
      <x:c r="BI460" s="32"/>
      <x:c r="BJ460" s="32"/>
      <x:c r="BK460" s="32"/>
      <x:c r="BL460" s="32"/>
      <x:c r="BM460" s="32"/>
    </x:row>
    <x:row r="461">
      <x:c r="A461" s="32"/>
      <x:c r="B461" s="32"/>
      <x:c r="C461" s="42"/>
      <x:c r="D461" s="32"/>
      <x:c r="E461" s="32"/>
      <x:c r="F461" s="32"/>
      <x:c r="G461" s="32"/>
      <x:c r="H461" s="32"/>
      <x:c r="I461" s="32"/>
      <x:c r="J461" s="32"/>
      <x:c r="K461" s="32"/>
      <x:c r="L461" s="32"/>
      <x:c r="M461" s="32"/>
      <x:c r="N461" s="32"/>
      <x:c r="O461" s="32"/>
      <x:c r="P461" s="32"/>
      <x:c r="Q461" s="32"/>
      <x:c r="R461" s="32"/>
      <x:c r="S461" s="32"/>
      <x:c r="T461" s="43" t="str">
        <x:f>IFERROR(S461/L461,"")</x:f>
      </x:c>
      <x:c r="U461" s="32"/>
      <x:c r="V461" s="32"/>
      <x:c r="W461" s="32"/>
      <x:c r="X461" s="32"/>
      <x:c r="Y461" s="32"/>
      <x:c r="Z461" s="32"/>
      <x:c r="AA461" s="32"/>
      <x:c r="AB461" s="32"/>
      <x:c r="AC461" s="32"/>
      <x:c r="AD461" s="32"/>
      <x:c r="AE461" s="32"/>
      <x:c r="AF461" s="32"/>
      <x:c r="AG461" s="32"/>
      <x:c r="AH461" s="32"/>
      <x:c r="AI461" s="32"/>
      <x:c r="AJ461" s="32"/>
      <x:c r="AK461" s="32"/>
      <x:c r="AL461" s="32"/>
      <x:c r="AM461" s="32"/>
      <x:c r="AN461" s="32"/>
      <x:c r="AO461" s="32"/>
      <x:c r="AP461" s="32"/>
      <x:c r="AQ461" s="32"/>
      <x:c r="AR461" s="32"/>
      <x:c r="AS461" s="32"/>
      <x:c r="AT461" s="32"/>
      <x:c r="AU461" s="32"/>
      <x:c r="AV461" s="32"/>
      <x:c r="AW461" s="32"/>
      <x:c r="AX461" s="32"/>
      <x:c r="AZ461" s="32"/>
      <x:c r="BA461" s="32"/>
      <x:c r="BB461" s="32"/>
      <x:c r="BC461" s="32"/>
      <x:c r="BD461" s="32"/>
      <x:c r="BE461" s="32"/>
      <x:c r="BF461" s="32"/>
      <x:c r="BG461" s="32"/>
      <x:c r="BH461" s="32"/>
      <x:c r="BI461" s="32"/>
      <x:c r="BJ461" s="32"/>
      <x:c r="BK461" s="32"/>
      <x:c r="BL461" s="32"/>
      <x:c r="BM461" s="32"/>
    </x:row>
    <x:row r="462">
      <x:c r="A462" s="32"/>
      <x:c r="B462" s="32"/>
      <x:c r="C462" s="42"/>
      <x:c r="D462" s="32"/>
      <x:c r="E462" s="32"/>
      <x:c r="F462" s="32"/>
      <x:c r="G462" s="32"/>
      <x:c r="H462" s="32"/>
      <x:c r="I462" s="32"/>
      <x:c r="J462" s="32"/>
      <x:c r="K462" s="32"/>
      <x:c r="L462" s="32"/>
      <x:c r="M462" s="32"/>
      <x:c r="N462" s="32"/>
      <x:c r="O462" s="32"/>
      <x:c r="P462" s="32"/>
      <x:c r="Q462" s="32"/>
      <x:c r="R462" s="32"/>
      <x:c r="S462" s="32"/>
      <x:c r="T462" s="43" t="str">
        <x:f>IFERROR(S462/L462,"")</x:f>
      </x:c>
      <x:c r="U462" s="32"/>
      <x:c r="V462" s="32"/>
      <x:c r="W462" s="32"/>
      <x:c r="X462" s="32"/>
      <x:c r="Y462" s="32"/>
      <x:c r="Z462" s="32"/>
      <x:c r="AA462" s="32"/>
      <x:c r="AB462" s="32"/>
      <x:c r="AC462" s="32"/>
      <x:c r="AD462" s="32"/>
      <x:c r="AE462" s="32"/>
      <x:c r="AF462" s="32"/>
      <x:c r="AG462" s="32"/>
      <x:c r="AH462" s="32"/>
      <x:c r="AI462" s="32"/>
      <x:c r="AJ462" s="32"/>
      <x:c r="AK462" s="32"/>
      <x:c r="AL462" s="32"/>
      <x:c r="AM462" s="32"/>
      <x:c r="AN462" s="32"/>
      <x:c r="AO462" s="32"/>
      <x:c r="AP462" s="32"/>
      <x:c r="AQ462" s="32"/>
      <x:c r="AR462" s="32"/>
      <x:c r="AS462" s="32"/>
      <x:c r="AT462" s="32"/>
      <x:c r="AU462" s="32"/>
      <x:c r="AV462" s="32"/>
      <x:c r="AW462" s="32"/>
      <x:c r="AX462" s="32"/>
      <x:c r="AZ462" s="32"/>
      <x:c r="BA462" s="32"/>
      <x:c r="BB462" s="32"/>
      <x:c r="BC462" s="32"/>
      <x:c r="BD462" s="32"/>
      <x:c r="BE462" s="32"/>
      <x:c r="BF462" s="32"/>
      <x:c r="BG462" s="32"/>
      <x:c r="BH462" s="32"/>
      <x:c r="BI462" s="32"/>
      <x:c r="BJ462" s="32"/>
      <x:c r="BK462" s="32"/>
      <x:c r="BL462" s="32"/>
      <x:c r="BM462" s="32"/>
    </x:row>
    <x:row r="463">
      <x:c r="A463" s="32"/>
      <x:c r="B463" s="32"/>
      <x:c r="C463" s="42"/>
      <x:c r="D463" s="32"/>
      <x:c r="E463" s="32"/>
      <x:c r="F463" s="32"/>
      <x:c r="G463" s="32"/>
      <x:c r="H463" s="32"/>
      <x:c r="I463" s="32"/>
      <x:c r="J463" s="32"/>
      <x:c r="K463" s="32"/>
      <x:c r="L463" s="32"/>
      <x:c r="M463" s="32"/>
      <x:c r="N463" s="32"/>
      <x:c r="O463" s="32"/>
      <x:c r="P463" s="32"/>
      <x:c r="Q463" s="32"/>
      <x:c r="R463" s="32"/>
      <x:c r="S463" s="32"/>
      <x:c r="T463" s="43" t="str">
        <x:f>IFERROR(S463/L463,"")</x:f>
      </x:c>
      <x:c r="U463" s="32"/>
      <x:c r="V463" s="32"/>
      <x:c r="W463" s="32"/>
      <x:c r="X463" s="32"/>
      <x:c r="Y463" s="32"/>
      <x:c r="Z463" s="32"/>
      <x:c r="AA463" s="32"/>
      <x:c r="AB463" s="32"/>
      <x:c r="AC463" s="32"/>
      <x:c r="AD463" s="32"/>
      <x:c r="AE463" s="32"/>
      <x:c r="AF463" s="32"/>
      <x:c r="AG463" s="32"/>
      <x:c r="AH463" s="32"/>
      <x:c r="AI463" s="32"/>
      <x:c r="AJ463" s="32"/>
      <x:c r="AK463" s="32"/>
      <x:c r="AL463" s="32"/>
      <x:c r="AM463" s="32"/>
      <x:c r="AN463" s="32"/>
      <x:c r="AO463" s="32"/>
      <x:c r="AP463" s="32"/>
      <x:c r="AQ463" s="32"/>
      <x:c r="AR463" s="32"/>
      <x:c r="AS463" s="32"/>
      <x:c r="AT463" s="32"/>
      <x:c r="AU463" s="32"/>
      <x:c r="AV463" s="32"/>
      <x:c r="AW463" s="32"/>
      <x:c r="AX463" s="32"/>
      <x:c r="AZ463" s="32"/>
      <x:c r="BA463" s="32"/>
      <x:c r="BB463" s="32"/>
      <x:c r="BC463" s="32"/>
      <x:c r="BD463" s="32"/>
      <x:c r="BE463" s="32"/>
      <x:c r="BF463" s="32"/>
      <x:c r="BG463" s="32"/>
      <x:c r="BH463" s="32"/>
      <x:c r="BI463" s="32"/>
      <x:c r="BJ463" s="32"/>
      <x:c r="BK463" s="32"/>
      <x:c r="BL463" s="32"/>
      <x:c r="BM463" s="32"/>
    </x:row>
    <x:row r="464">
      <x:c r="A464" s="32"/>
      <x:c r="B464" s="32"/>
      <x:c r="C464" s="42"/>
      <x:c r="D464" s="32"/>
      <x:c r="E464" s="32"/>
      <x:c r="F464" s="32"/>
      <x:c r="G464" s="32"/>
      <x:c r="H464" s="32"/>
      <x:c r="I464" s="32"/>
      <x:c r="J464" s="32"/>
      <x:c r="K464" s="32"/>
      <x:c r="L464" s="32"/>
      <x:c r="M464" s="32"/>
      <x:c r="N464" s="32"/>
      <x:c r="O464" s="32"/>
      <x:c r="P464" s="32"/>
      <x:c r="Q464" s="32"/>
      <x:c r="R464" s="32"/>
      <x:c r="S464" s="32"/>
      <x:c r="T464" s="43" t="str">
        <x:f>IFERROR(S464/L464,"")</x:f>
      </x:c>
      <x:c r="U464" s="32"/>
      <x:c r="V464" s="32"/>
      <x:c r="W464" s="32"/>
      <x:c r="X464" s="32"/>
      <x:c r="Y464" s="32"/>
      <x:c r="Z464" s="32"/>
      <x:c r="AA464" s="32"/>
      <x:c r="AB464" s="32"/>
      <x:c r="AC464" s="32"/>
      <x:c r="AD464" s="32"/>
      <x:c r="AE464" s="32"/>
      <x:c r="AF464" s="32"/>
      <x:c r="AG464" s="32"/>
      <x:c r="AH464" s="32"/>
      <x:c r="AI464" s="32"/>
      <x:c r="AJ464" s="32"/>
      <x:c r="AK464" s="32"/>
      <x:c r="AL464" s="32"/>
      <x:c r="AM464" s="32"/>
      <x:c r="AN464" s="32"/>
      <x:c r="AO464" s="32"/>
      <x:c r="AP464" s="32"/>
      <x:c r="AQ464" s="32"/>
      <x:c r="AR464" s="32"/>
      <x:c r="AS464" s="32"/>
      <x:c r="AT464" s="32"/>
      <x:c r="AU464" s="32"/>
      <x:c r="AV464" s="32"/>
      <x:c r="AW464" s="32"/>
      <x:c r="AX464" s="32"/>
      <x:c r="AZ464" s="32"/>
      <x:c r="BA464" s="32"/>
      <x:c r="BB464" s="32"/>
      <x:c r="BC464" s="32"/>
      <x:c r="BD464" s="32"/>
      <x:c r="BE464" s="32"/>
      <x:c r="BF464" s="32"/>
      <x:c r="BG464" s="32"/>
      <x:c r="BH464" s="32"/>
      <x:c r="BI464" s="32"/>
      <x:c r="BJ464" s="32"/>
      <x:c r="BK464" s="32"/>
      <x:c r="BL464" s="32"/>
      <x:c r="BM464" s="32"/>
    </x:row>
    <x:row r="465">
      <x:c r="A465" s="32"/>
      <x:c r="B465" s="32"/>
      <x:c r="C465" s="42"/>
      <x:c r="D465" s="32"/>
      <x:c r="E465" s="32"/>
      <x:c r="F465" s="32"/>
      <x:c r="G465" s="32"/>
      <x:c r="H465" s="32"/>
      <x:c r="I465" s="32"/>
      <x:c r="J465" s="32"/>
      <x:c r="K465" s="32"/>
      <x:c r="L465" s="32"/>
      <x:c r="M465" s="32"/>
      <x:c r="N465" s="32"/>
      <x:c r="O465" s="32"/>
      <x:c r="P465" s="32"/>
      <x:c r="Q465" s="32"/>
      <x:c r="R465" s="32"/>
      <x:c r="S465" s="32"/>
      <x:c r="T465" s="43" t="str">
        <x:f>IFERROR(S465/L465,"")</x:f>
      </x:c>
      <x:c r="U465" s="32"/>
      <x:c r="V465" s="32"/>
      <x:c r="W465" s="32"/>
      <x:c r="X465" s="32"/>
      <x:c r="Y465" s="32"/>
      <x:c r="Z465" s="32"/>
      <x:c r="AA465" s="32"/>
      <x:c r="AB465" s="32"/>
      <x:c r="AC465" s="32"/>
      <x:c r="AD465" s="32"/>
      <x:c r="AE465" s="32"/>
      <x:c r="AF465" s="32"/>
      <x:c r="AG465" s="32"/>
      <x:c r="AH465" s="32"/>
      <x:c r="AI465" s="32"/>
      <x:c r="AJ465" s="32"/>
      <x:c r="AK465" s="32"/>
      <x:c r="AL465" s="32"/>
      <x:c r="AM465" s="32"/>
      <x:c r="AN465" s="32"/>
      <x:c r="AO465" s="32"/>
      <x:c r="AP465" s="32"/>
      <x:c r="AQ465" s="32"/>
      <x:c r="AR465" s="32"/>
      <x:c r="AS465" s="32"/>
      <x:c r="AT465" s="32"/>
      <x:c r="AU465" s="32"/>
      <x:c r="AV465" s="32"/>
      <x:c r="AW465" s="32"/>
      <x:c r="AX465" s="32"/>
      <x:c r="AZ465" s="32"/>
      <x:c r="BA465" s="32"/>
      <x:c r="BB465" s="32"/>
      <x:c r="BC465" s="32"/>
      <x:c r="BD465" s="32"/>
      <x:c r="BE465" s="32"/>
      <x:c r="BF465" s="32"/>
      <x:c r="BG465" s="32"/>
      <x:c r="BH465" s="32"/>
      <x:c r="BI465" s="32"/>
      <x:c r="BJ465" s="32"/>
      <x:c r="BK465" s="32"/>
      <x:c r="BL465" s="32"/>
      <x:c r="BM465" s="32"/>
    </x:row>
    <x:row r="466">
      <x:c r="A466" s="32"/>
      <x:c r="B466" s="32"/>
      <x:c r="C466" s="42"/>
      <x:c r="D466" s="32"/>
      <x:c r="E466" s="32"/>
      <x:c r="F466" s="32"/>
      <x:c r="G466" s="32"/>
      <x:c r="H466" s="32"/>
      <x:c r="I466" s="32"/>
      <x:c r="J466" s="32"/>
      <x:c r="K466" s="32"/>
      <x:c r="L466" s="32"/>
      <x:c r="M466" s="32"/>
      <x:c r="N466" s="32"/>
      <x:c r="O466" s="32"/>
      <x:c r="P466" s="32"/>
      <x:c r="Q466" s="32"/>
      <x:c r="R466" s="32"/>
      <x:c r="S466" s="32"/>
      <x:c r="T466" s="43" t="str">
        <x:f>IFERROR(S466/L466,"")</x:f>
      </x:c>
      <x:c r="U466" s="32"/>
      <x:c r="V466" s="32"/>
      <x:c r="W466" s="32"/>
      <x:c r="X466" s="32"/>
      <x:c r="Y466" s="32"/>
      <x:c r="Z466" s="32"/>
      <x:c r="AA466" s="32"/>
      <x:c r="AB466" s="32"/>
      <x:c r="AC466" s="32"/>
      <x:c r="AD466" s="32"/>
      <x:c r="AE466" s="32"/>
      <x:c r="AF466" s="32"/>
      <x:c r="AG466" s="32"/>
      <x:c r="AH466" s="32"/>
      <x:c r="AI466" s="32"/>
      <x:c r="AJ466" s="32"/>
      <x:c r="AK466" s="32"/>
      <x:c r="AL466" s="32"/>
      <x:c r="AM466" s="32"/>
      <x:c r="AN466" s="32"/>
      <x:c r="AO466" s="32"/>
      <x:c r="AP466" s="32"/>
      <x:c r="AQ466" s="32"/>
      <x:c r="AR466" s="32"/>
      <x:c r="AS466" s="32"/>
      <x:c r="AT466" s="32"/>
      <x:c r="AU466" s="32"/>
      <x:c r="AV466" s="32"/>
      <x:c r="AW466" s="32"/>
      <x:c r="AX466" s="32"/>
      <x:c r="AZ466" s="32"/>
      <x:c r="BA466" s="32"/>
      <x:c r="BB466" s="32"/>
      <x:c r="BC466" s="32"/>
      <x:c r="BD466" s="32"/>
      <x:c r="BE466" s="32"/>
      <x:c r="BF466" s="32"/>
      <x:c r="BG466" s="32"/>
      <x:c r="BH466" s="32"/>
      <x:c r="BI466" s="32"/>
      <x:c r="BJ466" s="32"/>
      <x:c r="BK466" s="32"/>
      <x:c r="BL466" s="32"/>
      <x:c r="BM466" s="32"/>
    </x:row>
    <x:row r="467">
      <x:c r="A467" s="32"/>
      <x:c r="B467" s="32"/>
      <x:c r="C467" s="42"/>
      <x:c r="D467" s="32"/>
      <x:c r="E467" s="32"/>
      <x:c r="F467" s="32"/>
      <x:c r="G467" s="32"/>
      <x:c r="H467" s="32"/>
      <x:c r="I467" s="32"/>
      <x:c r="J467" s="32"/>
      <x:c r="K467" s="32"/>
      <x:c r="L467" s="32"/>
      <x:c r="M467" s="32"/>
      <x:c r="N467" s="32"/>
      <x:c r="O467" s="32"/>
      <x:c r="P467" s="32"/>
      <x:c r="Q467" s="32"/>
      <x:c r="R467" s="32"/>
      <x:c r="S467" s="32"/>
      <x:c r="T467" s="43" t="str">
        <x:f>IFERROR(S467/L467,"")</x:f>
      </x:c>
      <x:c r="U467" s="32"/>
      <x:c r="V467" s="32"/>
      <x:c r="W467" s="32"/>
      <x:c r="X467" s="32"/>
      <x:c r="Y467" s="32"/>
      <x:c r="Z467" s="32"/>
      <x:c r="AA467" s="32"/>
      <x:c r="AB467" s="32"/>
      <x:c r="AC467" s="32"/>
      <x:c r="AD467" s="32"/>
      <x:c r="AE467" s="32"/>
      <x:c r="AF467" s="32"/>
      <x:c r="AG467" s="32"/>
      <x:c r="AH467" s="32"/>
      <x:c r="AI467" s="32"/>
      <x:c r="AJ467" s="32"/>
      <x:c r="AK467" s="32"/>
      <x:c r="AL467" s="32"/>
      <x:c r="AM467" s="32"/>
      <x:c r="AN467" s="32"/>
      <x:c r="AO467" s="32"/>
      <x:c r="AP467" s="32"/>
      <x:c r="AQ467" s="32"/>
      <x:c r="AR467" s="32"/>
      <x:c r="AS467" s="32"/>
      <x:c r="AT467" s="32"/>
      <x:c r="AU467" s="32"/>
      <x:c r="AV467" s="32"/>
      <x:c r="AW467" s="32"/>
      <x:c r="AX467" s="32"/>
      <x:c r="AZ467" s="32"/>
      <x:c r="BA467" s="32"/>
      <x:c r="BB467" s="32"/>
      <x:c r="BC467" s="32"/>
      <x:c r="BD467" s="32"/>
      <x:c r="BE467" s="32"/>
      <x:c r="BF467" s="32"/>
      <x:c r="BG467" s="32"/>
      <x:c r="BH467" s="32"/>
      <x:c r="BI467" s="32"/>
      <x:c r="BJ467" s="32"/>
      <x:c r="BK467" s="32"/>
      <x:c r="BL467" s="32"/>
      <x:c r="BM467" s="32"/>
    </x:row>
    <x:row r="468">
      <x:c r="A468" s="32"/>
      <x:c r="B468" s="32"/>
      <x:c r="C468" s="42"/>
      <x:c r="D468" s="32"/>
      <x:c r="E468" s="32"/>
      <x:c r="F468" s="32"/>
      <x:c r="G468" s="32"/>
      <x:c r="H468" s="32"/>
      <x:c r="I468" s="32"/>
      <x:c r="J468" s="32"/>
      <x:c r="K468" s="32"/>
      <x:c r="L468" s="32"/>
      <x:c r="M468" s="32"/>
      <x:c r="N468" s="32"/>
      <x:c r="O468" s="32"/>
      <x:c r="P468" s="32"/>
      <x:c r="Q468" s="32"/>
      <x:c r="R468" s="32"/>
      <x:c r="S468" s="32"/>
      <x:c r="T468" s="43" t="str">
        <x:f>IFERROR(S468/L468,"")</x:f>
      </x:c>
      <x:c r="U468" s="32"/>
      <x:c r="V468" s="32"/>
      <x:c r="W468" s="32"/>
      <x:c r="X468" s="32"/>
      <x:c r="Y468" s="32"/>
      <x:c r="Z468" s="32"/>
      <x:c r="AA468" s="32"/>
      <x:c r="AB468" s="32"/>
      <x:c r="AC468" s="32"/>
      <x:c r="AD468" s="32"/>
      <x:c r="AE468" s="32"/>
      <x:c r="AF468" s="32"/>
      <x:c r="AG468" s="32"/>
      <x:c r="AH468" s="32"/>
      <x:c r="AI468" s="32"/>
      <x:c r="AJ468" s="32"/>
      <x:c r="AK468" s="32"/>
      <x:c r="AL468" s="32"/>
      <x:c r="AM468" s="32"/>
      <x:c r="AN468" s="32"/>
      <x:c r="AO468" s="32"/>
      <x:c r="AP468" s="32"/>
      <x:c r="AQ468" s="32"/>
      <x:c r="AR468" s="32"/>
      <x:c r="AS468" s="32"/>
      <x:c r="AT468" s="32"/>
      <x:c r="AU468" s="32"/>
      <x:c r="AV468" s="32"/>
      <x:c r="AW468" s="32"/>
      <x:c r="AX468" s="32"/>
      <x:c r="AZ468" s="32"/>
      <x:c r="BA468" s="32"/>
      <x:c r="BB468" s="32"/>
      <x:c r="BC468" s="32"/>
      <x:c r="BD468" s="32"/>
      <x:c r="BE468" s="32"/>
      <x:c r="BF468" s="32"/>
      <x:c r="BG468" s="32"/>
      <x:c r="BH468" s="32"/>
      <x:c r="BI468" s="32"/>
      <x:c r="BJ468" s="32"/>
      <x:c r="BK468" s="32"/>
      <x:c r="BL468" s="32"/>
      <x:c r="BM468" s="32"/>
    </x:row>
    <x:row r="469">
      <x:c r="A469" s="32"/>
      <x:c r="B469" s="32"/>
      <x:c r="C469" s="42"/>
      <x:c r="D469" s="32"/>
      <x:c r="E469" s="32"/>
      <x:c r="F469" s="32"/>
      <x:c r="G469" s="32"/>
      <x:c r="H469" s="32"/>
      <x:c r="I469" s="32"/>
      <x:c r="J469" s="32"/>
      <x:c r="K469" s="32"/>
      <x:c r="L469" s="32"/>
      <x:c r="M469" s="32"/>
      <x:c r="N469" s="32"/>
      <x:c r="O469" s="32"/>
      <x:c r="P469" s="32"/>
      <x:c r="Q469" s="32"/>
      <x:c r="R469" s="32"/>
      <x:c r="S469" s="32"/>
      <x:c r="T469" s="43" t="str">
        <x:f>IFERROR(S469/L469,"")</x:f>
      </x:c>
      <x:c r="U469" s="32"/>
      <x:c r="V469" s="32"/>
      <x:c r="W469" s="32"/>
      <x:c r="X469" s="32"/>
      <x:c r="Y469" s="32"/>
      <x:c r="Z469" s="32"/>
      <x:c r="AA469" s="32"/>
      <x:c r="AB469" s="32"/>
      <x:c r="AC469" s="32"/>
      <x:c r="AD469" s="32"/>
      <x:c r="AE469" s="32"/>
      <x:c r="AF469" s="32"/>
      <x:c r="AG469" s="32"/>
      <x:c r="AH469" s="32"/>
      <x:c r="AI469" s="32"/>
      <x:c r="AJ469" s="32"/>
      <x:c r="AK469" s="32"/>
      <x:c r="AL469" s="32"/>
      <x:c r="AM469" s="32"/>
      <x:c r="AN469" s="32"/>
      <x:c r="AO469" s="32"/>
      <x:c r="AP469" s="32"/>
      <x:c r="AQ469" s="32"/>
      <x:c r="AR469" s="32"/>
      <x:c r="AS469" s="32"/>
      <x:c r="AT469" s="32"/>
      <x:c r="AU469" s="32"/>
      <x:c r="AV469" s="32"/>
      <x:c r="AW469" s="32"/>
      <x:c r="AX469" s="32"/>
      <x:c r="AZ469" s="32"/>
      <x:c r="BA469" s="32"/>
      <x:c r="BB469" s="32"/>
      <x:c r="BC469" s="32"/>
      <x:c r="BD469" s="32"/>
      <x:c r="BE469" s="32"/>
      <x:c r="BF469" s="32"/>
      <x:c r="BG469" s="32"/>
      <x:c r="BH469" s="32"/>
      <x:c r="BI469" s="32"/>
      <x:c r="BJ469" s="32"/>
      <x:c r="BK469" s="32"/>
      <x:c r="BL469" s="32"/>
      <x:c r="BM469" s="32"/>
    </x:row>
    <x:row r="470">
      <x:c r="A470" s="32"/>
      <x:c r="B470" s="32"/>
      <x:c r="C470" s="42"/>
      <x:c r="D470" s="32"/>
      <x:c r="E470" s="32"/>
      <x:c r="F470" s="32"/>
      <x:c r="G470" s="32"/>
      <x:c r="H470" s="32"/>
      <x:c r="I470" s="32"/>
      <x:c r="J470" s="32"/>
      <x:c r="K470" s="32"/>
      <x:c r="L470" s="32"/>
      <x:c r="M470" s="32"/>
      <x:c r="N470" s="32"/>
      <x:c r="O470" s="32"/>
      <x:c r="P470" s="32"/>
      <x:c r="Q470" s="32"/>
      <x:c r="R470" s="32"/>
      <x:c r="S470" s="32"/>
      <x:c r="T470" s="43" t="str">
        <x:f>IFERROR(S470/L470,"")</x:f>
      </x:c>
      <x:c r="U470" s="32"/>
      <x:c r="V470" s="32"/>
      <x:c r="W470" s="32"/>
      <x:c r="X470" s="32"/>
      <x:c r="Y470" s="32"/>
      <x:c r="Z470" s="32"/>
      <x:c r="AA470" s="32"/>
      <x:c r="AB470" s="32"/>
      <x:c r="AC470" s="32"/>
      <x:c r="AD470" s="32"/>
      <x:c r="AE470" s="32"/>
      <x:c r="AF470" s="32"/>
      <x:c r="AG470" s="32"/>
      <x:c r="AH470" s="32"/>
      <x:c r="AI470" s="32"/>
      <x:c r="AJ470" s="32"/>
      <x:c r="AK470" s="32"/>
      <x:c r="AL470" s="32"/>
      <x:c r="AM470" s="32"/>
      <x:c r="AN470" s="32"/>
      <x:c r="AO470" s="32"/>
      <x:c r="AP470" s="32"/>
      <x:c r="AQ470" s="32"/>
      <x:c r="AR470" s="32"/>
      <x:c r="AS470" s="32"/>
      <x:c r="AT470" s="32"/>
      <x:c r="AU470" s="32"/>
      <x:c r="AV470" s="32"/>
      <x:c r="AW470" s="32"/>
      <x:c r="AX470" s="32"/>
      <x:c r="AZ470" s="32"/>
      <x:c r="BA470" s="32"/>
      <x:c r="BB470" s="32"/>
      <x:c r="BC470" s="32"/>
      <x:c r="BD470" s="32"/>
      <x:c r="BE470" s="32"/>
      <x:c r="BF470" s="32"/>
      <x:c r="BG470" s="32"/>
      <x:c r="BH470" s="32"/>
      <x:c r="BI470" s="32"/>
      <x:c r="BJ470" s="32"/>
      <x:c r="BK470" s="32"/>
      <x:c r="BL470" s="32"/>
      <x:c r="BM470" s="32"/>
    </x:row>
    <x:row r="471">
      <x:c r="A471" s="32"/>
      <x:c r="B471" s="32"/>
      <x:c r="C471" s="42"/>
      <x:c r="D471" s="32"/>
      <x:c r="E471" s="32"/>
      <x:c r="F471" s="32"/>
      <x:c r="G471" s="32"/>
      <x:c r="H471" s="32"/>
      <x:c r="I471" s="32"/>
      <x:c r="J471" s="32"/>
      <x:c r="K471" s="32"/>
      <x:c r="L471" s="32"/>
      <x:c r="M471" s="32"/>
      <x:c r="N471" s="32"/>
      <x:c r="O471" s="32"/>
      <x:c r="P471" s="32"/>
      <x:c r="Q471" s="32"/>
      <x:c r="R471" s="32"/>
      <x:c r="S471" s="32"/>
      <x:c r="T471" s="43" t="str">
        <x:f>IFERROR(S471/L471,"")</x:f>
      </x:c>
      <x:c r="U471" s="32"/>
      <x:c r="V471" s="32"/>
      <x:c r="W471" s="32"/>
      <x:c r="X471" s="32"/>
      <x:c r="Y471" s="32"/>
      <x:c r="Z471" s="32"/>
      <x:c r="AA471" s="32"/>
      <x:c r="AB471" s="32"/>
      <x:c r="AC471" s="32"/>
      <x:c r="AD471" s="32"/>
      <x:c r="AE471" s="32"/>
      <x:c r="AF471" s="32"/>
      <x:c r="AG471" s="32"/>
      <x:c r="AH471" s="32"/>
      <x:c r="AI471" s="32"/>
      <x:c r="AJ471" s="32"/>
      <x:c r="AK471" s="32"/>
      <x:c r="AL471" s="32"/>
      <x:c r="AM471" s="32"/>
      <x:c r="AN471" s="32"/>
      <x:c r="AO471" s="32"/>
      <x:c r="AP471" s="32"/>
      <x:c r="AQ471" s="32"/>
      <x:c r="AR471" s="32"/>
      <x:c r="AS471" s="32"/>
      <x:c r="AT471" s="32"/>
      <x:c r="AU471" s="32"/>
      <x:c r="AV471" s="32"/>
      <x:c r="AW471" s="32"/>
      <x:c r="AX471" s="32"/>
      <x:c r="AZ471" s="32"/>
      <x:c r="BA471" s="32"/>
      <x:c r="BB471" s="32"/>
      <x:c r="BC471" s="32"/>
      <x:c r="BD471" s="32"/>
      <x:c r="BE471" s="32"/>
      <x:c r="BF471" s="32"/>
      <x:c r="BG471" s="32"/>
      <x:c r="BH471" s="32"/>
      <x:c r="BI471" s="32"/>
      <x:c r="BJ471" s="32"/>
      <x:c r="BK471" s="32"/>
      <x:c r="BL471" s="32"/>
      <x:c r="BM471" s="32"/>
    </x:row>
    <x:row r="472">
      <x:c r="A472" s="32"/>
      <x:c r="B472" s="32"/>
      <x:c r="C472" s="42"/>
      <x:c r="D472" s="32"/>
      <x:c r="E472" s="32"/>
      <x:c r="F472" s="32"/>
      <x:c r="G472" s="32"/>
      <x:c r="H472" s="32"/>
      <x:c r="I472" s="32"/>
      <x:c r="J472" s="32"/>
      <x:c r="K472" s="32"/>
      <x:c r="L472" s="32"/>
      <x:c r="M472" s="32"/>
      <x:c r="N472" s="32"/>
      <x:c r="O472" s="32"/>
      <x:c r="P472" s="32"/>
      <x:c r="Q472" s="32"/>
      <x:c r="R472" s="32"/>
      <x:c r="S472" s="32"/>
      <x:c r="T472" s="43" t="str">
        <x:f>IFERROR(S472/L472,"")</x:f>
      </x:c>
      <x:c r="U472" s="32"/>
      <x:c r="V472" s="32"/>
      <x:c r="W472" s="32"/>
      <x:c r="X472" s="32"/>
      <x:c r="Y472" s="32"/>
      <x:c r="Z472" s="32"/>
      <x:c r="AA472" s="32"/>
      <x:c r="AB472" s="32"/>
      <x:c r="AC472" s="32"/>
      <x:c r="AD472" s="32"/>
      <x:c r="AE472" s="32"/>
      <x:c r="AF472" s="32"/>
      <x:c r="AG472" s="32"/>
      <x:c r="AH472" s="32"/>
      <x:c r="AI472" s="32"/>
      <x:c r="AJ472" s="32"/>
      <x:c r="AK472" s="32"/>
      <x:c r="AL472" s="32"/>
      <x:c r="AM472" s="32"/>
      <x:c r="AN472" s="32"/>
      <x:c r="AO472" s="32"/>
      <x:c r="AP472" s="32"/>
      <x:c r="AQ472" s="32"/>
      <x:c r="AR472" s="32"/>
      <x:c r="AS472" s="32"/>
      <x:c r="AT472" s="32"/>
      <x:c r="AU472" s="32"/>
      <x:c r="AV472" s="32"/>
      <x:c r="AW472" s="32"/>
      <x:c r="AX472" s="32"/>
      <x:c r="AZ472" s="32"/>
      <x:c r="BA472" s="32"/>
      <x:c r="BB472" s="32"/>
      <x:c r="BC472" s="32"/>
      <x:c r="BD472" s="32"/>
      <x:c r="BE472" s="32"/>
      <x:c r="BF472" s="32"/>
      <x:c r="BG472" s="32"/>
      <x:c r="BH472" s="32"/>
      <x:c r="BI472" s="32"/>
      <x:c r="BJ472" s="32"/>
      <x:c r="BK472" s="32"/>
      <x:c r="BL472" s="32"/>
      <x:c r="BM472" s="32"/>
    </x:row>
    <x:row r="473">
      <x:c r="A473" s="32"/>
      <x:c r="B473" s="32"/>
      <x:c r="C473" s="42"/>
      <x:c r="D473" s="32"/>
      <x:c r="E473" s="32"/>
      <x:c r="F473" s="32"/>
      <x:c r="G473" s="32"/>
      <x:c r="H473" s="32"/>
      <x:c r="I473" s="32"/>
      <x:c r="J473" s="32"/>
      <x:c r="K473" s="32"/>
      <x:c r="L473" s="32"/>
      <x:c r="M473" s="32"/>
      <x:c r="N473" s="32"/>
      <x:c r="O473" s="32"/>
      <x:c r="P473" s="32"/>
      <x:c r="Q473" s="32"/>
      <x:c r="R473" s="32"/>
      <x:c r="S473" s="32"/>
      <x:c r="T473" s="43" t="str">
        <x:f>IFERROR(S473/L473,"")</x:f>
      </x:c>
      <x:c r="U473" s="32"/>
      <x:c r="V473" s="32"/>
      <x:c r="W473" s="32"/>
      <x:c r="X473" s="32"/>
      <x:c r="Y473" s="32"/>
      <x:c r="Z473" s="32"/>
      <x:c r="AA473" s="32"/>
      <x:c r="AB473" s="32"/>
      <x:c r="AC473" s="32"/>
      <x:c r="AD473" s="32"/>
      <x:c r="AE473" s="32"/>
      <x:c r="AF473" s="32"/>
      <x:c r="AG473" s="32"/>
      <x:c r="AH473" s="32"/>
      <x:c r="AI473" s="32"/>
      <x:c r="AJ473" s="32"/>
      <x:c r="AK473" s="32"/>
      <x:c r="AL473" s="32"/>
      <x:c r="AM473" s="32"/>
      <x:c r="AN473" s="32"/>
      <x:c r="AO473" s="32"/>
      <x:c r="AP473" s="32"/>
      <x:c r="AQ473" s="32"/>
      <x:c r="AR473" s="32"/>
      <x:c r="AS473" s="32"/>
      <x:c r="AT473" s="32"/>
      <x:c r="AU473" s="32"/>
      <x:c r="AV473" s="32"/>
      <x:c r="AW473" s="32"/>
      <x:c r="AX473" s="32"/>
      <x:c r="AZ473" s="32"/>
      <x:c r="BA473" s="32"/>
      <x:c r="BB473" s="32"/>
      <x:c r="BC473" s="32"/>
      <x:c r="BD473" s="32"/>
      <x:c r="BE473" s="32"/>
      <x:c r="BF473" s="32"/>
      <x:c r="BG473" s="32"/>
      <x:c r="BH473" s="32"/>
      <x:c r="BI473" s="32"/>
      <x:c r="BJ473" s="32"/>
      <x:c r="BK473" s="32"/>
      <x:c r="BL473" s="32"/>
      <x:c r="BM473" s="32"/>
    </x:row>
    <x:row r="474">
      <x:c r="A474" s="32"/>
      <x:c r="B474" s="32"/>
      <x:c r="C474" s="42"/>
      <x:c r="D474" s="32"/>
      <x:c r="E474" s="32"/>
      <x:c r="F474" s="32"/>
      <x:c r="G474" s="32"/>
      <x:c r="H474" s="32"/>
      <x:c r="I474" s="32"/>
      <x:c r="J474" s="32"/>
      <x:c r="K474" s="32"/>
      <x:c r="L474" s="32"/>
      <x:c r="M474" s="32"/>
      <x:c r="N474" s="32"/>
      <x:c r="O474" s="32"/>
      <x:c r="P474" s="32"/>
      <x:c r="Q474" s="32"/>
      <x:c r="R474" s="32"/>
      <x:c r="S474" s="32"/>
      <x:c r="T474" s="43" t="str">
        <x:f>IFERROR(S474/L474,"")</x:f>
      </x:c>
      <x:c r="U474" s="32"/>
      <x:c r="V474" s="32"/>
      <x:c r="W474" s="32"/>
      <x:c r="X474" s="32"/>
      <x:c r="Y474" s="32"/>
      <x:c r="Z474" s="32"/>
      <x:c r="AA474" s="32"/>
      <x:c r="AB474" s="32"/>
      <x:c r="AC474" s="32"/>
      <x:c r="AD474" s="32"/>
      <x:c r="AE474" s="32"/>
      <x:c r="AF474" s="32"/>
      <x:c r="AG474" s="32"/>
      <x:c r="AH474" s="32"/>
      <x:c r="AI474" s="32"/>
      <x:c r="AJ474" s="32"/>
      <x:c r="AK474" s="32"/>
      <x:c r="AL474" s="32"/>
      <x:c r="AM474" s="32"/>
      <x:c r="AN474" s="32"/>
      <x:c r="AO474" s="32"/>
      <x:c r="AP474" s="32"/>
      <x:c r="AQ474" s="32"/>
      <x:c r="AR474" s="32"/>
      <x:c r="AS474" s="32"/>
      <x:c r="AT474" s="32"/>
      <x:c r="AU474" s="32"/>
      <x:c r="AV474" s="32"/>
      <x:c r="AW474" s="32"/>
      <x:c r="AX474" s="32"/>
      <x:c r="AZ474" s="32"/>
      <x:c r="BA474" s="32"/>
      <x:c r="BB474" s="32"/>
      <x:c r="BC474" s="32"/>
      <x:c r="BD474" s="32"/>
      <x:c r="BE474" s="32"/>
      <x:c r="BF474" s="32"/>
      <x:c r="BG474" s="32"/>
      <x:c r="BH474" s="32"/>
      <x:c r="BI474" s="32"/>
      <x:c r="BJ474" s="32"/>
      <x:c r="BK474" s="32"/>
      <x:c r="BL474" s="32"/>
      <x:c r="BM474" s="32"/>
    </x:row>
    <x:row r="475">
      <x:c r="A475" s="32"/>
      <x:c r="B475" s="32"/>
      <x:c r="C475" s="42"/>
      <x:c r="D475" s="32"/>
      <x:c r="E475" s="32"/>
      <x:c r="F475" s="32"/>
      <x:c r="G475" s="32"/>
      <x:c r="H475" s="32"/>
      <x:c r="I475" s="32"/>
      <x:c r="J475" s="32"/>
      <x:c r="K475" s="32"/>
      <x:c r="L475" s="32"/>
      <x:c r="M475" s="32"/>
      <x:c r="N475" s="32"/>
      <x:c r="O475" s="32"/>
      <x:c r="P475" s="32"/>
      <x:c r="Q475" s="32"/>
      <x:c r="R475" s="32"/>
      <x:c r="S475" s="32"/>
      <x:c r="T475" s="43" t="str">
        <x:f>IFERROR(S475/L475,"")</x:f>
      </x:c>
      <x:c r="U475" s="32"/>
      <x:c r="V475" s="32"/>
      <x:c r="W475" s="32"/>
      <x:c r="X475" s="32"/>
      <x:c r="Y475" s="32"/>
      <x:c r="Z475" s="32"/>
      <x:c r="AA475" s="32"/>
      <x:c r="AB475" s="32"/>
      <x:c r="AC475" s="32"/>
      <x:c r="AD475" s="32"/>
      <x:c r="AE475" s="32"/>
      <x:c r="AF475" s="32"/>
      <x:c r="AG475" s="32"/>
      <x:c r="AH475" s="32"/>
      <x:c r="AI475" s="32"/>
      <x:c r="AJ475" s="32"/>
      <x:c r="AK475" s="32"/>
      <x:c r="AL475" s="32"/>
      <x:c r="AM475" s="32"/>
      <x:c r="AN475" s="32"/>
      <x:c r="AO475" s="32"/>
      <x:c r="AP475" s="32"/>
      <x:c r="AQ475" s="32"/>
      <x:c r="AR475" s="32"/>
      <x:c r="AS475" s="32"/>
      <x:c r="AT475" s="32"/>
      <x:c r="AU475" s="32"/>
      <x:c r="AV475" s="32"/>
      <x:c r="AW475" s="32"/>
      <x:c r="AX475" s="32"/>
      <x:c r="AZ475" s="32"/>
      <x:c r="BA475" s="32"/>
      <x:c r="BB475" s="32"/>
      <x:c r="BC475" s="32"/>
      <x:c r="BD475" s="32"/>
      <x:c r="BE475" s="32"/>
      <x:c r="BF475" s="32"/>
      <x:c r="BG475" s="32"/>
      <x:c r="BH475" s="32"/>
      <x:c r="BI475" s="32"/>
      <x:c r="BJ475" s="32"/>
      <x:c r="BK475" s="32"/>
      <x:c r="BL475" s="32"/>
      <x:c r="BM475" s="32"/>
    </x:row>
    <x:row r="476">
      <x:c r="A476" s="32"/>
      <x:c r="B476" s="32"/>
      <x:c r="C476" s="42"/>
      <x:c r="D476" s="32"/>
      <x:c r="E476" s="32"/>
      <x:c r="F476" s="32"/>
      <x:c r="G476" s="32"/>
      <x:c r="H476" s="32"/>
      <x:c r="I476" s="32"/>
      <x:c r="J476" s="32"/>
      <x:c r="K476" s="32"/>
      <x:c r="L476" s="32"/>
      <x:c r="M476" s="32"/>
      <x:c r="N476" s="32"/>
      <x:c r="O476" s="32"/>
      <x:c r="P476" s="32"/>
      <x:c r="Q476" s="32"/>
      <x:c r="R476" s="32"/>
      <x:c r="S476" s="32"/>
      <x:c r="T476" s="43" t="str">
        <x:f>IFERROR(S476/L476,"")</x:f>
      </x:c>
      <x:c r="U476" s="32"/>
      <x:c r="V476" s="32"/>
      <x:c r="W476" s="32"/>
      <x:c r="X476" s="32"/>
      <x:c r="Y476" s="32"/>
      <x:c r="Z476" s="32"/>
      <x:c r="AA476" s="32"/>
      <x:c r="AB476" s="32"/>
      <x:c r="AC476" s="32"/>
      <x:c r="AD476" s="32"/>
      <x:c r="AE476" s="32"/>
      <x:c r="AF476" s="32"/>
      <x:c r="AG476" s="32"/>
      <x:c r="AH476" s="32"/>
      <x:c r="AI476" s="32"/>
      <x:c r="AJ476" s="32"/>
      <x:c r="AK476" s="32"/>
      <x:c r="AL476" s="32"/>
      <x:c r="AM476" s="32"/>
      <x:c r="AN476" s="32"/>
      <x:c r="AO476" s="32"/>
      <x:c r="AP476" s="32"/>
      <x:c r="AQ476" s="32"/>
      <x:c r="AR476" s="32"/>
      <x:c r="AS476" s="32"/>
      <x:c r="AT476" s="32"/>
      <x:c r="AU476" s="32"/>
      <x:c r="AV476" s="32"/>
      <x:c r="AW476" s="32"/>
      <x:c r="AX476" s="32"/>
      <x:c r="AZ476" s="32"/>
      <x:c r="BA476" s="32"/>
      <x:c r="BB476" s="32"/>
      <x:c r="BC476" s="32"/>
      <x:c r="BD476" s="32"/>
      <x:c r="BE476" s="32"/>
      <x:c r="BF476" s="32"/>
      <x:c r="BG476" s="32"/>
      <x:c r="BH476" s="32"/>
      <x:c r="BI476" s="32"/>
      <x:c r="BJ476" s="32"/>
      <x:c r="BK476" s="32"/>
      <x:c r="BL476" s="32"/>
      <x:c r="BM476" s="32"/>
    </x:row>
    <x:row r="477">
      <x:c r="A477" s="32"/>
      <x:c r="B477" s="32"/>
      <x:c r="C477" s="42"/>
      <x:c r="D477" s="32"/>
      <x:c r="E477" s="32"/>
      <x:c r="F477" s="32"/>
      <x:c r="G477" s="32"/>
      <x:c r="H477" s="32"/>
      <x:c r="I477" s="32"/>
      <x:c r="J477" s="32"/>
      <x:c r="K477" s="32"/>
      <x:c r="L477" s="32"/>
      <x:c r="M477" s="32"/>
      <x:c r="N477" s="32"/>
      <x:c r="O477" s="32"/>
      <x:c r="P477" s="32"/>
      <x:c r="Q477" s="32"/>
      <x:c r="R477" s="32"/>
      <x:c r="S477" s="32"/>
      <x:c r="T477" s="43" t="str">
        <x:f>IFERROR(S477/L477,"")</x:f>
      </x:c>
      <x:c r="U477" s="32"/>
      <x:c r="V477" s="32"/>
      <x:c r="W477" s="32"/>
      <x:c r="X477" s="32"/>
      <x:c r="Y477" s="32"/>
      <x:c r="Z477" s="32"/>
      <x:c r="AA477" s="32"/>
      <x:c r="AB477" s="32"/>
      <x:c r="AC477" s="32"/>
      <x:c r="AD477" s="32"/>
      <x:c r="AE477" s="32"/>
      <x:c r="AF477" s="32"/>
      <x:c r="AG477" s="32"/>
      <x:c r="AH477" s="32"/>
      <x:c r="AI477" s="32"/>
      <x:c r="AJ477" s="32"/>
      <x:c r="AK477" s="32"/>
      <x:c r="AL477" s="32"/>
      <x:c r="AM477" s="32"/>
      <x:c r="AN477" s="32"/>
      <x:c r="AO477" s="32"/>
      <x:c r="AP477" s="32"/>
      <x:c r="AQ477" s="32"/>
      <x:c r="AR477" s="32"/>
      <x:c r="AS477" s="32"/>
      <x:c r="AT477" s="32"/>
      <x:c r="AU477" s="32"/>
      <x:c r="AV477" s="32"/>
      <x:c r="AW477" s="32"/>
      <x:c r="AX477" s="32"/>
      <x:c r="AZ477" s="32"/>
      <x:c r="BA477" s="32"/>
      <x:c r="BB477" s="32"/>
      <x:c r="BC477" s="32"/>
      <x:c r="BD477" s="32"/>
      <x:c r="BE477" s="32"/>
      <x:c r="BF477" s="32"/>
      <x:c r="BG477" s="32"/>
      <x:c r="BH477" s="32"/>
      <x:c r="BI477" s="32"/>
      <x:c r="BJ477" s="32"/>
      <x:c r="BK477" s="32"/>
      <x:c r="BL477" s="32"/>
      <x:c r="BM477" s="32"/>
    </x:row>
    <x:row r="478">
      <x:c r="A478" s="32"/>
      <x:c r="B478" s="32"/>
      <x:c r="C478" s="42"/>
      <x:c r="D478" s="32"/>
      <x:c r="E478" s="32"/>
      <x:c r="F478" s="32"/>
      <x:c r="G478" s="32"/>
      <x:c r="H478" s="32"/>
      <x:c r="I478" s="32"/>
      <x:c r="J478" s="32"/>
      <x:c r="K478" s="32"/>
      <x:c r="L478" s="32"/>
      <x:c r="M478" s="32"/>
      <x:c r="N478" s="32"/>
      <x:c r="O478" s="32"/>
      <x:c r="P478" s="32"/>
      <x:c r="Q478" s="32"/>
      <x:c r="R478" s="32"/>
      <x:c r="S478" s="32"/>
      <x:c r="T478" s="43" t="str">
        <x:f>IFERROR(S478/L478,"")</x:f>
      </x:c>
      <x:c r="U478" s="32"/>
      <x:c r="V478" s="32"/>
      <x:c r="W478" s="32"/>
      <x:c r="X478" s="32"/>
      <x:c r="Y478" s="32"/>
      <x:c r="Z478" s="32"/>
      <x:c r="AA478" s="32"/>
      <x:c r="AB478" s="32"/>
      <x:c r="AC478" s="32"/>
      <x:c r="AD478" s="32"/>
      <x:c r="AE478" s="32"/>
      <x:c r="AF478" s="32"/>
      <x:c r="AG478" s="32"/>
      <x:c r="AH478" s="32"/>
      <x:c r="AI478" s="32"/>
      <x:c r="AJ478" s="32"/>
      <x:c r="AK478" s="32"/>
      <x:c r="AL478" s="32"/>
      <x:c r="AM478" s="32"/>
      <x:c r="AN478" s="32"/>
      <x:c r="AO478" s="32"/>
      <x:c r="AP478" s="32"/>
      <x:c r="AQ478" s="32"/>
      <x:c r="AR478" s="32"/>
      <x:c r="AS478" s="32"/>
      <x:c r="AT478" s="32"/>
      <x:c r="AU478" s="32"/>
      <x:c r="AV478" s="32"/>
      <x:c r="AW478" s="32"/>
      <x:c r="AX478" s="32"/>
      <x:c r="AZ478" s="32"/>
      <x:c r="BA478" s="32"/>
      <x:c r="BB478" s="32"/>
      <x:c r="BC478" s="32"/>
      <x:c r="BD478" s="32"/>
      <x:c r="BE478" s="32"/>
      <x:c r="BF478" s="32"/>
      <x:c r="BG478" s="32"/>
      <x:c r="BH478" s="32"/>
      <x:c r="BI478" s="32"/>
      <x:c r="BJ478" s="32"/>
      <x:c r="BK478" s="32"/>
      <x:c r="BL478" s="32"/>
      <x:c r="BM478" s="32"/>
    </x:row>
    <x:row r="479">
      <x:c r="A479" s="32"/>
      <x:c r="B479" s="32"/>
      <x:c r="C479" s="42"/>
      <x:c r="D479" s="32"/>
      <x:c r="E479" s="32"/>
      <x:c r="F479" s="32"/>
      <x:c r="G479" s="32"/>
      <x:c r="H479" s="32"/>
      <x:c r="I479" s="32"/>
      <x:c r="J479" s="32"/>
      <x:c r="K479" s="32"/>
      <x:c r="L479" s="32"/>
      <x:c r="M479" s="32"/>
      <x:c r="N479" s="32"/>
      <x:c r="O479" s="32"/>
      <x:c r="P479" s="32"/>
      <x:c r="Q479" s="32"/>
      <x:c r="R479" s="32"/>
      <x:c r="S479" s="32"/>
      <x:c r="T479" s="43" t="str">
        <x:f>IFERROR(S479/L479,"")</x:f>
      </x:c>
      <x:c r="U479" s="32"/>
      <x:c r="V479" s="32"/>
      <x:c r="W479" s="32"/>
      <x:c r="X479" s="32"/>
      <x:c r="Y479" s="32"/>
      <x:c r="Z479" s="32"/>
      <x:c r="AA479" s="32"/>
      <x:c r="AB479" s="32"/>
      <x:c r="AC479" s="32"/>
      <x:c r="AD479" s="32"/>
      <x:c r="AE479" s="32"/>
      <x:c r="AF479" s="32"/>
      <x:c r="AG479" s="32"/>
      <x:c r="AH479" s="32"/>
      <x:c r="AI479" s="32"/>
      <x:c r="AJ479" s="32"/>
      <x:c r="AK479" s="32"/>
      <x:c r="AL479" s="32"/>
      <x:c r="AM479" s="32"/>
      <x:c r="AN479" s="32"/>
      <x:c r="AO479" s="32"/>
      <x:c r="AP479" s="32"/>
      <x:c r="AQ479" s="32"/>
      <x:c r="AR479" s="32"/>
      <x:c r="AS479" s="32"/>
      <x:c r="AT479" s="32"/>
      <x:c r="AU479" s="32"/>
      <x:c r="AV479" s="32"/>
      <x:c r="AW479" s="32"/>
      <x:c r="AX479" s="32"/>
      <x:c r="AZ479" s="32"/>
      <x:c r="BA479" s="32"/>
      <x:c r="BB479" s="32"/>
      <x:c r="BC479" s="32"/>
      <x:c r="BD479" s="32"/>
      <x:c r="BE479" s="32"/>
      <x:c r="BF479" s="32"/>
      <x:c r="BG479" s="32"/>
      <x:c r="BH479" s="32"/>
      <x:c r="BI479" s="32"/>
      <x:c r="BJ479" s="32"/>
      <x:c r="BK479" s="32"/>
      <x:c r="BL479" s="32"/>
      <x:c r="BM479" s="32"/>
    </x:row>
    <x:row r="480">
      <x:c r="A480" s="32"/>
      <x:c r="B480" s="32"/>
      <x:c r="C480" s="42"/>
      <x:c r="D480" s="32"/>
      <x:c r="E480" s="32"/>
      <x:c r="F480" s="32"/>
      <x:c r="G480" s="32"/>
      <x:c r="H480" s="32"/>
      <x:c r="I480" s="32"/>
      <x:c r="J480" s="32"/>
      <x:c r="K480" s="32"/>
      <x:c r="L480" s="32"/>
      <x:c r="M480" s="32"/>
      <x:c r="N480" s="32"/>
      <x:c r="O480" s="32"/>
      <x:c r="P480" s="32"/>
      <x:c r="Q480" s="32"/>
      <x:c r="R480" s="32"/>
      <x:c r="S480" s="32"/>
      <x:c r="T480" s="43" t="str">
        <x:f>IFERROR(S480/L480,"")</x:f>
      </x:c>
      <x:c r="U480" s="32"/>
      <x:c r="V480" s="32"/>
      <x:c r="W480" s="32"/>
      <x:c r="X480" s="32"/>
      <x:c r="Y480" s="32"/>
      <x:c r="Z480" s="32"/>
      <x:c r="AA480" s="32"/>
      <x:c r="AB480" s="32"/>
      <x:c r="AC480" s="32"/>
      <x:c r="AD480" s="32"/>
      <x:c r="AE480" s="32"/>
      <x:c r="AF480" s="32"/>
      <x:c r="AG480" s="32"/>
      <x:c r="AH480" s="32"/>
      <x:c r="AI480" s="32"/>
      <x:c r="AJ480" s="32"/>
      <x:c r="AK480" s="32"/>
      <x:c r="AL480" s="32"/>
      <x:c r="AM480" s="32"/>
      <x:c r="AN480" s="32"/>
      <x:c r="AO480" s="32"/>
      <x:c r="AP480" s="32"/>
      <x:c r="AQ480" s="32"/>
      <x:c r="AR480" s="32"/>
      <x:c r="AS480" s="32"/>
      <x:c r="AT480" s="32"/>
      <x:c r="AU480" s="32"/>
      <x:c r="AV480" s="32"/>
      <x:c r="AW480" s="32"/>
      <x:c r="AX480" s="32"/>
      <x:c r="AZ480" s="32"/>
      <x:c r="BA480" s="32"/>
      <x:c r="BB480" s="32"/>
      <x:c r="BC480" s="32"/>
      <x:c r="BD480" s="32"/>
      <x:c r="BE480" s="32"/>
      <x:c r="BF480" s="32"/>
      <x:c r="BG480" s="32"/>
      <x:c r="BH480" s="32"/>
      <x:c r="BI480" s="32"/>
      <x:c r="BJ480" s="32"/>
      <x:c r="BK480" s="32"/>
      <x:c r="BL480" s="32"/>
      <x:c r="BM480" s="32"/>
    </x:row>
    <x:row r="481">
      <x:c r="A481" s="32"/>
      <x:c r="B481" s="32"/>
      <x:c r="C481" s="42"/>
      <x:c r="D481" s="32"/>
      <x:c r="E481" s="32"/>
      <x:c r="F481" s="32"/>
      <x:c r="G481" s="32"/>
      <x:c r="H481" s="32"/>
      <x:c r="I481" s="32"/>
      <x:c r="J481" s="32"/>
      <x:c r="K481" s="32"/>
      <x:c r="L481" s="32"/>
      <x:c r="M481" s="32"/>
      <x:c r="N481" s="32"/>
      <x:c r="O481" s="32"/>
      <x:c r="P481" s="32"/>
      <x:c r="Q481" s="32"/>
      <x:c r="R481" s="32"/>
      <x:c r="S481" s="32"/>
      <x:c r="T481" s="43" t="str">
        <x:f>IFERROR(S481/L481,"")</x:f>
      </x:c>
      <x:c r="U481" s="32"/>
      <x:c r="V481" s="32"/>
      <x:c r="W481" s="32"/>
      <x:c r="X481" s="32"/>
      <x:c r="Y481" s="32"/>
      <x:c r="Z481" s="32"/>
      <x:c r="AA481" s="32"/>
      <x:c r="AB481" s="32"/>
      <x:c r="AC481" s="32"/>
      <x:c r="AD481" s="32"/>
      <x:c r="AE481" s="32"/>
      <x:c r="AF481" s="32"/>
      <x:c r="AG481" s="32"/>
      <x:c r="AH481" s="32"/>
      <x:c r="AI481" s="32"/>
      <x:c r="AJ481" s="32"/>
      <x:c r="AK481" s="32"/>
      <x:c r="AL481" s="32"/>
      <x:c r="AM481" s="32"/>
      <x:c r="AN481" s="32"/>
      <x:c r="AO481" s="32"/>
      <x:c r="AP481" s="32"/>
      <x:c r="AQ481" s="32"/>
      <x:c r="AR481" s="32"/>
      <x:c r="AS481" s="32"/>
      <x:c r="AT481" s="32"/>
      <x:c r="AU481" s="32"/>
      <x:c r="AV481" s="32"/>
      <x:c r="AW481" s="32"/>
      <x:c r="AX481" s="32"/>
      <x:c r="AZ481" s="32"/>
      <x:c r="BA481" s="32"/>
      <x:c r="BB481" s="32"/>
      <x:c r="BC481" s="32"/>
      <x:c r="BD481" s="32"/>
      <x:c r="BE481" s="32"/>
      <x:c r="BF481" s="32"/>
      <x:c r="BG481" s="32"/>
      <x:c r="BH481" s="32"/>
      <x:c r="BI481" s="32"/>
      <x:c r="BJ481" s="32"/>
      <x:c r="BK481" s="32"/>
      <x:c r="BL481" s="32"/>
      <x:c r="BM481" s="32"/>
    </x:row>
    <x:row r="482">
      <x:c r="A482" s="32"/>
      <x:c r="B482" s="32"/>
      <x:c r="C482" s="42"/>
      <x:c r="D482" s="32"/>
      <x:c r="E482" s="32"/>
      <x:c r="F482" s="32"/>
      <x:c r="G482" s="32"/>
      <x:c r="H482" s="32"/>
      <x:c r="I482" s="32"/>
      <x:c r="J482" s="32"/>
      <x:c r="K482" s="32"/>
      <x:c r="L482" s="32"/>
      <x:c r="M482" s="32"/>
      <x:c r="N482" s="32"/>
      <x:c r="O482" s="32"/>
      <x:c r="P482" s="32"/>
      <x:c r="Q482" s="32"/>
      <x:c r="R482" s="32"/>
      <x:c r="S482" s="32"/>
      <x:c r="T482" s="43" t="str">
        <x:f>IFERROR(S482/L482,"")</x:f>
      </x:c>
      <x:c r="U482" s="32"/>
      <x:c r="V482" s="32"/>
      <x:c r="W482" s="32"/>
      <x:c r="X482" s="32"/>
      <x:c r="Y482" s="32"/>
      <x:c r="Z482" s="32"/>
      <x:c r="AA482" s="32"/>
      <x:c r="AB482" s="32"/>
      <x:c r="AC482" s="32"/>
      <x:c r="AD482" s="32"/>
      <x:c r="AE482" s="32"/>
      <x:c r="AF482" s="32"/>
      <x:c r="AG482" s="32"/>
      <x:c r="AH482" s="32"/>
      <x:c r="AI482" s="32"/>
      <x:c r="AJ482" s="32"/>
      <x:c r="AK482" s="32"/>
      <x:c r="AL482" s="32"/>
      <x:c r="AM482" s="32"/>
      <x:c r="AN482" s="32"/>
      <x:c r="AO482" s="32"/>
      <x:c r="AP482" s="32"/>
      <x:c r="AQ482" s="32"/>
      <x:c r="AR482" s="32"/>
      <x:c r="AS482" s="32"/>
      <x:c r="AT482" s="32"/>
      <x:c r="AU482" s="32"/>
      <x:c r="AV482" s="32"/>
      <x:c r="AW482" s="32"/>
      <x:c r="AX482" s="32"/>
      <x:c r="AZ482" s="32"/>
      <x:c r="BA482" s="32"/>
      <x:c r="BB482" s="32"/>
      <x:c r="BC482" s="32"/>
      <x:c r="BD482" s="32"/>
      <x:c r="BE482" s="32"/>
      <x:c r="BF482" s="32"/>
      <x:c r="BG482" s="32"/>
      <x:c r="BH482" s="32"/>
      <x:c r="BI482" s="32"/>
      <x:c r="BJ482" s="32"/>
      <x:c r="BK482" s="32"/>
      <x:c r="BL482" s="32"/>
      <x:c r="BM482" s="32"/>
    </x:row>
    <x:row r="483">
      <x:c r="A483" s="32"/>
      <x:c r="B483" s="32"/>
      <x:c r="C483" s="42"/>
      <x:c r="D483" s="32"/>
      <x:c r="E483" s="32"/>
      <x:c r="F483" s="32"/>
      <x:c r="G483" s="32"/>
      <x:c r="H483" s="32"/>
      <x:c r="I483" s="32"/>
      <x:c r="J483" s="32"/>
      <x:c r="K483" s="32"/>
      <x:c r="L483" s="32"/>
      <x:c r="M483" s="32"/>
      <x:c r="N483" s="32"/>
      <x:c r="O483" s="32"/>
      <x:c r="P483" s="32"/>
      <x:c r="Q483" s="32"/>
      <x:c r="R483" s="32"/>
      <x:c r="S483" s="32"/>
      <x:c r="T483" s="43" t="str">
        <x:f>IFERROR(S483/L483,"")</x:f>
      </x:c>
      <x:c r="U483" s="32"/>
      <x:c r="V483" s="32"/>
      <x:c r="W483" s="32"/>
      <x:c r="X483" s="32"/>
      <x:c r="Y483" s="32"/>
      <x:c r="Z483" s="32"/>
      <x:c r="AA483" s="32"/>
      <x:c r="AB483" s="32"/>
      <x:c r="AC483" s="32"/>
      <x:c r="AD483" s="32"/>
      <x:c r="AE483" s="32"/>
      <x:c r="AF483" s="32"/>
      <x:c r="AG483" s="32"/>
      <x:c r="AH483" s="32"/>
      <x:c r="AI483" s="32"/>
      <x:c r="AJ483" s="32"/>
      <x:c r="AK483" s="32"/>
      <x:c r="AL483" s="32"/>
      <x:c r="AM483" s="32"/>
      <x:c r="AN483" s="32"/>
      <x:c r="AO483" s="32"/>
      <x:c r="AP483" s="32"/>
      <x:c r="AQ483" s="32"/>
      <x:c r="AR483" s="32"/>
      <x:c r="AS483" s="32"/>
      <x:c r="AT483" s="32"/>
      <x:c r="AU483" s="32"/>
      <x:c r="AV483" s="32"/>
      <x:c r="AW483" s="32"/>
      <x:c r="AX483" s="32"/>
      <x:c r="AZ483" s="32"/>
      <x:c r="BA483" s="32"/>
      <x:c r="BB483" s="32"/>
      <x:c r="BC483" s="32"/>
      <x:c r="BD483" s="32"/>
      <x:c r="BE483" s="32"/>
      <x:c r="BF483" s="32"/>
      <x:c r="BG483" s="32"/>
      <x:c r="BH483" s="32"/>
      <x:c r="BI483" s="32"/>
      <x:c r="BJ483" s="32"/>
      <x:c r="BK483" s="32"/>
      <x:c r="BL483" s="32"/>
      <x:c r="BM483" s="32"/>
    </x:row>
    <x:row r="484">
      <x:c r="A484" s="32"/>
      <x:c r="B484" s="32"/>
      <x:c r="C484" s="42"/>
      <x:c r="D484" s="32"/>
      <x:c r="E484" s="32"/>
      <x:c r="F484" s="32"/>
      <x:c r="G484" s="32"/>
      <x:c r="H484" s="32"/>
      <x:c r="I484" s="32"/>
      <x:c r="J484" s="32"/>
      <x:c r="K484" s="32"/>
      <x:c r="L484" s="32"/>
      <x:c r="M484" s="32"/>
      <x:c r="N484" s="32"/>
      <x:c r="O484" s="32"/>
      <x:c r="P484" s="32"/>
      <x:c r="Q484" s="32"/>
      <x:c r="R484" s="32"/>
      <x:c r="S484" s="32"/>
      <x:c r="T484" s="43" t="str">
        <x:f>IFERROR(S484/L484,"")</x:f>
      </x:c>
      <x:c r="U484" s="32"/>
      <x:c r="V484" s="32"/>
      <x:c r="W484" s="32"/>
      <x:c r="X484" s="32"/>
      <x:c r="Y484" s="32"/>
      <x:c r="Z484" s="32"/>
      <x:c r="AA484" s="32"/>
      <x:c r="AB484" s="32"/>
      <x:c r="AC484" s="32"/>
      <x:c r="AD484" s="32"/>
      <x:c r="AE484" s="32"/>
      <x:c r="AF484" s="32"/>
      <x:c r="AG484" s="32"/>
      <x:c r="AH484" s="32"/>
      <x:c r="AI484" s="32"/>
      <x:c r="AJ484" s="32"/>
      <x:c r="AK484" s="32"/>
      <x:c r="AL484" s="32"/>
      <x:c r="AM484" s="32"/>
      <x:c r="AN484" s="32"/>
      <x:c r="AO484" s="32"/>
      <x:c r="AP484" s="32"/>
      <x:c r="AQ484" s="32"/>
      <x:c r="AR484" s="32"/>
      <x:c r="AS484" s="32"/>
      <x:c r="AT484" s="32"/>
      <x:c r="AU484" s="32"/>
      <x:c r="AV484" s="32"/>
      <x:c r="AW484" s="32"/>
      <x:c r="AX484" s="32"/>
      <x:c r="AZ484" s="32"/>
      <x:c r="BA484" s="32"/>
      <x:c r="BB484" s="32"/>
      <x:c r="BC484" s="32"/>
      <x:c r="BD484" s="32"/>
      <x:c r="BE484" s="32"/>
      <x:c r="BF484" s="32"/>
      <x:c r="BG484" s="32"/>
      <x:c r="BH484" s="32"/>
      <x:c r="BI484" s="32"/>
      <x:c r="BJ484" s="32"/>
      <x:c r="BK484" s="32"/>
      <x:c r="BL484" s="32"/>
      <x:c r="BM484" s="32"/>
    </x:row>
    <x:row r="485">
      <x:c r="A485" s="32"/>
      <x:c r="B485" s="32"/>
      <x:c r="C485" s="42"/>
      <x:c r="D485" s="32"/>
      <x:c r="E485" s="32"/>
      <x:c r="F485" s="32"/>
      <x:c r="G485" s="32"/>
      <x:c r="H485" s="32"/>
      <x:c r="I485" s="32"/>
      <x:c r="J485" s="32"/>
      <x:c r="K485" s="32"/>
      <x:c r="L485" s="32"/>
      <x:c r="M485" s="32"/>
      <x:c r="N485" s="32"/>
      <x:c r="O485" s="32"/>
      <x:c r="P485" s="32"/>
      <x:c r="Q485" s="32"/>
      <x:c r="R485" s="32"/>
      <x:c r="S485" s="32"/>
      <x:c r="T485" s="43" t="str">
        <x:f>IFERROR(S485/L485,"")</x:f>
      </x:c>
      <x:c r="U485" s="32"/>
      <x:c r="V485" s="32"/>
      <x:c r="W485" s="32"/>
      <x:c r="X485" s="32"/>
      <x:c r="Y485" s="32"/>
      <x:c r="Z485" s="32"/>
      <x:c r="AA485" s="32"/>
      <x:c r="AB485" s="32"/>
      <x:c r="AC485" s="32"/>
      <x:c r="AD485" s="32"/>
      <x:c r="AE485" s="32"/>
      <x:c r="AF485" s="32"/>
      <x:c r="AG485" s="32"/>
      <x:c r="AH485" s="32"/>
      <x:c r="AI485" s="32"/>
      <x:c r="AJ485" s="32"/>
      <x:c r="AK485" s="32"/>
      <x:c r="AL485" s="32"/>
      <x:c r="AM485" s="32"/>
      <x:c r="AN485" s="32"/>
      <x:c r="AO485" s="32"/>
      <x:c r="AP485" s="32"/>
      <x:c r="AQ485" s="32"/>
      <x:c r="AR485" s="32"/>
      <x:c r="AS485" s="32"/>
      <x:c r="AT485" s="32"/>
      <x:c r="AU485" s="32"/>
      <x:c r="AV485" s="32"/>
      <x:c r="AW485" s="32"/>
      <x:c r="AX485" s="32"/>
      <x:c r="AZ485" s="32"/>
      <x:c r="BA485" s="32"/>
      <x:c r="BB485" s="32"/>
      <x:c r="BC485" s="32"/>
      <x:c r="BD485" s="32"/>
      <x:c r="BE485" s="32"/>
      <x:c r="BF485" s="32"/>
      <x:c r="BG485" s="32"/>
      <x:c r="BH485" s="32"/>
      <x:c r="BI485" s="32"/>
      <x:c r="BJ485" s="32"/>
      <x:c r="BK485" s="32"/>
      <x:c r="BL485" s="32"/>
      <x:c r="BM485" s="32"/>
    </x:row>
    <x:row r="486">
      <x:c r="A486" s="32"/>
      <x:c r="B486" s="32"/>
      <x:c r="C486" s="42"/>
      <x:c r="D486" s="32"/>
      <x:c r="E486" s="32"/>
      <x:c r="F486" s="32"/>
      <x:c r="G486" s="32"/>
      <x:c r="H486" s="32"/>
      <x:c r="I486" s="32"/>
      <x:c r="J486" s="32"/>
      <x:c r="K486" s="32"/>
      <x:c r="L486" s="32"/>
      <x:c r="M486" s="32"/>
      <x:c r="N486" s="32"/>
      <x:c r="O486" s="32"/>
      <x:c r="P486" s="32"/>
      <x:c r="Q486" s="32"/>
      <x:c r="R486" s="32"/>
      <x:c r="S486" s="32"/>
      <x:c r="T486" s="43" t="str">
        <x:f>IFERROR(S486/L486,"")</x:f>
      </x:c>
      <x:c r="U486" s="32"/>
      <x:c r="V486" s="32"/>
      <x:c r="W486" s="32"/>
      <x:c r="X486" s="32"/>
      <x:c r="Y486" s="32"/>
      <x:c r="Z486" s="32"/>
      <x:c r="AA486" s="32"/>
      <x:c r="AB486" s="32"/>
      <x:c r="AC486" s="32"/>
      <x:c r="AD486" s="32"/>
      <x:c r="AE486" s="32"/>
      <x:c r="AF486" s="32"/>
      <x:c r="AG486" s="32"/>
      <x:c r="AH486" s="32"/>
      <x:c r="AI486" s="32"/>
      <x:c r="AJ486" s="32"/>
      <x:c r="AK486" s="32"/>
      <x:c r="AL486" s="32"/>
      <x:c r="AM486" s="32"/>
      <x:c r="AN486" s="32"/>
      <x:c r="AO486" s="32"/>
      <x:c r="AP486" s="32"/>
      <x:c r="AQ486" s="32"/>
      <x:c r="AR486" s="32"/>
      <x:c r="AS486" s="32"/>
      <x:c r="AT486" s="32"/>
      <x:c r="AU486" s="32"/>
      <x:c r="AV486" s="32"/>
      <x:c r="AW486" s="32"/>
      <x:c r="AX486" s="32"/>
      <x:c r="AZ486" s="32"/>
      <x:c r="BA486" s="32"/>
      <x:c r="BB486" s="32"/>
      <x:c r="BC486" s="32"/>
      <x:c r="BD486" s="32"/>
      <x:c r="BE486" s="32"/>
      <x:c r="BF486" s="32"/>
      <x:c r="BG486" s="32"/>
      <x:c r="BH486" s="32"/>
      <x:c r="BI486" s="32"/>
      <x:c r="BJ486" s="32"/>
      <x:c r="BK486" s="32"/>
      <x:c r="BL486" s="32"/>
      <x:c r="BM486" s="32"/>
    </x:row>
    <x:row r="487">
      <x:c r="A487" s="32"/>
      <x:c r="B487" s="32"/>
      <x:c r="C487" s="42"/>
      <x:c r="D487" s="32"/>
      <x:c r="E487" s="32"/>
      <x:c r="F487" s="32"/>
      <x:c r="G487" s="32"/>
      <x:c r="H487" s="32"/>
      <x:c r="I487" s="32"/>
      <x:c r="J487" s="32"/>
      <x:c r="K487" s="32"/>
      <x:c r="L487" s="32"/>
      <x:c r="M487" s="32"/>
      <x:c r="N487" s="32"/>
      <x:c r="O487" s="32"/>
      <x:c r="P487" s="32"/>
      <x:c r="Q487" s="32"/>
      <x:c r="R487" s="32"/>
      <x:c r="S487" s="32"/>
      <x:c r="T487" s="43" t="str">
        <x:f>IFERROR(S487/L487,"")</x:f>
      </x:c>
      <x:c r="U487" s="32"/>
      <x:c r="V487" s="32"/>
      <x:c r="W487" s="32"/>
      <x:c r="X487" s="32"/>
      <x:c r="Y487" s="32"/>
      <x:c r="Z487" s="32"/>
      <x:c r="AA487" s="32"/>
      <x:c r="AB487" s="32"/>
      <x:c r="AC487" s="32"/>
      <x:c r="AD487" s="32"/>
      <x:c r="AE487" s="32"/>
      <x:c r="AF487" s="32"/>
      <x:c r="AG487" s="32"/>
      <x:c r="AH487" s="32"/>
      <x:c r="AI487" s="32"/>
      <x:c r="AJ487" s="32"/>
      <x:c r="AK487" s="32"/>
      <x:c r="AL487" s="32"/>
      <x:c r="AM487" s="32"/>
      <x:c r="AN487" s="32"/>
      <x:c r="AO487" s="32"/>
      <x:c r="AP487" s="32"/>
      <x:c r="AQ487" s="32"/>
      <x:c r="AR487" s="32"/>
      <x:c r="AS487" s="32"/>
      <x:c r="AT487" s="32"/>
      <x:c r="AU487" s="32"/>
      <x:c r="AV487" s="32"/>
      <x:c r="AW487" s="32"/>
      <x:c r="AX487" s="32"/>
      <x:c r="AZ487" s="32"/>
      <x:c r="BA487" s="32"/>
      <x:c r="BB487" s="32"/>
      <x:c r="BC487" s="32"/>
      <x:c r="BD487" s="32"/>
      <x:c r="BE487" s="32"/>
      <x:c r="BF487" s="32"/>
      <x:c r="BG487" s="32"/>
      <x:c r="BH487" s="32"/>
      <x:c r="BI487" s="32"/>
      <x:c r="BJ487" s="32"/>
      <x:c r="BK487" s="32"/>
      <x:c r="BL487" s="32"/>
      <x:c r="BM487" s="32"/>
    </x:row>
    <x:row r="488">
      <x:c r="A488" s="32"/>
      <x:c r="B488" s="32"/>
      <x:c r="C488" s="42"/>
      <x:c r="D488" s="32"/>
      <x:c r="E488" s="32"/>
      <x:c r="F488" s="32"/>
      <x:c r="G488" s="32"/>
      <x:c r="H488" s="32"/>
      <x:c r="I488" s="32"/>
      <x:c r="J488" s="32"/>
      <x:c r="K488" s="32"/>
      <x:c r="L488" s="32"/>
      <x:c r="M488" s="32"/>
      <x:c r="N488" s="32"/>
      <x:c r="O488" s="32"/>
      <x:c r="P488" s="32"/>
      <x:c r="Q488" s="32"/>
      <x:c r="R488" s="32"/>
      <x:c r="S488" s="32"/>
      <x:c r="T488" s="43" t="str">
        <x:f>IFERROR(S488/L488,"")</x:f>
      </x:c>
      <x:c r="U488" s="32"/>
      <x:c r="V488" s="32"/>
      <x:c r="W488" s="32"/>
      <x:c r="X488" s="32"/>
      <x:c r="Y488" s="32"/>
      <x:c r="Z488" s="32"/>
      <x:c r="AA488" s="32"/>
      <x:c r="AB488" s="32"/>
      <x:c r="AC488" s="32"/>
      <x:c r="AD488" s="32"/>
      <x:c r="AE488" s="32"/>
      <x:c r="AF488" s="32"/>
      <x:c r="AG488" s="32"/>
      <x:c r="AH488" s="32"/>
      <x:c r="AI488" s="32"/>
      <x:c r="AJ488" s="32"/>
      <x:c r="AK488" s="32"/>
      <x:c r="AL488" s="32"/>
      <x:c r="AM488" s="32"/>
      <x:c r="AN488" s="32"/>
      <x:c r="AO488" s="32"/>
      <x:c r="AP488" s="32"/>
      <x:c r="AQ488" s="32"/>
      <x:c r="AR488" s="32"/>
      <x:c r="AS488" s="32"/>
      <x:c r="AT488" s="32"/>
      <x:c r="AU488" s="32"/>
      <x:c r="AV488" s="32"/>
      <x:c r="AW488" s="32"/>
      <x:c r="AX488" s="32"/>
      <x:c r="AZ488" s="32"/>
      <x:c r="BA488" s="32"/>
      <x:c r="BB488" s="32"/>
      <x:c r="BC488" s="32"/>
      <x:c r="BD488" s="32"/>
      <x:c r="BE488" s="32"/>
      <x:c r="BF488" s="32"/>
      <x:c r="BG488" s="32"/>
      <x:c r="BH488" s="32"/>
      <x:c r="BI488" s="32"/>
      <x:c r="BJ488" s="32"/>
      <x:c r="BK488" s="32"/>
      <x:c r="BL488" s="32"/>
      <x:c r="BM488" s="32"/>
    </x:row>
    <x:row r="489">
      <x:c r="A489" s="32"/>
      <x:c r="B489" s="32"/>
      <x:c r="C489" s="42"/>
      <x:c r="D489" s="32"/>
      <x:c r="E489" s="32"/>
      <x:c r="F489" s="32"/>
      <x:c r="G489" s="32"/>
      <x:c r="H489" s="32"/>
      <x:c r="I489" s="32"/>
      <x:c r="J489" s="32"/>
      <x:c r="K489" s="32"/>
      <x:c r="L489" s="32"/>
      <x:c r="M489" s="32"/>
      <x:c r="N489" s="32"/>
      <x:c r="O489" s="32"/>
      <x:c r="P489" s="32"/>
      <x:c r="Q489" s="32"/>
      <x:c r="R489" s="32"/>
      <x:c r="S489" s="32"/>
      <x:c r="T489" s="43" t="str">
        <x:f>IFERROR(S489/L489,"")</x:f>
      </x:c>
      <x:c r="U489" s="32"/>
      <x:c r="V489" s="32"/>
      <x:c r="W489" s="32"/>
      <x:c r="X489" s="32"/>
      <x:c r="Y489" s="32"/>
      <x:c r="Z489" s="32"/>
      <x:c r="AA489" s="32"/>
      <x:c r="AB489" s="32"/>
      <x:c r="AC489" s="32"/>
      <x:c r="AD489" s="32"/>
      <x:c r="AE489" s="32"/>
      <x:c r="AF489" s="32"/>
      <x:c r="AG489" s="32"/>
      <x:c r="AH489" s="32"/>
      <x:c r="AI489" s="32"/>
      <x:c r="AJ489" s="32"/>
      <x:c r="AK489" s="32"/>
      <x:c r="AL489" s="32"/>
      <x:c r="AM489" s="32"/>
      <x:c r="AN489" s="32"/>
      <x:c r="AO489" s="32"/>
      <x:c r="AP489" s="32"/>
      <x:c r="AQ489" s="32"/>
      <x:c r="AR489" s="32"/>
      <x:c r="AS489" s="32"/>
      <x:c r="AT489" s="32"/>
      <x:c r="AU489" s="32"/>
      <x:c r="AV489" s="32"/>
      <x:c r="AW489" s="32"/>
      <x:c r="AX489" s="32"/>
      <x:c r="AZ489" s="32"/>
      <x:c r="BA489" s="32"/>
      <x:c r="BB489" s="32"/>
      <x:c r="BC489" s="32"/>
      <x:c r="BD489" s="32"/>
      <x:c r="BE489" s="32"/>
      <x:c r="BF489" s="32"/>
      <x:c r="BG489" s="32"/>
      <x:c r="BH489" s="32"/>
      <x:c r="BI489" s="32"/>
      <x:c r="BJ489" s="32"/>
      <x:c r="BK489" s="32"/>
      <x:c r="BL489" s="32"/>
      <x:c r="BM489" s="32"/>
    </x:row>
    <x:row r="490">
      <x:c r="A490" s="32"/>
      <x:c r="B490" s="32"/>
      <x:c r="C490" s="42"/>
      <x:c r="D490" s="32"/>
      <x:c r="E490" s="32"/>
      <x:c r="F490" s="32"/>
      <x:c r="G490" s="32"/>
      <x:c r="H490" s="32"/>
      <x:c r="I490" s="32"/>
      <x:c r="J490" s="32"/>
      <x:c r="K490" s="32"/>
      <x:c r="L490" s="32"/>
      <x:c r="M490" s="32"/>
      <x:c r="N490" s="32"/>
      <x:c r="O490" s="32"/>
      <x:c r="P490" s="32"/>
      <x:c r="Q490" s="32"/>
      <x:c r="R490" s="32"/>
      <x:c r="S490" s="32"/>
      <x:c r="T490" s="43" t="str">
        <x:f>IFERROR(S490/L490,"")</x:f>
      </x:c>
      <x:c r="U490" s="32"/>
      <x:c r="V490" s="32"/>
      <x:c r="W490" s="32"/>
      <x:c r="X490" s="32"/>
      <x:c r="Y490" s="32"/>
      <x:c r="Z490" s="32"/>
      <x:c r="AA490" s="32"/>
      <x:c r="AB490" s="32"/>
      <x:c r="AC490" s="32"/>
      <x:c r="AD490" s="32"/>
      <x:c r="AE490" s="32"/>
      <x:c r="AF490" s="32"/>
      <x:c r="AG490" s="32"/>
      <x:c r="AH490" s="32"/>
      <x:c r="AI490" s="32"/>
      <x:c r="AJ490" s="32"/>
      <x:c r="AK490" s="32"/>
      <x:c r="AL490" s="32"/>
      <x:c r="AM490" s="32"/>
      <x:c r="AN490" s="32"/>
      <x:c r="AO490" s="32"/>
      <x:c r="AP490" s="32"/>
      <x:c r="AQ490" s="32"/>
      <x:c r="AR490" s="32"/>
      <x:c r="AS490" s="32"/>
      <x:c r="AT490" s="32"/>
      <x:c r="AU490" s="32"/>
      <x:c r="AV490" s="32"/>
      <x:c r="AW490" s="32"/>
      <x:c r="AX490" s="32"/>
      <x:c r="AZ490" s="32"/>
      <x:c r="BA490" s="32"/>
      <x:c r="BB490" s="32"/>
      <x:c r="BC490" s="32"/>
      <x:c r="BD490" s="32"/>
      <x:c r="BE490" s="32"/>
      <x:c r="BF490" s="32"/>
      <x:c r="BG490" s="32"/>
      <x:c r="BH490" s="32"/>
      <x:c r="BI490" s="32"/>
      <x:c r="BJ490" s="32"/>
      <x:c r="BK490" s="32"/>
      <x:c r="BL490" s="32"/>
      <x:c r="BM490" s="32"/>
    </x:row>
    <x:row r="491">
      <x:c r="A491" s="32"/>
      <x:c r="B491" s="32"/>
      <x:c r="C491" s="42"/>
      <x:c r="D491" s="32"/>
      <x:c r="E491" s="32"/>
      <x:c r="F491" s="32"/>
      <x:c r="G491" s="32"/>
      <x:c r="H491" s="32"/>
      <x:c r="I491" s="32"/>
      <x:c r="J491" s="32"/>
      <x:c r="K491" s="32"/>
      <x:c r="L491" s="32"/>
      <x:c r="M491" s="32"/>
      <x:c r="N491" s="32"/>
      <x:c r="O491" s="32"/>
      <x:c r="P491" s="32"/>
      <x:c r="Q491" s="32"/>
      <x:c r="R491" s="32"/>
      <x:c r="S491" s="32"/>
      <x:c r="T491" s="43" t="str">
        <x:f>IFERROR(S491/L491,"")</x:f>
      </x:c>
      <x:c r="U491" s="32"/>
      <x:c r="V491" s="32"/>
      <x:c r="W491" s="32"/>
      <x:c r="X491" s="32"/>
      <x:c r="Y491" s="32"/>
      <x:c r="Z491" s="32"/>
      <x:c r="AA491" s="32"/>
      <x:c r="AB491" s="32"/>
      <x:c r="AC491" s="32"/>
      <x:c r="AD491" s="32"/>
      <x:c r="AE491" s="32"/>
      <x:c r="AF491" s="32"/>
      <x:c r="AG491" s="32"/>
      <x:c r="AH491" s="32"/>
      <x:c r="AI491" s="32"/>
      <x:c r="AJ491" s="32"/>
      <x:c r="AK491" s="32"/>
      <x:c r="AL491" s="32"/>
      <x:c r="AM491" s="32"/>
      <x:c r="AN491" s="32"/>
      <x:c r="AO491" s="32"/>
      <x:c r="AP491" s="32"/>
      <x:c r="AQ491" s="32"/>
      <x:c r="AR491" s="32"/>
      <x:c r="AS491" s="32"/>
      <x:c r="AT491" s="32"/>
      <x:c r="AU491" s="32"/>
      <x:c r="AV491" s="32"/>
      <x:c r="AW491" s="32"/>
      <x:c r="AX491" s="32"/>
      <x:c r="AZ491" s="32"/>
      <x:c r="BA491" s="32"/>
      <x:c r="BB491" s="32"/>
      <x:c r="BC491" s="32"/>
      <x:c r="BD491" s="32"/>
      <x:c r="BE491" s="32"/>
      <x:c r="BF491" s="32"/>
      <x:c r="BG491" s="32"/>
      <x:c r="BH491" s="32"/>
      <x:c r="BI491" s="32"/>
      <x:c r="BJ491" s="32"/>
      <x:c r="BK491" s="32"/>
      <x:c r="BL491" s="32"/>
      <x:c r="BM491" s="32"/>
    </x:row>
    <x:row r="492">
      <x:c r="A492" s="32"/>
      <x:c r="B492" s="32"/>
      <x:c r="C492" s="42"/>
      <x:c r="D492" s="32"/>
      <x:c r="E492" s="32"/>
      <x:c r="F492" s="32"/>
      <x:c r="G492" s="32"/>
      <x:c r="H492" s="32"/>
      <x:c r="I492" s="32"/>
      <x:c r="J492" s="32"/>
      <x:c r="K492" s="32"/>
      <x:c r="L492" s="32"/>
      <x:c r="M492" s="32"/>
      <x:c r="N492" s="32"/>
      <x:c r="O492" s="32"/>
      <x:c r="P492" s="32"/>
      <x:c r="Q492" s="32"/>
      <x:c r="R492" s="32"/>
      <x:c r="S492" s="32"/>
      <x:c r="T492" s="43" t="str">
        <x:f>IFERROR(S492/L492,"")</x:f>
      </x:c>
      <x:c r="U492" s="32"/>
      <x:c r="V492" s="32"/>
      <x:c r="W492" s="32"/>
      <x:c r="X492" s="32"/>
      <x:c r="Y492" s="32"/>
      <x:c r="Z492" s="32"/>
      <x:c r="AA492" s="32"/>
      <x:c r="AB492" s="32"/>
      <x:c r="AC492" s="32"/>
      <x:c r="AD492" s="32"/>
      <x:c r="AE492" s="32"/>
      <x:c r="AF492" s="32"/>
      <x:c r="AG492" s="32"/>
      <x:c r="AH492" s="32"/>
      <x:c r="AI492" s="32"/>
      <x:c r="AJ492" s="32"/>
      <x:c r="AK492" s="32"/>
      <x:c r="AL492" s="32"/>
      <x:c r="AM492" s="32"/>
      <x:c r="AN492" s="32"/>
      <x:c r="AO492" s="32"/>
      <x:c r="AP492" s="32"/>
      <x:c r="AQ492" s="32"/>
      <x:c r="AR492" s="32"/>
      <x:c r="AS492" s="32"/>
      <x:c r="AT492" s="32"/>
      <x:c r="AU492" s="32"/>
      <x:c r="AV492" s="32"/>
      <x:c r="AW492" s="32"/>
      <x:c r="AX492" s="32"/>
      <x:c r="AZ492" s="32"/>
      <x:c r="BA492" s="32"/>
      <x:c r="BB492" s="32"/>
      <x:c r="BC492" s="32"/>
      <x:c r="BD492" s="32"/>
      <x:c r="BE492" s="32"/>
      <x:c r="BF492" s="32"/>
      <x:c r="BG492" s="32"/>
      <x:c r="BH492" s="32"/>
      <x:c r="BI492" s="32"/>
      <x:c r="BJ492" s="32"/>
      <x:c r="BK492" s="32"/>
      <x:c r="BL492" s="32"/>
      <x:c r="BM492" s="32"/>
    </x:row>
    <x:row r="493">
      <x:c r="A493" s="32"/>
      <x:c r="B493" s="32"/>
      <x:c r="C493" s="42"/>
      <x:c r="D493" s="32"/>
      <x:c r="E493" s="32"/>
      <x:c r="F493" s="32"/>
      <x:c r="G493" s="32"/>
      <x:c r="H493" s="32"/>
      <x:c r="I493" s="32"/>
      <x:c r="J493" s="32"/>
      <x:c r="K493" s="32"/>
      <x:c r="L493" s="32"/>
      <x:c r="M493" s="32"/>
      <x:c r="N493" s="32"/>
      <x:c r="O493" s="32"/>
      <x:c r="P493" s="32"/>
      <x:c r="Q493" s="32"/>
      <x:c r="R493" s="32"/>
      <x:c r="S493" s="32"/>
      <x:c r="T493" s="43" t="str">
        <x:f>IFERROR(S493/L493,"")</x:f>
      </x:c>
      <x:c r="U493" s="32"/>
      <x:c r="V493" s="32"/>
      <x:c r="W493" s="32"/>
      <x:c r="X493" s="32"/>
      <x:c r="Y493" s="32"/>
      <x:c r="Z493" s="32"/>
      <x:c r="AA493" s="32"/>
      <x:c r="AB493" s="32"/>
      <x:c r="AC493" s="32"/>
      <x:c r="AD493" s="32"/>
      <x:c r="AE493" s="32"/>
      <x:c r="AF493" s="32"/>
      <x:c r="AG493" s="32"/>
      <x:c r="AH493" s="32"/>
      <x:c r="AI493" s="32"/>
      <x:c r="AJ493" s="32"/>
      <x:c r="AK493" s="32"/>
      <x:c r="AL493" s="32"/>
      <x:c r="AM493" s="32"/>
      <x:c r="AN493" s="32"/>
      <x:c r="AO493" s="32"/>
      <x:c r="AP493" s="32"/>
      <x:c r="AQ493" s="32"/>
      <x:c r="AR493" s="32"/>
      <x:c r="AS493" s="32"/>
      <x:c r="AT493" s="32"/>
      <x:c r="AU493" s="32"/>
      <x:c r="AV493" s="32"/>
      <x:c r="AW493" s="32"/>
      <x:c r="AX493" s="32"/>
      <x:c r="AZ493" s="32"/>
      <x:c r="BA493" s="32"/>
      <x:c r="BB493" s="32"/>
      <x:c r="BC493" s="32"/>
      <x:c r="BD493" s="32"/>
      <x:c r="BE493" s="32"/>
      <x:c r="BF493" s="32"/>
      <x:c r="BG493" s="32"/>
      <x:c r="BH493" s="32"/>
      <x:c r="BI493" s="32"/>
      <x:c r="BJ493" s="32"/>
      <x:c r="BK493" s="32"/>
      <x:c r="BL493" s="32"/>
      <x:c r="BM493" s="32"/>
    </x:row>
    <x:row r="494">
      <x:c r="A494" s="32"/>
      <x:c r="B494" s="32"/>
      <x:c r="C494" s="42"/>
      <x:c r="D494" s="32"/>
      <x:c r="E494" s="32"/>
      <x:c r="F494" s="32"/>
      <x:c r="G494" s="32"/>
      <x:c r="H494" s="32"/>
      <x:c r="I494" s="32"/>
      <x:c r="J494" s="32"/>
      <x:c r="K494" s="32"/>
      <x:c r="L494" s="32"/>
      <x:c r="M494" s="32"/>
      <x:c r="N494" s="32"/>
      <x:c r="O494" s="32"/>
      <x:c r="P494" s="32"/>
      <x:c r="Q494" s="32"/>
      <x:c r="R494" s="32"/>
      <x:c r="S494" s="32"/>
      <x:c r="T494" s="43" t="str">
        <x:f>IFERROR(S494/L494,"")</x:f>
      </x:c>
      <x:c r="U494" s="32"/>
      <x:c r="V494" s="32"/>
      <x:c r="W494" s="32"/>
      <x:c r="X494" s="32"/>
      <x:c r="Y494" s="32"/>
      <x:c r="Z494" s="32"/>
      <x:c r="AA494" s="32"/>
      <x:c r="AB494" s="32"/>
      <x:c r="AC494" s="32"/>
      <x:c r="AD494" s="32"/>
      <x:c r="AE494" s="32"/>
      <x:c r="AF494" s="32"/>
      <x:c r="AG494" s="32"/>
      <x:c r="AH494" s="32"/>
      <x:c r="AI494" s="32"/>
      <x:c r="AJ494" s="32"/>
      <x:c r="AK494" s="32"/>
      <x:c r="AL494" s="32"/>
      <x:c r="AM494" s="32"/>
      <x:c r="AN494" s="32"/>
      <x:c r="AO494" s="32"/>
      <x:c r="AP494" s="32"/>
      <x:c r="AQ494" s="32"/>
      <x:c r="AR494" s="32"/>
      <x:c r="AS494" s="32"/>
      <x:c r="AT494" s="32"/>
      <x:c r="AU494" s="32"/>
      <x:c r="AV494" s="32"/>
      <x:c r="AW494" s="32"/>
      <x:c r="AX494" s="32"/>
      <x:c r="AZ494" s="32"/>
      <x:c r="BA494" s="32"/>
      <x:c r="BB494" s="32"/>
      <x:c r="BC494" s="32"/>
      <x:c r="BD494" s="32"/>
      <x:c r="BE494" s="32"/>
      <x:c r="BF494" s="32"/>
      <x:c r="BG494" s="32"/>
      <x:c r="BH494" s="32"/>
      <x:c r="BI494" s="32"/>
      <x:c r="BJ494" s="32"/>
      <x:c r="BK494" s="32"/>
      <x:c r="BL494" s="32"/>
      <x:c r="BM494" s="32"/>
    </x:row>
    <x:row r="495">
      <x:c r="A495" s="32"/>
      <x:c r="B495" s="32"/>
      <x:c r="C495" s="42"/>
      <x:c r="D495" s="32"/>
      <x:c r="E495" s="32"/>
      <x:c r="F495" s="32"/>
      <x:c r="G495" s="32"/>
      <x:c r="H495" s="32"/>
      <x:c r="I495" s="32"/>
      <x:c r="J495" s="32"/>
      <x:c r="K495" s="32"/>
      <x:c r="L495" s="32"/>
      <x:c r="M495" s="32"/>
      <x:c r="N495" s="32"/>
      <x:c r="O495" s="32"/>
      <x:c r="P495" s="32"/>
      <x:c r="Q495" s="32"/>
      <x:c r="R495" s="32"/>
      <x:c r="S495" s="32"/>
      <x:c r="T495" s="43" t="str">
        <x:f>IFERROR(S495/L495,"")</x:f>
      </x:c>
      <x:c r="U495" s="32"/>
      <x:c r="V495" s="32"/>
      <x:c r="W495" s="32"/>
      <x:c r="X495" s="32"/>
      <x:c r="Y495" s="32"/>
      <x:c r="Z495" s="32"/>
      <x:c r="AA495" s="32"/>
      <x:c r="AB495" s="32"/>
      <x:c r="AC495" s="32"/>
      <x:c r="AD495" s="32"/>
      <x:c r="AE495" s="32"/>
      <x:c r="AF495" s="32"/>
      <x:c r="AG495" s="32"/>
      <x:c r="AH495" s="32"/>
      <x:c r="AI495" s="32"/>
      <x:c r="AJ495" s="32"/>
      <x:c r="AK495" s="32"/>
      <x:c r="AL495" s="32"/>
      <x:c r="AM495" s="32"/>
      <x:c r="AN495" s="32"/>
      <x:c r="AO495" s="32"/>
      <x:c r="AP495" s="32"/>
      <x:c r="AQ495" s="32"/>
      <x:c r="AR495" s="32"/>
      <x:c r="AS495" s="32"/>
      <x:c r="AT495" s="32"/>
      <x:c r="AU495" s="32"/>
      <x:c r="AV495" s="32"/>
      <x:c r="AW495" s="32"/>
      <x:c r="AX495" s="32"/>
      <x:c r="AZ495" s="32"/>
      <x:c r="BA495" s="32"/>
      <x:c r="BB495" s="32"/>
      <x:c r="BC495" s="32"/>
      <x:c r="BD495" s="32"/>
      <x:c r="BE495" s="32"/>
      <x:c r="BF495" s="32"/>
      <x:c r="BG495" s="32"/>
      <x:c r="BH495" s="32"/>
      <x:c r="BI495" s="32"/>
      <x:c r="BJ495" s="32"/>
      <x:c r="BK495" s="32"/>
      <x:c r="BL495" s="32"/>
      <x:c r="BM495" s="32"/>
    </x:row>
    <x:row r="496">
      <x:c r="A496" s="32"/>
      <x:c r="B496" s="32"/>
      <x:c r="C496" s="42"/>
      <x:c r="D496" s="32"/>
      <x:c r="E496" s="32"/>
      <x:c r="F496" s="32"/>
      <x:c r="G496" s="32"/>
      <x:c r="H496" s="32"/>
      <x:c r="I496" s="32"/>
      <x:c r="J496" s="32"/>
      <x:c r="K496" s="32"/>
      <x:c r="L496" s="32"/>
      <x:c r="M496" s="32"/>
      <x:c r="N496" s="32"/>
      <x:c r="O496" s="32"/>
      <x:c r="P496" s="32"/>
      <x:c r="Q496" s="32"/>
      <x:c r="R496" s="32"/>
      <x:c r="S496" s="32"/>
      <x:c r="T496" s="43" t="str">
        <x:f>IFERROR(S496/L496,"")</x:f>
      </x:c>
      <x:c r="U496" s="32"/>
      <x:c r="V496" s="32"/>
      <x:c r="W496" s="32"/>
      <x:c r="X496" s="32"/>
      <x:c r="Y496" s="32"/>
      <x:c r="Z496" s="32"/>
      <x:c r="AA496" s="32"/>
      <x:c r="AB496" s="32"/>
      <x:c r="AC496" s="32"/>
      <x:c r="AD496" s="32"/>
      <x:c r="AE496" s="32"/>
      <x:c r="AF496" s="32"/>
      <x:c r="AG496" s="32"/>
      <x:c r="AH496" s="32"/>
      <x:c r="AI496" s="32"/>
      <x:c r="AJ496" s="32"/>
      <x:c r="AK496" s="32"/>
      <x:c r="AL496" s="32"/>
      <x:c r="AM496" s="32"/>
      <x:c r="AN496" s="32"/>
      <x:c r="AO496" s="32"/>
      <x:c r="AP496" s="32"/>
      <x:c r="AQ496" s="32"/>
      <x:c r="AR496" s="32"/>
      <x:c r="AS496" s="32"/>
      <x:c r="AT496" s="32"/>
      <x:c r="AU496" s="32"/>
      <x:c r="AV496" s="32"/>
      <x:c r="AW496" s="32"/>
      <x:c r="AX496" s="32"/>
      <x:c r="AZ496" s="32"/>
      <x:c r="BA496" s="32"/>
      <x:c r="BB496" s="32"/>
      <x:c r="BC496" s="32"/>
      <x:c r="BD496" s="32"/>
      <x:c r="BE496" s="32"/>
      <x:c r="BF496" s="32"/>
      <x:c r="BG496" s="32"/>
      <x:c r="BH496" s="32"/>
      <x:c r="BI496" s="32"/>
      <x:c r="BJ496" s="32"/>
      <x:c r="BK496" s="32"/>
      <x:c r="BL496" s="32"/>
      <x:c r="BM496" s="32"/>
    </x:row>
    <x:row r="497">
      <x:c r="A497" s="32"/>
      <x:c r="B497" s="32"/>
      <x:c r="C497" s="42"/>
      <x:c r="D497" s="32"/>
      <x:c r="E497" s="32"/>
      <x:c r="F497" s="32"/>
      <x:c r="G497" s="32"/>
      <x:c r="H497" s="32"/>
      <x:c r="I497" s="32"/>
      <x:c r="J497" s="32"/>
      <x:c r="K497" s="32"/>
      <x:c r="L497" s="32"/>
      <x:c r="M497" s="32"/>
      <x:c r="N497" s="32"/>
      <x:c r="O497" s="32"/>
      <x:c r="P497" s="32"/>
      <x:c r="Q497" s="32"/>
      <x:c r="R497" s="32"/>
      <x:c r="S497" s="32"/>
      <x:c r="T497" s="43" t="str">
        <x:f>IFERROR(S497/L497,"")</x:f>
      </x:c>
      <x:c r="U497" s="32"/>
      <x:c r="V497" s="32"/>
      <x:c r="W497" s="32"/>
      <x:c r="X497" s="32"/>
      <x:c r="Y497" s="32"/>
      <x:c r="Z497" s="32"/>
      <x:c r="AA497" s="32"/>
      <x:c r="AB497" s="32"/>
      <x:c r="AC497" s="32"/>
      <x:c r="AD497" s="32"/>
      <x:c r="AE497" s="32"/>
      <x:c r="AF497" s="32"/>
      <x:c r="AG497" s="32"/>
      <x:c r="AH497" s="32"/>
      <x:c r="AI497" s="32"/>
      <x:c r="AJ497" s="32"/>
      <x:c r="AK497" s="32"/>
      <x:c r="AL497" s="32"/>
      <x:c r="AM497" s="32"/>
      <x:c r="AN497" s="32"/>
      <x:c r="AO497" s="32"/>
      <x:c r="AP497" s="32"/>
      <x:c r="AQ497" s="32"/>
      <x:c r="AR497" s="32"/>
      <x:c r="AS497" s="32"/>
      <x:c r="AT497" s="32"/>
      <x:c r="AU497" s="32"/>
      <x:c r="AV497" s="32"/>
      <x:c r="AW497" s="32"/>
      <x:c r="AX497" s="32"/>
      <x:c r="AZ497" s="32"/>
      <x:c r="BA497" s="32"/>
      <x:c r="BB497" s="32"/>
      <x:c r="BC497" s="32"/>
      <x:c r="BD497" s="32"/>
      <x:c r="BE497" s="32"/>
      <x:c r="BF497" s="32"/>
      <x:c r="BG497" s="32"/>
      <x:c r="BH497" s="32"/>
      <x:c r="BI497" s="32"/>
      <x:c r="BJ497" s="32"/>
      <x:c r="BK497" s="32"/>
      <x:c r="BL497" s="32"/>
      <x:c r="BM497" s="32"/>
    </x:row>
    <x:row r="498">
      <x:c r="A498" s="32"/>
      <x:c r="B498" s="32"/>
      <x:c r="C498" s="42"/>
      <x:c r="D498" s="32"/>
      <x:c r="E498" s="32"/>
      <x:c r="F498" s="32"/>
      <x:c r="G498" s="32"/>
      <x:c r="H498" s="32"/>
      <x:c r="I498" s="32"/>
      <x:c r="J498" s="32"/>
      <x:c r="K498" s="32"/>
      <x:c r="L498" s="32"/>
      <x:c r="M498" s="32"/>
      <x:c r="N498" s="32"/>
      <x:c r="O498" s="32"/>
      <x:c r="P498" s="32"/>
      <x:c r="Q498" s="32"/>
      <x:c r="R498" s="32"/>
      <x:c r="S498" s="32"/>
      <x:c r="T498" s="43" t="str">
        <x:f>IFERROR(S498/L498,"")</x:f>
      </x:c>
      <x:c r="U498" s="32"/>
      <x:c r="V498" s="32"/>
      <x:c r="W498" s="32"/>
      <x:c r="X498" s="32"/>
      <x:c r="Y498" s="32"/>
      <x:c r="Z498" s="32"/>
      <x:c r="AA498" s="32"/>
      <x:c r="AB498" s="32"/>
      <x:c r="AC498" s="32"/>
      <x:c r="AD498" s="32"/>
      <x:c r="AE498" s="32"/>
      <x:c r="AF498" s="32"/>
      <x:c r="AG498" s="32"/>
      <x:c r="AH498" s="32"/>
      <x:c r="AI498" s="32"/>
      <x:c r="AJ498" s="32"/>
      <x:c r="AK498" s="32"/>
      <x:c r="AL498" s="32"/>
      <x:c r="AM498" s="32"/>
      <x:c r="AN498" s="32"/>
      <x:c r="AO498" s="32"/>
      <x:c r="AP498" s="32"/>
      <x:c r="AQ498" s="32"/>
      <x:c r="AR498" s="32"/>
      <x:c r="AS498" s="32"/>
      <x:c r="AT498" s="32"/>
      <x:c r="AU498" s="32"/>
      <x:c r="AV498" s="32"/>
      <x:c r="AW498" s="32"/>
      <x:c r="AX498" s="32"/>
      <x:c r="AZ498" s="32"/>
      <x:c r="BA498" s="32"/>
      <x:c r="BB498" s="32"/>
      <x:c r="BC498" s="32"/>
      <x:c r="BD498" s="32"/>
      <x:c r="BE498" s="32"/>
      <x:c r="BF498" s="32"/>
      <x:c r="BG498" s="32"/>
      <x:c r="BH498" s="32"/>
      <x:c r="BI498" s="32"/>
      <x:c r="BJ498" s="32"/>
      <x:c r="BK498" s="32"/>
      <x:c r="BL498" s="32"/>
      <x:c r="BM498" s="32"/>
    </x:row>
    <x:row r="499">
      <x:c r="A499" s="32"/>
      <x:c r="B499" s="32"/>
      <x:c r="C499" s="42"/>
      <x:c r="D499" s="32"/>
      <x:c r="E499" s="32"/>
      <x:c r="F499" s="32"/>
      <x:c r="G499" s="32"/>
      <x:c r="H499" s="32"/>
      <x:c r="I499" s="32"/>
      <x:c r="J499" s="32"/>
      <x:c r="K499" s="32"/>
      <x:c r="L499" s="32"/>
      <x:c r="M499" s="32"/>
      <x:c r="N499" s="32"/>
      <x:c r="O499" s="32"/>
      <x:c r="P499" s="32"/>
      <x:c r="Q499" s="32"/>
      <x:c r="R499" s="32"/>
      <x:c r="S499" s="32"/>
      <x:c r="T499" s="43" t="str">
        <x:f>IFERROR(S499/L499,"")</x:f>
      </x:c>
      <x:c r="U499" s="32"/>
      <x:c r="V499" s="32"/>
      <x:c r="W499" s="32"/>
      <x:c r="X499" s="32"/>
      <x:c r="Y499" s="32"/>
      <x:c r="Z499" s="32"/>
      <x:c r="AA499" s="32"/>
      <x:c r="AB499" s="32"/>
      <x:c r="AC499" s="32"/>
      <x:c r="AD499" s="32"/>
      <x:c r="AE499" s="32"/>
      <x:c r="AF499" s="32"/>
      <x:c r="AG499" s="32"/>
      <x:c r="AH499" s="32"/>
      <x:c r="AI499" s="32"/>
      <x:c r="AJ499" s="32"/>
      <x:c r="AK499" s="32"/>
      <x:c r="AL499" s="32"/>
      <x:c r="AM499" s="32"/>
      <x:c r="AN499" s="32"/>
      <x:c r="AO499" s="32"/>
      <x:c r="AP499" s="32"/>
      <x:c r="AQ499" s="32"/>
      <x:c r="AR499" s="32"/>
      <x:c r="AS499" s="32"/>
      <x:c r="AT499" s="32"/>
      <x:c r="AU499" s="32"/>
      <x:c r="AV499" s="32"/>
      <x:c r="AW499" s="32"/>
      <x:c r="AX499" s="32"/>
      <x:c r="AZ499" s="32"/>
      <x:c r="BA499" s="32"/>
      <x:c r="BB499" s="32"/>
      <x:c r="BC499" s="32"/>
      <x:c r="BD499" s="32"/>
      <x:c r="BE499" s="32"/>
      <x:c r="BF499" s="32"/>
      <x:c r="BG499" s="32"/>
      <x:c r="BH499" s="32"/>
      <x:c r="BI499" s="32"/>
      <x:c r="BJ499" s="32"/>
      <x:c r="BK499" s="32"/>
      <x:c r="BL499" s="32"/>
      <x:c r="BM499" s="32"/>
    </x:row>
    <x:row r="500">
      <x:c r="A500" s="32"/>
      <x:c r="B500" s="32"/>
      <x:c r="C500" s="42"/>
      <x:c r="D500" s="32"/>
      <x:c r="E500" s="32"/>
      <x:c r="F500" s="32"/>
      <x:c r="G500" s="32"/>
      <x:c r="H500" s="32"/>
      <x:c r="I500" s="32"/>
      <x:c r="J500" s="32"/>
      <x:c r="K500" s="32"/>
      <x:c r="L500" s="32"/>
      <x:c r="M500" s="32"/>
      <x:c r="N500" s="32"/>
      <x:c r="O500" s="32"/>
      <x:c r="P500" s="32"/>
      <x:c r="Q500" s="32"/>
      <x:c r="R500" s="32"/>
      <x:c r="S500" s="32"/>
      <x:c r="T500" s="43" t="str">
        <x:f>IFERROR(S500/L500,"")</x:f>
      </x:c>
      <x:c r="U500" s="32"/>
      <x:c r="V500" s="32"/>
      <x:c r="W500" s="32"/>
      <x:c r="X500" s="32"/>
      <x:c r="Y500" s="32"/>
      <x:c r="Z500" s="32"/>
      <x:c r="AA500" s="32"/>
      <x:c r="AB500" s="32"/>
      <x:c r="AC500" s="32"/>
      <x:c r="AD500" s="32"/>
      <x:c r="AE500" s="32"/>
      <x:c r="AF500" s="32"/>
      <x:c r="AG500" s="32"/>
      <x:c r="AH500" s="32"/>
      <x:c r="AI500" s="32"/>
      <x:c r="AJ500" s="32"/>
      <x:c r="AK500" s="32"/>
      <x:c r="AL500" s="32"/>
      <x:c r="AM500" s="32"/>
      <x:c r="AN500" s="32"/>
      <x:c r="AO500" s="32"/>
      <x:c r="AP500" s="32"/>
      <x:c r="AQ500" s="32"/>
      <x:c r="AR500" s="32"/>
      <x:c r="AS500" s="32"/>
      <x:c r="AT500" s="32"/>
      <x:c r="AU500" s="32"/>
      <x:c r="AV500" s="32"/>
      <x:c r="AW500" s="32"/>
      <x:c r="AX500" s="32"/>
      <x:c r="AZ500" s="32"/>
      <x:c r="BA500" s="32"/>
      <x:c r="BB500" s="32"/>
      <x:c r="BC500" s="32"/>
      <x:c r="BD500" s="32"/>
      <x:c r="BE500" s="32"/>
      <x:c r="BF500" s="32"/>
      <x:c r="BG500" s="32"/>
      <x:c r="BH500" s="32"/>
      <x:c r="BI500" s="32"/>
      <x:c r="BJ500" s="32"/>
      <x:c r="BK500" s="32"/>
      <x:c r="BL500" s="32"/>
      <x:c r="BM500" s="32"/>
    </x:row>
  </x:sheetData>
  <x:mergeCells>
    <x:mergeCell ref="A1:AJ2"/>
  </x:mergeCells>
  <x:conditionalFormatting sqref="AI5:AI500">
    <x:cfRule type="expression" dxfId="4" priority="1">
      <x:formula>AI5="PASS"</x:formula>
    </x:cfRule>
    <x:cfRule type="expression" dxfId="5" priority="2">
      <x:formula>AI5="PASS-WITH-FINDINGS"</x:formula>
    </x:cfRule>
    <x:cfRule type="expression" dxfId="6" priority="3">
      <x:formula>AI5="FAIL"</x:formula>
    </x:cfRule>
  </x:conditionalFormatting>
  <x:conditionalFormatting sqref="AJ5:AJ500">
    <x:cfRule type="expression" dxfId="7" priority="4">
      <x:formula>AJ5="GREEN"</x:formula>
    </x:cfRule>
    <x:cfRule type="expression" dxfId="8" priority="5">
      <x:formula>AJ5="ACCEPTABLE/REVIEW"</x:formula>
    </x:cfRule>
    <x:cfRule type="expression" dxfId="9" priority="6">
      <x:formula>AJ5="INVESTIGATE"</x:formula>
    </x:cfRule>
  </x:conditionalFormatting>
  <x:dataValidations count="2">
    <x:dataValidation type="list" sqref="AI5:AI500">
      <x:formula1>"PASS,PASS-WITH-FINDINGS,OBSERVED,FAIL,NOT-RUN"</x:formula1>
    </x:dataValidation>
    <x:dataValidation type="list" sqref="AJ5:AJ500">
      <x:formula1>"GREEN,ACCEPTABLE/REVIEW,INVESTIGATE,N/A"</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12" hidden="0" customWidth="1"/>
    <x:col min="2" max="2" width="14" hidden="0" customWidth="1"/>
    <x:col min="3" max="3" width="12" hidden="0" customWidth="1"/>
    <x:col min="4" max="4" width="16" hidden="0" customWidth="1"/>
    <x:col min="5" max="5" width="18" hidden="0" customWidth="1"/>
    <x:col min="6" max="6" width="12" hidden="0" customWidth="1"/>
    <x:col min="7" max="7" width="36" hidden="0" customWidth="1"/>
    <x:col min="8" max="8" width="36" hidden="0" customWidth="1"/>
    <x:col min="9" max="9" width="32" hidden="0" customWidth="1"/>
    <x:col min="10" max="10" width="32" hidden="0" customWidth="1"/>
    <x:col min="11" max="11" width="14" hidden="0" customWidth="1"/>
    <x:col min="12" max="12" width="14" hidden="0" customWidth="1"/>
  </x:cols>
  <x:sheetData>
    <x:row r="1">
      <x:c r="A1" s="4" t="str">
        <x:v>Hallazgos — evidencia, hipótesis y acciones</x:v>
      </x:c>
      <x:c r="B1" s="4"/>
      <x:c r="C1" s="4"/>
      <x:c r="D1" s="4"/>
      <x:c r="E1" s="4"/>
      <x:c r="F1" s="4"/>
      <x:c r="G1" s="4"/>
      <x:c r="H1" s="4"/>
      <x:c r="I1" s="4"/>
      <x:c r="J1" s="4"/>
      <x:c r="K1" s="4"/>
      <x:c r="L1" s="4"/>
    </x:row>
    <x:row r="2">
      <x:c r="A2" s="4"/>
      <x:c r="B2" s="4"/>
      <x:c r="C2" s="4"/>
      <x:c r="D2" s="4"/>
      <x:c r="E2" s="4"/>
      <x:c r="F2" s="4"/>
      <x:c r="G2" s="4"/>
      <x:c r="H2" s="4"/>
      <x:c r="I2" s="4"/>
      <x:c r="J2" s="4"/>
      <x:c r="K2" s="4"/>
      <x:c r="L2" s="4"/>
    </x:row>
    <x:row r="4">
      <x:c r="A4" s="12" t="str">
        <x:v>Finding ID</x:v>
      </x:c>
      <x:c r="B4" s="12" t="str">
        <x:v>Run ID</x:v>
      </x:c>
      <x:c r="C4" s="12" t="str">
        <x:v>Test ID</x:v>
      </x:c>
      <x:c r="D4" s="12" t="str">
        <x:v>Date</x:v>
      </x:c>
      <x:c r="E4" s="12" t="str">
        <x:v>Category</x:v>
      </x:c>
      <x:c r="F4" s="12" t="str">
        <x:v>Severity</x:v>
      </x:c>
      <x:c r="G4" s="12" t="str">
        <x:v>Observation</x:v>
      </x:c>
      <x:c r="H4" s="12" t="str">
        <x:v>Evidence</x:v>
      </x:c>
      <x:c r="I4" s="12" t="str">
        <x:v>Hypothesis</x:v>
      </x:c>
      <x:c r="J4" s="12" t="str">
        <x:v>Proposed Action</x:v>
      </x:c>
      <x:c r="K4" s="12" t="str">
        <x:v>Status</x:v>
      </x:c>
      <x:c r="L4" s="12" t="str">
        <x:v>Decision ID</x:v>
      </x:c>
    </x:row>
    <x:row r="5">
      <x:c r="A5" s="32" t="str">
        <x:v>F-A001-000</x:v>
      </x:c>
      <x:c r="B5" s="32" t="str">
        <x:v>PRE-A001</x:v>
      </x:c>
      <x:c r="C5" s="32" t="str">
        <x:v>A-001</x:v>
      </x:c>
      <x:c r="D5" s="32" t="n">
        <x:v>46259.52291666667</x:v>
      </x:c>
      <x:c r="E5" s="32" t="str">
        <x:v>Lease/Fencing</x:v>
      </x:c>
      <x:c r="F5" s="32" t="str">
        <x:v>High</x:v>
      </x:c>
      <x:c r="G5" s="32" t="str">
        <x:v>El preflight con PhysicalAuthorityFence real detectó reentrada de fence en cache promotion y consumer-state update.</x:v>
      </x:c>
      <x:c r="H5" s="32" t="str">
        <x:v>Los dobles de test permitían reentrada; el fence físico intentaba adquirir el mismo flock dos veces.</x:v>
      </x:c>
      <x:c r="I5" s="32" t="str">
        <x:v>Los asserts internos eran redundantes porque fenced_mutation() ya valida autoridad dentro del fence.</x:v>
      </x:c>
      <x:c r="J5" s="32" t="str">
        <x:v>Aplicado fix mínimo en ada-alarms-runtime-process 0.14.1 y agregadas regresiones no-reentrantes.</x:v>
      </x:c>
      <x:c r="K5" s="32" t="str">
        <x:v>Fixed</x:v>
      </x:c>
      <x:c r="L5" s="32"/>
    </x:row>
    <x:row r="6">
      <x:c r="A6" s="32" t="str">
        <x:v>F-A001-001</x:v>
      </x:c>
      <x:c r="B6" s="32" t="str">
        <x:v>814c4814-de17-43fc-bc59-d2f2fcda6b92</x:v>
      </x:c>
      <x:c r="C6" s="32" t="str">
        <x:v>A-001</x:v>
      </x:c>
      <x:c r="D6" s="32" t="n">
        <x:v>46259.53097222222</x:v>
      </x:c>
      <x:c r="E6" s="32" t="str">
        <x:v>Memory</x:v>
      </x:c>
      <x:c r="F6" s="32" t="str">
        <x:v>Info</x:v>
      </x:c>
      <x:c r="G6" s="32" t="str">
        <x:v>No se observa presión de memoria acumulativa en el smoke de 2 minutos.</x:v>
      </x:c>
      <x:c r="H6" s="32" t="str">
        <x:v>RSS: 116.17 MB antes del bootstrap, 125.88 MB después; peak 125.98 MB; cierre 124.68 MB.</x:v>
      </x:c>
      <x:c r="I6" s="32" t="str">
        <x:v>La subida inicial corresponde a bootstrap/materialización y luego el proceso alcanza una meseta estable.</x:v>
      </x:c>
      <x:c r="J6" s="32" t="str">
        <x:v>No activar profiling granular de memoria todavía; continuar con carga progresiva.</x:v>
      </x:c>
      <x:c r="K6" s="32" t="str">
        <x:v>Accepted</x:v>
      </x:c>
      <x:c r="L6" s="32" t="str">
        <x:v>DEC-R35-001</x:v>
      </x:c>
    </x:row>
    <x:row r="7">
      <x:c r="A7" s="32" t="str">
        <x:v>F-A001-002</x:v>
      </x:c>
      <x:c r="B7" s="32" t="str">
        <x:v>814c4814-de17-43fc-bc59-d2f2fcda6b92</x:v>
      </x:c>
      <x:c r="C7" s="32" t="str">
        <x:v>A-001</x:v>
      </x:c>
      <x:c r="D7" s="32" t="n">
        <x:v>46259.53097222222</x:v>
      </x:c>
      <x:c r="E7" s="32" t="str">
        <x:v>CPU</x:v>
      </x:c>
      <x:c r="F7" s="32" t="str">
        <x:v>Info</x:v>
      </x:c>
      <x:c r="G7" s="32" t="str">
        <x:v>La métrica granular de CPU (~81.68% promedio, 104.84% peak) describe sólo el intervalo activo de cada iteration.</x:v>
      </x:c>
      <x:c r="H7" s="32" t="str">
        <x:v>Las 25 iterations acumularon ~2.05 CPU-s en 120.18 s; equivalente aproximado a 1.71% de un core promediado sobre todo el run.</x:v>
      </x:c>
      <x:c r="I7" s="32" t="str">
        <x:v>No es comparable directamente con el sampler general de Job Runtime, que usa otra ventana de muestreo.</x:v>
      </x:c>
      <x:c r="J7" s="32" t="str">
        <x:v>Documentar esta semántica y mantener ambas métricas; no hay evidencia de CPU bottleneck en A-001.</x:v>
      </x:c>
      <x:c r="K7" s="32" t="str">
        <x:v>Accepted</x:v>
      </x:c>
      <x:c r="L7" s="32" t="str">
        <x:v>DEC-R35-001</x:v>
      </x:c>
    </x:row>
    <x:row r="8">
      <x:c r="A8" s="32" t="str">
        <x:v>F-A002-001</x:v>
      </x:c>
      <x:c r="B8" s="32" t="str">
        <x:v>90ae9223-a513-4643-aa8c-a2658d41bec9</x:v>
      </x:c>
      <x:c r="C8" s="32" t="str">
        <x:v>A-002</x:v>
      </x:c>
      <x:c r="D8" s="32" t="n">
        <x:v>46259.54824074074</x:v>
      </x:c>
      <x:c r="E8" s="32" t="str">
        <x:v>Correctness</x:v>
      </x:c>
      <x:c r="F8" s="32" t="str">
        <x:v>Info</x:v>
      </x:c>
      <x:c r="G8" s="32" t="str">
        <x:v>La corrida larga produjo trabajo durable sólo cuando correspondía: bootstrap y evidencia periódica a ~5 y ~10 minutos.</x:v>
      </x:c>
      <x:c r="H8" s="32" t="str">
        <x:v>121 iterations: 118 empty, 3 work iterations (1, 61, 121). Commits: bootstrap con occurrence/assignment/journey/evidence y luego 2 commits con 250 evidence_records cada uno.</x:v>
      </x:c>
      <x:c r="I8" s="32" t="str">
        <x:v>El periodo interno de 5 s no genera escrituras espurias; next_evidence_due_at gobierna correctamente la evidencia periódica de 5 minutos.</x:v>
      </x:c>
      <x:c r="J8" s="32" t="str">
        <x:v>Mantener el comportamiento y seguir observándolo al aumentar alarm_count.</x:v>
      </x:c>
      <x:c r="K8" s="32" t="str">
        <x:v>Accepted</x:v>
      </x:c>
      <x:c r="L8" s="32" t="str">
        <x:v>DEC-R35-002</x:v>
      </x:c>
    </x:row>
    <x:row r="9">
      <x:c r="A9" s="32" t="str">
        <x:v>F-A002-002</x:v>
      </x:c>
      <x:c r="B9" s="32" t="str">
        <x:v>90ae9223-a513-4643-aa8c-a2658d41bec9</x:v>
      </x:c>
      <x:c r="C9" s="32" t="str">
        <x:v>A-002</x:v>
      </x:c>
      <x:c r="D9" s="32" t="n">
        <x:v>46259.54824074074</x:v>
      </x:c>
      <x:c r="E9" s="32" t="str">
        <x:v>Memory</x:v>
      </x:c>
      <x:c r="F9" s="32" t="str">
        <x:v>Info</x:v>
      </x:c>
      <x:c r="G9" s="32" t="str">
        <x:v>RSS alcanza una meseta inmediatamente después del bootstrap y permanece estable durante 10 minutos.</x:v>
      </x:c>
      <x:c r="H9" s="32" t="str">
        <x:v>RSS before bootstrap 116.09 MB; post-bootstrap 129.51 MB; peak/final 129.65 MB. No tendencia acumulativa visible en 121 iterations.</x:v>
      </x:c>
      <x:c r="I9" s="32" t="str">
        <x:v>La carga adicional de 150 alarmas frente a A-001 añade poca memoria incremental y no muestra fuga en este horizonte.</x:v>
      </x:c>
      <x:c r="J9" s="32" t="str">
        <x:v>No activar profiling granular de memoria; continuar carga progresiva.</x:v>
      </x:c>
      <x:c r="K9" s="32" t="str">
        <x:v>Accepted</x:v>
      </x:c>
      <x:c r="L9" s="32" t="str">
        <x:v>DEC-R35-002</x:v>
      </x:c>
    </x:row>
    <x:row r="10">
      <x:c r="A10" s="32" t="str">
        <x:v>F-A002-003</x:v>
      </x:c>
      <x:c r="B10" s="32" t="str">
        <x:v>90ae9223-a513-4643-aa8c-a2658d41bec9</x:v>
      </x:c>
      <x:c r="C10" s="32" t="str">
        <x:v>A-002</x:v>
      </x:c>
      <x:c r="D10" s="32" t="n">
        <x:v>46259.54824074074</x:v>
      </x:c>
      <x:c r="E10" s="32" t="str">
        <x:v>CPU</x:v>
      </x:c>
      <x:c r="F10" s="32" t="str">
        <x:v>Info</x:v>
      </x:c>
      <x:c r="G10" s="32" t="str">
        <x:v>Existe un outlier aislado de 909.02 ms en iteration 76, muy por debajo del periodo de 5 s y sin overrun.</x:v>
      </x:c>
      <x:c r="H10" s="32" t="str">
        <x:v>p95 307.32 ms; p99 444.97 ms; max 909.02 ms. La iteration 76 mostró CPU activa ~23.1%, sugiriendo espera/scheduling/I/O más que saturación de CPU.</x:v>
      </x:c>
      <x:c r="I10" s="32" t="str">
        <x:v>Un único outlier no justifica profiling; debe observarse si se repite o crece en A-003/A-004.</x:v>
      </x:c>
      <x:c r="J10" s="32" t="str">
        <x:v>Continuar sin instrumentación adicional y comparar distribución con 500 alarmas.</x:v>
      </x:c>
      <x:c r="K10" s="32" t="str">
        <x:v>Accepted</x:v>
      </x:c>
      <x:c r="L10" s="32" t="str">
        <x:v>DEC-R35-002</x:v>
      </x:c>
    </x:row>
    <x:row r="11">
      <x:c r="A11" s="32" t="str">
        <x:v>F-A003-001</x:v>
      </x:c>
      <x:c r="B11" s="32" t="str">
        <x:v>a6d0eae4-9bc6-47f7-91e2-7f02741ca635</x:v>
      </x:c>
      <x:c r="C11" s="32" t="str">
        <x:v>A-003</x:v>
      </x:c>
      <x:c r="D11" s="32" t="n">
        <x:v>46259.56309027778</x:v>
      </x:c>
      <x:c r="E11" s="32" t="str">
        <x:v>Correctness</x:v>
      </x:c>
      <x:c r="F11" s="32" t="str">
        <x:v>Info</x:v>
      </x:c>
      <x:c r="G11" s="32" t="str">
        <x:v>Con 500 alarmas se mantiene el patrón durable esperado: bootstrap y evidencia periódica aproximadamente a los 5 y 10 minutos.</x:v>
      </x:c>
      <x:c r="H11" s="32" t="str">
        <x:v>121 iterations: 118 empty y 3 work iterations (1, 61, 121). Journal con 3 records; bootstrap contiene 500 occurrence changes, 500 assignment changes, 1000 journey events y 500 evidence records; los dos commits siguientes contienen 500 evidence records cada uno.</x:v>
      </x:c>
      <x:c r="I11" s="32" t="str">
        <x:v>La cadencia de 5 s continúa sin producir escrituras espurias aun duplicando la carga de A-002.</x:v>
      </x:c>
      <x:c r="J11" s="32" t="str">
        <x:v>Mantener el escenario congelado y observar el mismo patrón en A-004.</x:v>
      </x:c>
      <x:c r="K11" s="32" t="str">
        <x:v>Accepted</x:v>
      </x:c>
      <x:c r="L11" s="32" t="str">
        <x:v>DEC-R35-003</x:v>
      </x:c>
    </x:row>
    <x:row r="12">
      <x:c r="A12" s="32" t="str">
        <x:v>F-A003-002</x:v>
      </x:c>
      <x:c r="B12" s="32" t="str">
        <x:v>a6d0eae4-9bc6-47f7-91e2-7f02741ca635</x:v>
      </x:c>
      <x:c r="C12" s="32" t="str">
        <x:v>A-003</x:v>
      </x:c>
      <x:c r="D12" s="32" t="n">
        <x:v>46259.56309027778</x:v>
      </x:c>
      <x:c r="E12" s="32" t="str">
        <x:v>Memory</x:v>
      </x:c>
      <x:c r="F12" s="32" t="str">
        <x:v>Info</x:v>
      </x:c>
      <x:c r="G12" s="32" t="str">
        <x:v>La memoria vuelve a alcanzar una meseta estable después del bootstrap con 500 alarmas.</x:v>
      </x:c>
      <x:c r="H12" s="32" t="str">
        <x:v>RSS before bootstrap 116.20 MB; post-bootstrap 131.20 MB; peak 131.27 MB; final 130.13 MB. Job Runtime reportó memory_peak_percent 0.831 y 0 resource_pressure_events.</x:v>
      </x:c>
      <x:c r="I12" s="32" t="str">
        <x:v>No hay señal de crecimiento acumulativo en 10 minutos; el incremento respecto de 250 alarmas es pequeño.</x:v>
      </x:c>
      <x:c r="J12" s="32" t="str">
        <x:v>No activar profiling granular de memoria; continuar a 750 alarmas.</x:v>
      </x:c>
      <x:c r="K12" s="32" t="str">
        <x:v>Accepted</x:v>
      </x:c>
      <x:c r="L12" s="32" t="str">
        <x:v>DEC-R35-003</x:v>
      </x:c>
    </x:row>
    <x:row r="13">
      <x:c r="A13" s="32" t="str">
        <x:v>F-A003-003</x:v>
      </x:c>
      <x:c r="B13" s="32" t="str">
        <x:v>a6d0eae4-9bc6-47f7-91e2-7f02741ca635</x:v>
      </x:c>
      <x:c r="C13" s="32" t="str">
        <x:v>A-003</x:v>
      </x:c>
      <x:c r="D13" s="32" t="n">
        <x:v>46259.56309027778</x:v>
      </x:c>
      <x:c r="E13" s="32" t="str">
        <x:v>CPU</x:v>
      </x:c>
      <x:c r="F13" s="32" t="str">
        <x:v>Info</x:v>
      </x:c>
      <x:c r="G13" s="32" t="str">
        <x:v>La curva de duración sigue sin mostrar inflexión al pasar de 250 a 500 alarmas.</x:v>
      </x:c>
      <x:c r="H13" s="32" t="str">
        <x:v>A-002→A-003: alarm_count ×2; p50 205.63→387.47 ms (~1.88×), p95 307.32→437.59 ms (~1.42×), p99 444.97→618.82 ms (~1.39×); max baja 909.02→728.32 ms; 0 overruns. CPU-time granular equivale aproximadamente a 7.66% de un core promediado sobre el run.</x:v>
      </x:c>
      <x:c r="I13" s="32" t="str">
        <x:v>El crecimiento observado es compatible con capacidad holgada; no hay evidencia de saturación ni de un cuello estable.</x:v>
      </x:c>
      <x:c r="J13" s="32" t="str">
        <x:v>Continuar sin profiling; A-004 debe buscar la primera desviación de esta tendencia.</x:v>
      </x:c>
      <x:c r="K13" s="32" t="str">
        <x:v>Accepted</x:v>
      </x:c>
      <x:c r="L13" s="32" t="str">
        <x:v>DEC-R35-003</x:v>
      </x:c>
    </x:row>
    <x:row r="14">
      <x:c r="A14" s="32" t="str">
        <x:v>F-A004-001</x:v>
      </x:c>
      <x:c r="B14" s="32" t="str">
        <x:v>79fff64c-2594-4e2d-958f-c32cb7f57d6c</x:v>
      </x:c>
      <x:c r="C14" s="32" t="str">
        <x:v>A-004</x:v>
      </x:c>
      <x:c r="D14" s="32" t="n">
        <x:v>46259.5750462963</x:v>
      </x:c>
      <x:c r="E14" s="32" t="str">
        <x:v>Correctness</x:v>
      </x:c>
      <x:c r="F14" s="32" t="str">
        <x:v>Info</x:v>
      </x:c>
      <x:c r="G14" s="32" t="str">
        <x:v>Con 750 alarmas se mantiene exactamente el patrón durable esperado: bootstrap y evidencia periódica aproximadamente a los 5 y 10 minutos.</x:v>
      </x:c>
      <x:c r="H14" s="32" t="str">
        <x:v>121 iterations: 118 empty y 3 work iterations (1, 61, 121). Journal con 3 records; bootstrap: 750 occurrence changes, 750 assignment changes, 1500 journey events y 750 evidence records; los dos commits siguientes: 750 evidence records cada uno.</x:v>
      </x:c>
      <x:c r="I14" s="32" t="str">
        <x:v>El periodo de 5 s continúa sin generar escrituras espurias; la persistencia sólo aparece cuando existe consecuencia durable.</x:v>
      </x:c>
      <x:c r="J14" s="32" t="str">
        <x:v>Mantener el escenario congelado para A-005 y verificar el mismo patrón con 1000 alarmas.</x:v>
      </x:c>
      <x:c r="K14" s="32" t="str">
        <x:v>Accepted</x:v>
      </x:c>
      <x:c r="L14" s="32" t="str">
        <x:v>DEC-R35-004</x:v>
      </x:c>
    </x:row>
    <x:row r="15">
      <x:c r="A15" s="32" t="str">
        <x:v>F-A004-002</x:v>
      </x:c>
      <x:c r="B15" s="32" t="str">
        <x:v>79fff64c-2594-4e2d-958f-c32cb7f57d6c</x:v>
      </x:c>
      <x:c r="C15" s="32" t="str">
        <x:v>A-004</x:v>
      </x:c>
      <x:c r="D15" s="32" t="n">
        <x:v>46259.5750462963</x:v>
      </x:c>
      <x:c r="E15" s="32" t="str">
        <x:v>Memory</x:v>
      </x:c>
      <x:c r="F15" s="32" t="str">
        <x:v>Info</x:v>
      </x:c>
      <x:c r="G15" s="32" t="str">
        <x:v>La memoria vuelve a alcanzar una meseta estable después del bootstrap con 750 alarmas.</x:v>
      </x:c>
      <x:c r="H15" s="32" t="str">
        <x:v>RSS before bootstrap 116.75 MB; post-bootstrap 134.63 MB; peak/final 135.63 MB. Job Runtime reportó memory_peak_percent 0.887 y 0 resource_pressure_events.</x:v>
      </x:c>
      <x:c r="I15" s="32" t="str">
        <x:v>El aumento respecto de 500 alarmas sigue siendo pequeño y no se observa crecimiento acumulativo en 10 minutos.</x:v>
      </x:c>
      <x:c r="J15" s="32" t="str">
        <x:v>Continuar a 1000 alarmas sin profiling granular de memoria.</x:v>
      </x:c>
      <x:c r="K15" s="32" t="str">
        <x:v>Accepted</x:v>
      </x:c>
      <x:c r="L15" s="32" t="str">
        <x:v>DEC-R35-004</x:v>
      </x:c>
    </x:row>
    <x:row r="16">
      <x:c r="A16" s="32" t="str">
        <x:v>F-A004-003</x:v>
      </x:c>
      <x:c r="B16" s="32" t="str">
        <x:v>79fff64c-2594-4e2d-958f-c32cb7f57d6c</x:v>
      </x:c>
      <x:c r="C16" s="32" t="str">
        <x:v>A-004</x:v>
      </x:c>
      <x:c r="D16" s="32" t="n">
        <x:v>46259.5750462963</x:v>
      </x:c>
      <x:c r="E16" s="32" t="str">
        <x:v>CPU</x:v>
      </x:c>
      <x:c r="F16" s="32" t="str">
        <x:v>Info</x:v>
      </x:c>
      <x:c r="G16" s="32" t="str">
        <x:v>La curva 500→750 sigue aproximadamente proporcional y sin evidencia de inflexión.</x:v>
      </x:c>
      <x:c r="H16" s="32" t="str">
        <x:v>Alarm count +50%; p50 387.47→585.99 ms (~1.51×), p95 437.59→645.03 ms (~1.47×), p99 618.82→888.15 ms (~1.44×); 0 overruns. Las 118 iterations sin commit tuvieron p95 ~624.51 ms y max ~755.05 ms. CPU-time granular equivale aproximadamente a 11.63% de un core promediado sobre el run.</x:v>
      </x:c>
      <x:c r="I16" s="32" t="str">
        <x:v>Los máximos de 955/895 ms coinciden con evidence commits de iterations 61/121; no hay patrón de saturación.</x:v>
      </x:c>
      <x:c r="J16" s="32" t="str">
        <x:v>Avanzar a A-005 antes de introducir profiling.</x:v>
      </x:c>
      <x:c r="K16" s="32" t="str">
        <x:v>Accepted</x:v>
      </x:c>
      <x:c r="L16" s="32" t="str">
        <x:v>DEC-R35-004</x:v>
      </x:c>
    </x:row>
    <x:row r="17">
      <x:c r="A17" s="32" t="str">
        <x:v>F-A005-001</x:v>
      </x:c>
      <x:c r="B17" s="32" t="str">
        <x:v>c4128825-75f6-43a9-8c1d-ec8112d89cf3</x:v>
      </x:c>
      <x:c r="C17" s="32" t="str">
        <x:v>A-005</x:v>
      </x:c>
      <x:c r="D17" s="32" t="n">
        <x:v>46259.587905092594</x:v>
      </x:c>
      <x:c r="E17" s="32" t="str">
        <x:v>Correctness</x:v>
      </x:c>
      <x:c r="F17" s="32" t="str">
        <x:v>Info</x:v>
      </x:c>
      <x:c r="G17" s="32" t="str">
        <x:v>Con 1000 alarmas se mantiene el patrón durable esperado y R3.5A completa el baseline sin escrituras espurias.</x:v>
      </x:c>
      <x:c r="H17" s="32" t="str">
        <x:v>121 iterations: 118 empty y 3 work iterations (1, 61, 121). Bootstrap: 1000 occurrence changes, 1000 assignment changes, 2000 journey events y 1000 evidence records; los commits de ~5/~10 min contienen 1000 evidence records cada uno. Journal durable==materialized.</x:v>
      </x:c>
      <x:c r="I17" s="32" t="str">
        <x:v>La cadencia de 5 s sigue desacoplada de la escritura: sólo se persiste cuando existe consecuencia durable real.</x:v>
      </x:c>
      <x:c r="J17" s="32" t="str">
        <x:v>Conservar esta propiedad como baseline al entrar a R3.5B.</x:v>
      </x:c>
      <x:c r="K17" s="32" t="str">
        <x:v>Accepted</x:v>
      </x:c>
      <x:c r="L17" s="32" t="str">
        <x:v>DEC-R35-005</x:v>
      </x:c>
    </x:row>
    <x:row r="18">
      <x:c r="A18" s="32" t="str">
        <x:v>F-A005-002</x:v>
      </x:c>
      <x:c r="B18" s="32" t="str">
        <x:v>c4128825-75f6-43a9-8c1d-ec8112d89cf3</x:v>
      </x:c>
      <x:c r="C18" s="32" t="str">
        <x:v>A-005</x:v>
      </x:c>
      <x:c r="D18" s="32" t="n">
        <x:v>46259.587905092594</x:v>
      </x:c>
      <x:c r="E18" s="32" t="str">
        <x:v>CPU</x:v>
      </x:c>
      <x:c r="F18" s="32" t="str">
        <x:v>Info</x:v>
      </x:c>
      <x:c r="G18" s="32" t="str">
        <x:v>La curva de 750→1000 alarmas continúa cercana a proporcional y sin rodilla de capacidad.</x:v>
      </x:c>
      <x:c r="H18" s="32" t="str">
        <x:v>Alarm count +33%; p50 585.99→806.64 ms (~1.38×), p95 645.03→907.38 ms (~1.41×), p99 888.15→1230.24 ms (~1.39×); máximo 1274.60 ms; 0 overruns. Las 118 iterations sin commit tuvieron p95 ~862.40 ms y max ~984.20 ms. CPU-time granular equivale aproximadamente a 16.20% de un core promediado sobre el run.</x:v>
      </x:c>
      <x:c r="I18" s="32" t="str">
        <x:v>El baseline de 1000 alarmas conserva margen amplio frente al periodo de 5 s; no hay evidencia que justifique profiling granular aún.</x:v>
      </x:c>
      <x:c r="J18" s="32" t="str">
        <x:v>Cerrar R3.5A y pasar a presión de datos/particiones.</x:v>
      </x:c>
      <x:c r="K18" s="32" t="str">
        <x:v>Accepted</x:v>
      </x:c>
      <x:c r="L18" s="32" t="str">
        <x:v>DEC-R35-005</x:v>
      </x:c>
    </x:row>
    <x:row r="19">
      <x:c r="A19" s="32" t="str">
        <x:v>F-A005-003</x:v>
      </x:c>
      <x:c r="B19" s="32" t="str">
        <x:v>c4128825-75f6-43a9-8c1d-ec8112d89cf3</x:v>
      </x:c>
      <x:c r="C19" s="32" t="str">
        <x:v>A-005</x:v>
      </x:c>
      <x:c r="D19" s="32" t="n">
        <x:v>46259.587905092594</x:v>
      </x:c>
      <x:c r="E19" s="32" t="str">
        <x:v>Memory</x:v>
      </x:c>
      <x:c r="F19" s="32" t="str">
        <x:v>Info</x:v>
      </x:c>
      <x:c r="G19" s="32" t="str">
        <x:v>El RSS no crece por iteration, pero muestra escalones de high-water coincidentes con commits grandes de evidencia.</x:v>
      </x:c>
      <x:c r="H19" s="32" t="str">
        <x:v>RSS pre-bootstrap 116.81 MB; post-bootstrap 135.68 MB. Entre iterations 2–60 se estabiliza ~133.4–135.4 MB; tras el commit de iteration 61 queda ~138.60 MB hasta iteration 120; al cierre alcanza 139.62 MB. Job Runtime: memory_peak_percent 0.909 y 0 resource_pressure_events.</x:v>
      </x:c>
      <x:c r="I19" s="32" t="str">
        <x:v>La señal es compatible con retención del allocator/high-water tras serialización/materialización, pero dos evidence refresh no bastan para distinguirla de crecimiento real.</x:v>
      </x:c>
      <x:c r="J19" s="32" t="str">
        <x:v>No marcar FAIL ni activar profiling ahora; verificar tendencia explícitamente en soak R3.5F y, si persiste, usar profiling granular.</x:v>
      </x:c>
      <x:c r="K19" s="32" t="str">
        <x:v>Accepted</x:v>
      </x:c>
      <x:c r="L19" s="32" t="str">
        <x:v>DEC-R35-005</x:v>
      </x:c>
    </x:row>
    <x:row r="20">
      <x:c r="A20" s="32" t="str">
        <x:v>F-B001-001</x:v>
      </x:c>
      <x:c r="B20" s="32" t="str">
        <x:v>a6bf1f5d-5664-40ca-bd9f-257d7e022c46</x:v>
      </x:c>
      <x:c r="C20" s="32" t="str">
        <x:v>B-001</x:v>
      </x:c>
      <x:c r="D20" s="32" t="n">
        <x:v>46259.60527777778</x:v>
      </x:c>
      <x:c r="E20" s="32" t="str">
        <x:v>Data Load</x:v>
      </x:c>
      <x:c r="F20" s="32" t="str">
        <x:v>Info</x:v>
      </x:c>
      <x:c r="G20" s="32" t="str">
        <x:v>Pasar de una señal Latest compartida a 1000 señales únicas aumenta el costo del ciclo, pero mantiene margen amplio y 0 overruns.</x:v>
      </x:c>
      <x:c r="H20" s="32" t="str">
        <x:v>A-005→B-001 con 1000 alarmas constantes: p50 806.64→982.30 ms (+21.8%), p95 907.38→1285.54 ms (+41.7%), p99 1230.24→1587.69 ms (+29.1%), max 1274.60→1633.94 ms (+28.2%).</x:v>
      </x:c>
      <x:c r="I20" s="32" t="str">
        <x:v>El costo adicional de requisitos/señales independientes es observable, pero no hay evidencia de saturación.</x:v>
      </x:c>
      <x:c r="J20" s="32" t="str">
        <x:v>Avanzar a B-002 para aumentar ancho por alarma manteniendo 1 source/1 partition.</x:v>
      </x:c>
      <x:c r="K20" s="32" t="str">
        <x:v>Accepted</x:v>
      </x:c>
      <x:c r="L20" s="32" t="str">
        <x:v>DEC-R35-006</x:v>
      </x:c>
    </x:row>
    <x:row r="21">
      <x:c r="A21" s="32" t="str">
        <x:v>F-B001-002</x:v>
      </x:c>
      <x:c r="B21" s="32" t="str">
        <x:v>a6bf1f5d-5664-40ca-bd9f-257d7e022c46</x:v>
      </x:c>
      <x:c r="C21" s="32" t="str">
        <x:v>B-001</x:v>
      </x:c>
      <x:c r="D21" s="32" t="n">
        <x:v>46259.60527777778</x:v>
      </x:c>
      <x:c r="E21" s="32" t="str">
        <x:v>Data Load</x:v>
      </x:c>
      <x:c r="F21" s="32" t="str">
        <x:v>Info</x:v>
      </x:c>
      <x:c r="G21" s="32" t="str">
        <x:v>El tiempo medido del source loader es muy pequeño frente al ciclo completo.</x:v>
      </x:c>
      <x:c r="H21" s="32" t="str">
        <x:v>Latest narrow: 1 view, 1000 columns, 1 row; source-load p50 5.88 ms, p95 7.69 ms, p99 8.41 ms. El p95 del loader representa ~0.60% del p95 total de 1285.54 ms.</x:v>
      </x:c>
      <x:c r="I21" s="32" t="str">
        <x:v>El incremento frente a A-005 ocurre principalmente después de construir/cargar la vista, probablemente en resolución/uso de requisitos y evaluación por alarma; B-001 no instrumenta fronteras internas suficientes para atribuirlo con mayor precisión.</x:v>
      </x:c>
      <x:c r="J21" s="32" t="str">
        <x:v>No activar profiling todavía; usar B-002/B-003 para determinar si el costo escala con ancho o particiones antes de instrumentar.</x:v>
      </x:c>
      <x:c r="K21" s="32" t="str">
        <x:v>Accepted</x:v>
      </x:c>
      <x:c r="L21" s="32" t="str">
        <x:v>DEC-R35-006</x:v>
      </x:c>
    </x:row>
    <x:row r="22">
      <x:c r="A22" s="32" t="str">
        <x:v>F-B001-003</x:v>
      </x:c>
      <x:c r="B22" s="32" t="str">
        <x:v>a6bf1f5d-5664-40ca-bd9f-257d7e022c46</x:v>
      </x:c>
      <x:c r="C22" s="32" t="str">
        <x:v>B-001</x:v>
      </x:c>
      <x:c r="D22" s="32" t="n">
        <x:v>46259.60527777778</x:v>
      </x:c>
      <x:c r="E22" s="32" t="str">
        <x:v>Memory</x:v>
      </x:c>
      <x:c r="F22" s="32" t="str">
        <x:v>Info</x:v>
      </x:c>
      <x:c r="G22" s="32" t="str">
        <x:v>RSS sigue estable por tramos; aparecen escalones alrededor de commits grandes, consistente con la observación de A-005.</x:v>
      </x:c>
      <x:c r="H22" s="32" t="str">
        <x:v>RSS pre-bootstrap 117.86 MB; post-bootstrap 139.27 MB; pre/post commit ~5m 136.98→141.05 MB; pre/post commit ~10m 140.07→142.03 MB; peak/final 142.03 MB. Job Runtime memory_peak_percent 0.899 y 0 resource_pressure_events.</x:v>
      </x:c>
      <x:c r="I22" s="32" t="str">
        <x:v>La señal sigue siendo compatible con high-water/allocator retention y no con crecimiento por cada iteration.</x:v>
      </x:c>
      <x:c r="J22" s="32" t="str">
        <x:v>Mantener como observación para soak R3.5F; no marcar FAIL.</x:v>
      </x:c>
      <x:c r="K22" s="32" t="str">
        <x:v>Accepted</x:v>
      </x:c>
      <x:c r="L22" s="32" t="str">
        <x:v>DEC-R35-006</x:v>
      </x:c>
    </x:row>
    <x:row r="23">
      <x:c r="A23" s="32" t="str">
        <x:v>F-B002-001</x:v>
      </x:c>
      <x:c r="B23" s="32" t="str">
        <x:v>1d262dd1-8264-4644-8b7c-55968584b09a</x:v>
      </x:c>
      <x:c r="C23" s="32" t="str">
        <x:v>B-002</x:v>
      </x:c>
      <x:c r="D23" s="32" t="n">
        <x:v>46259.616944444446</x:v>
      </x:c>
      <x:c r="E23" s="32" t="str">
        <x:v>Data Load</x:v>
      </x:c>
      <x:c r="F23" s="32" t="str">
        <x:v>Info</x:v>
      </x:c>
      <x:c r="G23" s="32" t="str">
        <x:v>Triplicar el ancho de Latest de 1000 a 3000 columnas no produce degradación del ciclo total ni overruns.</x:v>
      </x:c>
      <x:c r="H23" s="32" t="str">
        <x:v>B-001→B-002: source columns 1000→3000 (3×), frame bytes 8132→24132 (~2.97×), source-load p95 7.69→17.45 ms (~2.27×). Sin embargo p95 total 1285.54→1084.95 ms (-15.6%) y p99 1587.69→1423.10 ms (-10.4%).</x:v>
      </x:c>
      <x:c r="I23" s="32" t="str">
        <x:v>El ancho bruto aumenta el costo del loader de forma visible pero todavía pequeña frente al ciclo; la mejora total entre corridas puede incluir variación del host y no debe interpretarse como que más columnas hacen al Runtime más rápido.</x:v>
      </x:c>
      <x:c r="J23" s="32" t="str">
        <x:v>No activar profiling; pasar a múltiples particiones para probar una dimensión estructural distinta.</x:v>
      </x:c>
      <x:c r="K23" s="32" t="str">
        <x:v>Accepted</x:v>
      </x:c>
      <x:c r="L23" s="32" t="str">
        <x:v>DEC-R35-007</x:v>
      </x:c>
    </x:row>
    <x:row r="24">
      <x:c r="A24" s="32" t="str">
        <x:v>F-B002-002</x:v>
      </x:c>
      <x:c r="B24" s="32" t="str">
        <x:v>1d262dd1-8264-4644-8b7c-55968584b09a</x:v>
      </x:c>
      <x:c r="C24" s="32" t="str">
        <x:v>B-002</x:v>
      </x:c>
      <x:c r="D24" s="32" t="n">
        <x:v>46259.616944444446</x:v>
      </x:c>
      <x:c r="E24" s="32" t="str">
        <x:v>Data Load</x:v>
      </x:c>
      <x:c r="F24" s="32" t="str">
        <x:v>Info</x:v>
      </x:c>
      <x:c r="G24" s="32" t="str">
        <x:v>El source loader sigue siendo una fracción menor del tiempo total aun con 3000 columnas.</x:v>
      </x:c>
      <x:c r="H24" s="32" t="str">
        <x:v>Source-load p50 14.98 ms, p95 17.45 ms, p99 18.52 ms. El p95 del loader equivale a ~1.61% del p95 total de 1084.95 ms.</x:v>
      </x:c>
      <x:c r="I24" s="32" t="str">
        <x:v>En este rango, la preparación de la vista Latest no es el cuello dominante; el costo principal continúa después de la carga de la vista.</x:v>
      </x:c>
      <x:c r="J24" s="32" t="str">
        <x:v>Mantener medición del loader y observar cómo cambia al introducir particiones en B-003/B-004.</x:v>
      </x:c>
      <x:c r="K24" s="32" t="str">
        <x:v>Accepted</x:v>
      </x:c>
      <x:c r="L24" s="32" t="str">
        <x:v>DEC-R35-007</x:v>
      </x:c>
    </x:row>
    <x:row r="25">
      <x:c r="A25" s="32" t="str">
        <x:v>F-B002-003</x:v>
      </x:c>
      <x:c r="B25" s="32" t="str">
        <x:v>1d262dd1-8264-4644-8b7c-55968584b09a</x:v>
      </x:c>
      <x:c r="C25" s="32" t="str">
        <x:v>B-002</x:v>
      </x:c>
      <x:c r="D25" s="32" t="n">
        <x:v>46259.616944444446</x:v>
      </x:c>
      <x:c r="E25" s="32" t="str">
        <x:v>Memory</x:v>
      </x:c>
      <x:c r="F25" s="32" t="str">
        <x:v>Info</x:v>
      </x:c>
      <x:c r="G25" s="32" t="str">
        <x:v>RSS mantiene comportamiento por mesetas y escalones alrededor de commits grandes, sin crecimiento por cada iteration.</x:v>
      </x:c>
      <x:c r="H25" s="32" t="str">
        <x:v>RSS pre-bootstrap 117.88 MB; post-bootstrap 142.58 MB; iterations 2–60 ~139.26–139.35 MB; tras commit ~5m ~143.44 MB; iterations 62–120 ~141.96 MB; final/peak 144.91 MB. Job Runtime memory_peak_percent 0.917 y 0 resource_pressure_events.</x:v>
      </x:c>
      <x:c r="I25" s="32" t="str">
        <x:v>El aumento de ~2.88 MB de peak RSS frente a B-001 es pequeño frente al incremento de 3× columnas y sigue siendo compatible con high-water/allocator retention.</x:v>
      </x:c>
      <x:c r="J25" s="32" t="str">
        <x:v>Mantener como observación para soak; no marcar FAIL.</x:v>
      </x:c>
      <x:c r="K25" s="32" t="str">
        <x:v>Accepted</x:v>
      </x:c>
      <x:c r="L25" s="32" t="str">
        <x:v>DEC-R35-007</x:v>
      </x:c>
    </x:row>
    <x:row r="26">
      <x:c r="A26" s="32" t="str">
        <x:v>F-B003-001</x:v>
      </x:c>
      <x:c r="B26" s="32" t="str">
        <x:v>71c0030e-e5dc-4a33-887c-1399328db030</x:v>
      </x:c>
      <x:c r="C26" s="32" t="str">
        <x:v>B-003</x:v>
      </x:c>
      <x:c r="D26" s="32" t="n">
        <x:v>46259.63543981482</x:v>
      </x:c>
      <x:c r="E26" s="32" t="str">
        <x:v>Data Load</x:v>
      </x:c>
      <x:c r="F26" s="32" t="str">
        <x:v>Info</x:v>
      </x:c>
      <x:c r="G26" s="32" t="str">
        <x:v>Cuatro particiones físicas balanceadas no introducen presión relevante frente al baseline B-001 de una sola partición.</x:v>
      </x:c>
      <x:c r="H26" s="32" t="str">
        <x:v>B-001→B-003 mantiene 1000 alarmas/1000 columnas: source-load p95 7.69→8.09 ms (+~5.1%); merge p95 0.175 ms; cycle p95 1285.54→992.83 ms (-22.8%); p99 1587.69→1352.17 ms (-14.8%); 0 overruns.</x:v>
      </x:c>
      <x:c r="I26" s="32" t="str">
        <x:v>El costo específico de merge es despreciable en 4 particiones. La mejora del cycle entre runs puede contener variación del host y no prueba que particionar acelere el Runtime.</x:v>
      </x:c>
      <x:c r="J26" s="32" t="str">
        <x:v>Avanzar a 8 particiones balanceadas manteniendo el mismo harness y escenario.</x:v>
      </x:c>
      <x:c r="K26" s="32" t="str">
        <x:v>Accepted</x:v>
      </x:c>
      <x:c r="L26" s="32" t="str">
        <x:v>DEC-R35-008</x:v>
      </x:c>
    </x:row>
    <x:row r="27">
      <x:c r="A27" s="32" t="str">
        <x:v>F-B003-002</x:v>
      </x:c>
      <x:c r="B27" s="32" t="str">
        <x:v>71c0030e-e5dc-4a33-887c-1399328db030</x:v>
      </x:c>
      <x:c r="C27" s="32" t="str">
        <x:v>B-003</x:v>
      </x:c>
      <x:c r="D27" s="32" t="n">
        <x:v>46259.63543981482</x:v>
      </x:c>
      <x:c r="E27" s="32" t="str">
        <x:v>Correctness</x:v>
      </x:c>
      <x:c r="F27" s="32" t="str">
        <x:v>Info</x:v>
      </x:c>
      <x:c r="G27" s="32" t="str">
        <x:v>El reparto físico quedó exactamente balanceado y preservó una sola vista lógica Latest con integridad durable/materializada.</x:v>
      </x:c>
      <x:c r="H27" s="32" t="str">
        <x:v>physical_partition_count=4; column_counts=250/250/250/250; source_view_count=1; source_column_count=1000; journal durable offset=materialized offset=3,582,045. Journal: bootstrap + evidence ~5m + evidence ~10m.</x:v>
      </x:c>
      <x:c r="I27" s="32" t="str">
        <x:v>El particionamiento físico/merge no altera el contrato lógico ni la semántica durable.</x:v>
      </x:c>
      <x:c r="J27" s="32" t="str">
        <x:v>Conservar esta estructura para B-004 y comparar sólo el incremento 4→8 particiones.</x:v>
      </x:c>
      <x:c r="K27" s="32" t="str">
        <x:v>Accepted</x:v>
      </x:c>
      <x:c r="L27" s="32" t="str">
        <x:v>DEC-R35-008</x:v>
      </x:c>
    </x:row>
    <x:row r="28">
      <x:c r="A28" s="32" t="str">
        <x:v>F-B003-003</x:v>
      </x:c>
      <x:c r="B28" s="32" t="str">
        <x:v>71c0030e-e5dc-4a33-887c-1399328db030</x:v>
      </x:c>
      <x:c r="C28" s="32" t="str">
        <x:v>B-003</x:v>
      </x:c>
      <x:c r="D28" s="32" t="n">
        <x:v>46259.63543981482</x:v>
      </x:c>
      <x:c r="E28" s="32" t="str">
        <x:v>Memory</x:v>
      </x:c>
      <x:c r="F28" s="32" t="str">
        <x:v>Info</x:v>
      </x:c>
      <x:c r="G28" s="32" t="str">
        <x:v>RSS permanece en el mismo rango observado en B-001 pese a introducir cuatro particiones físicas.</x:v>
      </x:c>
      <x:c r="H28" s="32" t="str">
        <x:v>RSS pre-bootstrap 117.79 MB; post-bootstrap 138.14 MB; antes/después commit ~5m 135.80→141.12 MB; antes/después commit ~10m 139.12→142.14 MB; peak 142.14 MB. Job Runtime memory_peak_percent 0.894 y 0 resource_pressure_events.</x:v>
      </x:c>
      <x:c r="I28" s="32" t="str">
        <x:v>No hay evidencia de costo de memoria relevante por 4 particiones; persiste el patrón de high-water alrededor de commits grandes.</x:v>
      </x:c>
      <x:c r="J28" s="32" t="str">
        <x:v>Mantener observación para soak y continuar a B-004.</x:v>
      </x:c>
      <x:c r="K28" s="32" t="str">
        <x:v>Accepted</x:v>
      </x:c>
      <x:c r="L28" s="32" t="str">
        <x:v>DEC-R35-008</x:v>
      </x:c>
    </x:row>
    <x:row r="29">
      <x:c r="A29" s="32" t="str">
        <x:v>F-B004-001</x:v>
      </x:c>
      <x:c r="B29" s="32" t="str">
        <x:v>d613de53-a439-414b-a17a-e4d4d5a0bfe2</x:v>
      </x:c>
      <x:c r="C29" s="32" t="str">
        <x:v>B-004</x:v>
      </x:c>
      <x:c r="D29" s="32" t="n">
        <x:v>46259.65217592593</x:v>
      </x:c>
      <x:c r="E29" s="32" t="str">
        <x:v>Performance</x:v>
      </x:c>
      <x:c r="F29" s="32" t="str">
        <x:v>Info</x:v>
      </x:c>
      <x:c r="G29" s="32" t="str">
        <x:v>El salto adaptativo de 4 a 36 particiones produce por primera vez una degradación temporal material, pero el escenario sigue GREEN y sin overruns.</x:v>
      </x:c>
      <x:c r="H29" s="32" t="str">
        <x:v>B-003→B-004: partitions 4→36 (9×); p50 953.85→1646.51 ms (+72.6%); p95 992.83→1805.03 ms (+81.8%); p99 1352.17→2263.77 ms (+67.4%); max 1387.57→2412.45 ms (+73.9%). Empty-iteration p95 ~1791.36 ms; 0 overruns.</x:v>
      </x:c>
      <x:c r="I29" s="32" t="str">
        <x:v>La presión ya es visible en el ciclo base, no sólo en commits. Aun así, p95 usa ~36.1% del periodo de 5 s y conserva margen operacional.</x:v>
      </x:c>
      <x:c r="J29" s="32" t="str">
        <x:v>Cambiar de dimensión: comparar skewed vs balanced en las mismas 36 particiones, en lugar de ejecutar 8/16/32.</x:v>
      </x:c>
      <x:c r="K29" s="32" t="str">
        <x:v>Accepted</x:v>
      </x:c>
      <x:c r="L29" s="32" t="str">
        <x:v>DEC-R35-009</x:v>
      </x:c>
    </x:row>
    <x:row r="30">
      <x:c r="A30" s="32" t="str">
        <x:v>F-B004-002</x:v>
      </x:c>
      <x:c r="B30" s="32" t="str">
        <x:v>d613de53-a439-414b-a17a-e4d4d5a0bfe2</x:v>
      </x:c>
      <x:c r="C30" s="32" t="str">
        <x:v>B-004</x:v>
      </x:c>
      <x:c r="D30" s="32" t="n">
        <x:v>46259.65217592593</x:v>
      </x:c>
      <x:c r="E30" s="32" t="str">
        <x:v>Data Load</x:v>
      </x:c>
      <x:c r="F30" s="32" t="str">
        <x:v>Info</x:v>
      </x:c>
      <x:c r="G30" s="32" t="str">
        <x:v>El costo de source-load/merge crece con 36 particiones, pero sigue siendo demasiado pequeño para explicar por sí solo el incremento del ciclo.</x:v>
      </x:c>
      <x:c r="H30" s="32" t="str">
        <x:v>B-003→B-004: source-load p95 8.09→25.37 ms (~3.14×); merge p95 0.175→1.013 ms (~5.77×). En B-004, source-load p95 es ~1.41% del cycle p95 y merge p95 ~0.056%.</x:v>
      </x:c>
      <x:c r="I30" s="32" t="str">
        <x:v>La mayor duración ocurre después de la materialización/merge de la vista o refleja overhead de orquestación/objetos por partición y variabilidad del host; aún no hay evidencia suficiente para localizar una frontera interna.</x:v>
      </x:c>
      <x:c r="J30" s="32" t="str">
        <x:v>No activar profiling granular todavía; usar el contraste balanced→skewed para obtener más información estructural.</x:v>
      </x:c>
      <x:c r="K30" s="32" t="str">
        <x:v>Accepted</x:v>
      </x:c>
      <x:c r="L30" s="32" t="str">
        <x:v>DEC-R35-009</x:v>
      </x:c>
    </x:row>
    <x:row r="31">
      <x:c r="A31" s="32" t="str">
        <x:v>F-B004-003</x:v>
      </x:c>
      <x:c r="B31" s="32" t="str">
        <x:v>d613de53-a439-414b-a17a-e4d4d5a0bfe2</x:v>
      </x:c>
      <x:c r="C31" s="32" t="str">
        <x:v>B-004</x:v>
      </x:c>
      <x:c r="D31" s="32" t="n">
        <x:v>46259.65217592593</x:v>
      </x:c>
      <x:c r="E31" s="32" t="str">
        <x:v>Correctness / Memory</x:v>
      </x:c>
      <x:c r="F31" s="32" t="str">
        <x:v>Info</x:v>
      </x:c>
      <x:c r="G31" s="32" t="str">
        <x:v>La degradación temporal no viene acompañada de presión de memoria, corrupción ni cambios en la semántica durable.</x:v>
      </x:c>
      <x:c r="H31" s="32" t="str">
        <x:v>36 partitions = 28 partitions×28 columns + 8×27; snapshot 1000/1000; journal durable==materialized at byte_offset 3,582,045; 3 commits exactos. Peak RSS 141.50 MB vs 142.14 MB en B-003; Job Runtime: memory_peak 0.896%, resource_pressure_events=0, errors=0, warnings=0.</x:v>
      </x:c>
      <x:c r="I31" s="32" t="str">
        <x:v>El particionamiento alto afecta principalmente tiempo de ejecución/CPU activo en este escenario, no footprint durable ni RSS.</x:v>
      </x:c>
      <x:c r="J31" s="32" t="str">
        <x:v>Mantener Runtime sin cambios y continuar con skew.</x:v>
      </x:c>
      <x:c r="K31" s="32" t="str">
        <x:v>Accepted</x:v>
      </x:c>
      <x:c r="L31" s="32" t="str">
        <x:v>DEC-R35-009</x:v>
      </x:c>
    </x:row>
    <x:row r="32">
      <x:c r="A32" s="32" t="str">
        <x:v>F-B007-001</x:v>
      </x:c>
      <x:c r="B32" s="32" t="str">
        <x:v>89bc783e-94b8-470b-9f5e-09f4d9d5fa15</x:v>
      </x:c>
      <x:c r="C32" s="32" t="str">
        <x:v>B-007</x:v>
      </x:c>
      <x:c r="D32" s="32" t="n">
        <x:v>46259.670127314814</x:v>
      </x:c>
      <x:c r="E32" s="32" t="str">
        <x:v>Performance</x:v>
      </x:c>
      <x:c r="F32" s="32" t="str">
        <x:v>Info</x:v>
      </x:c>
      <x:c r="G32" s="32" t="str">
        <x:v>El skew ~80/20 sobre 36 particiones produce sólo una degradación pequeña frente al mismo número de particiones balanceadas.</x:v>
      </x:c>
      <x:c r="H32" s="32" t="str">
        <x:v>B-004→B-007: p50 1646.51→1708.26 ms (+3.8%); p95 1805.03→1899.99 ms (+5.3%); p99 2263.77→2337.01 ms (+3.2%); max 2412.45→2450.45 ms (+1.6%); 0 overruns.</x:v>
      </x:c>
      <x:c r="I32" s="32" t="str">
        <x:v>La geometría skewed no altera materialmente la capacidad; el costo dominante continúa asociado al escenario de 36 particiones, no a cómo se distribuyen las 1000 columnas.</x:v>
      </x:c>
      <x:c r="J32" s="32" t="str">
        <x:v>No ejecutar más variantes de skew; pasar a heterogeneidad/vacíos/missing-columns.</x:v>
      </x:c>
      <x:c r="K32" s="32" t="str">
        <x:v>Accepted</x:v>
      </x:c>
      <x:c r="L32" s="32" t="str">
        <x:v>DEC-R35-010</x:v>
      </x:c>
    </x:row>
    <x:row r="33">
      <x:c r="A33" s="32" t="str">
        <x:v>F-B007-002</x:v>
      </x:c>
      <x:c r="B33" s="32" t="str">
        <x:v>89bc783e-94b8-470b-9f5e-09f4d9d5fa15</x:v>
      </x:c>
      <x:c r="C33" s="32" t="str">
        <x:v>B-007</x:v>
      </x:c>
      <x:c r="D33" s="32" t="n">
        <x:v>46259.670127314814</x:v>
      </x:c>
      <x:c r="E33" s="32" t="str">
        <x:v>Data Load</x:v>
      </x:c>
      <x:c r="F33" s="32" t="str">
        <x:v>Info</x:v>
      </x:c>
      <x:c r="G33" s="32" t="str">
        <x:v>Source-load y merge cambian muy poco entre 36 balanced y 36 skewed.</x:v>
      </x:c>
      <x:c r="H33" s="32" t="str">
        <x:v>B-004→B-007: source-load p95 25.37→26.15 ms (+3.0%); merge p95 1.013→1.103 ms (+8.9%, +0.091 ms absolutos). En B-007, loader p95 ≈1.38% del cycle p95 y merge ≈0.058%.</x:v>
      </x:c>
      <x:c r="I33" s="32" t="str">
        <x:v>Ni el merge ni el loader explican una presión relevante por skew; el incremento absoluto es mínimo.</x:v>
      </x:c>
      <x:c r="J33" s="32" t="str">
        <x:v>Mantener instrumentación actual; no activar profiling granular.</x:v>
      </x:c>
      <x:c r="K33" s="32" t="str">
        <x:v>Accepted</x:v>
      </x:c>
      <x:c r="L33" s="32" t="str">
        <x:v>DEC-R35-010</x:v>
      </x:c>
    </x:row>
    <x:row r="34">
      <x:c r="A34" s="32" t="str">
        <x:v>F-B007-003</x:v>
      </x:c>
      <x:c r="B34" s="32" t="str">
        <x:v>89bc783e-94b8-470b-9f5e-09f4d9d5fa15</x:v>
      </x:c>
      <x:c r="C34" s="32" t="str">
        <x:v>B-007</x:v>
      </x:c>
      <x:c r="D34" s="32" t="n">
        <x:v>46259.670127314814</x:v>
      </x:c>
      <x:c r="E34" s="32" t="str">
        <x:v>Correctness / Memory</x:v>
      </x:c>
      <x:c r="F34" s="32" t="str">
        <x:v>Info</x:v>
      </x:c>
      <x:c r="G34" s="32" t="str">
        <x:v>El skew conserva integridad durable/materializada y no introduce presión adicional de memoria.</x:v>
      </x:c>
      <x:c r="H34" s="32" t="str">
        <x:v>36 partitions = 8×100 hot + 4×8 + 24×7 cold; snapshot 1000/1000; 3 durable records; appended journal bytes 3,582,045; journal head durable==materialized. Peak RSS 141.71 MB vs 141.50 MB en B-004. Job Runtime: memory_peak 0.921%, resource_pressure_events=0, errors=0, warnings=0.</x:v>
      </x:c>
      <x:c r="I34" s="32" t="str">
        <x:v>No existe señal de corrupción, pérdida durable, duplicación ni crecimiento de RSS atribuible al skew.</x:v>
      </x:c>
      <x:c r="J34" s="32" t="str">
        <x:v>Avanzar a B-008 para introducir heterogeneidad real de contenido.</x:v>
      </x:c>
      <x:c r="K34" s="32" t="str">
        <x:v>Accepted</x:v>
      </x:c>
      <x:c r="L34" s="32" t="str">
        <x:v>DEC-R35-010</x:v>
      </x:c>
    </x:row>
    <x:row r="35">
      <x:c r="A35" s="32" t="str">
        <x:v>F-B008-001</x:v>
      </x:c>
      <x:c r="B35" s="32" t="str">
        <x:v>6ee6ed1a-e592-4e76-a95b-777f242eb996</x:v>
      </x:c>
      <x:c r="C35" s="32" t="str">
        <x:v>B-008</x:v>
      </x:c>
      <x:c r="D35" s="32" t="n">
        <x:v>46259.684537037036</x:v>
      </x:c>
      <x:c r="E35" s="32" t="str">
        <x:v>Harness / Integrity Gate</x:v>
      </x:c>
      <x:c r="F35" s="32" t="str">
        <x:v>Medium</x:v>
      </x:c>
      <x:c r="G35" s="32" t="str">
        <x:v>El harness emitió un falso FAIL al exigir snapshot_alarm_count == alarm_count en un escenario que produce estados iniciales INACTIVE neutrales.</x:v>
      </x:c>
      <x:c r="H35" s="32" t="str">
        <x:v>Raw report: result=FAIL, snapshot_alarm_count=880, alarm_count=1000. El escenario reporta 120 missing_source_columns y 120 synthesized_null columns. El Core omite del snapshot cualquier AlarmRuntimeState neutral (sin occurrence, management_effect ni deactivation_effect).</x:v>
      </x:c>
      <x:c r="I35" s="32" t="str">
        <x:v>La regla era válida para los escenarios previos donde las 1000 alarmas estaban ACTIVE, pero confundía alarmas configuradas con hot-state durable materializado.</x:v>
      </x:c>
      <x:c r="J35" s="32" t="str">
        <x:v>R3.5B.3.1 applied and validated with B-008-GATE-SMOKE: expected_snapshot_alarm_count=880, snapshot_alarm_count=880, neutral_alarm_count=120, integrity_ok=true, result=PASS.</x:v>
      </x:c>
      <x:c r="K35" s="32" t="str">
        <x:v>Fixed</x:v>
      </x:c>
      <x:c r="L35" s="32" t="str">
        <x:v>DEC-R35-012</x:v>
      </x:c>
    </x:row>
    <x:row r="36">
      <x:c r="A36" s="32" t="str">
        <x:v>F-B008-002</x:v>
      </x:c>
      <x:c r="B36" s="32" t="str">
        <x:v>6ee6ed1a-e592-4e76-a95b-777f242eb996</x:v>
      </x:c>
      <x:c r="C36" s="32" t="str">
        <x:v>B-008</x:v>
      </x:c>
      <x:c r="D36" s="32" t="n">
        <x:v>46259.684537037036</x:v>
      </x:c>
      <x:c r="E36" s="32" t="str">
        <x:v>Correctness</x:v>
      </x:c>
      <x:c r="F36" s="32" t="str">
        <x:v>Info</x:v>
      </x:c>
      <x:c r="G36" s="32" t="str">
        <x:v>Las 120 señales primarias ausentes se resolvieron como null → INACTIVE y no generaron hot-state durable, exactamente según la semántica neutral del Core.</x:v>
      </x:c>
      <x:c r="H36" s="32" t="str">
        <x:v>Snapshot contiene 880 alarmas. El bootstrap contiene 880 occurrence_changes, 880 assignment_changes, 1760 journey_events y 880 evidence_records; los commits de ~5/~10 min contienen 880 evidence_records cada uno. Journal durable==materialized en byte_offset 3,152,565.</x:v>
      </x:c>
      <x:c r="I36" s="32" t="str">
        <x:v>No existe pérdida de 120 alarmas activas: esas identidades siguen configuradas, pero no tienen estado operacional durable que persistir.</x:v>
      </x:c>
      <x:c r="J36" s="32" t="str">
        <x:v>Reclasificar B-008 como PASS-WITH-FINDINGS; preservar el raw result FAIL para auditoría.</x:v>
      </x:c>
      <x:c r="K36" s="32" t="str">
        <x:v>Accepted</x:v>
      </x:c>
      <x:c r="L36" s="32" t="str">
        <x:v>DEC-R35-011</x:v>
      </x:c>
    </x:row>
    <x:row r="37">
      <x:c r="A37" s="32" t="str">
        <x:v>F-B008-003</x:v>
      </x:c>
      <x:c r="B37" s="32" t="str">
        <x:v>6ee6ed1a-e592-4e76-a95b-777f242eb996</x:v>
      </x:c>
      <x:c r="C37" s="32" t="str">
        <x:v>B-008</x:v>
      </x:c>
      <x:c r="D37" s="32" t="n">
        <x:v>46259.684537037036</x:v>
      </x:c>
      <x:c r="E37" s="32" t="str">
        <x:v>Performance</x:v>
      </x:c>
      <x:c r="F37" s="32" t="str">
        <x:v>Info</x:v>
      </x:c>
      <x:c r="G37" s="32" t="str">
        <x:v>El escenario mixed permanece holgado; performance es secundaria porque sólo 880 alarmas mantienen hot-state activo.</x:v>
      </x:c>
      <x:c r="H37" s="32" t="str">
        <x:v>p95 1003.20 ms, p99 1333.51 ms, max 1381.55 ms, 0 overruns. Las 118 iterations sin commit tuvieron p95 ~979.14 ms. Source-load p95 10.82 ms; merge p95 1.002 ms; peak RSS 140.87 MB; Job Runtime resource_pressure_events=0.</x:v>
      </x:c>
      <x:c r="I37" s="32" t="str">
        <x:v>La reducción frente a B-007 no prueba una optimización: el workload operacional efectivo cambió porque 120 alarmas son neutrales.</x:v>
      </x:c>
      <x:c r="J37" s="32" t="str">
        <x:v>Usar B-008 principalmente como correctness/heterogeneity evidence, no como punto directo de la curva de capacidad de 1000 alarmas activas.</x:v>
      </x:c>
      <x:c r="K37" s="32" t="str">
        <x:v>Accepted</x:v>
      </x:c>
      <x:c r="L37" s="32" t="str">
        <x:v>DEC-R35-011</x:v>
      </x:c>
    </x:row>
    <x:row r="38">
      <x:c r="A38" s="32" t="str">
        <x:v>F-B009-001</x:v>
      </x:c>
      <x:c r="B38" s="32" t="str">
        <x:v>804265bb-f165-4deb-96ef-e062d0ee8117</x:v>
      </x:c>
      <x:c r="C38" s="32" t="str">
        <x:v>B-009</x:v>
      </x:c>
      <x:c r="D38" s="32" t="n">
        <x:v>46259.77888888889</x:v>
      </x:c>
      <x:c r="E38" s="32" t="str">
        <x:v>Performance</x:v>
      </x:c>
      <x:c r="F38" s="32" t="str">
        <x:v>Info</x:v>
      </x:c>
      <x:c r="G38" s="32" t="str">
        <x:v>B-009 alcanzó la banda de frontera de ~3 s sin cruzar el periodo interno de 5 s.</x:v>
      </x:c>
      <x:c r="H38" s="32" t="str">
        <x:v>B-004 balanced→B-009: p50 1646.51→2625.46 ms (+59.5%); p95 1805.03→2997.01 ms (+66.0%); p99 2263.77→3284.83 ms (+45.1%); max 2412.45→3600.32 ms (+49.2%); 0 overruns.</x:v>
      </x:c>
      <x:c r="I38" s="32" t="str">
        <x:v>El valor 2997.01 ms está sólo ~3 ms por debajo del umbral nominal de 3 s; esa diferencia es ruido de timing, no evidencia de margen alto. La campaña ya obtuvo la reacción buscada.</x:v>
      </x:c>
      <x:c r="J38" s="32" t="str">
        <x:v>No ejecutar el candidato extremo 6 series × 3 h. Escalar una sola dimensión: mantener 3 series/alarm y llevar la ventana a 180 min.</x:v>
      </x:c>
      <x:c r="K38" s="32" t="str">
        <x:v>Accepted</x:v>
      </x:c>
      <x:c r="L38" s="32" t="str">
        <x:v>DEC-R35-013</x:v>
      </x:c>
    </x:row>
    <x:row r="39">
      <x:c r="A39" s="32" t="str">
        <x:v>F-B009-002</x:v>
      </x:c>
      <x:c r="B39" s="32" t="str">
        <x:v>804265bb-f165-4deb-96ef-e062d0ee8117</x:v>
      </x:c>
      <x:c r="C39" s="32" t="str">
        <x:v>B-009</x:v>
      </x:c>
      <x:c r="D39" s="32" t="n">
        <x:v>46259.77888888889</x:v>
      </x:c>
      <x:c r="E39" s="32" t="str">
        <x:v>CPU</x:v>
      </x:c>
      <x:c r="F39" s="32" t="str">
        <x:v>Info</x:v>
      </x:c>
      <x:c r="G39" s="32" t="str">
        <x:v>El ciclo histórico trabaja prácticamente a un core completo durante cada iteración.</x:v>
      </x:c>
      <x:c r="H39" s="32" t="str">
        <x:v>PerformanceRecorder: avg CPU 99.43%, peak 100.43%. Esa métrica usa CPU-time/wall-time del proceso y equivale aproximadamente a 1 core activo, no a 99% de los 8 cores del host. Job Runtime reportó cpu_limit_cores=8 y cpu_peak_percent=35.643 con 0 resource_pressure_events.</x:v>
      </x:c>
      <x:c r="I39" s="32" t="str">
        <x:v>La ruta evaluadora es CPU-intensiva y todavía conserva ~2 s de margen start-to-start. Las métricas de PerformanceRecorder y Job Runtime tienen denominadores/alcances distintos.</x:v>
      </x:c>
      <x:c r="J39" s="32" t="str">
        <x:v>Mantener instrumentación actual; perfilar sólo si el siguiente probe cruza/reproduce la frontera.</x:v>
      </x:c>
      <x:c r="K39" s="32" t="str">
        <x:v>Accepted</x:v>
      </x:c>
      <x:c r="L39" s="32" t="str">
        <x:v>DEC-R35-013</x:v>
      </x:c>
    </x:row>
    <x:row r="40">
      <x:c r="A40" s="32" t="str">
        <x:v>F-B009-003</x:v>
      </x:c>
      <x:c r="B40" s="32" t="str">
        <x:v>804265bb-f165-4deb-96ef-e062d0ee8117</x:v>
      </x:c>
      <x:c r="C40" s="32" t="str">
        <x:v>B-009</x:v>
      </x:c>
      <x:c r="D40" s="32" t="n">
        <x:v>46259.77888888889</x:v>
      </x:c>
      <x:c r="E40" s="32" t="str">
        <x:v>Data Load / Memory / Correctness</x:v>
      </x:c>
      <x:c r="F40" s="32" t="str">
        <x:v>Info</x:v>
      </x:c>
      <x:c r="G40" s="32" t="str">
        <x:v>El aumento temporal no viene del loader/merge ni de una presión de memoria o integridad.</x:v>
      </x:c>
      <x:c r="H40" s="32" t="str">
        <x:v>source-load p95 8.27 ms; merge p95 0.820 ms frente a cycle p95 2997.01 ms. Peak RSS 156.66 MB; 0 overruns; integrity_ok=true; journal aligned; snapshot 1000/1000; 3 durable records; Job Runtime errors=0, warnings=0 y resource_pressure_events=0.</x:v>
      </x:c>
      <x:c r="I40" s="32" t="str">
        <x:v>La mayor parte del costo aparece después de materializar las vistas, principalmente en resolución/evaluación de las 1000 alarmas sobre 3×360 puntos históricos por alarma. No hay evidencia de crecimiento no acotado de RSS.</x:v>
      </x:c>
      <x:c r="J40" s="32" t="str">
        <x:v>Usar B-010 como probe de profundidad temporal; si cruza 5 s, regresar a 120 min y aislar la rodilla.</x:v>
      </x:c>
      <x:c r="K40" s="32" t="str">
        <x:v>Accepted</x:v>
      </x:c>
      <x:c r="L40" s="32" t="str">
        <x:v>DEC-R35-013</x:v>
      </x:c>
    </x:row>
    <x:row r="41">
      <x:c r="A41" s="32" t="str">
        <x:v>F-B010-001</x:v>
      </x:c>
      <x:c r="B41" s="32" t="str">
        <x:v>013ab1e8-bc67-48af-92c2-44098a440a66</x:v>
      </x:c>
      <x:c r="C41" s="32" t="str">
        <x:v>B-010</x:v>
      </x:c>
      <x:c r="D41" s="32" t="n">
        <x:v>46259.79849537037</x:v>
      </x:c>
      <x:c r="E41" s="32" t="str">
        <x:v>Performance</x:v>
      </x:c>
      <x:c r="F41" s="32" t="str">
        <x:v>Info</x:v>
      </x:c>
      <x:c r="G41" s="32" t="str">
        <x:v>Triplicar la profundidad histórica elevó el ciclo de forma material pero sublineal y sin cruzar 5 s.</x:v>
      </x:c>
      <x:c r="H41" s="32" t="str">
        <x:v>B-009→B-010: historical values 1.08M→3.24M (3×); p50 2625.46→3141.72 ms (+19.7%); p95 2997.01→3796.33 ms (+26.7%); p99 3284.83→3999.59 ms (+21.8%); max 3600.32→4465.37 ms (+24.0%); 0 overruns en ambas corridas.</x:v>
      </x:c>
      <x:c r="I41" s="32" t="str">
        <x:v>La profundidad temporal por sí sola no escala cerca de linealmente con el número de valores. B-010 permanece en la boundary band 3–5 s y conserva ~1.2 s de margen p95 respecto del periodo candidato.</x:v>
      </x:c>
      <x:c r="J41" s="32" t="str">
        <x:v>Cambiar sólo ancho histórico en B-011: 3→6 series/alarm con profundidad fija en 180 min.</x:v>
      </x:c>
      <x:c r="K41" s="32" t="str">
        <x:v>Accepted</x:v>
      </x:c>
      <x:c r="L41" s="32" t="str">
        <x:v>DEC-R35-014</x:v>
      </x:c>
    </x:row>
    <x:row r="42">
      <x:c r="A42" s="32" t="str">
        <x:v>F-B010-002</x:v>
      </x:c>
      <x:c r="B42" s="32" t="str">
        <x:v>013ab1e8-bc67-48af-92c2-44098a440a66</x:v>
      </x:c>
      <x:c r="C42" s="32" t="str">
        <x:v>B-010</x:v>
      </x:c>
      <x:c r="D42" s="32" t="n">
        <x:v>46259.79849537037</x:v>
      </x:c>
      <x:c r="E42" s="32" t="str">
        <x:v>Memory / Scheduling</x:v>
      </x:c>
      <x:c r="F42" s="32" t="str">
        <x:v>Info</x:v>
      </x:c>
      <x:c r="G42" s="32" t="str">
        <x:v>La memoria alcanza una meseta y el scheduler mantiene el periodo start-to-start de 5 s.</x:v>
      </x:c>
      <x:c r="H42" s="32" t="str">
        <x:v>Peak RSS 179.77 MB. En la segunda mitad la pendiente observada es ~0.0015 MB/min; las últimas 20 iteraciones permanecen entre 179.715 y 179.766 MB. Start interval p50 ~5001.17 ms, min 5000.47 ms, max 5002.19 ms.</x:v>
      </x:c>
      <x:c r="I42" s="32" t="str">
        <x:v>No hay evidencia de crecimiento de memoria no acotado, backlog temporal ni deriva acumulativa. Job Runtime: cpu_limit_cores=8, cpu_peak_percent=52.883, memory_peak_percent=1.138, resource_pressure_events=0, errors=0, warnings=0.</x:v>
      </x:c>
      <x:c r="J42" s="32" t="str">
        <x:v>No perfilar todavía; mantener el stress discovery hasta encontrar o descartar la frontera por ancho.</x:v>
      </x:c>
      <x:c r="K42" s="32" t="str">
        <x:v>Accepted</x:v>
      </x:c>
      <x:c r="L42" s="32" t="str">
        <x:v>DEC-R35-014</x:v>
      </x:c>
    </x:row>
    <x:row r="43">
      <x:c r="A43" s="32" t="str">
        <x:v>F-B010-003</x:v>
      </x:c>
      <x:c r="B43" s="32" t="str">
        <x:v>013ab1e8-bc67-48af-92c2-44098a440a66</x:v>
      </x:c>
      <x:c r="C43" s="32" t="str">
        <x:v>B-010</x:v>
      </x:c>
      <x:c r="D43" s="32" t="n">
        <x:v>46259.79849537037</x:v>
      </x:c>
      <x:c r="E43" s="32" t="str">
        <x:v>Data Load / Correctness</x:v>
      </x:c>
      <x:c r="F43" s="32" t="str">
        <x:v>Info</x:v>
      </x:c>
      <x:c r="G43" s="32" t="str">
        <x:v>El loader y el merge siguen siendo marginales aun con 3.24 M valores históricos.</x:v>
      </x:c>
      <x:c r="H43" s="32" t="str">
        <x:v>Source frame 25,936,904 bytes; source-load p95 10.80 ms; merge p95 0.924 ms; cycle p95 3796.33 ms. Snapshot 1000/1000; journal durable==materialized; 3 durable commits; drain 407.98 ms; integrity_ok=true.</x:v>
      </x:c>
      <x:c r="I43" s="32" t="str">
        <x:v>El incremento de costo continúa concentrándose después de materializar las vistas. No existe evidencia para invertir esfuerzo en optimizar particionado/merge antes de probar el ancho histórico.</x:v>
      </x:c>
      <x:c r="J43" s="32" t="str">
        <x:v>B-011 debe mantener 180 min y duplicar sólo historical series/alarm a 6.</x:v>
      </x:c>
      <x:c r="K43" s="32" t="str">
        <x:v>Accepted</x:v>
      </x:c>
      <x:c r="L43" s="32" t="str">
        <x:v>DEC-R35-014</x:v>
      </x:c>
    </x:row>
    <x:row r="44">
      <x:c r="A44" s="32" t="str">
        <x:v>F-B011-001</x:v>
      </x:c>
      <x:c r="B44" s="32" t="str">
        <x:v>46865e37-d816-4710-8215-9c567a0edd2e</x:v>
      </x:c>
      <x:c r="C44" s="32" t="str">
        <x:v>B-011</x:v>
      </x:c>
      <x:c r="D44" s="32" t="n">
        <x:v>46259.8090625</x:v>
      </x:c>
      <x:c r="E44" s="32" t="str">
        <x:v>Performance</x:v>
      </x:c>
      <x:c r="F44" s="32" t="str">
        <x:v>Medium</x:v>
      </x:c>
      <x:c r="G44" s="32" t="str">
        <x:v>B-011 produjo el primer overrun real de la campaña adaptativa, pero no degradación sostenida del p95.</x:v>
      </x:c>
      <x:c r="H44" s="32" t="str">
        <x:v>B-010→B-011: historical values 3.24M→6.48M (2×); p50 3141.72→3185.63 ms (+1.40%); p95 3796.33→3814.49 ms (+0.48%); p99 3999.59→4033.21 ms (+0.84%); max 4465.37→5636.62 ms (+26.23%). Hubo 1 overrun de 121 iteraciones (0.826%) en la iteración 72.</x:v>
      </x:c>
      <x:c r="I44" s="32" t="str">
        <x:v>La curva central permanece casi plana pese a duplicar ancho. El único evento &gt;5 s es suficiente para activar la regla de regresión acordada, pero no basta para declarar saturación sostenida.</x:v>
      </x:c>
      <x:c r="J44" s="32" t="str">
        <x:v>Ejecutar B-011-R1 a 4 series/alarm manteniendo 180 min; no escalar ni perfilar todavía.</x:v>
      </x:c>
      <x:c r="K44" s="32" t="str">
        <x:v>Accepted</x:v>
      </x:c>
      <x:c r="L44" s="32" t="str">
        <x:v>DEC-R35-015</x:v>
      </x:c>
    </x:row>
    <x:row r="45">
      <x:c r="A45" s="32" t="str">
        <x:v>F-B011-002</x:v>
      </x:c>
      <x:c r="B45" s="32" t="str">
        <x:v>46865e37-d816-4710-8215-9c567a0edd2e</x:v>
      </x:c>
      <x:c r="C45" s="32" t="str">
        <x:v>B-011</x:v>
      </x:c>
      <x:c r="D45" s="32" t="n">
        <x:v>46259.8090625</x:v>
      </x:c>
      <x:c r="E45" s="32" t="str">
        <x:v>Scheduling / Reproducibility</x:v>
      </x:c>
      <x:c r="F45" s="32" t="str">
        <x:v>Medium</x:v>
      </x:c>
      <x:c r="G45" s="32" t="str">
        <x:v>El overrun desplazó efectivamente una cadencia start-to-start y debe tratarse como señal reproducible pendiente.</x:v>
      </x:c>
      <x:c r="H45" s="32" t="str">
        <x:v>Iteration 72 duró 5636.62 ms con CPU 99.88% y RSS ~193.91 MB. La iteration 73 comenzó 5638.20 ms después; luego los intervalos regresaron a ~5001 ms. Sólo 2 iteraciones superaron 4 s y sólo 1 superó 5 s.</x:v>
      </x:c>
      <x:c r="I45" s="32" t="str">
        <x:v>No hay evidencia en los artefactos para atribuir el evento a CPU global, memoria, loader, merge o corrupción. Puede ser workload-tail o jitter transitorio del host. La regresión debe discriminarlo.</x:v>
      </x:c>
      <x:c r="J45" s="32" t="str">
        <x:v>Si B-011-R1 queda limpio, repetir 6 series antes de interpolar a 5. Si 6 series vuelve a producir overrun, entonces usar 5 series para localizar la rodilla.</x:v>
      </x:c>
      <x:c r="K45" s="32" t="str">
        <x:v>Accepted</x:v>
      </x:c>
      <x:c r="L45" s="32" t="str">
        <x:v>DEC-R35-015</x:v>
      </x:c>
    </x:row>
    <x:row r="46">
      <x:c r="A46" s="32" t="str">
        <x:v>F-B011-003</x:v>
      </x:c>
      <x:c r="B46" s="32" t="str">
        <x:v>46865e37-d816-4710-8215-9c567a0edd2e</x:v>
      </x:c>
      <x:c r="C46" s="32" t="str">
        <x:v>B-011</x:v>
      </x:c>
      <x:c r="D46" s="32" t="n">
        <x:v>46259.8090625</x:v>
      </x:c>
      <x:c r="E46" s="32" t="str">
        <x:v>Memory / Data Load / Correctness</x:v>
      </x:c>
      <x:c r="F46" s="32" t="str">
        <x:v>Info</x:v>
      </x:c>
      <x:c r="G46" s="32" t="str">
        <x:v>Duplicar ancho incrementó memoria y carga de fuente moderadamente, sin presión de recursos ni pérdida de integridad.</x:v>
      </x:c>
      <x:c r="H46" s="32" t="str">
        <x:v>Avg RSS 178.27→193.36 MB (+8.46%); peak RSS 179.77→197.49 MB (+9.86%). Source frame ~25.94→51.86 MB; source-load p95 10.80→12.67 ms (+17.31%); merge p95 0.924→0.864 ms. Job Runtime: cpu_peak_percent=41.315, memory_peak_percent=1.25, resource_pressure_events=0, errors=0, warnings=0.</x:v>
      </x:c>
      <x:c r="I46" s="32" t="str">
        <x:v>Snapshot 1000/1000, journal durable==materialized, 3 durable commits y drain 490.29 ms. No hay OOM, crecimiento no acotado, duplicados ni pérdida durable.</x:v>
      </x:c>
      <x:c r="J46" s="32" t="str">
        <x:v>Mantener las mismas condiciones en la regresión y cambiar exclusivamente historical series/alarm.</x:v>
      </x:c>
      <x:c r="K46" s="32" t="str">
        <x:v>Accepted</x:v>
      </x:c>
      <x:c r="L46" s="32" t="str">
        <x:v>DEC-R35-015</x:v>
      </x:c>
    </x:row>
    <x:row r="47">
      <x:c r="A47" s="32" t="str">
        <x:v>F-B011R1-001</x:v>
      </x:c>
      <x:c r="B47" s="32" t="str">
        <x:v>ff67b804-d996-487a-93c7-766070fee7ec</x:v>
      </x:c>
      <x:c r="C47" s="32" t="str">
        <x:v>B-011-R1</x:v>
      </x:c>
      <x:c r="D47" s="32" t="n">
        <x:v>46259.82061342592</x:v>
      </x:c>
      <x:c r="E47" s="32" t="str">
        <x:v>Performance / Reproducibility</x:v>
      </x:c>
      <x:c r="F47" s="32" t="str">
        <x:v>Info</x:v>
      </x:c>
      <x:c r="G47" s="32" t="str">
        <x:v>La regresión a 4 series salió limpia y no reproduce una frontera operacional ≤4 series.</x:v>
      </x:c>
      <x:c r="H47" s="32" t="str">
        <x:v>B-011-R1: p50 3076.52 ms; p95 3467.22 ms; p99 4269.63 ms; max 4921.44 ms; 0 overruns. Frente a B-011 (6 series), p95 baja 3814.49→3467.22 ms (-9.10%) y desaparece el único overrun.</x:v>
      </x:c>
      <x:c r="I47" s="32" t="str">
        <x:v>El resultado elimina la hipótesis de una frontera reproducible a 4 series, pero aún no distingue entre inestabilidad propia de 6 series y jitter transitorio.</x:v>
      </x:c>
      <x:c r="J47" s="32" t="str">
        <x:v>Repetir exactamente 6 series como B-011-R2 antes de interpolar a 5.</x:v>
      </x:c>
      <x:c r="K47" s="32" t="str">
        <x:v>Accepted</x:v>
      </x:c>
      <x:c r="L47" s="32" t="str">
        <x:v>DEC-R35-016</x:v>
      </x:c>
    </x:row>
    <x:row r="48">
      <x:c r="A48" s="32" t="str">
        <x:v>F-B011R1-002</x:v>
      </x:c>
      <x:c r="B48" s="32" t="str">
        <x:v>ff67b804-d996-487a-93c7-766070fee7ec</x:v>
      </x:c>
      <x:c r="C48" s="32" t="str">
        <x:v>B-011-R1</x:v>
      </x:c>
      <x:c r="D48" s="32" t="n">
        <x:v>46259.82061342592</x:v>
      </x:c>
      <x:c r="E48" s="32" t="str">
        <x:v>Scheduling / Tail</x:v>
      </x:c>
      <x:c r="F48" s="32" t="str">
        <x:v>Info</x:v>
      </x:c>
      <x:c r="G48" s="32" t="str">
        <x:v>El máximo de 4921.44 ms no produjo overrun ni desplazamiento de cadencia.</x:v>
      </x:c>
      <x:c r="H48" s="32" t="str">
        <x:v>El máximo ocurrió en iteration 4. Sólo 2/121 iteraciones superaron 4 s, 1 superó 4.5 s y ninguna superó 5 s. Start-to-start min 5000.54 ms, p50 5001.13 ms, max 5001.95 ms.</x:v>
      </x:c>
      <x:c r="I48" s="32" t="str">
        <x:v>La ejecución mantuvo el periodo candidato durante toda la corrida. Un ciclo próximo a 5 s sin desplazar la siguiente cadencia no es un overrun.</x:v>
      </x:c>
      <x:c r="J48" s="32" t="str">
        <x:v>Mantener la regla sobre overrun real para la reproducción de 6 series.</x:v>
      </x:c>
      <x:c r="K48" s="32" t="str">
        <x:v>Accepted</x:v>
      </x:c>
      <x:c r="L48" s="32" t="str">
        <x:v>DEC-R35-016</x:v>
      </x:c>
    </x:row>
    <x:row r="49">
      <x:c r="A49" s="32" t="str">
        <x:v>F-B011R1-003</x:v>
      </x:c>
      <x:c r="B49" s="32" t="str">
        <x:v>ff67b804-d996-487a-93c7-766070fee7ec</x:v>
      </x:c>
      <x:c r="C49" s="32" t="str">
        <x:v>B-011-R1</x:v>
      </x:c>
      <x:c r="D49" s="32" t="n">
        <x:v>46259.82061342592</x:v>
      </x:c>
      <x:c r="E49" s="32" t="str">
        <x:v>Memory / Data Load / Correctness</x:v>
      </x:c>
      <x:c r="F49" s="32" t="str">
        <x:v>Info</x:v>
      </x:c>
      <x:c r="G49" s="32" t="str">
        <x:v>La regresión mantiene integridad y memoria acotada con 4.32 M valores históricos.</x:v>
      </x:c>
      <x:c r="H49" s="32" t="str">
        <x:v>Avg/peak RSS 176.70/180.16 MB; pendiente RSS segunda mitad ≈ -0.15 MB/min. Source-load p95 11.74 ms; merge p95 0.857 ms; source frame 34.58 MB. Snapshot 1000/1000; journal durable==materialized; 3 commits; drain 429.75 ms; resource_pressure_events=0, errors=0, warnings=0.</x:v>
      </x:c>
      <x:c r="I49" s="32" t="str">
        <x:v>No hay evidencia de fuga de memoria, presión de loader/merge ni pérdida durable. La única pregunta abierta de R3.5B es la reproducibilidad del overrun observado a 6 series.</x:v>
      </x:c>
      <x:c r="J49" s="32" t="str">
        <x:v>Ejecutar B-011-R2 sin cambiar ninguna otra dimensión.</x:v>
      </x:c>
      <x:c r="K49" s="32" t="str">
        <x:v>Accepted</x:v>
      </x:c>
      <x:c r="L49" s="32" t="str">
        <x:v>DEC-R35-016</x:v>
      </x:c>
    </x:row>
    <x:row r="50">
      <x:c r="A50" s="32" t="str">
        <x:v>F-B011R2-001</x:v>
      </x:c>
      <x:c r="B50" s="32" t="str">
        <x:v>d0375b0c-7cd0-4082-8b7e-aef300c8c392</x:v>
      </x:c>
      <x:c r="C50" s="32" t="str">
        <x:v>B-011-R2</x:v>
      </x:c>
      <x:c r="D50" s="32" t="n">
        <x:v>46259.83627314815</x:v>
      </x:c>
      <x:c r="E50" s="32" t="str">
        <x:v>Performance / Reproducibility</x:v>
      </x:c>
      <x:c r="F50" s="32" t="str">
        <x:v>Info</x:v>
      </x:c>
      <x:c r="G50" s="32" t="str">
        <x:v>La reproducción exacta de 6 series no repitió el overrun original de B-011.</x:v>
      </x:c>
      <x:c r="H50" s="32" t="str">
        <x:v>B-011-R2: p50 3260.76 ms; p95 4139.16 ms; p99 4865.38 ms; max 4969.75 ms; 0 overruns. B-011 original: p95 3814.49 ms; p99 4033.21 ms; max 5636.62 ms; 1 overrun. Ambas corridas usaron 6.48 M valores, 180 min, 10 s y 36 partitions/view.</x:v>
      </x:c>
      <x:c r="I50" s="32" t="str">
        <x:v>Con la evidencia actual, el único overrun de B-011 no es reproducible y no justifica interpolar a 5 series ni continuar consumiendo corridas de data pressure.</x:v>
      </x:c>
      <x:c r="J50" s="32" t="str">
        <x:v>Cerrar R3.5B y avanzar a functional pressure.</x:v>
      </x:c>
      <x:c r="K50" s="32" t="str">
        <x:v>Accepted</x:v>
      </x:c>
      <x:c r="L50" s="32" t="str">
        <x:v>DEC-R35-017</x:v>
      </x:c>
    </x:row>
    <x:row r="51">
      <x:c r="A51" s="32" t="str">
        <x:v>F-B011R2-002</x:v>
      </x:c>
      <x:c r="B51" s="32" t="str">
        <x:v>d0375b0c-7cd0-4082-8b7e-aef300c8c392</x:v>
      </x:c>
      <x:c r="C51" s="32" t="str">
        <x:v>B-011-R2</x:v>
      </x:c>
      <x:c r="D51" s="32" t="n">
        <x:v>46259.83627314815</x:v>
      </x:c>
      <x:c r="E51" s="32" t="str">
        <x:v>Scheduling / Stress Envelope</x:v>
      </x:c>
      <x:c r="F51" s="32" t="str">
        <x:v>Info</x:v>
      </x:c>
      <x:c r="G51" s="32" t="str">
        <x:v>La reproducción es limpia, pero el tail de 6 series × 3 h queda muy cerca del periodo candidato de 5 s.</x:v>
      </x:c>
      <x:c r="H51" s="32" t="str">
        <x:v>11/121 iteraciones &gt;4 s; 4 &gt;4.5 s; 2 &gt;4.9 s; ninguna &gt;=5 s. El máximo 4969.75 ms ocurrió en iteration 4 y la siguiente cadencia fue 5001.17 ms. Start-to-start min 5000.52 ms, p50 5001.13 ms, p95 5001.61 ms, max 5002.21 ms.</x:v>
      </x:c>
      <x:c r="I51" s="32" t="str">
        <x:v>R3.5B demuestra que el scheduler puede sostener este stress sintético durante 10 min, pero no certifica 6 series × 3 h como envelope productivo. El margen de tail es estrecho.</x:v>
      </x:c>
      <x:c r="J51" s="32" t="str">
        <x:v>Conservar el escenario como referencia de stress; no fijarlo como configuración productiva.</x:v>
      </x:c>
      <x:c r="K51" s="32" t="str">
        <x:v>Accepted</x:v>
      </x:c>
      <x:c r="L51" s="32" t="str">
        <x:v>DEC-R35-017</x:v>
      </x:c>
    </x:row>
    <x:row r="52">
      <x:c r="A52" s="32" t="str">
        <x:v>F-B011R2-003</x:v>
      </x:c>
      <x:c r="B52" s="32" t="str">
        <x:v>d0375b0c-7cd0-4082-8b7e-aef300c8c392</x:v>
      </x:c>
      <x:c r="C52" s="32" t="str">
        <x:v>B-011-R2</x:v>
      </x:c>
      <x:c r="D52" s="32" t="n">
        <x:v>46259.83627314815</x:v>
      </x:c>
      <x:c r="E52" s="32" t="str">
        <x:v>Memory / Data Load / Correctness</x:v>
      </x:c>
      <x:c r="F52" s="32" t="str">
        <x:v>Info</x:v>
      </x:c>
      <x:c r="G52" s="32" t="str">
        <x:v>R3.5B cierra sin evidencia de fuga de memoria, cuello en loader/merge o fallo de integridad.</x:v>
      </x:c>
      <x:c r="H52" s="32" t="str">
        <x:v>Avg/peak RSS 195.38/198.34 MB; pendiente RSS segunda mitad ≈ +0.018 MB/min. Source-load p95 13.83 ms; merge p95 0.910 ms; source frame 51.86 MB. Snapshot 1000/1000; journal durable==materialized; 3 commits; drain 411.66 ms. Job Runtime: resource_pressure_events=0, errors=0, warnings=0.</x:v>
      </x:c>
      <x:c r="I52" s="32" t="str">
        <x:v>La presión dominante continúa después de materializar las vistas. No hay fundamento para optimizar particionado/merge antes de explorar lifecycle/write churn.</x:v>
      </x:c>
      <x:c r="J52" s="32" t="str">
        <x:v>Mover la campaña a R3.5C y provocar cambios operacionales reales.</x:v>
      </x:c>
      <x:c r="K52" s="32" t="str">
        <x:v>Accepted</x:v>
      </x:c>
      <x:c r="L52" s="32" t="str">
        <x:v>DEC-R35-017</x:v>
      </x:c>
    </x:row>
    <x:row r="53">
      <x:c r="A53" s="32" t="str">
        <x:v>F-C001-001</x:v>
      </x:c>
      <x:c r="B53" s="32" t="str">
        <x:v>950633d5-157a-4d94-9b5b-a1cf48c4914b</x:v>
      </x:c>
      <x:c r="C53" s="32" t="str">
        <x:v>C-001</x:v>
      </x:c>
      <x:c r="D53" s="32" t="n">
        <x:v>46259.88398148148</x:v>
      </x:c>
      <x:c r="E53" s="32" t="str">
        <x:v>Functional correctness</x:v>
      </x:c>
      <x:c r="F53" s="32" t="str">
        <x:v>Info</x:v>
      </x:c>
      <x:c r="G53" s="32" t="str">
        <x:v>El churn normal ACTIVE↔INACTIVE produjo exactamente los efectos lifecycle previstos.</x:v>
      </x:c>
      <x:c r="H53" s="32" t="str">
        <x:v>60 generaciones × 100 transiciones = 6000. WAL independiente: 700 commits; 3500 occurrence STARTED, 3000 CLOSED, 100 episode STARTED, 0 CLOSED, 3500 assignment changes, 10000 journey events y 6500 evidence records. Cada uno de los 100 grupos tuvo exactamente 7 commits.</x:v>
      </x:c>
      <x:c r="I53" s="32" t="str">
        <x:v>No hay duplicados ni divergencia entre el resumen del harness y el WAL. Los snapshots finales contienen 100 grupos × 5 ACTIVE = 500 hot states.</x:v>
      </x:c>
      <x:c r="J53" s="32" t="str">
        <x:v>Cerrar C-001 como PASS/GREEN sin finding funcional abierto.</x:v>
      </x:c>
      <x:c r="K53" s="32" t="str">
        <x:v>Accepted</x:v>
      </x:c>
      <x:c r="L53" s="32" t="str">
        <x:v>DEC-R35-019</x:v>
      </x:c>
    </x:row>
    <x:row r="54">
      <x:c r="A54" s="32" t="str">
        <x:v>F-C001-002</x:v>
      </x:c>
      <x:c r="B54" s="32" t="str">
        <x:v>950633d5-157a-4d94-9b5b-a1cf48c4914b</x:v>
      </x:c>
      <x:c r="C54" s="32" t="str">
        <x:v>C-001</x:v>
      </x:c>
      <x:c r="D54" s="32" t="n">
        <x:v>46259.88398148148</x:v>
      </x:c>
      <x:c r="E54" s="32" t="str">
        <x:v>Performance / scheduling</x:v>
      </x:c>
      <x:c r="F54" s="32" t="str">
        <x:v>Info</x:v>
      </x:c>
      <x:c r="G54" s="32" t="str">
        <x:v>El 10% de churn lifecycle permanece ampliamente dentro del periodo candidato de 5 s.</x:v>
      </x:c>
      <x:c r="H54" s="32" t="str">
        <x:v>Global p50/p95/p99/max = 1009.88/1237.59/1565.79/1597.72 ms; 0 overruns. Iteraciones con generación de churn: p95 1287.22 ms. Iteraciones intermedias sin nueva generación: p95 1085.86 ms. Start-to-start min/p50/p95/max = 5000.75/5001.39/5001.89/5003.14 ms.</x:v>
      </x:c>
      <x:c r="I54" s="32" t="str">
        <x:v>La semántica lifecycle añade trabajo durable real sin acercar al motor a una frontera de scheduling. No hay señal que justifique perfilar C-001.</x:v>
      </x:c>
      <x:c r="J54" s="32" t="str">
        <x:v>Cambiar de dimensión semántica a ERROR/TechnicalHold en vez de aumentar puntos intermedios de churn normal.</x:v>
      </x:c>
      <x:c r="K54" s="32" t="str">
        <x:v>Accepted</x:v>
      </x:c>
      <x:c r="L54" s="32" t="str">
        <x:v>DEC-R35-019</x:v>
      </x:c>
    </x:row>
    <x:row r="55">
      <x:c r="A55" s="32" t="str">
        <x:v>F-C001-003</x:v>
      </x:c>
      <x:c r="B55" s="32" t="str">
        <x:v>950633d5-157a-4d94-9b5b-a1cf48c4914b</x:v>
      </x:c>
      <x:c r="C55" s="32" t="str">
        <x:v>C-001</x:v>
      </x:c>
      <x:c r="D55" s="32" t="n">
        <x:v>46259.88398148148</x:v>
      </x:c>
      <x:c r="E55" s="32" t="str">
        <x:v>Durability / memory</x:v>
      </x:c>
      <x:c r="F55" s="32" t="str">
        <x:v>Info</x:v>
      </x:c>
      <x:c r="G55" s="32" t="str">
        <x:v>La presión de writes permanece acotada y la memoria no muestra crecimiento sostenido.</x:v>
      </x:c>
      <x:c r="H55" s="32" t="str">
        <x:v>WAL 10,253,900 bytes en 700 commits; drain 1104.98 ms. Avg/peak RSS 132.85/133.12 MB; pendiente aproximada de RSS en la segunda mitad -0.022 MB/min. source-load p95 10.66 ms; merge p95 0.454 ms; resource_pressure_events=0.</x:v>
      </x:c>
      <x:c r="I55" s="32" t="str">
        <x:v>El drain aumenta respecto de varios baselines de lectura, como era esperable por el WAL mucho mayor, pero no compromete la ejecución ni la integridad.</x:v>
      </x:c>
      <x:c r="J55" s="32" t="str">
        <x:v>Conservar WAL/drain como referencia para comparar escenarios ERROR y expiry posteriores.</x:v>
      </x:c>
      <x:c r="K55" s="32" t="str">
        <x:v>Accepted</x:v>
      </x:c>
      <x:c r="L55" s="32" t="str">
        <x:v>DEC-R35-019</x:v>
      </x:c>
    </x:row>
    <x:row r="56">
      <x:c r="A56" s="32" t="str">
        <x:v>F-C002-001</x:v>
      </x:c>
      <x:c r="B56" s="32" t="str">
        <x:v>23009c7e-3c7f-4c41-a045-cbfa1a648318</x:v>
      </x:c>
      <x:c r="C56" s="32" t="str">
        <x:v>C-002</x:v>
      </x:c>
      <x:c r="D56" s="32" t="n">
        <x:v>46259.909583333334</x:v>
      </x:c>
      <x:c r="E56" s="32" t="str">
        <x:v>Functional correctness</x:v>
      </x:c>
      <x:c r="F56" s="32" t="str">
        <x:v>Info</x:v>
      </x:c>
      <x:c r="G56" s="32" t="str">
        <x:v>TechnicalHold transitorio preserva exactamente la continuidad de Occurrence y Episode.</x:v>
      </x:c>
      <x:c r="H56" s="32" t="str">
        <x:v>WAL independiente: 3000 technical_hold_started + 3000 technical_hold_recovered, 0 expired; cada una de las 1000 alarmas tuvo 3 pares STARTED/RECOVERED y cada hold duró 10 s exactos. Occurrence STARTED=1000 bootstrap, CLOSED=0; Episode STARTED=100, CLOSED=0; assignment changes=1000; occurrence identity mismatches=0.</x:v>
      </x:c>
      <x:c r="I56" s="32" t="str">
        <x:v>El comportamiento durable coincide con el contrato: ERROR temporal no rompe continuidad si se recupera antes del grace de 300 s.</x:v>
      </x:c>
      <x:c r="J56" s="32" t="str">
        <x:v>Cerrar C-002 como PASS/GREEN y cambiar la siguiente dimensión a expiry/reappearance.</x:v>
      </x:c>
      <x:c r="K56" s="32" t="str">
        <x:v>Accepted</x:v>
      </x:c>
      <x:c r="L56" s="32" t="str">
        <x:v>DEC-R35-021</x:v>
      </x:c>
    </x:row>
    <x:row r="57">
      <x:c r="A57" s="32" t="str">
        <x:v>F-C002-002</x:v>
      </x:c>
      <x:c r="B57" s="32" t="str">
        <x:v>23009c7e-3c7f-4c41-a045-cbfa1a648318</x:v>
      </x:c>
      <x:c r="C57" s="32" t="str">
        <x:v>C-002</x:v>
      </x:c>
      <x:c r="D57" s="32" t="n">
        <x:v>46259.909583333334</x:v>
      </x:c>
      <x:c r="E57" s="32" t="str">
        <x:v>Performance / scheduling</x:v>
      </x:c>
      <x:c r="F57" s="32" t="str">
        <x:v>Info</x:v>
      </x:c>
      <x:c r="G57" s="32" t="str">
        <x:v>El churn de TechnicalHold sigue ampliamente dentro del periodo candidato.</x:v>
      </x:c>
      <x:c r="H57" s="32" t="str">
        <x:v>Global p50/p95/p99/max = 1052.14/1170.53/1677.62/1771.45 ms; 0 overruns. Iteraciones con trabajo durable: p95 1359.51 ms; iteraciones intermedias: p95 1084.18 ms. Start-to-start min/p50/p95/max = 5000.78/5001.39/5003.60/5004.38 ms.</x:v>
      </x:c>
      <x:c r="I57" s="32" t="str">
        <x:v>C-002 no presenta una rodilla de performance. El tail de las iteraciones con hold es algo mayor que C-001, pero conserva más de 3.6 s de margen p95 frente al periodo de 5 s.</x:v>
      </x:c>
      <x:c r="J57" s="32" t="str">
        <x:v>No aumentar simplemente el porcentaje de ERROR transitorio; probar expiración real.</x:v>
      </x:c>
      <x:c r="K57" s="32" t="str">
        <x:v>Accepted</x:v>
      </x:c>
      <x:c r="L57" s="32" t="str">
        <x:v>DEC-R35-021</x:v>
      </x:c>
    </x:row>
    <x:row r="58">
      <x:c r="A58" s="32" t="str">
        <x:v>F-C002-003</x:v>
      </x:c>
      <x:c r="B58" s="32" t="str">
        <x:v>23009c7e-3c7f-4c41-a045-cbfa1a648318</x:v>
      </x:c>
      <x:c r="C58" s="32" t="str">
        <x:v>C-002</x:v>
      </x:c>
      <x:c r="D58" s="32" t="n">
        <x:v>46259.909583333334</x:v>
      </x:c>
      <x:c r="E58" s="32" t="str">
        <x:v>Durability / memory</x:v>
      </x:c>
      <x:c r="F58" s="32" t="str">
        <x:v>Info</x:v>
      </x:c>
      <x:c r="G58" s="32" t="str">
        <x:v>La presión durable y la memoria permanecen acotadas durante 6000 transiciones ERROR↔ACTIVE.</x:v>
      </x:c>
      <x:c r="H58" s="32" t="str">
        <x:v>WAL 10,013,800 bytes en 700 commits; drain 1156.15 ms. Avg/peak RSS 136.11/136.20 MB; pendiente RSS segunda mitad ≈ +0.0011 MB/min. Source-load p95 11.77 ms; merge p95 0.505 ms. Job Runtime: resource_pressure_events=0, errors=0, warnings=0.</x:v>
      </x:c>
      <x:c r="I58" s="32" t="str">
        <x:v>No existe señal de fuga de memoria, duplicados, corrupción ni presión en loader/merge. La próxima prueba debe aumentar semántica, no volumen de la misma transición.</x:v>
      </x:c>
      <x:c r="J58" s="32" t="str">
        <x:v>Usar C-003 para TechnicalHold EXPIRED y reappearance post-expiry.</x:v>
      </x:c>
      <x:c r="K58" s="32" t="str">
        <x:v>Accepted</x:v>
      </x:c>
      <x:c r="L58" s="32" t="str">
        <x:v>DEC-R35-021</x:v>
      </x:c>
    </x:row>
    <x:row r="59">
      <x:c r="A59" s="32" t="str">
        <x:v>F-C003-001</x:v>
      </x:c>
      <x:c r="B59" s="32" t="str">
        <x:v>9db89add-7ec1-4a7c-b21d-995145c3d0c4</x:v>
      </x:c>
      <x:c r="C59" s="32" t="str">
        <x:v>C-003</x:v>
      </x:c>
      <x:c r="D59" s="32" t="n">
        <x:v>46259.940405092595</x:v>
      </x:c>
      <x:c r="E59" s="32" t="str">
        <x:v>Functional correctness</x:v>
      </x:c>
      <x:c r="F59" s="32" t="str">
        <x:v>Info</x:v>
      </x:c>
      <x:c r="G59" s="32" t="str">
        <x:v>Expiry y reappearance cerraron y recrearon la continuidad exactamente según contrato.</x:v>
      </x:c>
      <x:c r="H59" s="32" t="str">
        <x:v>WAL independiente: 400 commits únicos; 1000 TechnicalHold STARTED, 1000 EXPIRED, 0 RECOVERED; Occurrence STARTED=2000, CLOSED=1000 con reason technical_hold_expired; Episode STARTED=200, CLOSED=100 con reason technical_uncertainty; assignments=2000. Cada alarma tiene exactamente dos Occurrences y la final es distinta de la inicial.</x:v>
      </x:c>
      <x:c r="I59" s="32" t="str">
        <x:v>El grace de 300 s se ejercitó realmente. La recuperación posterior no revive la Occurrence antigua: crea una nueva continuidad durable.</x:v>
      </x:c>
      <x:c r="J59" s="32" t="str">
        <x:v>Cerrar C-003 como PASS/GREEN sin finding funcional abierto.</x:v>
      </x:c>
      <x:c r="K59" s="32" t="str">
        <x:v>Accepted</x:v>
      </x:c>
      <x:c r="L59" s="32" t="str">
        <x:v>DEC-R35-023</x:v>
      </x:c>
    </x:row>
    <x:row r="60">
      <x:c r="A60" s="32" t="str">
        <x:v>F-C003-002</x:v>
      </x:c>
      <x:c r="B60" s="32" t="str">
        <x:v>9db89add-7ec1-4a7c-b21d-995145c3d0c4</x:v>
      </x:c>
      <x:c r="C60" s="32" t="str">
        <x:v>C-003</x:v>
      </x:c>
      <x:c r="D60" s="32" t="n">
        <x:v>46259.940405092595</x:v>
      </x:c>
      <x:c r="E60" s="32" t="str">
        <x:v>Performance / scheduling</x:v>
      </x:c>
      <x:c r="F60" s="32" t="str">
        <x:v>Info</x:v>
      </x:c>
      <x:c r="G60" s="32" t="str">
        <x:v>Expiry/reappearance no introduce una frontera de scheduling pese a ser la ruta C más rica hasta ahora.</x:v>
      </x:c>
      <x:c r="H60" s="32" t="str">
        <x:v>Global p50/p95/p99/max = 988.52/1162.84/1274.61/1820.48 ms; 0 overruns. Las 31 iteraciones con commits tuvieron p95 ≈1263.43 ms; las 90 sin commit p95 ≈1025.05 ms. Start-to-start min/p50/p95/max = 5000.52/5001.30/5003.42/5005.10 ms. El máximo 1820.48 ms fue el bootstrap, no un expiry.</x:v>
      </x:c>
      <x:c r="I60" s="32" t="str">
        <x:v>No hay razón para aumentar población o duración de TechnicalHold dentro de R3.5C. La siguiente corrida debe cerrar un borde semántico distinto.</x:v>
      </x:c>
      <x:c r="J60" s="32" t="str">
        <x:v>Cambiar a alarma que nace en ERROR antes de entrar a presión C1/C2.</x:v>
      </x:c>
      <x:c r="K60" s="32" t="str">
        <x:v>Accepted</x:v>
      </x:c>
      <x:c r="L60" s="32" t="str">
        <x:v>DEC-R35-023</x:v>
      </x:c>
    </x:row>
    <x:row r="61">
      <x:c r="A61" s="32" t="str">
        <x:v>F-C003-003</x:v>
      </x:c>
      <x:c r="B61" s="32" t="str">
        <x:v>9db89add-7ec1-4a7c-b21d-995145c3d0c4</x:v>
      </x:c>
      <x:c r="C61" s="32" t="str">
        <x:v>C-003</x:v>
      </x:c>
      <x:c r="D61" s="32" t="n">
        <x:v>46259.940405092595</x:v>
      </x:c>
      <x:c r="E61" s="32" t="str">
        <x:v>Durability / memory</x:v>
      </x:c>
      <x:c r="F61" s="32" t="str">
        <x:v>Info</x:v>
      </x:c>
      <x:c r="G61" s="32" t="str">
        <x:v>C-003 redujo volumen durable respecto de C-001/C-002 y mantuvo memoria totalmente estable.</x:v>
      </x:c>
      <x:c r="H61" s="32" t="str">
        <x:v>WAL 6,904,500 bytes; 400 commits; drain 771.77 ms. Avg/peak RSS 136.26/136.34 MB; pendiente RSS segunda mitad ≈ +0.0006 MB/min. Source-load p95 11.07 ms; merge p95 0.443 ms. Job Runtime: 31 work iterations, 90 empty, resource_pressure_events=0, errors=0, warnings=0.</x:v>
      </x:c>
      <x:c r="I61" s="32" t="str">
        <x:v>La integridad y el materializado permanecen alineados bajo expiración masiva escalonada. No aparece deuda de WAL ni crecimiento de memoria.</x:v>
      </x:c>
      <x:c r="J61" s="32" t="str">
        <x:v>Conservar C-003 como baseline de expiry para futuras pruebas de crash/recovery en R3.5E.</x:v>
      </x:c>
      <x:c r="K61" s="32" t="str">
        <x:v>Accepted</x:v>
      </x:c>
      <x:c r="L61" s="32" t="str">
        <x:v>DEC-R35-023</x:v>
      </x:c>
    </x:row>
    <x:row r="62">
      <x:c r="A62" s="32" t="str">
        <x:v>F-C004-001</x:v>
      </x:c>
      <x:c r="B62" s="32" t="str">
        <x:v>f86db606-7094-4da9-b488-8fd58d9dac80</x:v>
      </x:c>
      <x:c r="C62" s="32" t="str">
        <x:v>C-004</x:v>
      </x:c>
      <x:c r="D62" s="32" t="n">
        <x:v>46259.961875</x:v>
      </x:c>
      <x:c r="E62" s="32" t="str">
        <x:v>Functional correctness</x:v>
      </x:c>
      <x:c r="F62" s="32" t="str">
        <x:v>Info</x:v>
      </x:c>
      <x:c r="G62" s="32" t="str">
        <x:v>ERROR sin continuidad previa es durablemente neutro y la primera ACTIVE crea continuidad exactamente una vez.</x:v>
      </x:c>
      <x:c r="H62" s="32" t="str">
        <x:v>Pre-activation lifecycle commits=0. WAL total: 200 commits únicos = 100 lifecycle + 100 evidence-only. Lifecycle: 1000 Occurrence STARTED, 100 Episode STARTED, 1000 assignments; no closes; TechnicalHold STARTED/CLEARED/EXPIRED=0. Final snapshots: 100 groups × 10 ACTIVE = 1000 hot states, 100 Episodes abiertos y 0 TechnicalHolds.</x:v>
      </x:c>
      <x:c r="I62" s="32" t="str">
        <x:v>El caso funcional C-004 queda validado: ERROR inicial no materializa continuidad y la primera activación no se trata como reappearance.</x:v>
      </x:c>
      <x:c r="J62" s="32" t="str">
        <x:v>Mantener adjudicación funcional PASS.</x:v>
      </x:c>
      <x:c r="K62" s="32" t="str">
        <x:v>Accepted</x:v>
      </x:c>
      <x:c r="L62" s="32" t="str">
        <x:v>DEC-R35-025</x:v>
      </x:c>
    </x:row>
    <x:row r="63">
      <x:c r="A63" s="32" t="str">
        <x:v>F-C004-002</x:v>
      </x:c>
      <x:c r="B63" s="32" t="str">
        <x:v>f86db606-7094-4da9-b488-8fd58d9dac80</x:v>
      </x:c>
      <x:c r="C63" s="32" t="str">
        <x:v>C-004</x:v>
      </x:c>
      <x:c r="D63" s="32" t="n">
        <x:v>46259.961875</x:v>
      </x:c>
      <x:c r="E63" s="32" t="str">
        <x:v>Performance / mixed-state hotspot</x:v>
      </x:c>
      <x:c r="F63" s="32" t="str">
        <x:v>Medium</x:v>
      </x:c>
      <x:c r="G63" s="32" t="str">
        <x:v>La convivencia ERROR-sin-continuidad + ACTIVE produce una campana de latencia severa; C-004-R1 confirmó que el costo persiste con composición fija 50/50.</x:v>
      </x:c>
      <x:c r="H63" s="32" t="str">
        <x:v>C-004: p95 6.63 s, 18 overruns; mediana ~7.08 s en 50/50. C-004-R1: bootstrap 1.25 s y luego 46 ciclos consecutivos sin writes con steady p50/p95=6.43/6.57 s, 46/47 overruns. La forma C-004 correlaciona con active_groups×neutral_groups en r≈0.9974.</x:v>
      </x:c>
      <x:c r="I63" s="32" t="str">
        <x:v>La reproducción descarta stagger, activaciones y saturación por escrituras como causa principal. Inspección de código muestra que cada grupo sin snapshot llama _has_durable_group_history(), que relee y recorre todo el durable journal cuando ya existe durable head.</x:v>
      </x:c>
      <x:c r="J63" s="32" t="str">
        <x:v>Ejecutar C-004-R2 para instrumentar y comprobar causalmente el history lookup antes de modificar producto.</x:v>
      </x:c>
      <x:c r="K63" s="32" t="str">
        <x:v>Accepted</x:v>
      </x:c>
      <x:c r="L63" s="32" t="str">
        <x:v>DEC-R35-027</x:v>
      </x:c>
    </x:row>
    <x:row r="64">
      <x:c r="A64" s="32" t="str">
        <x:v>F-C004-003</x:v>
      </x:c>
      <x:c r="B64" s="32" t="str">
        <x:v>f86db606-7094-4da9-b488-8fd58d9dac80</x:v>
      </x:c>
      <x:c r="C64" s="32" t="str">
        <x:v>C-004</x:v>
      </x:c>
      <x:c r="D64" s="32" t="n">
        <x:v>46259.961875</x:v>
      </x:c>
      <x:c r="E64" s="32" t="str">
        <x:v>Resource interpretation</x:v>
      </x:c>
      <x:c r="F64" s="32" t="str">
        <x:v>Info</x:v>
      </x:c>
      <x:c r="G64" s="32" t="str">
        <x:v>El finding no es de memoria ni de loader; el proceso permanece CPU-bound durante la banda lenta.</x:v>
      </x:c>
      <x:c r="H64" s="32" t="str">
        <x:v>Avg/peak process CPU=97.83%/100.58%; avg/peak RSS=134.12/135.42 MB. Job Runtime reportó cpu_limit_cores=8.0 y memory_limit≈15.43 GiB; resource_pressure_events no aparecen. Al 100% ACTIVE, con el mismo envelope, las iteraciones vuelven a ~1 s.</x:v>
      </x:c>
      <x:c r="I64" s="32" t="str">
        <x:v>Esto refuerza que los resultados actuales son Engine Characterization del envelope local y que el futuro sizing Docker debe hacerse aparte; primero debe aislarse este hotspot lógico/composicional.</x:v>
      </x:c>
      <x:c r="J64" s="32" t="str">
        <x:v>No usar C-004 para inferir todavía el sizing 1.5 CPU / 3 GB.</x:v>
      </x:c>
      <x:c r="K64" s="32" t="str">
        <x:v>Accepted</x:v>
      </x:c>
      <x:c r="L64" s="32" t="str">
        <x:v>DEC-R35-025</x:v>
      </x:c>
    </x:row>
    <x:row r="65">
      <x:c r="A65" s="32" t="str">
        <x:v>F-C004R1-001</x:v>
      </x:c>
      <x:c r="B65" s="32" t="str">
        <x:v>fdc14ae0-9854-41c3-9ab8-a0b05ad3915c</x:v>
      </x:c>
      <x:c r="C65" s="32" t="str">
        <x:v>C-004-R1</x:v>
      </x:c>
      <x:c r="D65" s="32" t="n">
        <x:v>46259.99119212963</x:v>
      </x:c>
      <x:c r="E65" s="32" t="str">
        <x:v>Functional correctness / durability</x:v>
      </x:c>
      <x:c r="F65" s="32" t="str">
        <x:v>Info</x:v>
      </x:c>
      <x:c r="G65" s="32" t="str">
        <x:v>La reproducción fija conserva exactamente la semántica esperada y no escribe después del bootstrap.</x:v>
      </x:c>
      <x:c r="H65" s="32" t="str">
        <x:v>WAL independiente: 50 commits únicos, grupos 001..050 una vez cada uno, 500 Occurrence STARTED, 50 Episode STARTED, 500 assignments, 500 evidence iniciales y 1000 Journey events. No hay commits posteriores, closes ni TechnicalHold. Final: 50 snapshots, 500 ACTIVE, 500 neutral.</x:v>
      </x:c>
      <x:c r="I65" s="32" t="str">
        <x:v>La degradación sostenida se observa sin churn ni presión de escritura, por lo que el finding de performance está separado de integridad y persistencia.</x:v>
      </x:c>
      <x:c r="J65" s="32" t="str">
        <x:v>Mantener R1 como reproducción autoritativa del hotspot.</x:v>
      </x:c>
      <x:c r="K65" s="32" t="str">
        <x:v>Accepted</x:v>
      </x:c>
      <x:c r="L65" s="32" t="str">
        <x:v>DEC-R35-027</x:v>
      </x:c>
    </x:row>
    <x:row r="66">
      <x:c r="A66" s="32" t="str">
        <x:v>F-C004R1-002</x:v>
      </x:c>
      <x:c r="B66" s="32" t="str">
        <x:v>fdc14ae0-9854-41c3-9ab8-a0b05ad3915c</x:v>
      </x:c>
      <x:c r="C66" s="32" t="str">
        <x:v>C-004-R1</x:v>
      </x:c>
      <x:c r="D66" s="32" t="n">
        <x:v>46259.99119212963</x:v>
      </x:c>
      <x:c r="E66" s="32" t="str">
        <x:v>Root-cause candidate</x:v>
      </x:c>
      <x:c r="F66" s="32" t="str">
        <x:v>Medium</x:v>
      </x:c>
      <x:c r="G66" s="32" t="str">
        <x:v>La verificación de historia durable por grupo sin snapshot es consistente con toda la forma de la degradación.</x:v>
      </x:c>
      <x:c r="H66" s="32" t="str">
        <x:v>AlarmRuntimeComposition.load_group() consulta _has_durable_group_history() cuando read_snapshot() es None. _has_durable_group_history() llama read_head() y luego any(...) sobre persistence.read_durable_records(). En R1 hay 50 grupos sin snapshot y 50 records durables; la misma historia se relee repetidamente cada ciclo. En C-004 el término active_groups×neutral_groups predice la campana observada con r≈0.9974.</x:v>
      </x:c>
      <x:c r="I66" s="32" t="str">
        <x:v>La coincidencia es fuerte pero aún requiere aislamiento causal. Una optimización productiva no debe aplicarse hasta medir call count/time y demostrar que resolver la misma pregunta desde un índice/set por ciclo elimina la latencia sin debilitar las garantías de corrupción/recovery.</x:v>
      </x:c>
      <x:c r="J66" s="32" t="str">
        <x:v>Diseñar/ejecutar C-004-R2 con instrumentación focal y POC semánticamente equivalente.</x:v>
      </x:c>
      <x:c r="K66" s="32" t="str">
        <x:v>Accepted</x:v>
      </x:c>
      <x:c r="L66" s="32" t="str">
        <x:v>DEC-R35-027</x:v>
      </x:c>
    </x:row>
    <x:row r="67">
      <x:c r="A67" s="32" t="str">
        <x:v>F-C004R2-001</x:v>
      </x:c>
      <x:c r="B67" s="32" t="str">
        <x:v>local-isolated-poc</x:v>
      </x:c>
      <x:c r="C67" s="32" t="str">
        <x:v>C-004-R2</x:v>
      </x:c>
      <x:c r="D67" s="32" t="n">
        <x:v>46260.805555555555</x:v>
      </x:c>
      <x:c r="E67" s="32" t="str">
        <x:v>Root-cause isolation / POC</x:v>
      </x:c>
      <x:c r="F67" s="32" t="str">
        <x:v>Info</x:v>
      </x:c>
      <x:c r="G67" s="32" t="str">
        <x:v>El lookup indexado por ciclo elimina casi todo el costo aislado observado en el volumen autoritativo de R1.</x:v>
      </x:c>
      <x:c r="H67" s="32" t="str">
        <x:v>Sobre el WAL real de R1 (50 records / 1.015 MB), 3 ciclos baseline de 50 lookups tardaron 6567.58/6209.24/6406.58 ms y ejecutaron 150 scans / 7500 entries. Indexed tardó 127.79/129.19/124.88 ms con 3 scans / 150 entries. Las 50 consultas neutrales devolvieron exactamente el mismo resultado funcional.</x:v>
      </x:c>
      <x:c r="I67" s="32" t="str">
        <x:v>La evidencia aislada es causalmente muy fuerte y explica prácticamente todo el p50 ~6.43 s de R1. Aun así, el cambio permanece sólo en el harness hasta confirmar el ciclo Runtime completo en el host autoritativo.</x:v>
      </x:c>
      <x:c r="J67" s="32" t="str">
        <x:v>Ejecutar C-004-R2 end-to-end con lookup_mode=indexed; si vuelve al rango ~1–1.5 s, cerrar causalidad y diseñar fix productivo.</x:v>
      </x:c>
      <x:c r="K67" s="32" t="str">
        <x:v>Accepted</x:v>
      </x:c>
      <x:c r="L67" s="32" t="str">
        <x:v>DEC-R35-028</x:v>
      </x:c>
    </x:row>
    <x:row r="68">
      <x:c r="A68" s="32" t="str">
        <x:v>F-C004R2-002</x:v>
      </x:c>
      <x:c r="B68" s="32" t="str">
        <x:v>5669a356-5857-440d-941e-17cc8f6f5251</x:v>
      </x:c>
      <x:c r="C68" s="32" t="str">
        <x:v>C-004-R2</x:v>
      </x:c>
      <x:c r="D68" s="32" t="n">
        <x:v>46260.810752314814</x:v>
      </x:c>
      <x:c r="E68" s="32" t="str">
        <x:v>Root-cause confirmation</x:v>
      </x:c>
      <x:c r="F68" s="32" t="str">
        <x:v>Info</x:v>
      </x:c>
      <x:c r="G68" s="32" t="str">
        <x:v>La lectura repetida del journal durable por cada grupo sin snapshot queda causalmente confirmada como origen del hotspot mixed-state.</x:v>
      </x:c>
      <x:c r="H68" s="32" t="str">
        <x:v>Mismo 50/50 de R1: R1 p95=6569.58 ms con 46/47 overruns; R2 indexed p95=992.88 ms y 0/37 overruns. R2 hizo 1900 history lookups, 36 journal scans, 1800 record entries vistos y 36 index builds. Cada scan vio exactamente 50 durable records. WAL/snapshot/integridad son idénticos a R1.</x:v>
      </x:c>
      <x:c r="I68" s="32" t="str">
        <x:v>El cambio de complejidad intra-ciclo explica la recuperación: se mantiene la pregunta de integridad para cada grupo, pero la fuente durable se recorre una sola vez por ciclo. La evidencia aislada y end-to-end convergen.</x:v>
      </x:c>
      <x:c r="J68" s="32" t="str">
        <x:v>Cerrar aislamiento causal. Siguiente paso sujeto a acuerdo: implementar la misma estrategia como contrato productivo cycle-scoped y ejecutar C-004-R3 sin override del harness.</x:v>
      </x:c>
      <x:c r="K68" s="32" t="str">
        <x:v>Accepted</x:v>
      </x:c>
      <x:c r="L68" s="32" t="str">
        <x:v>DEC-R35-029</x:v>
      </x:c>
    </x:row>
    <x:row r="69">
      <x:c r="A69" s="32" t="str">
        <x:v>F-C004R3-001</x:v>
      </x:c>
      <x:c r="B69" s="32" t="str">
        <x:v>pre-run-product-fix</x:v>
      </x:c>
      <x:c r="C69" s="32" t="str">
        <x:v>C-004-R3</x:v>
      </x:c>
      <x:c r="D69" s="32" t="n">
        <x:v>46260.82777777778</x:v>
      </x:c>
      <x:c r="E69" s="32" t="str">
        <x:v>Product fix implementation</x:v>
      </x:c>
      <x:c r="F69" s="32" t="str">
        <x:v>Info</x:v>
      </x:c>
      <x:c r="G69" s="32" t="str">
        <x:v>El fix productivo traslada la optimización de R2 sin cache global y preserva el contrato fail-closed.</x:v>
      </x:c>
      <x:c r="H69" s="32" t="str">
        <x:v>AlarmOperationalCycle usa load_groups() una vez por ciclo. La composición lee snapshots del lote; si alguno falta, construye una sola pertenencia desde el durable journal para todos los faltantes. Si todos los snapshots existen, no lee durable records. 238 tests locales adaptados verdes.</x:v>
      </x:c>
      <x:c r="I69" s="32" t="str">
        <x:v>La implementación conserva la semántica individual load_group() y evita estado mutable entre ciclos. El smoke detectó y corrigió una colisión de nombre con el campo interno del harness R2 antes de empaquetar.</x:v>
      </x:c>
      <x:c r="J69" s="32" t="str">
        <x:v>Ejecutar C-004-R3 autoritativo 300 s sin durable_history_lookup_mode=indexed.</x:v>
      </x:c>
      <x:c r="K69" s="32" t="str">
        <x:v>Accepted</x:v>
      </x:c>
      <x:c r="L69" s="32" t="str">
        <x:v>DEC-R35-030</x:v>
      </x:c>
    </x:row>
    <x:row r="70">
      <x:c r="A70" s="32" t="str">
        <x:v>F-C004R3-002</x:v>
      </x:c>
      <x:c r="B70" s="32" t="str">
        <x:v>aaa915fa-41f3-4bac-8778-35c764634764</x:v>
      </x:c>
      <x:c r="C70" s="32" t="str">
        <x:v>C-004-R3</x:v>
      </x:c>
      <x:c r="D70" s="32" t="n">
        <x:v>46260.85099537037</x:v>
      </x:c>
      <x:c r="E70" s="32" t="str">
        <x:v>Product regression closure</x:v>
      </x:c>
      <x:c r="F70" s="32" t="str">
        <x:v>Info</x:v>
      </x:c>
      <x:c r="G70" s="32" t="str">
        <x:v>El fix productivo 0.14.2 elimina el hotspot sin override del harness y mantiene intacta la semántica 50/50.</x:v>
      </x:c>
      <x:c r="H70" s="32" t="str">
        <x:v>Harness lookup mode=baseline; p50/p95=956.86/987.97 ms; 0/61 overruns. Steady p95≈980.52 ms. WAL: 50 lifecycle bootstrap + 50 evidence-only al minuto 5; all records runtime_artifact_version=0.14.2. Snapshot final=500 ACTIVE; 500 neutral; 0 holds.</x:v>
      </x:c>
      <x:c r="I70" s="32" t="str">
        <x:v>R1→R2→R3 cierra la cadena reproducir→aislar→corregir: 6.57 s baseline antiguo, 0.99 s POC indexed y 0.99 s producto 0.14.2. No queda finding abierto de este hotspot.</x:v>
      </x:c>
      <x:c r="J70" s="32" t="str">
        <x:v>Cerrar C-004 product regression y cambiar la dimensión de R3.5C a routing C1.</x:v>
      </x:c>
      <x:c r="K70" s="32" t="str">
        <x:v>Accepted</x:v>
      </x:c>
      <x:c r="L70" s="32" t="str">
        <x:v>DEC-R35-031</x:v>
      </x:c>
    </x:row>
    <x:row r="71">
      <x:c r="A71" s="32" t="str">
        <x:v>F-C005-001</x:v>
      </x:c>
      <x:c r="B71" s="32" t="str">
        <x:v>c3547859-d2f4-4280-8359-e9913eb80e75</x:v>
      </x:c>
      <x:c r="C71" s="32" t="str">
        <x:v>C-005</x:v>
      </x:c>
      <x:c r="D71" s="32" t="n">
        <x:v>46260.87045138889</x:v>
      </x:c>
      <x:c r="E71" s="32" t="str">
        <x:v>C1 routing / performance</x:v>
      </x:c>
      <x:c r="F71" s="32" t="str">
        <x:v>Info</x:v>
      </x:c>
      <x:c r="G71" s="32" t="str">
        <x:v>C1 immediate fan-out a cuatro Tools por alarma aumenta estado durable, pero no degrada el steady cycle.</x:v>
      </x:c>
      <x:c r="H71" s="32" t="str">
        <x:v>4000 ASSIGNED exactos, 0 scheduled/rescheduled/removed, 0 pending. Global p95=978.11 ms y steady p95≈974.86 ms, 0 overruns. WAL=4,994,900 bytes y peak RSS=144.15 MB; frente a C-004-R3 son ~3.34× WAL y +11.26 MB RSS, mientras el p95 permanece prácticamente igual.</x:v>
      </x:c>
      <x:c r="I71" s="32" t="str">
        <x:v>El costo C1 está concentrado en materialización/bootstrap y evidencia con snapshots mayores, no en la evaluación estable. No hay razón para aumentar fan-out C1 antes de ejercer pending timers C2.</x:v>
      </x:c>
      <x:c r="J71" s="32" t="str">
        <x:v>Cerrar C-005 PASS/GREEN y cambiar a C2 delayed routing con tres deadlines dentro del run.</x:v>
      </x:c>
      <x:c r="K71" s="32" t="str">
        <x:v>Accepted</x:v>
      </x:c>
      <x:c r="L71" s="32" t="str">
        <x:v>DEC-R35-033</x:v>
      </x:c>
    </x:row>
    <x:row r="72">
      <x:c r="A72" s="32" t="str">
        <x:v>F-C006-001</x:v>
      </x:c>
      <x:c r="B72" s="32" t="str">
        <x:v>bccad405-b4a3-4d37-aced-d232a39dec33</x:v>
      </x:c>
      <x:c r="C72" s="32" t="str">
        <x:v>C-006</x:v>
      </x:c>
      <x:c r="D72" s="32" t="n">
        <x:v>46260.94861111111</x:v>
      </x:c>
      <x:c r="E72" s="32" t="str">
        <x:v>C2 delayed routing / temporal progression</x:v>
      </x:c>
      <x:c r="F72" s="32" t="str">
        <x:v>Info</x:v>
      </x:c>
      <x:c r="G72" s="32" t="str">
        <x:v>C2 pending routing cumple exactamente deadlines y materialización intermedia; las olas durables duplican temporalmente el costo de ciclo pero permanecen ampliamente dentro del budget de 5 s.</x:v>
      </x:c>
      <x:c r="H72" s="32" t="str">
        <x:v>Waves exactas: 1000/3000 bootstrap, 2000/2000 +60 s, 3000/1000 +120 s, 4000/0 +180 s. Wave durations≈1.95/1.98/1.98 s; global p95=1.95 s; steady p95≈0.985 s; 0 overruns. WAL=9.145 MB, peak RSS=145.77 MB, journal aligned.</x:v>
      </x:c>
      <x:c r="I72" s="32" t="str">
        <x:v>La progresión temporal base queda cerrada. El siguiente riesgo semántico no es más carga C2 estable, sino reconciliar pending assignments contra una nueva revisión de configuración.</x:v>
      </x:c>
      <x:c r="J72" s="32" t="str">
        <x:v>Cerrar C-006 PASS/GREEN y diseñar C-007 como dos ejecuciones sobre el mismo volumen para ejercer RESCHEDULED en un límite de configuración, no como refresh artificial dentro de la ventana.</x:v>
      </x:c>
      <x:c r="K72" s="32" t="str">
        <x:v>Accepted</x:v>
      </x:c>
      <x:c r="L72" s="32" t="str">
        <x:v>DEC-R35-035</x:v>
      </x:c>
    </x:row>
    <x:row r="73">
      <x:c r="A73" s="32" t="str">
        <x:v>F-C007-001</x:v>
      </x:c>
      <x:c r="B73" s="32" t="str">
        <x:v>52e52d15-ab29-4d02-ae0b-db8ef8b4346b</x:v>
      </x:c>
      <x:c r="C73" s="32" t="str">
        <x:v>C-007</x:v>
      </x:c>
      <x:c r="D73" s="32" t="n">
        <x:v>46260.992430555554</x:v>
      </x:c>
      <x:c r="E73" s="32" t="str">
        <x:v>C2 configuration adoption / RESCHEDULED</x:v>
      </x:c>
      <x:c r="F73" s="32" t="str">
        <x:v>Info</x:v>
      </x:c>
      <x:c r="G73" s="32" t="str">
        <x:v>La reconciliación AC-1→AC-2 reprograma exactamente los 3000 destinos pendientes sin recrear continuidad ni degradar el steady cycle.</x:v>
      </x:c>
      <x:c r="H73" s="32" t="str">
        <x:v>3000 RESCHEDULED exactos en 100 commits; offsets nuevos +90/+150/+210 s ×1000; occurrence_identity_mismatches=0; state_basis final AC-2 con occurrence start revision AC-1. p95 global=1.924 s, 0 overruns; steady p95≈0.984 s. WAL=10.663 MB; peak RSS=150.37 MB.</x:v>
      </x:c>
      <x:c r="I73" s="32" t="str">
        <x:v>RESCHEDULED queda cerrado. El costo adicional está limitado a adopción y olas durables; no existe degradación sostenida. La siguiente semántica de routing pendiente es REMOVED.</x:v>
      </x:c>
      <x:c r="J73" s="32" t="str">
        <x:v>Cerrar C-007 PASS/GREEN y diseñar C-008 como eliminación de destinos en una nueva ventana, cubriendo un destino ya reached y dos pending sin mezclar reschedule ni alarm removal.</x:v>
      </x:c>
      <x:c r="K73" s="32" t="str">
        <x:v>Accepted</x:v>
      </x:c>
      <x:c r="L73" s="32" t="str">
        <x:v>DEC-R35-037</x:v>
      </x:c>
    </x:row>
    <x:row r="74">
      <x:c r="A74" s="32" t="str">
        <x:v>F-C008-001</x:v>
      </x:c>
      <x:c r="B74" s="32" t="str">
        <x:v>d54b12b9-0300-48c4-a869-7c8402b7beba</x:v>
      </x:c>
      <x:c r="C74" s="32" t="str">
        <x:v>C-008</x:v>
      </x:c>
      <x:c r="D74" s="32" t="n">
        <x:v>46261.02116898148</x:v>
      </x:c>
      <x:c r="E74" s="32" t="str">
        <x:v>C2 configuration adoption / REMOVED</x:v>
      </x:c>
      <x:c r="F74" s="32" t="str">
        <x:v>Info</x:v>
      </x:c>
      <x:c r="G74" s="32" t="str">
        <x:v>C2 destination removal elimina correctamente tanto routing ya materializado como pending, sin recrear Occurrences ni dejar timers residuales.</x:v>
      </x:c>
      <x:c r="H74" s="32" t="str">
        <x:v>3000 REMOVED exactos: route-01/02/03=1000 cada uno; split reached/pending=1000/2000; REMOVED due_at=null; no records posteriores pese a cruzar antiguos deadlines +120/+180. p95=1.603 s, steady p95≈0.984 s, 0 overruns; WAL=7.696 MB; peak RSS=152.84 MB.</x:v>
      </x:c>
      <x:c r="I74" s="32" t="str">
        <x:v>REMOVED queda cerrado y con él se completa la matriz routing R3.5C: C1 immediate, C2 scheduled/deadlines, RESCHEDULED y REMOVED con continuidad durable.</x:v>
      </x:c>
      <x:c r="J74" s="32" t="str">
        <x:v>Cerrar C-008 PASS/GREEN, cerrar R3.5C 11/11 y abrir R3.5D con D-001 Single ManagementAction.</x:v>
      </x:c>
      <x:c r="K74" s="32" t="str">
        <x:v>Accepted</x:v>
      </x:c>
      <x:c r="L74" s="32" t="str">
        <x:v>DEC-R35-039</x:v>
      </x:c>
    </x:row>
    <x:row r="75">
      <x:c r="A75" s="32" t="str">
        <x:v>F-D001-001</x:v>
      </x:c>
      <x:c r="B75" s="32" t="str">
        <x:v>3204ca5b-1be9-4968-b9c0-c0b2fb6ede3e</x:v>
      </x:c>
      <x:c r="C75" s="32" t="str">
        <x:v>D-001</x:v>
      </x:c>
      <x:c r="D75" s="32" t="n">
        <x:v>46261.06543981482</x:v>
      </x:c>
      <x:c r="E75" s="32" t="str">
        <x:v>Management durable baseline</x:v>
      </x:c>
      <x:c r="F75" s="32" t="str">
        <x:v>Info</x:v>
      </x:c>
      <x:c r="G75" s="32" t="str">
        <x:v>Una ManagementAction individual atraviesa el consumer durable con receipt-before-cursor exacto y costo de ciclo cercano al steady baseline.</x:v>
      </x:c>
      <x:c r="H75" s="32" t="str">
        <x:v>Input→receipt=997.95 ms; management iteration=1017.67 ms; global p95=1006.57 ms; steady p95≈935.46 ms; 1 EFFECTIVE receipt, 1 STARTED effect, cursor=256, pending=0, WAL=2.038 MB, peak RSS=136.63 MB.</x:v>
      </x:c>
      <x:c r="I75" s="32" t="str">
        <x:v>El baseline no muestra deuda ni costo durable inesperado. La siguiente dimensión útil es arrival-rate sostenido, manteniendo cada acción EFFECTIVE para aislar throughput del consumer.</x:v>
      </x:c>
      <x:c r="J75" s="32" t="str">
        <x:v>Cerrar D-001 PASS/GREEN y diseñar D-002 a 1 ManagementAction/s con targets únicos distribuidos entre priority groups.</x:v>
      </x:c>
      <x:c r="K75" s="32" t="str">
        <x:v>Accepted</x:v>
      </x:c>
      <x:c r="L75" s="32" t="str">
        <x:v>DEC-R35-041</x:v>
      </x:c>
    </x:row>
    <x:row r="76">
      <x:c r="A76" s="32" t="str">
        <x:v>F-D002-001</x:v>
      </x:c>
      <x:c r="B76" s="32" t="str">
        <x:v>b318a6a4-d160-4b05-a5eb-300d7110040c</x:v>
      </x:c>
      <x:c r="C76" s="32" t="str">
        <x:v>D-002</x:v>
      </x:c>
      <x:c r="D76" s="32" t="n">
        <x:v>46261.09011574074</x:v>
      </x:c>
      <x:c r="E76" s="32" t="str">
        <x:v>Generic Job Runtime lease heartbeat / fenced mutation coordination</x:v>
      </x:c>
      <x:c r="F76" s="32" t="str">
        <x:v>High</x:v>
      </x:c>
      <x:c r="G76" s="32" t="str">
        <x:v>El heartbeat de ExecutionLease puede declararse fallido por no adquirir el PhysicalAuthorityFence dentro de 5 s mientras el mismo proceso realiza una secuencia legítima de fenced mutations, aun cuando owner/generation siguen válidos y el lease no ha expirado.</x:v>
      </x:c>
      <x:c r="H76" s="32" t="str">
        <x:v>D-002: 540/540 Management inputs ya durables; al segundo evidence tick (+600 s), 100 records se publican durable. Sólo 76 snapshots alcanzan materialización antes de LeaseRenewalError; 24 quedan para recovery. journal-head durable=02:09:40 group-100 vs materialized=02:09:10 group-040. POC independiente reproduce LeaseRenewalError manteniendo un fenced_mutation legítimo más allá de la ventana de adquisición del heartbeat, con lease file todavía owned/unexpired.</x:v>
      </x:c>
      <x:c r="I76" s="32" t="str">
        <x:v>No hay pérdida durable ni stale writer: el sistema falla cerrado y Recovery puede converger 24 applied + 76 skipped. Sin embargo, una carga legítima puede abortar cualquier job que mantenga/requiera fences durante suficiente tiempo, por lo que el defecto es transversal a atlanticus-job-runtime 0.7.0 y bloquea continuar R3.5D.</x:v>
      </x:c>
      <x:c r="J76" s="32" t="str">
        <x:v>CLOSED after clean D-002 rerun under atlanticus-job-runtime 0.7.1. The exact workload crossed the +600 s 100-group evidence wave without LeaseRenewalError; execution completed successfully and journal heads aligned. The generic fix is therefore confirmed end-to-end.</x:v>
      </x:c>
      <x:c r="K76" s="32" t="str">
        <x:v>Closed</x:v>
      </x:c>
      <x:c r="L76" s="32" t="str">
        <x:v>DEC-R35-046</x:v>
      </x:c>
    </x:row>
    <x:row r="77">
      <x:c r="A77" s="32" t="str">
        <x:v>F-D002-002</x:v>
      </x:c>
      <x:c r="B77" s="32" t="str">
        <x:v>5e7bd0dc-d6b9-4556-a3bd-8b81a3eb3478</x:v>
      </x:c>
      <x:c r="C77" s="32" t="str">
        <x:v>D-002</x:v>
      </x:c>
      <x:c r="D77" s="32" t="n">
        <x:v>46261.163518518515</x:v>
      </x:c>
      <x:c r="E77" s="32" t="str">
        <x:v>Sustained Management 1/s characterization</x:v>
      </x:c>
      <x:c r="F77" s="32" t="str">
        <x:v>Info</x:v>
      </x:c>
      <x:c r="G77" s="32" t="str">
        <x:v>El consumer durable sostiene 1 ManagementAction/s durante 540 inputs con batching natural de hasta 5 por ciclo, sin backlog, pérdida, duplicados ni cambio de identidad.</x:v>
      </x:c>
      <x:c r="H77" s="32" t="str">
        <x:v>540/540 EFFECTIVE + 540 STARTED; batches 1×1, 107×5, 1×4; cursor=138240; pending/high-water=0/0; input→receipt p50/p95/p99/max=3125.85/5212.46/5246.56/5919.02 ms; iteration p95=1057.78 ms; 0 overruns; WAL=835 records / 8.026 MB; peak RSS=137.83 MB.</x:v>
      </x:c>
      <x:c r="I77" s="32" t="str">
        <x:v>La latencia input→receipt está dominada por la espera hasta el siguiente ciclo de 5 s más ~1 s de procesamiento; no aparece backlog acumulativo. La siguiente dimensión independiente es absorción de burst instantáneo.</x:v>
      </x:c>
      <x:c r="J77" s="32" t="str">
        <x:v>Cerrar D-002 PASS/GREEN y avanzar a diseño D-003 Management burst 50, usando targets únicos en 50 grupos y un run corto que evite mezclar la ola periódica de evidencia.</x:v>
      </x:c>
      <x:c r="K77" s="32" t="str">
        <x:v>Accepted</x:v>
      </x:c>
      <x:c r="L77" s="32" t="str">
        <x:v>DEC-R35-047</x:v>
      </x:c>
    </x:row>
    <x:row r="78">
      <x:c r="A78" s="32" t="str">
        <x:v>F-D003-001</x:v>
      </x:c>
      <x:c r="B78" s="32" t="str">
        <x:v>8f918b47-edd2-46e7-bc0b-de8a4206183a</x:v>
      </x:c>
      <x:c r="C78" s="32" t="str">
        <x:v>D-003</x:v>
      </x:c>
      <x:c r="D78" s="32" t="n">
        <x:v>46261.58613425926</x:v>
      </x:c>
      <x:c r="E78" s="32" t="str">
        <x:v>Management burst 50 absorption</x:v>
      </x:c>
      <x:c r="F78" s="32" t="str">
        <x:v>Info</x:v>
      </x:c>
      <x:c r="G78" s="32" t="str">
        <x:v>Un burst simultáneo de 50 ManagementAction se absorbe íntegramente en la primera iteración elegible, sin backlog ni pérdida de identidad.</x:v>
      </x:c>
      <x:c r="H78" s="32" t="str">
        <x:v>first batch=50/50, one nonempty batch, 50 EFFECTIVE + 50 STARTED, lost/duplicates=0/0, pending/high-water=0/0, cursor=12800, receipt-before-cursor=50/50, input→receipt=1393.99 ms para las 50 acciones, burst iteration=1379.08 ms, global p95=1295.43 ms, 0 overruns, WAL=150 records / 2.377 MB, peak RSS=136.86 MB.</x:v>
      </x:c>
      <x:c r="I78" s="32" t="str">
        <x:v>No se observa cap interno por debajo de 50 ni deuda transitoria. La siguiente presión útil es duplicar el burst a 100, cubriendo los 100 priority groups en el mismo ciclo.</x:v>
      </x:c>
      <x:c r="J78" s="32" t="str">
        <x:v>Cerrar D-003 PASS/GREEN y ejecutar D-004 burst 100 con el mismo harness.</x:v>
      </x:c>
      <x:c r="K78" s="32" t="str">
        <x:v>Accepted</x:v>
      </x:c>
      <x:c r="L78" s="32" t="str">
        <x:v>DEC-R35-049</x:v>
      </x:c>
    </x:row>
    <x:row r="79">
      <x:c r="A79" s="32" t="str">
        <x:v>F-D004-001</x:v>
      </x:c>
      <x:c r="B79" s="32" t="str">
        <x:v>248c19b9-3f16-471c-b1cf-0d730744b47a</x:v>
      </x:c>
      <x:c r="C79" s="32" t="str">
        <x:v>D-004</x:v>
      </x:c>
      <x:c r="D79" s="32" t="n">
        <x:v>46261.59961805555</x:v>
      </x:c>
      <x:c r="E79" s="32" t="str">
        <x:v>Management burst 100 absorption</x:v>
      </x:c>
      <x:c r="F79" s="32" t="str">
        <x:v>Info</x:v>
      </x:c>
      <x:c r="G79" s="32" t="str">
        <x:v>Un burst simultáneo de 100 ManagementAction, una por priority group, se absorbe íntegramente en la primera iteración elegible sin backlog ni pérdida de identidad.</x:v>
      </x:c>
      <x:c r="H79" s="32" t="str">
        <x:v>first batch=100/100, one nonempty batch, 100 EFFECTIVE + 100 STARTED, lost/duplicates=0/0, pending/high-water=0/0, cursor=25600, receipt-before-cursor=100/100, input→receipt=1727.51 ms para todas, burst iteration=1716.54 ms, global p95=1563.58 ms, 0 overruns, WAL=200 records / 2.722 MB, peak RSS=137.16 MB.</x:v>
      </x:c>
      <x:c r="I79" s="32" t="str">
        <x:v>No aparece cap interno ni deuda transitoria al cubrir simultáneamente los 100 grupos. D-004 sigue GREEN; duplicar 50→100 incrementa el costo del burst ~24.5%, no 100%, bajo este workload.</x:v>
      </x:c>
      <x:c r="J79" s="32" t="str">
        <x:v>Cerrar D-004 PASS/GREEN y cambiar de dimensión a DeactivationDecision baseline.</x:v>
      </x:c>
      <x:c r="K79" s="32" t="str">
        <x:v>Accepted</x:v>
      </x:c>
      <x:c r="L79" s="32" t="str">
        <x:v>DEC-R35-051</x:v>
      </x:c>
    </x:row>
    <x:row r="80">
      <x:c r="A80" s="32" t="str">
        <x:v>F-D005-001</x:v>
      </x:c>
      <x:c r="B80" s="32" t="str">
        <x:v>fa708376-dcb7-4fa4-b8af-ec09ea6bb5b5</x:v>
      </x:c>
      <x:c r="C80" s="32" t="str">
        <x:v>D-005</x:v>
      </x:c>
      <x:c r="D80" s="32" t="n">
        <x:v>46261.63972222222</x:v>
      </x:c>
      <x:c r="E80" s="32" t="str">
        <x:v>Single DeactivationDecision causal/durable baseline</x:v>
      </x:c>
      <x:c r="F80" s="32" t="str">
        <x:v>Info</x:v>
      </x:c>
      <x:c r="G80" s="32" t="str">
        <x:v>Una DeactivationDecision APPROVED individual conserva causalidad exacta con su DeactivationRequest y occurrence, sin abrir backlog ni extender la ventana de desactivación desde la aprobación.</x:v>
      </x:c>
      <x:c r="H80" s="32" t="str">
        <x:v>Exactos: 1 request/PENDING_APPROVAL, 1 request durable approval_required=true, 1 decision/APPLIED, 1 ManagementEffect STARTED, 1 DeactivationEffect STARTED, 0 CLEARED; management/decision cursors=256/256; pending final=0/0/0; pending-request high-water=1; remaining window=270 s; decision input→receipt=981.46 ms; iteration p95=1.170 s; 0 overruns; WAL=102 records / 2.046 MB; durable==materialized.</x:v>
      </x:c>
      <x:c r="I80" s="32" t="str">
        <x:v>D-005 cierra el baseline de decisión individual. El siguiente riesgo útil es throughput sostenido de decisiones, pero para atribuir costo al decision consumer conviene pre-provisionar requests durables y medir las decisiones en una segunda fase sobre el mismo volumen.</x:v>
      </x:c>
      <x:c r="J80" s="32" t="str">
        <x:v>Cerrar D-005 PASS/GREEN y proponer D-006 como prueba two-phase: provisioning canónico de requests seguido por DeactivationDecision APPROVED a 1/s.</x:v>
      </x:c>
      <x:c r="K80" s="32" t="str">
        <x:v>Accepted</x:v>
      </x:c>
      <x:c r="L80" s="32" t="str">
        <x:v>DEC-R35-054</x:v>
      </x:c>
    </x:row>
    <x:row r="81">
      <x:c r="A81" s="32" t="str">
        <x:v>F-D006-001</x:v>
      </x:c>
      <x:c r="B81" s="32" t="str">
        <x:v>4a45dc70-1f12-47dc-8687-79f59a94b3db</x:v>
      </x:c>
      <x:c r="C81" s="32" t="str">
        <x:v>D-006</x:v>
      </x:c>
      <x:c r="D81" s="32" t="n">
        <x:v>46261.71229166667</x:v>
      </x:c>
      <x:c r="E81" s="32" t="str">
        <x:v>Sustained DeactivationDecision 1/s characterization</x:v>
      </x:c>
      <x:c r="F81" s="32" t="str">
        <x:v>Info</x:v>
      </x:c>
      <x:c r="G81" s="32" t="str">
        <x:v>El decision consumer sostiene 540 DeactivationDecision APPROVED a 1/s sin backlog ni pérdida; la latencia end-to-end refleja la cadencia de 5 s y la elegibilidad temporal por iteration.as_of.</x:v>
      </x:c>
      <x:c r="H81" s="32" t="str">
        <x:v>540/540 APPLIED y 540 STARTED; batches 106×5 + 2×2 + 1×6; decision input→receipt p50/p95/p99/max=4060.15/6107.42/6166.73/6807.17 ms; iteration p95=1060.12 ms, max=1932.63 ms, 0 overruns. WAL=1570 records / 15.161 MB; cursors=138240/138240; pending final=0/0/0; all 540 remaining windows=1197 s.</x:v>
      </x:c>
      <x:c r="I81" s="32" t="str">
        <x:v>El p95 decision→receipt supera 5 s porque una decisión que llega después del snapshot temporal de un ciclo espera legítimamente al siguiente, además del ~1 s de procesamiento. Frente a D-002 Management 1/s, el p95 aumenta ~17.2%, pero no existe backlog y el ciclo global usa ~21.2% del presupuesto de 5 s.</x:v>
      </x:c>
      <x:c r="J81" s="32" t="str">
        <x:v>Cerrar D-006 PASS/GREEN y avanzar al diseño D-007 Decision burst 50 two-phase.</x:v>
      </x:c>
      <x:c r="K81" s="32" t="str">
        <x:v>Accepted</x:v>
      </x:c>
      <x:c r="L81" s="32" t="str">
        <x:v>DEC-R35-059</x:v>
      </x:c>
    </x:row>
    <x:row r="82">
      <x:c r="A82" s="32" t="str">
        <x:v>F-D007-001</x:v>
      </x:c>
      <x:c r="B82" s="32" t="str">
        <x:v>b4acb562-5468-4276-b109-220c246065b2</x:v>
      </x:c>
      <x:c r="C82" s="32" t="str">
        <x:v>D-007</x:v>
      </x:c>
      <x:c r="D82" s="32" t="n">
        <x:v>46261.76210648148</x:v>
      </x:c>
      <x:c r="E82" s="32" t="str">
        <x:v>DeactivationDecision burst 50 absorption</x:v>
      </x:c>
      <x:c r="F82" s="32" t="str">
        <x:v>Info</x:v>
      </x:c>
      <x:c r="G82" s="32" t="str">
        <x:v>Un burst simultáneo de 50 DeactivationDecision APPROVED se absorbe íntegramente en la primera iteración elegible después de preparar sus requests en una fase aislada, sin backlog ni pérdida de identidad.</x:v>
      </x:c>
      <x:c r="H82" s="32" t="str">
        <x:v>Decision receipt batch=50/50, one nonempty batch, fully_absorbed=true; 50 APPLIED + 50 DeactivationEffect STARTED, 0 CLEARED/lost/duplicates; cursors=12800/12800, pending final=0/0/0. Decision input→receipt =1851.26 ms para las 50; decision work iteration≈1316 ms; global p95=1247.71 ms; 0 overruns. WAL=200 records / 2.776 MB; groups 001..050 have 3 records and 051..100 have 1; durable==materialized.</x:v>
      </x:c>
      <x:c r="I82" s="32" t="str">
        <x:v>La latencia visible→receipt es ~32.8% mayor que D-003 Management burst 50 (1851 vs 1394 ms), pero el ciclo de trabajo no es más lento (≈1316 ms vs ≈1379 ms). La diferencia es consistente con la frontera temporal/visibilidad de Decisions, no con una capacidad menor de procesamiento. No aparece cap ni deuda.</x:v>
      </x:c>
      <x:c r="J82" s="32" t="str">
        <x:v>Cerrar D-007 PASS/GREEN. Cambiar de dimensión a pending correlation con D-008: decisions entregadas antes de que sus requests sean durables, manteniendo requested_at &lt;= decided_at.</x:v>
      </x:c>
      <x:c r="K82" s="32" t="str">
        <x:v>Accepted</x:v>
      </x:c>
      <x:c r="L82" s="32" t="str">
        <x:v>DEC-R35-062</x:v>
      </x:c>
    </x:row>
    <x:row r="83">
      <x:c r="A83" s="32" t="str">
        <x:v>F-D008-001</x:v>
      </x:c>
      <x:c r="B83" s="32" t="str">
        <x:v>7b0edb58-fa4f-4fca-9c11-cfda59d5c5c2</x:v>
      </x:c>
      <x:c r="C83" s="32" t="str">
        <x:v>D-008</x:v>
      </x:c>
      <x:c r="D83" s="32" t="n">
        <x:v>46261.781343</x:v>
      </x:c>
      <x:c r="E83" s="32" t="str">
        <x:v>Decision pending correlation / inverted delivery</x:v>
      </x:c>
      <x:c r="F83" s="32" t="str">
        <x:v>Info</x:v>
      </x:c>
      <x:c r="G83" s="32" t="str">
        <x:v>El consumer conserva exactamente 50 Decision locators después de avanzar su cursor antes de que exista el request durable, y los reprocesa una sola vez cuando el prerequisito aparece, sin fresh redelivery ni pérdida.</x:v>
      </x:c>
      <x:c r="H83" s="32" t="str">
        <x:v>Milestone 1: decision cursor=12800, pending=50, receipts=0, management cursor unset. Milestone 2: management cursor=12800, 50 pending requests durables, decision pending=50, receipts=0. Milestone 3: 50 APPLIED + 50 DeactivationEffect STARTED, final pending=0/0/0. Fresh Decision records=50; pending read_at calls=200 (4.0/input average). WAL=200 records / 2.776 MB with cycles bootstrap +60 request +65 decision; global p95=1278.92 ms and 0 overruns.</x:v>
      </x:c>
      <x:c r="I83" s="32" t="str">
        <x:v>La estrategia cursor+pending durable es correcta para streams fuera de orden. Las 200 read_at calls son polling esperado durante cuatro ciclos de espera por los mismos 50 locators; no es un fallo a esta escala, pero es una referencia útil para observar amplificación si un workload mixto genera backlog pending mayor o más largo.</x:v>
      </x:c>
      <x:c r="J83" s="32" t="str">
        <x:v>Cerrar D-008 PASS/GREEN. D-009 debe cambiar de dimensión a Management + Decisions concurrentes y medir latencias, pending high-water y read_at amplification bajo overlap sostenido.</x:v>
      </x:c>
      <x:c r="K83" s="32" t="str">
        <x:v>Accepted</x:v>
      </x:c>
      <x:c r="L83" s="32" t="str">
        <x:v>DEC-R35-065</x:v>
      </x:c>
    </x:row>
    <x:row r="84">
      <x:c r="A84" s="32" t="str">
        <x:v>F-D009-001</x:v>
      </x:c>
      <x:c r="B84" s="32" t="str">
        <x:v>1cfa0555-b0c9-4674-b249-9dbde1f1d141</x:v>
      </x:c>
      <x:c r="C84" s="32" t="str">
        <x:v>D-009</x:v>
      </x:c>
      <x:c r="D84" s="32" t="n">
        <x:v>46261.80470561192</x:v>
      </x:c>
      <x:c r="E84" s="32" t="str">
        <x:v>Mixed Management + Decisions sustained characterization</x:v>
      </x:c>
      <x:c r="F84" s="32" t="str">
        <x:v>Info</x:v>
      </x:c>
      <x:c r="G84" s="32" t="str">
        <x:v>Los dos consumers sostienen 480 request/decision pairs concurrentes a 1/s con ~450 s de overlap, sin generar pending de stream, pérdida, duplicación ni interferencia de causalidad.</x:v>
      </x:c>
      <x:c r="H84" s="32" t="str">
        <x:v>480 PENDING_APPROVAL + 480 APPLIED; 480 ManagementEffect + 480 DeactivationEffect STARTED; 91 mixed receipt cycles. Request p95=5190.44 ms; Decision p95=5195.30 ms; both batch distributions 1×1 + 95×5 + 1×4. Management/Decision pending high-water=0/0 and read_at=0/0; request pending high-water=30. Global p95=1106.07 ms; mixed-cycle p95≈1101.77 ms; 0 overruns. WAL=1250 records / 11.895 MB, durable==materialized.</x:v>
      </x:c>
      <x:c r="I84" s="32" t="str">
        <x:v>El overlap no introduce asimetría material entre streams: sus p95 input→receipt difieren ~4.85 ms. Comparado con los baselines aislados, el costo central del ciclo sube sólo moderadamente; el max global de 3707.64 ms pertenece a la ola final de evidencia, no al periodo mixto. El lag de 30 s mantiene Decision pending/read_at en cero mientras estabiliza 30 requests pendientes de aprobación.</x:v>
      </x:c>
      <x:c r="J84" s="32" t="str">
        <x:v>Cerrar D-009 PASS/GREEN. D-010 debe cambiar de dimensión a late Decision sobre target removido y validar STALE_TARGET sin crear DeactivationEffect.</x:v>
      </x:c>
      <x:c r="K84" s="32" t="str">
        <x:v>Accepted</x:v>
      </x:c>
      <x:c r="L84" s="32" t="str">
        <x:v>DEC-R35-068</x:v>
      </x:c>
    </x:row>
    <x:row r="85">
      <x:c r="A85" s="32" t="str">
        <x:v>F-D010-001</x:v>
      </x:c>
      <x:c r="B85" s="32" t="str">
        <x:v>550948d8-3846-4cce-9f7b-29ed40bef027</x:v>
      </x:c>
      <x:c r="C85" s="32" t="str">
        <x:v>D-010</x:v>
      </x:c>
      <x:c r="D85" s="32" t="n">
        <x:v>46261.8564</x:v>
      </x:c>
      <x:c r="E85" s="32" t="str">
        <x:v>Harness false negative — stale-target durable serialization/adjudication</x:v>
      </x:c>
      <x:c r="F85" s="32" t="str">
        <x:v>Info</x:v>
      </x:c>
      <x:c r="G85" s="32" t="str">
        <x:v>El product path D-010 produjo exactamente la semántica esperada, pero el metrics builder devolvió FAIL por dos supuestos de serialización que no corresponden al WAL real.</x:v>
      </x:c>
      <x:c r="H85" s="32" t="str">
        <x:v>WAL independiente: 400 records / 4,037,700 bytes = 100 bootstrap + 100 request + 100 adoption + 100 decision; 100 CLOSED con closure_reason=configuration_removed; 100 ManagementEffect STARTED/CLEARED; 100 STALE_TARGET journeys co-localizados con sus Decision receipts; 0 APPLIED/DeactivationEffect; 0 duplicate commits/chains/snapshot mismatches; 900 alarmas finales. Harness reportó closure count=0 y wrong correlation=100.</x:v>
      </x:c>
      <x:c r="I85" s="32" t="str">
        <x:v>El builder comparaba closure_reason con `CONFIGURATION_REMOVED` y esperaba `journey_event.discriminator`, campo que no existe en la serialización durable. La correlación se reconstruye sin ambigüedad por receipt+jornada en el mismo engine commit/priority group y luego contra el request original.</x:v>
      </x:c>
      <x:c r="J85" s="32" t="str">
        <x:v>Aplicar harness 0.1.6 y repetir gate + una corrida limpia. No abrir finding de producto; no cerrar D-010 hasta que el adjudicador corregido devuelva PASS.</x:v>
      </x:c>
      <x:c r="K85" s="32" t="str">
        <x:v>Accepted</x:v>
      </x:c>
      <x:c r="L85" s="32" t="str">
        <x:v>DEC-R35-076</x:v>
      </x:c>
    </x:row>
    <x:row r="86">
      <x:c r="A86" s="32" t="str">
        <x:v>F-D010-002</x:v>
      </x:c>
      <x:c r="B86" s="32" t="str">
        <x:v>24b97fa3-80b4-4f25-bab1-ca074d05590c</x:v>
      </x:c>
      <x:c r="C86" s="32" t="str">
        <x:v>D-010</x:v>
      </x:c>
      <x:c r="D86" s="32" t="n">
        <x:v>46261.874925032236</x:v>
      </x:c>
      <x:c r="E86" s="32" t="str">
        <x:v>Configuration adoption single-iteration overrun</x:v>
      </x:c>
      <x:c r="F86" s="32" t="str">
        <x:v>Info</x:v>
      </x:c>
      <x:c r="G86" s="32" t="str">
        <x:v>La adopción real PERF-AC-2 removiendo 100 targets produjo el único overrun del run final D-010; la iteración de adoption tomó 5499.03 ms sobre un periodo objetivo de 5 s.</x:v>
      </x:c>
      <x:c r="H86" s="32" t="str">
        <x:v>Iteration 13: adoption_outcome=adopted, revision_origin=source_candidate, cycle_executed=false, 100 commits / 663,800 bytes, duration=5499.03 ms, CPU de la muestra≈13.46%. El resto de las iteraciones de trabajo relevantes quedaron ~1.60–1.71 s; p95 global=1670.58 ms; overrun ratio=1/37=2.70%; performance_class=GREEN; 0 errores de integridad/durabilidad.</x:v>
      </x:c>
      <x:c r="I86" s="32" t="str">
        <x:v>Es una observación aislada de la frontera de Configuration Adoption, no evidencia de saturación sostenida. Dado que R3.5E profundiza precisamente en adoption, conviene conservar 5499 ms como punto de referencia y observar si reaparece bajo E-001/E-003 antes de elevarlo a finding de performance.</x:v>
      </x:c>
      <x:c r="J86" s="32" t="str">
        <x:v>Cerrar D-010 PASS/GREEN y llevar esta caracterización a R3.5E; no abrir finding de producto.</x:v>
      </x:c>
      <x:c r="K86" s="32" t="str">
        <x:v>Accepted</x:v>
      </x:c>
      <x:c r="L86" s="32" t="str">
        <x:v>DEC-R35-077</x:v>
      </x:c>
    </x:row>
    <x:row r="87">
      <x:c r="A87" s="32"/>
      <x:c r="B87" s="32"/>
      <x:c r="C87" s="32"/>
      <x:c r="D87" s="32"/>
      <x:c r="E87" s="32"/>
      <x:c r="F87" s="32"/>
      <x:c r="G87" s="32"/>
      <x:c r="H87" s="32"/>
      <x:c r="I87" s="32"/>
      <x:c r="J87" s="32"/>
      <x:c r="K87" s="32"/>
      <x:c r="L87" s="32"/>
    </x:row>
    <x:row r="88">
      <x:c r="A88" s="32"/>
      <x:c r="B88" s="32"/>
      <x:c r="C88" s="32"/>
      <x:c r="D88" s="32"/>
      <x:c r="E88" s="32"/>
      <x:c r="F88" s="32"/>
      <x:c r="G88" s="32"/>
      <x:c r="H88" s="32"/>
      <x:c r="I88" s="32"/>
      <x:c r="J88" s="32"/>
      <x:c r="K88" s="32"/>
      <x:c r="L88" s="32"/>
    </x:row>
    <x:row r="89">
      <x:c r="A89" s="32"/>
      <x:c r="B89" s="32"/>
      <x:c r="C89" s="32"/>
      <x:c r="D89" s="32"/>
      <x:c r="E89" s="32"/>
      <x:c r="F89" s="32"/>
      <x:c r="G89" s="32"/>
      <x:c r="H89" s="32"/>
      <x:c r="I89" s="32"/>
      <x:c r="J89" s="32"/>
      <x:c r="K89" s="32"/>
      <x:c r="L89" s="32"/>
    </x:row>
    <x:row r="90">
      <x:c r="A90" s="32"/>
      <x:c r="B90" s="32"/>
      <x:c r="C90" s="32"/>
      <x:c r="D90" s="32"/>
      <x:c r="E90" s="32"/>
      <x:c r="F90" s="32"/>
      <x:c r="G90" s="32"/>
      <x:c r="H90" s="32"/>
      <x:c r="I90" s="32"/>
      <x:c r="J90" s="32"/>
      <x:c r="K90" s="32"/>
      <x:c r="L90" s="32"/>
    </x:row>
    <x:row r="91">
      <x:c r="A91" s="32"/>
      <x:c r="B91" s="32"/>
      <x:c r="C91" s="32"/>
      <x:c r="D91" s="32"/>
      <x:c r="E91" s="32"/>
      <x:c r="F91" s="32"/>
      <x:c r="G91" s="32"/>
      <x:c r="H91" s="32"/>
      <x:c r="I91" s="32"/>
      <x:c r="J91" s="32"/>
      <x:c r="K91" s="32"/>
      <x:c r="L91" s="32"/>
    </x:row>
    <x:row r="92">
      <x:c r="A92" s="32"/>
      <x:c r="B92" s="32"/>
      <x:c r="C92" s="32"/>
      <x:c r="D92" s="32"/>
      <x:c r="E92" s="32"/>
      <x:c r="F92" s="32"/>
      <x:c r="G92" s="32"/>
      <x:c r="H92" s="32"/>
      <x:c r="I92" s="32"/>
      <x:c r="J92" s="32"/>
      <x:c r="K92" s="32"/>
      <x:c r="L92" s="32"/>
    </x:row>
    <x:row r="93">
      <x:c r="A93" s="32"/>
      <x:c r="B93" s="32"/>
      <x:c r="C93" s="32"/>
      <x:c r="D93" s="32"/>
      <x:c r="E93" s="32"/>
      <x:c r="F93" s="32"/>
      <x:c r="G93" s="32"/>
      <x:c r="H93" s="32"/>
      <x:c r="I93" s="32"/>
      <x:c r="J93" s="32"/>
      <x:c r="K93" s="32"/>
      <x:c r="L93" s="32"/>
    </x:row>
    <x:row r="94">
      <x:c r="A94" s="32"/>
      <x:c r="B94" s="32"/>
      <x:c r="C94" s="32"/>
      <x:c r="D94" s="32"/>
      <x:c r="E94" s="32"/>
      <x:c r="F94" s="32"/>
      <x:c r="G94" s="32"/>
      <x:c r="H94" s="32"/>
      <x:c r="I94" s="32"/>
      <x:c r="J94" s="32"/>
      <x:c r="K94" s="32"/>
      <x:c r="L94" s="32"/>
    </x:row>
    <x:row r="95">
      <x:c r="A95" s="32"/>
      <x:c r="B95" s="32"/>
      <x:c r="C95" s="32"/>
      <x:c r="D95" s="32"/>
      <x:c r="E95" s="32"/>
      <x:c r="F95" s="32"/>
      <x:c r="G95" s="32"/>
      <x:c r="H95" s="32"/>
      <x:c r="I95" s="32"/>
      <x:c r="J95" s="32"/>
      <x:c r="K95" s="32"/>
      <x:c r="L95" s="32"/>
    </x:row>
    <x:row r="96">
      <x:c r="A96" s="32"/>
      <x:c r="B96" s="32"/>
      <x:c r="C96" s="32"/>
      <x:c r="D96" s="32"/>
      <x:c r="E96" s="32"/>
      <x:c r="F96" s="32"/>
      <x:c r="G96" s="32"/>
      <x:c r="H96" s="32"/>
      <x:c r="I96" s="32"/>
      <x:c r="J96" s="32"/>
      <x:c r="K96" s="32"/>
      <x:c r="L96" s="32"/>
    </x:row>
    <x:row r="97">
      <x:c r="A97" s="32"/>
      <x:c r="B97" s="32"/>
      <x:c r="C97" s="32"/>
      <x:c r="D97" s="32"/>
      <x:c r="E97" s="32"/>
      <x:c r="F97" s="32"/>
      <x:c r="G97" s="32"/>
      <x:c r="H97" s="32"/>
      <x:c r="I97" s="32"/>
      <x:c r="J97" s="32"/>
      <x:c r="K97" s="32"/>
      <x:c r="L97" s="32"/>
    </x:row>
    <x:row r="98">
      <x:c r="A98" s="32"/>
      <x:c r="B98" s="32"/>
      <x:c r="C98" s="32"/>
      <x:c r="D98" s="32"/>
      <x:c r="E98" s="32"/>
      <x:c r="F98" s="32"/>
      <x:c r="G98" s="32"/>
      <x:c r="H98" s="32"/>
      <x:c r="I98" s="32"/>
      <x:c r="J98" s="32"/>
      <x:c r="K98" s="32"/>
      <x:c r="L98" s="32"/>
    </x:row>
    <x:row r="99">
      <x:c r="A99" s="32"/>
      <x:c r="B99" s="32"/>
      <x:c r="C99" s="32"/>
      <x:c r="D99" s="32"/>
      <x:c r="E99" s="32"/>
      <x:c r="F99" s="32"/>
      <x:c r="G99" s="32"/>
      <x:c r="H99" s="32"/>
      <x:c r="I99" s="32"/>
      <x:c r="J99" s="32"/>
      <x:c r="K99" s="32"/>
      <x:c r="L99" s="32"/>
    </x:row>
    <x:row r="100">
      <x:c r="A100" s="32"/>
      <x:c r="B100" s="32"/>
      <x:c r="C100" s="32"/>
      <x:c r="D100" s="32"/>
      <x:c r="E100" s="32"/>
      <x:c r="F100" s="32"/>
      <x:c r="G100" s="32"/>
      <x:c r="H100" s="32"/>
      <x:c r="I100" s="32"/>
      <x:c r="J100" s="32"/>
      <x:c r="K100" s="32"/>
      <x:c r="L100" s="32"/>
    </x:row>
    <x:row r="101">
      <x:c r="A101" s="32"/>
      <x:c r="B101" s="32"/>
      <x:c r="C101" s="32"/>
      <x:c r="D101" s="32"/>
      <x:c r="E101" s="32"/>
      <x:c r="F101" s="32"/>
      <x:c r="G101" s="32"/>
      <x:c r="H101" s="32"/>
      <x:c r="I101" s="32"/>
      <x:c r="J101" s="32"/>
      <x:c r="K101" s="32"/>
      <x:c r="L101" s="32"/>
    </x:row>
    <x:row r="102">
      <x:c r="A102" s="32"/>
      <x:c r="B102" s="32"/>
      <x:c r="C102" s="32"/>
      <x:c r="D102" s="32"/>
      <x:c r="E102" s="32"/>
      <x:c r="F102" s="32"/>
      <x:c r="G102" s="32"/>
      <x:c r="H102" s="32"/>
      <x:c r="I102" s="32"/>
      <x:c r="J102" s="32"/>
      <x:c r="K102" s="32"/>
      <x:c r="L102" s="32"/>
    </x:row>
    <x:row r="103">
      <x:c r="A103" s="32"/>
      <x:c r="B103" s="32"/>
      <x:c r="C103" s="32"/>
      <x:c r="D103" s="32"/>
      <x:c r="E103" s="32"/>
      <x:c r="F103" s="32"/>
      <x:c r="G103" s="32"/>
      <x:c r="H103" s="32"/>
      <x:c r="I103" s="32"/>
      <x:c r="J103" s="32"/>
      <x:c r="K103" s="32"/>
      <x:c r="L103" s="32"/>
    </x:row>
    <x:row r="104">
      <x:c r="A104" s="32"/>
      <x:c r="B104" s="32"/>
      <x:c r="C104" s="32"/>
      <x:c r="D104" s="32"/>
      <x:c r="E104" s="32"/>
      <x:c r="F104" s="32"/>
      <x:c r="G104" s="32"/>
      <x:c r="H104" s="32"/>
      <x:c r="I104" s="32"/>
      <x:c r="J104" s="32"/>
      <x:c r="K104" s="32"/>
      <x:c r="L104" s="32"/>
    </x:row>
    <x:row r="105">
      <x:c r="A105" s="32"/>
      <x:c r="B105" s="32"/>
      <x:c r="C105" s="32"/>
      <x:c r="D105" s="32"/>
      <x:c r="E105" s="32"/>
      <x:c r="F105" s="32"/>
      <x:c r="G105" s="32"/>
      <x:c r="H105" s="32"/>
      <x:c r="I105" s="32"/>
      <x:c r="J105" s="32"/>
      <x:c r="K105" s="32"/>
      <x:c r="L105" s="32"/>
    </x:row>
    <x:row r="106">
      <x:c r="A106" s="32"/>
      <x:c r="B106" s="32"/>
      <x:c r="C106" s="32"/>
      <x:c r="D106" s="32"/>
      <x:c r="E106" s="32"/>
      <x:c r="F106" s="32"/>
      <x:c r="G106" s="32"/>
      <x:c r="H106" s="32"/>
      <x:c r="I106" s="32"/>
      <x:c r="J106" s="32"/>
      <x:c r="K106" s="32"/>
      <x:c r="L106" s="32"/>
    </x:row>
    <x:row r="107">
      <x:c r="A107" s="32"/>
      <x:c r="B107" s="32"/>
      <x:c r="C107" s="32"/>
      <x:c r="D107" s="32"/>
      <x:c r="E107" s="32"/>
      <x:c r="F107" s="32"/>
      <x:c r="G107" s="32"/>
      <x:c r="H107" s="32"/>
      <x:c r="I107" s="32"/>
      <x:c r="J107" s="32"/>
      <x:c r="K107" s="32"/>
      <x:c r="L107" s="32"/>
    </x:row>
    <x:row r="108">
      <x:c r="A108" s="32"/>
      <x:c r="B108" s="32"/>
      <x:c r="C108" s="32"/>
      <x:c r="D108" s="32"/>
      <x:c r="E108" s="32"/>
      <x:c r="F108" s="32"/>
      <x:c r="G108" s="32"/>
      <x:c r="H108" s="32"/>
      <x:c r="I108" s="32"/>
      <x:c r="J108" s="32"/>
      <x:c r="K108" s="32"/>
      <x:c r="L108" s="32"/>
    </x:row>
    <x:row r="109">
      <x:c r="A109" s="32"/>
      <x:c r="B109" s="32"/>
      <x:c r="C109" s="32"/>
      <x:c r="D109" s="32"/>
      <x:c r="E109" s="32"/>
      <x:c r="F109" s="32"/>
      <x:c r="G109" s="32"/>
      <x:c r="H109" s="32"/>
      <x:c r="I109" s="32"/>
      <x:c r="J109" s="32"/>
      <x:c r="K109" s="32"/>
      <x:c r="L109" s="32"/>
    </x:row>
    <x:row r="110">
      <x:c r="A110" s="32"/>
      <x:c r="B110" s="32"/>
      <x:c r="C110" s="32"/>
      <x:c r="D110" s="32"/>
      <x:c r="E110" s="32"/>
      <x:c r="F110" s="32"/>
      <x:c r="G110" s="32"/>
      <x:c r="H110" s="32"/>
      <x:c r="I110" s="32"/>
      <x:c r="J110" s="32"/>
      <x:c r="K110" s="32"/>
      <x:c r="L110" s="32"/>
    </x:row>
    <x:row r="111">
      <x:c r="A111" s="32"/>
      <x:c r="B111" s="32"/>
      <x:c r="C111" s="32"/>
      <x:c r="D111" s="32"/>
      <x:c r="E111" s="32"/>
      <x:c r="F111" s="32"/>
      <x:c r="G111" s="32"/>
      <x:c r="H111" s="32"/>
      <x:c r="I111" s="32"/>
      <x:c r="J111" s="32"/>
      <x:c r="K111" s="32"/>
      <x:c r="L111" s="32"/>
    </x:row>
    <x:row r="112">
      <x:c r="A112" s="32"/>
      <x:c r="B112" s="32"/>
      <x:c r="C112" s="32"/>
      <x:c r="D112" s="32"/>
      <x:c r="E112" s="32"/>
      <x:c r="F112" s="32"/>
      <x:c r="G112" s="32"/>
      <x:c r="H112" s="32"/>
      <x:c r="I112" s="32"/>
      <x:c r="J112" s="32"/>
      <x:c r="K112" s="32"/>
      <x:c r="L112" s="32"/>
    </x:row>
    <x:row r="113">
      <x:c r="A113" s="32"/>
      <x:c r="B113" s="32"/>
      <x:c r="C113" s="32"/>
      <x:c r="D113" s="32"/>
      <x:c r="E113" s="32"/>
      <x:c r="F113" s="32"/>
      <x:c r="G113" s="32"/>
      <x:c r="H113" s="32"/>
      <x:c r="I113" s="32"/>
      <x:c r="J113" s="32"/>
      <x:c r="K113" s="32"/>
      <x:c r="L113" s="32"/>
    </x:row>
    <x:row r="114">
      <x:c r="A114" s="32"/>
      <x:c r="B114" s="32"/>
      <x:c r="C114" s="32"/>
      <x:c r="D114" s="32"/>
      <x:c r="E114" s="32"/>
      <x:c r="F114" s="32"/>
      <x:c r="G114" s="32"/>
      <x:c r="H114" s="32"/>
      <x:c r="I114" s="32"/>
      <x:c r="J114" s="32"/>
      <x:c r="K114" s="32"/>
      <x:c r="L114" s="32"/>
    </x:row>
    <x:row r="115">
      <x:c r="A115" s="32"/>
      <x:c r="B115" s="32"/>
      <x:c r="C115" s="32"/>
      <x:c r="D115" s="32"/>
      <x:c r="E115" s="32"/>
      <x:c r="F115" s="32"/>
      <x:c r="G115" s="32"/>
      <x:c r="H115" s="32"/>
      <x:c r="I115" s="32"/>
      <x:c r="J115" s="32"/>
      <x:c r="K115" s="32"/>
      <x:c r="L115" s="32"/>
    </x:row>
    <x:row r="116">
      <x:c r="A116" s="32"/>
      <x:c r="B116" s="32"/>
      <x:c r="C116" s="32"/>
      <x:c r="D116" s="32"/>
      <x:c r="E116" s="32"/>
      <x:c r="F116" s="32"/>
      <x:c r="G116" s="32"/>
      <x:c r="H116" s="32"/>
      <x:c r="I116" s="32"/>
      <x:c r="J116" s="32"/>
      <x:c r="K116" s="32"/>
      <x:c r="L116" s="32"/>
    </x:row>
    <x:row r="117">
      <x:c r="A117" s="32"/>
      <x:c r="B117" s="32"/>
      <x:c r="C117" s="32"/>
      <x:c r="D117" s="32"/>
      <x:c r="E117" s="32"/>
      <x:c r="F117" s="32"/>
      <x:c r="G117" s="32"/>
      <x:c r="H117" s="32"/>
      <x:c r="I117" s="32"/>
      <x:c r="J117" s="32"/>
      <x:c r="K117" s="32"/>
      <x:c r="L117" s="32"/>
    </x:row>
    <x:row r="118">
      <x:c r="A118" s="32"/>
      <x:c r="B118" s="32"/>
      <x:c r="C118" s="32"/>
      <x:c r="D118" s="32"/>
      <x:c r="E118" s="32"/>
      <x:c r="F118" s="32"/>
      <x:c r="G118" s="32"/>
      <x:c r="H118" s="32"/>
      <x:c r="I118" s="32"/>
      <x:c r="J118" s="32"/>
      <x:c r="K118" s="32"/>
      <x:c r="L118" s="32"/>
    </x:row>
    <x:row r="119">
      <x:c r="A119" s="32"/>
      <x:c r="B119" s="32"/>
      <x:c r="C119" s="32"/>
      <x:c r="D119" s="32"/>
      <x:c r="E119" s="32"/>
      <x:c r="F119" s="32"/>
      <x:c r="G119" s="32"/>
      <x:c r="H119" s="32"/>
      <x:c r="I119" s="32"/>
      <x:c r="J119" s="32"/>
      <x:c r="K119" s="32"/>
      <x:c r="L119" s="32"/>
    </x:row>
    <x:row r="120">
      <x:c r="A120" s="32"/>
      <x:c r="B120" s="32"/>
      <x:c r="C120" s="32"/>
      <x:c r="D120" s="32"/>
      <x:c r="E120" s="32"/>
      <x:c r="F120" s="32"/>
      <x:c r="G120" s="32"/>
      <x:c r="H120" s="32"/>
      <x:c r="I120" s="32"/>
      <x:c r="J120" s="32"/>
      <x:c r="K120" s="32"/>
      <x:c r="L120" s="32"/>
    </x:row>
    <x:row r="121">
      <x:c r="A121" s="32"/>
      <x:c r="B121" s="32"/>
      <x:c r="C121" s="32"/>
      <x:c r="D121" s="32"/>
      <x:c r="E121" s="32"/>
      <x:c r="F121" s="32"/>
      <x:c r="G121" s="32"/>
      <x:c r="H121" s="32"/>
      <x:c r="I121" s="32"/>
      <x:c r="J121" s="32"/>
      <x:c r="K121" s="32"/>
      <x:c r="L121" s="32"/>
    </x:row>
    <x:row r="122">
      <x:c r="A122" s="32"/>
      <x:c r="B122" s="32"/>
      <x:c r="C122" s="32"/>
      <x:c r="D122" s="32"/>
      <x:c r="E122" s="32"/>
      <x:c r="F122" s="32"/>
      <x:c r="G122" s="32"/>
      <x:c r="H122" s="32"/>
      <x:c r="I122" s="32"/>
      <x:c r="J122" s="32"/>
      <x:c r="K122" s="32"/>
      <x:c r="L122" s="32"/>
    </x:row>
    <x:row r="123">
      <x:c r="A123" s="32"/>
      <x:c r="B123" s="32"/>
      <x:c r="C123" s="32"/>
      <x:c r="D123" s="32"/>
      <x:c r="E123" s="32"/>
      <x:c r="F123" s="32"/>
      <x:c r="G123" s="32"/>
      <x:c r="H123" s="32"/>
      <x:c r="I123" s="32"/>
      <x:c r="J123" s="32"/>
      <x:c r="K123" s="32"/>
      <x:c r="L123" s="32"/>
    </x:row>
    <x:row r="124">
      <x:c r="A124" s="32"/>
      <x:c r="B124" s="32"/>
      <x:c r="C124" s="32"/>
      <x:c r="D124" s="32"/>
      <x:c r="E124" s="32"/>
      <x:c r="F124" s="32"/>
      <x:c r="G124" s="32"/>
      <x:c r="H124" s="32"/>
      <x:c r="I124" s="32"/>
      <x:c r="J124" s="32"/>
      <x:c r="K124" s="32"/>
      <x:c r="L124" s="32"/>
    </x:row>
    <x:row r="125">
      <x:c r="A125" s="32"/>
      <x:c r="B125" s="32"/>
      <x:c r="C125" s="32"/>
      <x:c r="D125" s="32"/>
      <x:c r="E125" s="32"/>
      <x:c r="F125" s="32"/>
      <x:c r="G125" s="32"/>
      <x:c r="H125" s="32"/>
      <x:c r="I125" s="32"/>
      <x:c r="J125" s="32"/>
      <x:c r="K125" s="32"/>
      <x:c r="L125" s="32"/>
    </x:row>
    <x:row r="126">
      <x:c r="A126" s="32"/>
      <x:c r="B126" s="32"/>
      <x:c r="C126" s="32"/>
      <x:c r="D126" s="32"/>
      <x:c r="E126" s="32"/>
      <x:c r="F126" s="32"/>
      <x:c r="G126" s="32"/>
      <x:c r="H126" s="32"/>
      <x:c r="I126" s="32"/>
      <x:c r="J126" s="32"/>
      <x:c r="K126" s="32"/>
      <x:c r="L126" s="32"/>
    </x:row>
    <x:row r="127">
      <x:c r="A127" s="32"/>
      <x:c r="B127" s="32"/>
      <x:c r="C127" s="32"/>
      <x:c r="D127" s="32"/>
      <x:c r="E127" s="32"/>
      <x:c r="F127" s="32"/>
      <x:c r="G127" s="32"/>
      <x:c r="H127" s="32"/>
      <x:c r="I127" s="32"/>
      <x:c r="J127" s="32"/>
      <x:c r="K127" s="32"/>
      <x:c r="L127" s="32"/>
    </x:row>
    <x:row r="128">
      <x:c r="A128" s="32"/>
      <x:c r="B128" s="32"/>
      <x:c r="C128" s="32"/>
      <x:c r="D128" s="32"/>
      <x:c r="E128" s="32"/>
      <x:c r="F128" s="32"/>
      <x:c r="G128" s="32"/>
      <x:c r="H128" s="32"/>
      <x:c r="I128" s="32"/>
      <x:c r="J128" s="32"/>
      <x:c r="K128" s="32"/>
      <x:c r="L128" s="32"/>
    </x:row>
    <x:row r="129">
      <x:c r="A129" s="32"/>
      <x:c r="B129" s="32"/>
      <x:c r="C129" s="32"/>
      <x:c r="D129" s="32"/>
      <x:c r="E129" s="32"/>
      <x:c r="F129" s="32"/>
      <x:c r="G129" s="32"/>
      <x:c r="H129" s="32"/>
      <x:c r="I129" s="32"/>
      <x:c r="J129" s="32"/>
      <x:c r="K129" s="32"/>
      <x:c r="L129" s="32"/>
    </x:row>
    <x:row r="130">
      <x:c r="A130" s="32"/>
      <x:c r="B130" s="32"/>
      <x:c r="C130" s="32"/>
      <x:c r="D130" s="32"/>
      <x:c r="E130" s="32"/>
      <x:c r="F130" s="32"/>
      <x:c r="G130" s="32"/>
      <x:c r="H130" s="32"/>
      <x:c r="I130" s="32"/>
      <x:c r="J130" s="32"/>
      <x:c r="K130" s="32"/>
      <x:c r="L130" s="32"/>
    </x:row>
    <x:row r="131">
      <x:c r="A131" s="32"/>
      <x:c r="B131" s="32"/>
      <x:c r="C131" s="32"/>
      <x:c r="D131" s="32"/>
      <x:c r="E131" s="32"/>
      <x:c r="F131" s="32"/>
      <x:c r="G131" s="32"/>
      <x:c r="H131" s="32"/>
      <x:c r="I131" s="32"/>
      <x:c r="J131" s="32"/>
      <x:c r="K131" s="32"/>
      <x:c r="L131" s="32"/>
    </x:row>
    <x:row r="132">
      <x:c r="A132" s="32"/>
      <x:c r="B132" s="32"/>
      <x:c r="C132" s="32"/>
      <x:c r="D132" s="32"/>
      <x:c r="E132" s="32"/>
      <x:c r="F132" s="32"/>
      <x:c r="G132" s="32"/>
      <x:c r="H132" s="32"/>
      <x:c r="I132" s="32"/>
      <x:c r="J132" s="32"/>
      <x:c r="K132" s="32"/>
      <x:c r="L132" s="32"/>
    </x:row>
    <x:row r="133">
      <x:c r="A133" s="32"/>
      <x:c r="B133" s="32"/>
      <x:c r="C133" s="32"/>
      <x:c r="D133" s="32"/>
      <x:c r="E133" s="32"/>
      <x:c r="F133" s="32"/>
      <x:c r="G133" s="32"/>
      <x:c r="H133" s="32"/>
      <x:c r="I133" s="32"/>
      <x:c r="J133" s="32"/>
      <x:c r="K133" s="32"/>
      <x:c r="L133" s="32"/>
    </x:row>
    <x:row r="134">
      <x:c r="A134" s="32"/>
      <x:c r="B134" s="32"/>
      <x:c r="C134" s="32"/>
      <x:c r="D134" s="32"/>
      <x:c r="E134" s="32"/>
      <x:c r="F134" s="32"/>
      <x:c r="G134" s="32"/>
      <x:c r="H134" s="32"/>
      <x:c r="I134" s="32"/>
      <x:c r="J134" s="32"/>
      <x:c r="K134" s="32"/>
      <x:c r="L134" s="32"/>
    </x:row>
    <x:row r="135">
      <x:c r="A135" s="32"/>
      <x:c r="B135" s="32"/>
      <x:c r="C135" s="32"/>
      <x:c r="D135" s="32"/>
      <x:c r="E135" s="32"/>
      <x:c r="F135" s="32"/>
      <x:c r="G135" s="32"/>
      <x:c r="H135" s="32"/>
      <x:c r="I135" s="32"/>
      <x:c r="J135" s="32"/>
      <x:c r="K135" s="32"/>
      <x:c r="L135" s="32"/>
    </x:row>
    <x:row r="136">
      <x:c r="A136" s="32"/>
      <x:c r="B136" s="32"/>
      <x:c r="C136" s="32"/>
      <x:c r="D136" s="32"/>
      <x:c r="E136" s="32"/>
      <x:c r="F136" s="32"/>
      <x:c r="G136" s="32"/>
      <x:c r="H136" s="32"/>
      <x:c r="I136" s="32"/>
      <x:c r="J136" s="32"/>
      <x:c r="K136" s="32"/>
      <x:c r="L136" s="32"/>
    </x:row>
    <x:row r="137">
      <x:c r="A137" s="32"/>
      <x:c r="B137" s="32"/>
      <x:c r="C137" s="32"/>
      <x:c r="D137" s="32"/>
      <x:c r="E137" s="32"/>
      <x:c r="F137" s="32"/>
      <x:c r="G137" s="32"/>
      <x:c r="H137" s="32"/>
      <x:c r="I137" s="32"/>
      <x:c r="J137" s="32"/>
      <x:c r="K137" s="32"/>
      <x:c r="L137" s="32"/>
    </x:row>
    <x:row r="138">
      <x:c r="A138" s="32"/>
      <x:c r="B138" s="32"/>
      <x:c r="C138" s="32"/>
      <x:c r="D138" s="32"/>
      <x:c r="E138" s="32"/>
      <x:c r="F138" s="32"/>
      <x:c r="G138" s="32"/>
      <x:c r="H138" s="32"/>
      <x:c r="I138" s="32"/>
      <x:c r="J138" s="32"/>
      <x:c r="K138" s="32"/>
      <x:c r="L138" s="32"/>
    </x:row>
    <x:row r="139">
      <x:c r="A139" s="32"/>
      <x:c r="B139" s="32"/>
      <x:c r="C139" s="32"/>
      <x:c r="D139" s="32"/>
      <x:c r="E139" s="32"/>
      <x:c r="F139" s="32"/>
      <x:c r="G139" s="32"/>
      <x:c r="H139" s="32"/>
      <x:c r="I139" s="32"/>
      <x:c r="J139" s="32"/>
      <x:c r="K139" s="32"/>
      <x:c r="L139" s="32"/>
    </x:row>
    <x:row r="140">
      <x:c r="A140" s="32"/>
      <x:c r="B140" s="32"/>
      <x:c r="C140" s="32"/>
      <x:c r="D140" s="32"/>
      <x:c r="E140" s="32"/>
      <x:c r="F140" s="32"/>
      <x:c r="G140" s="32"/>
      <x:c r="H140" s="32"/>
      <x:c r="I140" s="32"/>
      <x:c r="J140" s="32"/>
      <x:c r="K140" s="32"/>
      <x:c r="L140" s="32"/>
    </x:row>
    <x:row r="141">
      <x:c r="A141" s="32"/>
      <x:c r="B141" s="32"/>
      <x:c r="C141" s="32"/>
      <x:c r="D141" s="32"/>
      <x:c r="E141" s="32"/>
      <x:c r="F141" s="32"/>
      <x:c r="G141" s="32"/>
      <x:c r="H141" s="32"/>
      <x:c r="I141" s="32"/>
      <x:c r="J141" s="32"/>
      <x:c r="K141" s="32"/>
      <x:c r="L141" s="32"/>
    </x:row>
    <x:row r="142">
      <x:c r="A142" s="32"/>
      <x:c r="B142" s="32"/>
      <x:c r="C142" s="32"/>
      <x:c r="D142" s="32"/>
      <x:c r="E142" s="32"/>
      <x:c r="F142" s="32"/>
      <x:c r="G142" s="32"/>
      <x:c r="H142" s="32"/>
      <x:c r="I142" s="32"/>
      <x:c r="J142" s="32"/>
      <x:c r="K142" s="32"/>
      <x:c r="L142" s="32"/>
    </x:row>
    <x:row r="143">
      <x:c r="A143" s="32"/>
      <x:c r="B143" s="32"/>
      <x:c r="C143" s="32"/>
      <x:c r="D143" s="32"/>
      <x:c r="E143" s="32"/>
      <x:c r="F143" s="32"/>
      <x:c r="G143" s="32"/>
      <x:c r="H143" s="32"/>
      <x:c r="I143" s="32"/>
      <x:c r="J143" s="32"/>
      <x:c r="K143" s="32"/>
      <x:c r="L143" s="32"/>
    </x:row>
    <x:row r="144">
      <x:c r="A144" s="32"/>
      <x:c r="B144" s="32"/>
      <x:c r="C144" s="32"/>
      <x:c r="D144" s="32"/>
      <x:c r="E144" s="32"/>
      <x:c r="F144" s="32"/>
      <x:c r="G144" s="32"/>
      <x:c r="H144" s="32"/>
      <x:c r="I144" s="32"/>
      <x:c r="J144" s="32"/>
      <x:c r="K144" s="32"/>
      <x:c r="L144" s="32"/>
    </x:row>
    <x:row r="145">
      <x:c r="A145" s="32"/>
      <x:c r="B145" s="32"/>
      <x:c r="C145" s="32"/>
      <x:c r="D145" s="32"/>
      <x:c r="E145" s="32"/>
      <x:c r="F145" s="32"/>
      <x:c r="G145" s="32"/>
      <x:c r="H145" s="32"/>
      <x:c r="I145" s="32"/>
      <x:c r="J145" s="32"/>
      <x:c r="K145" s="32"/>
      <x:c r="L145" s="32"/>
    </x:row>
    <x:row r="146">
      <x:c r="A146" s="32"/>
      <x:c r="B146" s="32"/>
      <x:c r="C146" s="32"/>
      <x:c r="D146" s="32"/>
      <x:c r="E146" s="32"/>
      <x:c r="F146" s="32"/>
      <x:c r="G146" s="32"/>
      <x:c r="H146" s="32"/>
      <x:c r="I146" s="32"/>
      <x:c r="J146" s="32"/>
      <x:c r="K146" s="32"/>
      <x:c r="L146" s="32"/>
    </x:row>
    <x:row r="147">
      <x:c r="A147" s="32"/>
      <x:c r="B147" s="32"/>
      <x:c r="C147" s="32"/>
      <x:c r="D147" s="32"/>
      <x:c r="E147" s="32"/>
      <x:c r="F147" s="32"/>
      <x:c r="G147" s="32"/>
      <x:c r="H147" s="32"/>
      <x:c r="I147" s="32"/>
      <x:c r="J147" s="32"/>
      <x:c r="K147" s="32"/>
      <x:c r="L147" s="32"/>
    </x:row>
    <x:row r="148">
      <x:c r="A148" s="32"/>
      <x:c r="B148" s="32"/>
      <x:c r="C148" s="32"/>
      <x:c r="D148" s="32"/>
      <x:c r="E148" s="32"/>
      <x:c r="F148" s="32"/>
      <x:c r="G148" s="32"/>
      <x:c r="H148" s="32"/>
      <x:c r="I148" s="32"/>
      <x:c r="J148" s="32"/>
      <x:c r="K148" s="32"/>
      <x:c r="L148" s="32"/>
    </x:row>
    <x:row r="149">
      <x:c r="A149" s="32"/>
      <x:c r="B149" s="32"/>
      <x:c r="C149" s="32"/>
      <x:c r="D149" s="32"/>
      <x:c r="E149" s="32"/>
      <x:c r="F149" s="32"/>
      <x:c r="G149" s="32"/>
      <x:c r="H149" s="32"/>
      <x:c r="I149" s="32"/>
      <x:c r="J149" s="32"/>
      <x:c r="K149" s="32"/>
      <x:c r="L149" s="32"/>
    </x:row>
    <x:row r="150">
      <x:c r="A150" s="32"/>
      <x:c r="B150" s="32"/>
      <x:c r="C150" s="32"/>
      <x:c r="D150" s="32"/>
      <x:c r="E150" s="32"/>
      <x:c r="F150" s="32"/>
      <x:c r="G150" s="32"/>
      <x:c r="H150" s="32"/>
      <x:c r="I150" s="32"/>
      <x:c r="J150" s="32"/>
      <x:c r="K150" s="32"/>
      <x:c r="L150" s="32"/>
    </x:row>
    <x:row r="151">
      <x:c r="A151" s="32"/>
      <x:c r="B151" s="32"/>
      <x:c r="C151" s="32"/>
      <x:c r="D151" s="32"/>
      <x:c r="E151" s="32"/>
      <x:c r="F151" s="32"/>
      <x:c r="G151" s="32"/>
      <x:c r="H151" s="32"/>
      <x:c r="I151" s="32"/>
      <x:c r="J151" s="32"/>
      <x:c r="K151" s="32"/>
      <x:c r="L151" s="32"/>
    </x:row>
    <x:row r="152">
      <x:c r="A152" s="32"/>
      <x:c r="B152" s="32"/>
      <x:c r="C152" s="32"/>
      <x:c r="D152" s="32"/>
      <x:c r="E152" s="32"/>
      <x:c r="F152" s="32"/>
      <x:c r="G152" s="32"/>
      <x:c r="H152" s="32"/>
      <x:c r="I152" s="32"/>
      <x:c r="J152" s="32"/>
      <x:c r="K152" s="32"/>
      <x:c r="L152" s="32"/>
    </x:row>
    <x:row r="153">
      <x:c r="A153" s="32"/>
      <x:c r="B153" s="32"/>
      <x:c r="C153" s="32"/>
      <x:c r="D153" s="32"/>
      <x:c r="E153" s="32"/>
      <x:c r="F153" s="32"/>
      <x:c r="G153" s="32"/>
      <x:c r="H153" s="32"/>
      <x:c r="I153" s="32"/>
      <x:c r="J153" s="32"/>
      <x:c r="K153" s="32"/>
      <x:c r="L153" s="32"/>
    </x:row>
    <x:row r="154">
      <x:c r="A154" s="32"/>
      <x:c r="B154" s="32"/>
      <x:c r="C154" s="32"/>
      <x:c r="D154" s="32"/>
      <x:c r="E154" s="32"/>
      <x:c r="F154" s="32"/>
      <x:c r="G154" s="32"/>
      <x:c r="H154" s="32"/>
      <x:c r="I154" s="32"/>
      <x:c r="J154" s="32"/>
      <x:c r="K154" s="32"/>
      <x:c r="L154" s="32"/>
    </x:row>
    <x:row r="155">
      <x:c r="A155" s="32"/>
      <x:c r="B155" s="32"/>
      <x:c r="C155" s="32"/>
      <x:c r="D155" s="32"/>
      <x:c r="E155" s="32"/>
      <x:c r="F155" s="32"/>
      <x:c r="G155" s="32"/>
      <x:c r="H155" s="32"/>
      <x:c r="I155" s="32"/>
      <x:c r="J155" s="32"/>
      <x:c r="K155" s="32"/>
      <x:c r="L155" s="32"/>
    </x:row>
    <x:row r="156">
      <x:c r="A156" s="32"/>
      <x:c r="B156" s="32"/>
      <x:c r="C156" s="32"/>
      <x:c r="D156" s="32"/>
      <x:c r="E156" s="32"/>
      <x:c r="F156" s="32"/>
      <x:c r="G156" s="32"/>
      <x:c r="H156" s="32"/>
      <x:c r="I156" s="32"/>
      <x:c r="J156" s="32"/>
      <x:c r="K156" s="32"/>
      <x:c r="L156" s="32"/>
    </x:row>
    <x:row r="157">
      <x:c r="A157" s="32"/>
      <x:c r="B157" s="32"/>
      <x:c r="C157" s="32"/>
      <x:c r="D157" s="32"/>
      <x:c r="E157" s="32"/>
      <x:c r="F157" s="32"/>
      <x:c r="G157" s="32"/>
      <x:c r="H157" s="32"/>
      <x:c r="I157" s="32"/>
      <x:c r="J157" s="32"/>
      <x:c r="K157" s="32"/>
      <x:c r="L157" s="32"/>
    </x:row>
    <x:row r="158">
      <x:c r="A158" s="32"/>
      <x:c r="B158" s="32"/>
      <x:c r="C158" s="32"/>
      <x:c r="D158" s="32"/>
      <x:c r="E158" s="32"/>
      <x:c r="F158" s="32"/>
      <x:c r="G158" s="32"/>
      <x:c r="H158" s="32"/>
      <x:c r="I158" s="32"/>
      <x:c r="J158" s="32"/>
      <x:c r="K158" s="32"/>
      <x:c r="L158" s="32"/>
    </x:row>
    <x:row r="159">
      <x:c r="A159" s="32"/>
      <x:c r="B159" s="32"/>
      <x:c r="C159" s="32"/>
      <x:c r="D159" s="32"/>
      <x:c r="E159" s="32"/>
      <x:c r="F159" s="32"/>
      <x:c r="G159" s="32"/>
      <x:c r="H159" s="32"/>
      <x:c r="I159" s="32"/>
      <x:c r="J159" s="32"/>
      <x:c r="K159" s="32"/>
      <x:c r="L159" s="32"/>
    </x:row>
    <x:row r="160">
      <x:c r="A160" s="32"/>
      <x:c r="B160" s="32"/>
      <x:c r="C160" s="32"/>
      <x:c r="D160" s="32"/>
      <x:c r="E160" s="32"/>
      <x:c r="F160" s="32"/>
      <x:c r="G160" s="32"/>
      <x:c r="H160" s="32"/>
      <x:c r="I160" s="32"/>
      <x:c r="J160" s="32"/>
      <x:c r="K160" s="32"/>
      <x:c r="L160" s="32"/>
    </x:row>
    <x:row r="161">
      <x:c r="A161" s="32"/>
      <x:c r="B161" s="32"/>
      <x:c r="C161" s="32"/>
      <x:c r="D161" s="32"/>
      <x:c r="E161" s="32"/>
      <x:c r="F161" s="32"/>
      <x:c r="G161" s="32"/>
      <x:c r="H161" s="32"/>
      <x:c r="I161" s="32"/>
      <x:c r="J161" s="32"/>
      <x:c r="K161" s="32"/>
      <x:c r="L161" s="32"/>
    </x:row>
    <x:row r="162">
      <x:c r="A162" s="32"/>
      <x:c r="B162" s="32"/>
      <x:c r="C162" s="32"/>
      <x:c r="D162" s="32"/>
      <x:c r="E162" s="32"/>
      <x:c r="F162" s="32"/>
      <x:c r="G162" s="32"/>
      <x:c r="H162" s="32"/>
      <x:c r="I162" s="32"/>
      <x:c r="J162" s="32"/>
      <x:c r="K162" s="32"/>
      <x:c r="L162" s="32"/>
    </x:row>
    <x:row r="163">
      <x:c r="A163" s="32"/>
      <x:c r="B163" s="32"/>
      <x:c r="C163" s="32"/>
      <x:c r="D163" s="32"/>
      <x:c r="E163" s="32"/>
      <x:c r="F163" s="32"/>
      <x:c r="G163" s="32"/>
      <x:c r="H163" s="32"/>
      <x:c r="I163" s="32"/>
      <x:c r="J163" s="32"/>
      <x:c r="K163" s="32"/>
      <x:c r="L163" s="32"/>
    </x:row>
    <x:row r="164">
      <x:c r="A164" s="32"/>
      <x:c r="B164" s="32"/>
      <x:c r="C164" s="32"/>
      <x:c r="D164" s="32"/>
      <x:c r="E164" s="32"/>
      <x:c r="F164" s="32"/>
      <x:c r="G164" s="32"/>
      <x:c r="H164" s="32"/>
      <x:c r="I164" s="32"/>
      <x:c r="J164" s="32"/>
      <x:c r="K164" s="32"/>
      <x:c r="L164" s="32"/>
    </x:row>
    <x:row r="165">
      <x:c r="A165" s="32"/>
      <x:c r="B165" s="32"/>
      <x:c r="C165" s="32"/>
      <x:c r="D165" s="32"/>
      <x:c r="E165" s="32"/>
      <x:c r="F165" s="32"/>
      <x:c r="G165" s="32"/>
      <x:c r="H165" s="32"/>
      <x:c r="I165" s="32"/>
      <x:c r="J165" s="32"/>
      <x:c r="K165" s="32"/>
      <x:c r="L165" s="32"/>
    </x:row>
    <x:row r="166">
      <x:c r="A166" s="32"/>
      <x:c r="B166" s="32"/>
      <x:c r="C166" s="32"/>
      <x:c r="D166" s="32"/>
      <x:c r="E166" s="32"/>
      <x:c r="F166" s="32"/>
      <x:c r="G166" s="32"/>
      <x:c r="H166" s="32"/>
      <x:c r="I166" s="32"/>
      <x:c r="J166" s="32"/>
      <x:c r="K166" s="32"/>
      <x:c r="L166" s="32"/>
    </x:row>
    <x:row r="167">
      <x:c r="A167" s="32"/>
      <x:c r="B167" s="32"/>
      <x:c r="C167" s="32"/>
      <x:c r="D167" s="32"/>
      <x:c r="E167" s="32"/>
      <x:c r="F167" s="32"/>
      <x:c r="G167" s="32"/>
      <x:c r="H167" s="32"/>
      <x:c r="I167" s="32"/>
      <x:c r="J167" s="32"/>
      <x:c r="K167" s="32"/>
      <x:c r="L167" s="32"/>
    </x:row>
    <x:row r="168">
      <x:c r="A168" s="32"/>
      <x:c r="B168" s="32"/>
      <x:c r="C168" s="32"/>
      <x:c r="D168" s="32"/>
      <x:c r="E168" s="32"/>
      <x:c r="F168" s="32"/>
      <x:c r="G168" s="32"/>
      <x:c r="H168" s="32"/>
      <x:c r="I168" s="32"/>
      <x:c r="J168" s="32"/>
      <x:c r="K168" s="32"/>
      <x:c r="L168" s="32"/>
    </x:row>
    <x:row r="169">
      <x:c r="A169" s="32"/>
      <x:c r="B169" s="32"/>
      <x:c r="C169" s="32"/>
      <x:c r="D169" s="32"/>
      <x:c r="E169" s="32"/>
      <x:c r="F169" s="32"/>
      <x:c r="G169" s="32"/>
      <x:c r="H169" s="32"/>
      <x:c r="I169" s="32"/>
      <x:c r="J169" s="32"/>
      <x:c r="K169" s="32"/>
      <x:c r="L169" s="32"/>
    </x:row>
    <x:row r="170">
      <x:c r="A170" s="32"/>
      <x:c r="B170" s="32"/>
      <x:c r="C170" s="32"/>
      <x:c r="D170" s="32"/>
      <x:c r="E170" s="32"/>
      <x:c r="F170" s="32"/>
      <x:c r="G170" s="32"/>
      <x:c r="H170" s="32"/>
      <x:c r="I170" s="32"/>
      <x:c r="J170" s="32"/>
      <x:c r="K170" s="32"/>
      <x:c r="L170" s="32"/>
    </x:row>
    <x:row r="171">
      <x:c r="A171" s="32"/>
      <x:c r="B171" s="32"/>
      <x:c r="C171" s="32"/>
      <x:c r="D171" s="32"/>
      <x:c r="E171" s="32"/>
      <x:c r="F171" s="32"/>
      <x:c r="G171" s="32"/>
      <x:c r="H171" s="32"/>
      <x:c r="I171" s="32"/>
      <x:c r="J171" s="32"/>
      <x:c r="K171" s="32"/>
      <x:c r="L171" s="32"/>
    </x:row>
    <x:row r="172">
      <x:c r="A172" s="32"/>
      <x:c r="B172" s="32"/>
      <x:c r="C172" s="32"/>
      <x:c r="D172" s="32"/>
      <x:c r="E172" s="32"/>
      <x:c r="F172" s="32"/>
      <x:c r="G172" s="32"/>
      <x:c r="H172" s="32"/>
      <x:c r="I172" s="32"/>
      <x:c r="J172" s="32"/>
      <x:c r="K172" s="32"/>
      <x:c r="L172" s="32"/>
    </x:row>
    <x:row r="173">
      <x:c r="A173" s="32"/>
      <x:c r="B173" s="32"/>
      <x:c r="C173" s="32"/>
      <x:c r="D173" s="32"/>
      <x:c r="E173" s="32"/>
      <x:c r="F173" s="32"/>
      <x:c r="G173" s="32"/>
      <x:c r="H173" s="32"/>
      <x:c r="I173" s="32"/>
      <x:c r="J173" s="32"/>
      <x:c r="K173" s="32"/>
      <x:c r="L173" s="32"/>
    </x:row>
    <x:row r="174">
      <x:c r="A174" s="32"/>
      <x:c r="B174" s="32"/>
      <x:c r="C174" s="32"/>
      <x:c r="D174" s="32"/>
      <x:c r="E174" s="32"/>
      <x:c r="F174" s="32"/>
      <x:c r="G174" s="32"/>
      <x:c r="H174" s="32"/>
      <x:c r="I174" s="32"/>
      <x:c r="J174" s="32"/>
      <x:c r="K174" s="32"/>
      <x:c r="L174" s="32"/>
    </x:row>
    <x:row r="175">
      <x:c r="A175" s="32"/>
      <x:c r="B175" s="32"/>
      <x:c r="C175" s="32"/>
      <x:c r="D175" s="32"/>
      <x:c r="E175" s="32"/>
      <x:c r="F175" s="32"/>
      <x:c r="G175" s="32"/>
      <x:c r="H175" s="32"/>
      <x:c r="I175" s="32"/>
      <x:c r="J175" s="32"/>
      <x:c r="K175" s="32"/>
      <x:c r="L175" s="32"/>
    </x:row>
    <x:row r="176">
      <x:c r="A176" s="32"/>
      <x:c r="B176" s="32"/>
      <x:c r="C176" s="32"/>
      <x:c r="D176" s="32"/>
      <x:c r="E176" s="32"/>
      <x:c r="F176" s="32"/>
      <x:c r="G176" s="32"/>
      <x:c r="H176" s="32"/>
      <x:c r="I176" s="32"/>
      <x:c r="J176" s="32"/>
      <x:c r="K176" s="32"/>
      <x:c r="L176" s="32"/>
    </x:row>
    <x:row r="177">
      <x:c r="A177" s="32"/>
      <x:c r="B177" s="32"/>
      <x:c r="C177" s="32"/>
      <x:c r="D177" s="32"/>
      <x:c r="E177" s="32"/>
      <x:c r="F177" s="32"/>
      <x:c r="G177" s="32"/>
      <x:c r="H177" s="32"/>
      <x:c r="I177" s="32"/>
      <x:c r="J177" s="32"/>
      <x:c r="K177" s="32"/>
      <x:c r="L177" s="32"/>
    </x:row>
    <x:row r="178">
      <x:c r="A178" s="32"/>
      <x:c r="B178" s="32"/>
      <x:c r="C178" s="32"/>
      <x:c r="D178" s="32"/>
      <x:c r="E178" s="32"/>
      <x:c r="F178" s="32"/>
      <x:c r="G178" s="32"/>
      <x:c r="H178" s="32"/>
      <x:c r="I178" s="32"/>
      <x:c r="J178" s="32"/>
      <x:c r="K178" s="32"/>
      <x:c r="L178" s="32"/>
    </x:row>
    <x:row r="179">
      <x:c r="A179" s="32"/>
      <x:c r="B179" s="32"/>
      <x:c r="C179" s="32"/>
      <x:c r="D179" s="32"/>
      <x:c r="E179" s="32"/>
      <x:c r="F179" s="32"/>
      <x:c r="G179" s="32"/>
      <x:c r="H179" s="32"/>
      <x:c r="I179" s="32"/>
      <x:c r="J179" s="32"/>
      <x:c r="K179" s="32"/>
      <x:c r="L179" s="32"/>
    </x:row>
    <x:row r="180">
      <x:c r="A180" s="32"/>
      <x:c r="B180" s="32"/>
      <x:c r="C180" s="32"/>
      <x:c r="D180" s="32"/>
      <x:c r="E180" s="32"/>
      <x:c r="F180" s="32"/>
      <x:c r="G180" s="32"/>
      <x:c r="H180" s="32"/>
      <x:c r="I180" s="32"/>
      <x:c r="J180" s="32"/>
      <x:c r="K180" s="32"/>
      <x:c r="L180" s="32"/>
    </x:row>
    <x:row r="181">
      <x:c r="A181" s="32"/>
      <x:c r="B181" s="32"/>
      <x:c r="C181" s="32"/>
      <x:c r="D181" s="32"/>
      <x:c r="E181" s="32"/>
      <x:c r="F181" s="32"/>
      <x:c r="G181" s="32"/>
      <x:c r="H181" s="32"/>
      <x:c r="I181" s="32"/>
      <x:c r="J181" s="32"/>
      <x:c r="K181" s="32"/>
      <x:c r="L181" s="32"/>
    </x:row>
    <x:row r="182">
      <x:c r="A182" s="32"/>
      <x:c r="B182" s="32"/>
      <x:c r="C182" s="32"/>
      <x:c r="D182" s="32"/>
      <x:c r="E182" s="32"/>
      <x:c r="F182" s="32"/>
      <x:c r="G182" s="32"/>
      <x:c r="H182" s="32"/>
      <x:c r="I182" s="32"/>
      <x:c r="J182" s="32"/>
      <x:c r="K182" s="32"/>
      <x:c r="L182" s="32"/>
    </x:row>
    <x:row r="183">
      <x:c r="A183" s="32"/>
      <x:c r="B183" s="32"/>
      <x:c r="C183" s="32"/>
      <x:c r="D183" s="32"/>
      <x:c r="E183" s="32"/>
      <x:c r="F183" s="32"/>
      <x:c r="G183" s="32"/>
      <x:c r="H183" s="32"/>
      <x:c r="I183" s="32"/>
      <x:c r="J183" s="32"/>
      <x:c r="K183" s="32"/>
      <x:c r="L183" s="32"/>
    </x:row>
    <x:row r="184">
      <x:c r="A184" s="32"/>
      <x:c r="B184" s="32"/>
      <x:c r="C184" s="32"/>
      <x:c r="D184" s="32"/>
      <x:c r="E184" s="32"/>
      <x:c r="F184" s="32"/>
      <x:c r="G184" s="32"/>
      <x:c r="H184" s="32"/>
      <x:c r="I184" s="32"/>
      <x:c r="J184" s="32"/>
      <x:c r="K184" s="32"/>
      <x:c r="L184" s="32"/>
    </x:row>
    <x:row r="185">
      <x:c r="A185" s="32"/>
      <x:c r="B185" s="32"/>
      <x:c r="C185" s="32"/>
      <x:c r="D185" s="32"/>
      <x:c r="E185" s="32"/>
      <x:c r="F185" s="32"/>
      <x:c r="G185" s="32"/>
      <x:c r="H185" s="32"/>
      <x:c r="I185" s="32"/>
      <x:c r="J185" s="32"/>
      <x:c r="K185" s="32"/>
      <x:c r="L185" s="32"/>
    </x:row>
    <x:row r="186">
      <x:c r="A186" s="32"/>
      <x:c r="B186" s="32"/>
      <x:c r="C186" s="32"/>
      <x:c r="D186" s="32"/>
      <x:c r="E186" s="32"/>
      <x:c r="F186" s="32"/>
      <x:c r="G186" s="32"/>
      <x:c r="H186" s="32"/>
      <x:c r="I186" s="32"/>
      <x:c r="J186" s="32"/>
      <x:c r="K186" s="32"/>
      <x:c r="L186" s="32"/>
    </x:row>
    <x:row r="187">
      <x:c r="A187" s="32"/>
      <x:c r="B187" s="32"/>
      <x:c r="C187" s="32"/>
      <x:c r="D187" s="32"/>
      <x:c r="E187" s="32"/>
      <x:c r="F187" s="32"/>
      <x:c r="G187" s="32"/>
      <x:c r="H187" s="32"/>
      <x:c r="I187" s="32"/>
      <x:c r="J187" s="32"/>
      <x:c r="K187" s="32"/>
      <x:c r="L187" s="32"/>
    </x:row>
    <x:row r="188">
      <x:c r="A188" s="32"/>
      <x:c r="B188" s="32"/>
      <x:c r="C188" s="32"/>
      <x:c r="D188" s="32"/>
      <x:c r="E188" s="32"/>
      <x:c r="F188" s="32"/>
      <x:c r="G188" s="32"/>
      <x:c r="H188" s="32"/>
      <x:c r="I188" s="32"/>
      <x:c r="J188" s="32"/>
      <x:c r="K188" s="32"/>
      <x:c r="L188" s="32"/>
    </x:row>
    <x:row r="189">
      <x:c r="A189" s="32"/>
      <x:c r="B189" s="32"/>
      <x:c r="C189" s="32"/>
      <x:c r="D189" s="32"/>
      <x:c r="E189" s="32"/>
      <x:c r="F189" s="32"/>
      <x:c r="G189" s="32"/>
      <x:c r="H189" s="32"/>
      <x:c r="I189" s="32"/>
      <x:c r="J189" s="32"/>
      <x:c r="K189" s="32"/>
      <x:c r="L189" s="32"/>
    </x:row>
    <x:row r="190">
      <x:c r="A190" s="32"/>
      <x:c r="B190" s="32"/>
      <x:c r="C190" s="32"/>
      <x:c r="D190" s="32"/>
      <x:c r="E190" s="32"/>
      <x:c r="F190" s="32"/>
      <x:c r="G190" s="32"/>
      <x:c r="H190" s="32"/>
      <x:c r="I190" s="32"/>
      <x:c r="J190" s="32"/>
      <x:c r="K190" s="32"/>
      <x:c r="L190" s="32"/>
    </x:row>
    <x:row r="191">
      <x:c r="A191" s="32"/>
      <x:c r="B191" s="32"/>
      <x:c r="C191" s="32"/>
      <x:c r="D191" s="32"/>
      <x:c r="E191" s="32"/>
      <x:c r="F191" s="32"/>
      <x:c r="G191" s="32"/>
      <x:c r="H191" s="32"/>
      <x:c r="I191" s="32"/>
      <x:c r="J191" s="32"/>
      <x:c r="K191" s="32"/>
      <x:c r="L191" s="32"/>
    </x:row>
    <x:row r="192">
      <x:c r="A192" s="32"/>
      <x:c r="B192" s="32"/>
      <x:c r="C192" s="32"/>
      <x:c r="D192" s="32"/>
      <x:c r="E192" s="32"/>
      <x:c r="F192" s="32"/>
      <x:c r="G192" s="32"/>
      <x:c r="H192" s="32"/>
      <x:c r="I192" s="32"/>
      <x:c r="J192" s="32"/>
      <x:c r="K192" s="32"/>
      <x:c r="L192" s="32"/>
    </x:row>
    <x:row r="193">
      <x:c r="A193" s="32"/>
      <x:c r="B193" s="32"/>
      <x:c r="C193" s="32"/>
      <x:c r="D193" s="32"/>
      <x:c r="E193" s="32"/>
      <x:c r="F193" s="32"/>
      <x:c r="G193" s="32"/>
      <x:c r="H193" s="32"/>
      <x:c r="I193" s="32"/>
      <x:c r="J193" s="32"/>
      <x:c r="K193" s="32"/>
      <x:c r="L193" s="32"/>
    </x:row>
    <x:row r="194">
      <x:c r="A194" s="32"/>
      <x:c r="B194" s="32"/>
      <x:c r="C194" s="32"/>
      <x:c r="D194" s="32"/>
      <x:c r="E194" s="32"/>
      <x:c r="F194" s="32"/>
      <x:c r="G194" s="32"/>
      <x:c r="H194" s="32"/>
      <x:c r="I194" s="32"/>
      <x:c r="J194" s="32"/>
      <x:c r="K194" s="32"/>
      <x:c r="L194" s="32"/>
    </x:row>
    <x:row r="195">
      <x:c r="A195" s="32"/>
      <x:c r="B195" s="32"/>
      <x:c r="C195" s="32"/>
      <x:c r="D195" s="32"/>
      <x:c r="E195" s="32"/>
      <x:c r="F195" s="32"/>
      <x:c r="G195" s="32"/>
      <x:c r="H195" s="32"/>
      <x:c r="I195" s="32"/>
      <x:c r="J195" s="32"/>
      <x:c r="K195" s="32"/>
      <x:c r="L195" s="32"/>
    </x:row>
    <x:row r="196">
      <x:c r="A196" s="32"/>
      <x:c r="B196" s="32"/>
      <x:c r="C196" s="32"/>
      <x:c r="D196" s="32"/>
      <x:c r="E196" s="32"/>
      <x:c r="F196" s="32"/>
      <x:c r="G196" s="32"/>
      <x:c r="H196" s="32"/>
      <x:c r="I196" s="32"/>
      <x:c r="J196" s="32"/>
      <x:c r="K196" s="32"/>
      <x:c r="L196" s="32"/>
    </x:row>
    <x:row r="197">
      <x:c r="A197" s="32"/>
      <x:c r="B197" s="32"/>
      <x:c r="C197" s="32"/>
      <x:c r="D197" s="32"/>
      <x:c r="E197" s="32"/>
      <x:c r="F197" s="32"/>
      <x:c r="G197" s="32"/>
      <x:c r="H197" s="32"/>
      <x:c r="I197" s="32"/>
      <x:c r="J197" s="32"/>
      <x:c r="K197" s="32"/>
      <x:c r="L197" s="32"/>
    </x:row>
    <x:row r="198">
      <x:c r="A198" s="32"/>
      <x:c r="B198" s="32"/>
      <x:c r="C198" s="32"/>
      <x:c r="D198" s="32"/>
      <x:c r="E198" s="32"/>
      <x:c r="F198" s="32"/>
      <x:c r="G198" s="32"/>
      <x:c r="H198" s="32"/>
      <x:c r="I198" s="32"/>
      <x:c r="J198" s="32"/>
      <x:c r="K198" s="32"/>
      <x:c r="L198" s="32"/>
    </x:row>
    <x:row r="199">
      <x:c r="A199" s="32"/>
      <x:c r="B199" s="32"/>
      <x:c r="C199" s="32"/>
      <x:c r="D199" s="32"/>
      <x:c r="E199" s="32"/>
      <x:c r="F199" s="32"/>
      <x:c r="G199" s="32"/>
      <x:c r="H199" s="32"/>
      <x:c r="I199" s="32"/>
      <x:c r="J199" s="32"/>
      <x:c r="K199" s="32"/>
      <x:c r="L199" s="32"/>
    </x:row>
    <x:row r="200">
      <x:c r="A200" s="32"/>
      <x:c r="B200" s="32"/>
      <x:c r="C200" s="32"/>
      <x:c r="D200" s="32"/>
      <x:c r="E200" s="32"/>
      <x:c r="F200" s="32"/>
      <x:c r="G200" s="32"/>
      <x:c r="H200" s="32"/>
      <x:c r="I200" s="32"/>
      <x:c r="J200" s="32"/>
      <x:c r="K200" s="32"/>
      <x:c r="L200" s="32"/>
    </x:row>
    <x:row r="201">
      <x:c r="A201" s="32"/>
      <x:c r="B201" s="32"/>
      <x:c r="C201" s="32"/>
      <x:c r="D201" s="32"/>
      <x:c r="E201" s="32"/>
      <x:c r="F201" s="32"/>
      <x:c r="G201" s="32"/>
      <x:c r="H201" s="32"/>
      <x:c r="I201" s="32"/>
      <x:c r="J201" s="32"/>
      <x:c r="K201" s="32"/>
      <x:c r="L201" s="32"/>
    </x:row>
    <x:row r="202">
      <x:c r="A202" s="32"/>
      <x:c r="B202" s="32"/>
      <x:c r="C202" s="32"/>
      <x:c r="D202" s="32"/>
      <x:c r="E202" s="32"/>
      <x:c r="F202" s="32"/>
      <x:c r="G202" s="32"/>
      <x:c r="H202" s="32"/>
      <x:c r="I202" s="32"/>
      <x:c r="J202" s="32"/>
      <x:c r="K202" s="32"/>
      <x:c r="L202" s="32"/>
    </x:row>
    <x:row r="203">
      <x:c r="A203" s="32"/>
      <x:c r="B203" s="32"/>
      <x:c r="C203" s="32"/>
      <x:c r="D203" s="32"/>
      <x:c r="E203" s="32"/>
      <x:c r="F203" s="32"/>
      <x:c r="G203" s="32"/>
      <x:c r="H203" s="32"/>
      <x:c r="I203" s="32"/>
      <x:c r="J203" s="32"/>
      <x:c r="K203" s="32"/>
      <x:c r="L203" s="32"/>
    </x:row>
    <x:row r="204">
      <x:c r="A204" s="32"/>
      <x:c r="B204" s="32"/>
      <x:c r="C204" s="32"/>
      <x:c r="D204" s="32"/>
      <x:c r="E204" s="32"/>
      <x:c r="F204" s="32"/>
      <x:c r="G204" s="32"/>
      <x:c r="H204" s="32"/>
      <x:c r="I204" s="32"/>
      <x:c r="J204" s="32"/>
      <x:c r="K204" s="32"/>
      <x:c r="L204" s="32"/>
    </x:row>
    <x:row r="205">
      <x:c r="A205" s="32"/>
      <x:c r="B205" s="32"/>
      <x:c r="C205" s="32"/>
      <x:c r="D205" s="32"/>
      <x:c r="E205" s="32"/>
      <x:c r="F205" s="32"/>
      <x:c r="G205" s="32"/>
      <x:c r="H205" s="32"/>
      <x:c r="I205" s="32"/>
      <x:c r="J205" s="32"/>
      <x:c r="K205" s="32"/>
      <x:c r="L205" s="32"/>
    </x:row>
    <x:row r="206">
      <x:c r="A206" s="32"/>
      <x:c r="B206" s="32"/>
      <x:c r="C206" s="32"/>
      <x:c r="D206" s="32"/>
      <x:c r="E206" s="32"/>
      <x:c r="F206" s="32"/>
      <x:c r="G206" s="32"/>
      <x:c r="H206" s="32"/>
      <x:c r="I206" s="32"/>
      <x:c r="J206" s="32"/>
      <x:c r="K206" s="32"/>
      <x:c r="L206" s="32"/>
    </x:row>
    <x:row r="207">
      <x:c r="A207" s="32"/>
      <x:c r="B207" s="32"/>
      <x:c r="C207" s="32"/>
      <x:c r="D207" s="32"/>
      <x:c r="E207" s="32"/>
      <x:c r="F207" s="32"/>
      <x:c r="G207" s="32"/>
      <x:c r="H207" s="32"/>
      <x:c r="I207" s="32"/>
      <x:c r="J207" s="32"/>
      <x:c r="K207" s="32"/>
      <x:c r="L207" s="32"/>
    </x:row>
    <x:row r="208">
      <x:c r="A208" s="32"/>
      <x:c r="B208" s="32"/>
      <x:c r="C208" s="32"/>
      <x:c r="D208" s="32"/>
      <x:c r="E208" s="32"/>
      <x:c r="F208" s="32"/>
      <x:c r="G208" s="32"/>
      <x:c r="H208" s="32"/>
      <x:c r="I208" s="32"/>
      <x:c r="J208" s="32"/>
      <x:c r="K208" s="32"/>
      <x:c r="L208" s="32"/>
    </x:row>
    <x:row r="209">
      <x:c r="A209" s="32"/>
      <x:c r="B209" s="32"/>
      <x:c r="C209" s="32"/>
      <x:c r="D209" s="32"/>
      <x:c r="E209" s="32"/>
      <x:c r="F209" s="32"/>
      <x:c r="G209" s="32"/>
      <x:c r="H209" s="32"/>
      <x:c r="I209" s="32"/>
      <x:c r="J209" s="32"/>
      <x:c r="K209" s="32"/>
      <x:c r="L209" s="32"/>
    </x:row>
    <x:row r="210">
      <x:c r="A210" s="32"/>
      <x:c r="B210" s="32"/>
      <x:c r="C210" s="32"/>
      <x:c r="D210" s="32"/>
      <x:c r="E210" s="32"/>
      <x:c r="F210" s="32"/>
      <x:c r="G210" s="32"/>
      <x:c r="H210" s="32"/>
      <x:c r="I210" s="32"/>
      <x:c r="J210" s="32"/>
      <x:c r="K210" s="32"/>
      <x:c r="L210" s="32"/>
    </x:row>
    <x:row r="211">
      <x:c r="A211" s="32"/>
      <x:c r="B211" s="32"/>
      <x:c r="C211" s="32"/>
      <x:c r="D211" s="32"/>
      <x:c r="E211" s="32"/>
      <x:c r="F211" s="32"/>
      <x:c r="G211" s="32"/>
      <x:c r="H211" s="32"/>
      <x:c r="I211" s="32"/>
      <x:c r="J211" s="32"/>
      <x:c r="K211" s="32"/>
      <x:c r="L211" s="32"/>
    </x:row>
    <x:row r="212">
      <x:c r="A212" s="32"/>
      <x:c r="B212" s="32"/>
      <x:c r="C212" s="32"/>
      <x:c r="D212" s="32"/>
      <x:c r="E212" s="32"/>
      <x:c r="F212" s="32"/>
      <x:c r="G212" s="32"/>
      <x:c r="H212" s="32"/>
      <x:c r="I212" s="32"/>
      <x:c r="J212" s="32"/>
      <x:c r="K212" s="32"/>
      <x:c r="L212" s="32"/>
    </x:row>
    <x:row r="213">
      <x:c r="A213" s="32"/>
      <x:c r="B213" s="32"/>
      <x:c r="C213" s="32"/>
      <x:c r="D213" s="32"/>
      <x:c r="E213" s="32"/>
      <x:c r="F213" s="32"/>
      <x:c r="G213" s="32"/>
      <x:c r="H213" s="32"/>
      <x:c r="I213" s="32"/>
      <x:c r="J213" s="32"/>
      <x:c r="K213" s="32"/>
      <x:c r="L213" s="32"/>
    </x:row>
    <x:row r="214">
      <x:c r="A214" s="32"/>
      <x:c r="B214" s="32"/>
      <x:c r="C214" s="32"/>
      <x:c r="D214" s="32"/>
      <x:c r="E214" s="32"/>
      <x:c r="F214" s="32"/>
      <x:c r="G214" s="32"/>
      <x:c r="H214" s="32"/>
      <x:c r="I214" s="32"/>
      <x:c r="J214" s="32"/>
      <x:c r="K214" s="32"/>
      <x:c r="L214" s="32"/>
    </x:row>
    <x:row r="215">
      <x:c r="A215" s="32"/>
      <x:c r="B215" s="32"/>
      <x:c r="C215" s="32"/>
      <x:c r="D215" s="32"/>
      <x:c r="E215" s="32"/>
      <x:c r="F215" s="32"/>
      <x:c r="G215" s="32"/>
      <x:c r="H215" s="32"/>
      <x:c r="I215" s="32"/>
      <x:c r="J215" s="32"/>
      <x:c r="K215" s="32"/>
      <x:c r="L215" s="32"/>
    </x:row>
    <x:row r="216">
      <x:c r="A216" s="32"/>
      <x:c r="B216" s="32"/>
      <x:c r="C216" s="32"/>
      <x:c r="D216" s="32"/>
      <x:c r="E216" s="32"/>
      <x:c r="F216" s="32"/>
      <x:c r="G216" s="32"/>
      <x:c r="H216" s="32"/>
      <x:c r="I216" s="32"/>
      <x:c r="J216" s="32"/>
      <x:c r="K216" s="32"/>
      <x:c r="L216" s="32"/>
    </x:row>
    <x:row r="217">
      <x:c r="A217" s="32"/>
      <x:c r="B217" s="32"/>
      <x:c r="C217" s="32"/>
      <x:c r="D217" s="32"/>
      <x:c r="E217" s="32"/>
      <x:c r="F217" s="32"/>
      <x:c r="G217" s="32"/>
      <x:c r="H217" s="32"/>
      <x:c r="I217" s="32"/>
      <x:c r="J217" s="32"/>
      <x:c r="K217" s="32"/>
      <x:c r="L217" s="32"/>
    </x:row>
    <x:row r="218">
      <x:c r="A218" s="32"/>
      <x:c r="B218" s="32"/>
      <x:c r="C218" s="32"/>
      <x:c r="D218" s="32"/>
      <x:c r="E218" s="32"/>
      <x:c r="F218" s="32"/>
      <x:c r="G218" s="32"/>
      <x:c r="H218" s="32"/>
      <x:c r="I218" s="32"/>
      <x:c r="J218" s="32"/>
      <x:c r="K218" s="32"/>
      <x:c r="L218" s="32"/>
    </x:row>
    <x:row r="219">
      <x:c r="A219" s="32"/>
      <x:c r="B219" s="32"/>
      <x:c r="C219" s="32"/>
      <x:c r="D219" s="32"/>
      <x:c r="E219" s="32"/>
      <x:c r="F219" s="32"/>
      <x:c r="G219" s="32"/>
      <x:c r="H219" s="32"/>
      <x:c r="I219" s="32"/>
      <x:c r="J219" s="32"/>
      <x:c r="K219" s="32"/>
      <x:c r="L219" s="32"/>
    </x:row>
    <x:row r="220">
      <x:c r="A220" s="32"/>
      <x:c r="B220" s="32"/>
      <x:c r="C220" s="32"/>
      <x:c r="D220" s="32"/>
      <x:c r="E220" s="32"/>
      <x:c r="F220" s="32"/>
      <x:c r="G220" s="32"/>
      <x:c r="H220" s="32"/>
      <x:c r="I220" s="32"/>
      <x:c r="J220" s="32"/>
      <x:c r="K220" s="32"/>
      <x:c r="L220" s="32"/>
    </x:row>
    <x:row r="221">
      <x:c r="A221" s="32"/>
      <x:c r="B221" s="32"/>
      <x:c r="C221" s="32"/>
      <x:c r="D221" s="32"/>
      <x:c r="E221" s="32"/>
      <x:c r="F221" s="32"/>
      <x:c r="G221" s="32"/>
      <x:c r="H221" s="32"/>
      <x:c r="I221" s="32"/>
      <x:c r="J221" s="32"/>
      <x:c r="K221" s="32"/>
      <x:c r="L221" s="32"/>
    </x:row>
    <x:row r="222">
      <x:c r="A222" s="32"/>
      <x:c r="B222" s="32"/>
      <x:c r="C222" s="32"/>
      <x:c r="D222" s="32"/>
      <x:c r="E222" s="32"/>
      <x:c r="F222" s="32"/>
      <x:c r="G222" s="32"/>
      <x:c r="H222" s="32"/>
      <x:c r="I222" s="32"/>
      <x:c r="J222" s="32"/>
      <x:c r="K222" s="32"/>
      <x:c r="L222" s="32"/>
    </x:row>
    <x:row r="223">
      <x:c r="A223" s="32"/>
      <x:c r="B223" s="32"/>
      <x:c r="C223" s="32"/>
      <x:c r="D223" s="32"/>
      <x:c r="E223" s="32"/>
      <x:c r="F223" s="32"/>
      <x:c r="G223" s="32"/>
      <x:c r="H223" s="32"/>
      <x:c r="I223" s="32"/>
      <x:c r="J223" s="32"/>
      <x:c r="K223" s="32"/>
      <x:c r="L223" s="32"/>
    </x:row>
    <x:row r="224">
      <x:c r="A224" s="32"/>
      <x:c r="B224" s="32"/>
      <x:c r="C224" s="32"/>
      <x:c r="D224" s="32"/>
      <x:c r="E224" s="32"/>
      <x:c r="F224" s="32"/>
      <x:c r="G224" s="32"/>
      <x:c r="H224" s="32"/>
      <x:c r="I224" s="32"/>
      <x:c r="J224" s="32"/>
      <x:c r="K224" s="32"/>
      <x:c r="L224" s="32"/>
    </x:row>
    <x:row r="225">
      <x:c r="A225" s="32"/>
      <x:c r="B225" s="32"/>
      <x:c r="C225" s="32"/>
      <x:c r="D225" s="32"/>
      <x:c r="E225" s="32"/>
      <x:c r="F225" s="32"/>
      <x:c r="G225" s="32"/>
      <x:c r="H225" s="32"/>
      <x:c r="I225" s="32"/>
      <x:c r="J225" s="32"/>
      <x:c r="K225" s="32"/>
      <x:c r="L225" s="32"/>
    </x:row>
    <x:row r="226">
      <x:c r="A226" s="32"/>
      <x:c r="B226" s="32"/>
      <x:c r="C226" s="32"/>
      <x:c r="D226" s="32"/>
      <x:c r="E226" s="32"/>
      <x:c r="F226" s="32"/>
      <x:c r="G226" s="32"/>
      <x:c r="H226" s="32"/>
      <x:c r="I226" s="32"/>
      <x:c r="J226" s="32"/>
      <x:c r="K226" s="32"/>
      <x:c r="L226" s="32"/>
    </x:row>
    <x:row r="227">
      <x:c r="A227" s="32"/>
      <x:c r="B227" s="32"/>
      <x:c r="C227" s="32"/>
      <x:c r="D227" s="32"/>
      <x:c r="E227" s="32"/>
      <x:c r="F227" s="32"/>
      <x:c r="G227" s="32"/>
      <x:c r="H227" s="32"/>
      <x:c r="I227" s="32"/>
      <x:c r="J227" s="32"/>
      <x:c r="K227" s="32"/>
      <x:c r="L227" s="32"/>
    </x:row>
    <x:row r="228">
      <x:c r="A228" s="32"/>
      <x:c r="B228" s="32"/>
      <x:c r="C228" s="32"/>
      <x:c r="D228" s="32"/>
      <x:c r="E228" s="32"/>
      <x:c r="F228" s="32"/>
      <x:c r="G228" s="32"/>
      <x:c r="H228" s="32"/>
      <x:c r="I228" s="32"/>
      <x:c r="J228" s="32"/>
      <x:c r="K228" s="32"/>
      <x:c r="L228" s="32"/>
    </x:row>
    <x:row r="229">
      <x:c r="A229" s="32"/>
      <x:c r="B229" s="32"/>
      <x:c r="C229" s="32"/>
      <x:c r="D229" s="32"/>
      <x:c r="E229" s="32"/>
      <x:c r="F229" s="32"/>
      <x:c r="G229" s="32"/>
      <x:c r="H229" s="32"/>
      <x:c r="I229" s="32"/>
      <x:c r="J229" s="32"/>
      <x:c r="K229" s="32"/>
      <x:c r="L229" s="32"/>
    </x:row>
    <x:row r="230">
      <x:c r="A230" s="32"/>
      <x:c r="B230" s="32"/>
      <x:c r="C230" s="32"/>
      <x:c r="D230" s="32"/>
      <x:c r="E230" s="32"/>
      <x:c r="F230" s="32"/>
      <x:c r="G230" s="32"/>
      <x:c r="H230" s="32"/>
      <x:c r="I230" s="32"/>
      <x:c r="J230" s="32"/>
      <x:c r="K230" s="32"/>
      <x:c r="L230" s="32"/>
    </x:row>
    <x:row r="231">
      <x:c r="A231" s="32"/>
      <x:c r="B231" s="32"/>
      <x:c r="C231" s="32"/>
      <x:c r="D231" s="32"/>
      <x:c r="E231" s="32"/>
      <x:c r="F231" s="32"/>
      <x:c r="G231" s="32"/>
      <x:c r="H231" s="32"/>
      <x:c r="I231" s="32"/>
      <x:c r="J231" s="32"/>
      <x:c r="K231" s="32"/>
      <x:c r="L231" s="32"/>
    </x:row>
    <x:row r="232">
      <x:c r="A232" s="32"/>
      <x:c r="B232" s="32"/>
      <x:c r="C232" s="32"/>
      <x:c r="D232" s="32"/>
      <x:c r="E232" s="32"/>
      <x:c r="F232" s="32"/>
      <x:c r="G232" s="32"/>
      <x:c r="H232" s="32"/>
      <x:c r="I232" s="32"/>
      <x:c r="J232" s="32"/>
      <x:c r="K232" s="32"/>
      <x:c r="L232" s="32"/>
    </x:row>
    <x:row r="233">
      <x:c r="A233" s="32"/>
      <x:c r="B233" s="32"/>
      <x:c r="C233" s="32"/>
      <x:c r="D233" s="32"/>
      <x:c r="E233" s="32"/>
      <x:c r="F233" s="32"/>
      <x:c r="G233" s="32"/>
      <x:c r="H233" s="32"/>
      <x:c r="I233" s="32"/>
      <x:c r="J233" s="32"/>
      <x:c r="K233" s="32"/>
      <x:c r="L233" s="32"/>
    </x:row>
    <x:row r="234">
      <x:c r="A234" s="32"/>
      <x:c r="B234" s="32"/>
      <x:c r="C234" s="32"/>
      <x:c r="D234" s="32"/>
      <x:c r="E234" s="32"/>
      <x:c r="F234" s="32"/>
      <x:c r="G234" s="32"/>
      <x:c r="H234" s="32"/>
      <x:c r="I234" s="32"/>
      <x:c r="J234" s="32"/>
      <x:c r="K234" s="32"/>
      <x:c r="L234" s="32"/>
    </x:row>
    <x:row r="235">
      <x:c r="A235" s="32"/>
      <x:c r="B235" s="32"/>
      <x:c r="C235" s="32"/>
      <x:c r="D235" s="32"/>
      <x:c r="E235" s="32"/>
      <x:c r="F235" s="32"/>
      <x:c r="G235" s="32"/>
      <x:c r="H235" s="32"/>
      <x:c r="I235" s="32"/>
      <x:c r="J235" s="32"/>
      <x:c r="K235" s="32"/>
      <x:c r="L235" s="32"/>
    </x:row>
    <x:row r="236">
      <x:c r="A236" s="32"/>
      <x:c r="B236" s="32"/>
      <x:c r="C236" s="32"/>
      <x:c r="D236" s="32"/>
      <x:c r="E236" s="32"/>
      <x:c r="F236" s="32"/>
      <x:c r="G236" s="32"/>
      <x:c r="H236" s="32"/>
      <x:c r="I236" s="32"/>
      <x:c r="J236" s="32"/>
      <x:c r="K236" s="32"/>
      <x:c r="L236" s="32"/>
    </x:row>
    <x:row r="237">
      <x:c r="A237" s="32"/>
      <x:c r="B237" s="32"/>
      <x:c r="C237" s="32"/>
      <x:c r="D237" s="32"/>
      <x:c r="E237" s="32"/>
      <x:c r="F237" s="32"/>
      <x:c r="G237" s="32"/>
      <x:c r="H237" s="32"/>
      <x:c r="I237" s="32"/>
      <x:c r="J237" s="32"/>
      <x:c r="K237" s="32"/>
      <x:c r="L237" s="32"/>
    </x:row>
    <x:row r="238">
      <x:c r="A238" s="32"/>
      <x:c r="B238" s="32"/>
      <x:c r="C238" s="32"/>
      <x:c r="D238" s="32"/>
      <x:c r="E238" s="32"/>
      <x:c r="F238" s="32"/>
      <x:c r="G238" s="32"/>
      <x:c r="H238" s="32"/>
      <x:c r="I238" s="32"/>
      <x:c r="J238" s="32"/>
      <x:c r="K238" s="32"/>
      <x:c r="L238" s="32"/>
    </x:row>
    <x:row r="239">
      <x:c r="A239" s="32"/>
      <x:c r="B239" s="32"/>
      <x:c r="C239" s="32"/>
      <x:c r="D239" s="32"/>
      <x:c r="E239" s="32"/>
      <x:c r="F239" s="32"/>
      <x:c r="G239" s="32"/>
      <x:c r="H239" s="32"/>
      <x:c r="I239" s="32"/>
      <x:c r="J239" s="32"/>
      <x:c r="K239" s="32"/>
      <x:c r="L239" s="32"/>
    </x:row>
    <x:row r="240">
      <x:c r="A240" s="32"/>
      <x:c r="B240" s="32"/>
      <x:c r="C240" s="32"/>
      <x:c r="D240" s="32"/>
      <x:c r="E240" s="32"/>
      <x:c r="F240" s="32"/>
      <x:c r="G240" s="32"/>
      <x:c r="H240" s="32"/>
      <x:c r="I240" s="32"/>
      <x:c r="J240" s="32"/>
      <x:c r="K240" s="32"/>
      <x:c r="L240" s="32"/>
    </x:row>
    <x:row r="241">
      <x:c r="A241" s="32"/>
      <x:c r="B241" s="32"/>
      <x:c r="C241" s="32"/>
      <x:c r="D241" s="32"/>
      <x:c r="E241" s="32"/>
      <x:c r="F241" s="32"/>
      <x:c r="G241" s="32"/>
      <x:c r="H241" s="32"/>
      <x:c r="I241" s="32"/>
      <x:c r="J241" s="32"/>
      <x:c r="K241" s="32"/>
      <x:c r="L241" s="32"/>
    </x:row>
    <x:row r="242">
      <x:c r="A242" s="32"/>
      <x:c r="B242" s="32"/>
      <x:c r="C242" s="32"/>
      <x:c r="D242" s="32"/>
      <x:c r="E242" s="32"/>
      <x:c r="F242" s="32"/>
      <x:c r="G242" s="32"/>
      <x:c r="H242" s="32"/>
      <x:c r="I242" s="32"/>
      <x:c r="J242" s="32"/>
      <x:c r="K242" s="32"/>
      <x:c r="L242" s="32"/>
    </x:row>
    <x:row r="243">
      <x:c r="A243" s="32"/>
      <x:c r="B243" s="32"/>
      <x:c r="C243" s="32"/>
      <x:c r="D243" s="32"/>
      <x:c r="E243" s="32"/>
      <x:c r="F243" s="32"/>
      <x:c r="G243" s="32"/>
      <x:c r="H243" s="32"/>
      <x:c r="I243" s="32"/>
      <x:c r="J243" s="32"/>
      <x:c r="K243" s="32"/>
      <x:c r="L243" s="32"/>
    </x:row>
    <x:row r="244">
      <x:c r="A244" s="32"/>
      <x:c r="B244" s="32"/>
      <x:c r="C244" s="32"/>
      <x:c r="D244" s="32"/>
      <x:c r="E244" s="32"/>
      <x:c r="F244" s="32"/>
      <x:c r="G244" s="32"/>
      <x:c r="H244" s="32"/>
      <x:c r="I244" s="32"/>
      <x:c r="J244" s="32"/>
      <x:c r="K244" s="32"/>
      <x:c r="L244" s="32"/>
    </x:row>
    <x:row r="245">
      <x:c r="A245" s="32"/>
      <x:c r="B245" s="32"/>
      <x:c r="C245" s="32"/>
      <x:c r="D245" s="32"/>
      <x:c r="E245" s="32"/>
      <x:c r="F245" s="32"/>
      <x:c r="G245" s="32"/>
      <x:c r="H245" s="32"/>
      <x:c r="I245" s="32"/>
      <x:c r="J245" s="32"/>
      <x:c r="K245" s="32"/>
      <x:c r="L245" s="32"/>
    </x:row>
    <x:row r="246">
      <x:c r="A246" s="32"/>
      <x:c r="B246" s="32"/>
      <x:c r="C246" s="32"/>
      <x:c r="D246" s="32"/>
      <x:c r="E246" s="32"/>
      <x:c r="F246" s="32"/>
      <x:c r="G246" s="32"/>
      <x:c r="H246" s="32"/>
      <x:c r="I246" s="32"/>
      <x:c r="J246" s="32"/>
      <x:c r="K246" s="32"/>
      <x:c r="L246" s="32"/>
    </x:row>
    <x:row r="247">
      <x:c r="A247" s="32"/>
      <x:c r="B247" s="32"/>
      <x:c r="C247" s="32"/>
      <x:c r="D247" s="32"/>
      <x:c r="E247" s="32"/>
      <x:c r="F247" s="32"/>
      <x:c r="G247" s="32"/>
      <x:c r="H247" s="32"/>
      <x:c r="I247" s="32"/>
      <x:c r="J247" s="32"/>
      <x:c r="K247" s="32"/>
      <x:c r="L247" s="32"/>
    </x:row>
    <x:row r="248">
      <x:c r="A248" s="32"/>
      <x:c r="B248" s="32"/>
      <x:c r="C248" s="32"/>
      <x:c r="D248" s="32"/>
      <x:c r="E248" s="32"/>
      <x:c r="F248" s="32"/>
      <x:c r="G248" s="32"/>
      <x:c r="H248" s="32"/>
      <x:c r="I248" s="32"/>
      <x:c r="J248" s="32"/>
      <x:c r="K248" s="32"/>
      <x:c r="L248" s="32"/>
    </x:row>
    <x:row r="249">
      <x:c r="A249" s="32"/>
      <x:c r="B249" s="32"/>
      <x:c r="C249" s="32"/>
      <x:c r="D249" s="32"/>
      <x:c r="E249" s="32"/>
      <x:c r="F249" s="32"/>
      <x:c r="G249" s="32"/>
      <x:c r="H249" s="32"/>
      <x:c r="I249" s="32"/>
      <x:c r="J249" s="32"/>
      <x:c r="K249" s="32"/>
      <x:c r="L249" s="32"/>
    </x:row>
    <x:row r="250">
      <x:c r="A250" s="32"/>
      <x:c r="B250" s="32"/>
      <x:c r="C250" s="32"/>
      <x:c r="D250" s="32"/>
      <x:c r="E250" s="32"/>
      <x:c r="F250" s="32"/>
      <x:c r="G250" s="32"/>
      <x:c r="H250" s="32"/>
      <x:c r="I250" s="32"/>
      <x:c r="J250" s="32"/>
      <x:c r="K250" s="32"/>
      <x:c r="L250" s="32"/>
    </x:row>
    <x:row r="251">
      <x:c r="A251" s="32"/>
      <x:c r="B251" s="32"/>
      <x:c r="C251" s="32"/>
      <x:c r="D251" s="32"/>
      <x:c r="E251" s="32"/>
      <x:c r="F251" s="32"/>
      <x:c r="G251" s="32"/>
      <x:c r="H251" s="32"/>
      <x:c r="I251" s="32"/>
      <x:c r="J251" s="32"/>
      <x:c r="K251" s="32"/>
      <x:c r="L251" s="32"/>
    </x:row>
    <x:row r="252">
      <x:c r="A252" s="32"/>
      <x:c r="B252" s="32"/>
      <x:c r="C252" s="32"/>
      <x:c r="D252" s="32"/>
      <x:c r="E252" s="32"/>
      <x:c r="F252" s="32"/>
      <x:c r="G252" s="32"/>
      <x:c r="H252" s="32"/>
      <x:c r="I252" s="32"/>
      <x:c r="J252" s="32"/>
      <x:c r="K252" s="32"/>
      <x:c r="L252" s="32"/>
    </x:row>
    <x:row r="253">
      <x:c r="A253" s="32"/>
      <x:c r="B253" s="32"/>
      <x:c r="C253" s="32"/>
      <x:c r="D253" s="32"/>
      <x:c r="E253" s="32"/>
      <x:c r="F253" s="32"/>
      <x:c r="G253" s="32"/>
      <x:c r="H253" s="32"/>
      <x:c r="I253" s="32"/>
      <x:c r="J253" s="32"/>
      <x:c r="K253" s="32"/>
      <x:c r="L253" s="32"/>
    </x:row>
    <x:row r="254">
      <x:c r="A254" s="32"/>
      <x:c r="B254" s="32"/>
      <x:c r="C254" s="32"/>
      <x:c r="D254" s="32"/>
      <x:c r="E254" s="32"/>
      <x:c r="F254" s="32"/>
      <x:c r="G254" s="32"/>
      <x:c r="H254" s="32"/>
      <x:c r="I254" s="32"/>
      <x:c r="J254" s="32"/>
      <x:c r="K254" s="32"/>
      <x:c r="L254" s="32"/>
    </x:row>
    <x:row r="255">
      <x:c r="A255" s="32"/>
      <x:c r="B255" s="32"/>
      <x:c r="C255" s="32"/>
      <x:c r="D255" s="32"/>
      <x:c r="E255" s="32"/>
      <x:c r="F255" s="32"/>
      <x:c r="G255" s="32"/>
      <x:c r="H255" s="32"/>
      <x:c r="I255" s="32"/>
      <x:c r="J255" s="32"/>
      <x:c r="K255" s="32"/>
      <x:c r="L255" s="32"/>
    </x:row>
    <x:row r="256">
      <x:c r="A256" s="32"/>
      <x:c r="B256" s="32"/>
      <x:c r="C256" s="32"/>
      <x:c r="D256" s="32"/>
      <x:c r="E256" s="32"/>
      <x:c r="F256" s="32"/>
      <x:c r="G256" s="32"/>
      <x:c r="H256" s="32"/>
      <x:c r="I256" s="32"/>
      <x:c r="J256" s="32"/>
      <x:c r="K256" s="32"/>
      <x:c r="L256" s="32"/>
    </x:row>
    <x:row r="257">
      <x:c r="A257" s="32"/>
      <x:c r="B257" s="32"/>
      <x:c r="C257" s="32"/>
      <x:c r="D257" s="32"/>
      <x:c r="E257" s="32"/>
      <x:c r="F257" s="32"/>
      <x:c r="G257" s="32"/>
      <x:c r="H257" s="32"/>
      <x:c r="I257" s="32"/>
      <x:c r="J257" s="32"/>
      <x:c r="K257" s="32"/>
      <x:c r="L257" s="32"/>
    </x:row>
    <x:row r="258">
      <x:c r="A258" s="32"/>
      <x:c r="B258" s="32"/>
      <x:c r="C258" s="32"/>
      <x:c r="D258" s="32"/>
      <x:c r="E258" s="32"/>
      <x:c r="F258" s="32"/>
      <x:c r="G258" s="32"/>
      <x:c r="H258" s="32"/>
      <x:c r="I258" s="32"/>
      <x:c r="J258" s="32"/>
      <x:c r="K258" s="32"/>
      <x:c r="L258" s="32"/>
    </x:row>
    <x:row r="259">
      <x:c r="A259" s="32"/>
      <x:c r="B259" s="32"/>
      <x:c r="C259" s="32"/>
      <x:c r="D259" s="32"/>
      <x:c r="E259" s="32"/>
      <x:c r="F259" s="32"/>
      <x:c r="G259" s="32"/>
      <x:c r="H259" s="32"/>
      <x:c r="I259" s="32"/>
      <x:c r="J259" s="32"/>
      <x:c r="K259" s="32"/>
      <x:c r="L259" s="32"/>
    </x:row>
    <x:row r="260">
      <x:c r="A260" s="32"/>
      <x:c r="B260" s="32"/>
      <x:c r="C260" s="32"/>
      <x:c r="D260" s="32"/>
      <x:c r="E260" s="32"/>
      <x:c r="F260" s="32"/>
      <x:c r="G260" s="32"/>
      <x:c r="H260" s="32"/>
      <x:c r="I260" s="32"/>
      <x:c r="J260" s="32"/>
      <x:c r="K260" s="32"/>
      <x:c r="L260" s="32"/>
    </x:row>
    <x:row r="261">
      <x:c r="A261" s="32"/>
      <x:c r="B261" s="32"/>
      <x:c r="C261" s="32"/>
      <x:c r="D261" s="32"/>
      <x:c r="E261" s="32"/>
      <x:c r="F261" s="32"/>
      <x:c r="G261" s="32"/>
      <x:c r="H261" s="32"/>
      <x:c r="I261" s="32"/>
      <x:c r="J261" s="32"/>
      <x:c r="K261" s="32"/>
      <x:c r="L261" s="32"/>
    </x:row>
    <x:row r="262">
      <x:c r="A262" s="32"/>
      <x:c r="B262" s="32"/>
      <x:c r="C262" s="32"/>
      <x:c r="D262" s="32"/>
      <x:c r="E262" s="32"/>
      <x:c r="F262" s="32"/>
      <x:c r="G262" s="32"/>
      <x:c r="H262" s="32"/>
      <x:c r="I262" s="32"/>
      <x:c r="J262" s="32"/>
      <x:c r="K262" s="32"/>
      <x:c r="L262" s="32"/>
    </x:row>
    <x:row r="263">
      <x:c r="A263" s="32"/>
      <x:c r="B263" s="32"/>
      <x:c r="C263" s="32"/>
      <x:c r="D263" s="32"/>
      <x:c r="E263" s="32"/>
      <x:c r="F263" s="32"/>
      <x:c r="G263" s="32"/>
      <x:c r="H263" s="32"/>
      <x:c r="I263" s="32"/>
      <x:c r="J263" s="32"/>
      <x:c r="K263" s="32"/>
      <x:c r="L263" s="32"/>
    </x:row>
    <x:row r="264">
      <x:c r="A264" s="32"/>
      <x:c r="B264" s="32"/>
      <x:c r="C264" s="32"/>
      <x:c r="D264" s="32"/>
      <x:c r="E264" s="32"/>
      <x:c r="F264" s="32"/>
      <x:c r="G264" s="32"/>
      <x:c r="H264" s="32"/>
      <x:c r="I264" s="32"/>
      <x:c r="J264" s="32"/>
      <x:c r="K264" s="32"/>
      <x:c r="L264" s="32"/>
    </x:row>
    <x:row r="265">
      <x:c r="A265" s="32"/>
      <x:c r="B265" s="32"/>
      <x:c r="C265" s="32"/>
      <x:c r="D265" s="32"/>
      <x:c r="E265" s="32"/>
      <x:c r="F265" s="32"/>
      <x:c r="G265" s="32"/>
      <x:c r="H265" s="32"/>
      <x:c r="I265" s="32"/>
      <x:c r="J265" s="32"/>
      <x:c r="K265" s="32"/>
      <x:c r="L265" s="32"/>
    </x:row>
    <x:row r="266">
      <x:c r="A266" s="32"/>
      <x:c r="B266" s="32"/>
      <x:c r="C266" s="32"/>
      <x:c r="D266" s="32"/>
      <x:c r="E266" s="32"/>
      <x:c r="F266" s="32"/>
      <x:c r="G266" s="32"/>
      <x:c r="H266" s="32"/>
      <x:c r="I266" s="32"/>
      <x:c r="J266" s="32"/>
      <x:c r="K266" s="32"/>
      <x:c r="L266" s="32"/>
    </x:row>
    <x:row r="267">
      <x:c r="A267" s="32"/>
      <x:c r="B267" s="32"/>
      <x:c r="C267" s="32"/>
      <x:c r="D267" s="32"/>
      <x:c r="E267" s="32"/>
      <x:c r="F267" s="32"/>
      <x:c r="G267" s="32"/>
      <x:c r="H267" s="32"/>
      <x:c r="I267" s="32"/>
      <x:c r="J267" s="32"/>
      <x:c r="K267" s="32"/>
      <x:c r="L267" s="32"/>
    </x:row>
    <x:row r="268">
      <x:c r="A268" s="32"/>
      <x:c r="B268" s="32"/>
      <x:c r="C268" s="32"/>
      <x:c r="D268" s="32"/>
      <x:c r="E268" s="32"/>
      <x:c r="F268" s="32"/>
      <x:c r="G268" s="32"/>
      <x:c r="H268" s="32"/>
      <x:c r="I268" s="32"/>
      <x:c r="J268" s="32"/>
      <x:c r="K268" s="32"/>
      <x:c r="L268" s="32"/>
    </x:row>
    <x:row r="269">
      <x:c r="A269" s="32"/>
      <x:c r="B269" s="32"/>
      <x:c r="C269" s="32"/>
      <x:c r="D269" s="32"/>
      <x:c r="E269" s="32"/>
      <x:c r="F269" s="32"/>
      <x:c r="G269" s="32"/>
      <x:c r="H269" s="32"/>
      <x:c r="I269" s="32"/>
      <x:c r="J269" s="32"/>
      <x:c r="K269" s="32"/>
      <x:c r="L269" s="32"/>
    </x:row>
    <x:row r="270">
      <x:c r="A270" s="32"/>
      <x:c r="B270" s="32"/>
      <x:c r="C270" s="32"/>
      <x:c r="D270" s="32"/>
      <x:c r="E270" s="32"/>
      <x:c r="F270" s="32"/>
      <x:c r="G270" s="32"/>
      <x:c r="H270" s="32"/>
      <x:c r="I270" s="32"/>
      <x:c r="J270" s="32"/>
      <x:c r="K270" s="32"/>
      <x:c r="L270" s="32"/>
    </x:row>
    <x:row r="271">
      <x:c r="A271" s="32"/>
      <x:c r="B271" s="32"/>
      <x:c r="C271" s="32"/>
      <x:c r="D271" s="32"/>
      <x:c r="E271" s="32"/>
      <x:c r="F271" s="32"/>
      <x:c r="G271" s="32"/>
      <x:c r="H271" s="32"/>
      <x:c r="I271" s="32"/>
      <x:c r="J271" s="32"/>
      <x:c r="K271" s="32"/>
      <x:c r="L271" s="32"/>
    </x:row>
    <x:row r="272">
      <x:c r="A272" s="32"/>
      <x:c r="B272" s="32"/>
      <x:c r="C272" s="32"/>
      <x:c r="D272" s="32"/>
      <x:c r="E272" s="32"/>
      <x:c r="F272" s="32"/>
      <x:c r="G272" s="32"/>
      <x:c r="H272" s="32"/>
      <x:c r="I272" s="32"/>
      <x:c r="J272" s="32"/>
      <x:c r="K272" s="32"/>
      <x:c r="L272" s="32"/>
    </x:row>
    <x:row r="273">
      <x:c r="A273" s="32"/>
      <x:c r="B273" s="32"/>
      <x:c r="C273" s="32"/>
      <x:c r="D273" s="32"/>
      <x:c r="E273" s="32"/>
      <x:c r="F273" s="32"/>
      <x:c r="G273" s="32"/>
      <x:c r="H273" s="32"/>
      <x:c r="I273" s="32"/>
      <x:c r="J273" s="32"/>
      <x:c r="K273" s="32"/>
      <x:c r="L273" s="32"/>
    </x:row>
    <x:row r="274">
      <x:c r="A274" s="32"/>
      <x:c r="B274" s="32"/>
      <x:c r="C274" s="32"/>
      <x:c r="D274" s="32"/>
      <x:c r="E274" s="32"/>
      <x:c r="F274" s="32"/>
      <x:c r="G274" s="32"/>
      <x:c r="H274" s="32"/>
      <x:c r="I274" s="32"/>
      <x:c r="J274" s="32"/>
      <x:c r="K274" s="32"/>
      <x:c r="L274" s="32"/>
    </x:row>
    <x:row r="275">
      <x:c r="A275" s="32"/>
      <x:c r="B275" s="32"/>
      <x:c r="C275" s="32"/>
      <x:c r="D275" s="32"/>
      <x:c r="E275" s="32"/>
      <x:c r="F275" s="32"/>
      <x:c r="G275" s="32"/>
      <x:c r="H275" s="32"/>
      <x:c r="I275" s="32"/>
      <x:c r="J275" s="32"/>
      <x:c r="K275" s="32"/>
      <x:c r="L275" s="32"/>
    </x:row>
    <x:row r="276">
      <x:c r="A276" s="32"/>
      <x:c r="B276" s="32"/>
      <x:c r="C276" s="32"/>
      <x:c r="D276" s="32"/>
      <x:c r="E276" s="32"/>
      <x:c r="F276" s="32"/>
      <x:c r="G276" s="32"/>
      <x:c r="H276" s="32"/>
      <x:c r="I276" s="32"/>
      <x:c r="J276" s="32"/>
      <x:c r="K276" s="32"/>
      <x:c r="L276" s="32"/>
    </x:row>
    <x:row r="277">
      <x:c r="A277" s="32"/>
      <x:c r="B277" s="32"/>
      <x:c r="C277" s="32"/>
      <x:c r="D277" s="32"/>
      <x:c r="E277" s="32"/>
      <x:c r="F277" s="32"/>
      <x:c r="G277" s="32"/>
      <x:c r="H277" s="32"/>
      <x:c r="I277" s="32"/>
      <x:c r="J277" s="32"/>
      <x:c r="K277" s="32"/>
      <x:c r="L277" s="32"/>
    </x:row>
    <x:row r="278">
      <x:c r="A278" s="32"/>
      <x:c r="B278" s="32"/>
      <x:c r="C278" s="32"/>
      <x:c r="D278" s="32"/>
      <x:c r="E278" s="32"/>
      <x:c r="F278" s="32"/>
      <x:c r="G278" s="32"/>
      <x:c r="H278" s="32"/>
      <x:c r="I278" s="32"/>
      <x:c r="J278" s="32"/>
      <x:c r="K278" s="32"/>
      <x:c r="L278" s="32"/>
    </x:row>
    <x:row r="279">
      <x:c r="A279" s="32"/>
      <x:c r="B279" s="32"/>
      <x:c r="C279" s="32"/>
      <x:c r="D279" s="32"/>
      <x:c r="E279" s="32"/>
      <x:c r="F279" s="32"/>
      <x:c r="G279" s="32"/>
      <x:c r="H279" s="32"/>
      <x:c r="I279" s="32"/>
      <x:c r="J279" s="32"/>
      <x:c r="K279" s="32"/>
      <x:c r="L279" s="32"/>
    </x:row>
    <x:row r="280">
      <x:c r="A280" s="32"/>
      <x:c r="B280" s="32"/>
      <x:c r="C280" s="32"/>
      <x:c r="D280" s="32"/>
      <x:c r="E280" s="32"/>
      <x:c r="F280" s="32"/>
      <x:c r="G280" s="32"/>
      <x:c r="H280" s="32"/>
      <x:c r="I280" s="32"/>
      <x:c r="J280" s="32"/>
      <x:c r="K280" s="32"/>
      <x:c r="L280" s="32"/>
    </x:row>
    <x:row r="281">
      <x:c r="A281" s="32"/>
      <x:c r="B281" s="32"/>
      <x:c r="C281" s="32"/>
      <x:c r="D281" s="32"/>
      <x:c r="E281" s="32"/>
      <x:c r="F281" s="32"/>
      <x:c r="G281" s="32"/>
      <x:c r="H281" s="32"/>
      <x:c r="I281" s="32"/>
      <x:c r="J281" s="32"/>
      <x:c r="K281" s="32"/>
      <x:c r="L281" s="32"/>
    </x:row>
    <x:row r="282">
      <x:c r="A282" s="32"/>
      <x:c r="B282" s="32"/>
      <x:c r="C282" s="32"/>
      <x:c r="D282" s="32"/>
      <x:c r="E282" s="32"/>
      <x:c r="F282" s="32"/>
      <x:c r="G282" s="32"/>
      <x:c r="H282" s="32"/>
      <x:c r="I282" s="32"/>
      <x:c r="J282" s="32"/>
      <x:c r="K282" s="32"/>
      <x:c r="L282" s="32"/>
    </x:row>
    <x:row r="283">
      <x:c r="A283" s="32"/>
      <x:c r="B283" s="32"/>
      <x:c r="C283" s="32"/>
      <x:c r="D283" s="32"/>
      <x:c r="E283" s="32"/>
      <x:c r="F283" s="32"/>
      <x:c r="G283" s="32"/>
      <x:c r="H283" s="32"/>
      <x:c r="I283" s="32"/>
      <x:c r="J283" s="32"/>
      <x:c r="K283" s="32"/>
      <x:c r="L283" s="32"/>
    </x:row>
    <x:row r="284">
      <x:c r="A284" s="32"/>
      <x:c r="B284" s="32"/>
      <x:c r="C284" s="32"/>
      <x:c r="D284" s="32"/>
      <x:c r="E284" s="32"/>
      <x:c r="F284" s="32"/>
      <x:c r="G284" s="32"/>
      <x:c r="H284" s="32"/>
      <x:c r="I284" s="32"/>
      <x:c r="J284" s="32"/>
      <x:c r="K284" s="32"/>
      <x:c r="L284" s="32"/>
    </x:row>
    <x:row r="285">
      <x:c r="A285" s="32"/>
      <x:c r="B285" s="32"/>
      <x:c r="C285" s="32"/>
      <x:c r="D285" s="32"/>
      <x:c r="E285" s="32"/>
      <x:c r="F285" s="32"/>
      <x:c r="G285" s="32"/>
      <x:c r="H285" s="32"/>
      <x:c r="I285" s="32"/>
      <x:c r="J285" s="32"/>
      <x:c r="K285" s="32"/>
      <x:c r="L285" s="32"/>
    </x:row>
    <x:row r="286">
      <x:c r="A286" s="32"/>
      <x:c r="B286" s="32"/>
      <x:c r="C286" s="32"/>
      <x:c r="D286" s="32"/>
      <x:c r="E286" s="32"/>
      <x:c r="F286" s="32"/>
      <x:c r="G286" s="32"/>
      <x:c r="H286" s="32"/>
      <x:c r="I286" s="32"/>
      <x:c r="J286" s="32"/>
      <x:c r="K286" s="32"/>
      <x:c r="L286" s="32"/>
    </x:row>
    <x:row r="287">
      <x:c r="A287" s="32"/>
      <x:c r="B287" s="32"/>
      <x:c r="C287" s="32"/>
      <x:c r="D287" s="32"/>
      <x:c r="E287" s="32"/>
      <x:c r="F287" s="32"/>
      <x:c r="G287" s="32"/>
      <x:c r="H287" s="32"/>
      <x:c r="I287" s="32"/>
      <x:c r="J287" s="32"/>
      <x:c r="K287" s="32"/>
      <x:c r="L287" s="32"/>
    </x:row>
    <x:row r="288">
      <x:c r="A288" s="32"/>
      <x:c r="B288" s="32"/>
      <x:c r="C288" s="32"/>
      <x:c r="D288" s="32"/>
      <x:c r="E288" s="32"/>
      <x:c r="F288" s="32"/>
      <x:c r="G288" s="32"/>
      <x:c r="H288" s="32"/>
      <x:c r="I288" s="32"/>
      <x:c r="J288" s="32"/>
      <x:c r="K288" s="32"/>
      <x:c r="L288" s="32"/>
    </x:row>
    <x:row r="289">
      <x:c r="A289" s="32"/>
      <x:c r="B289" s="32"/>
      <x:c r="C289" s="32"/>
      <x:c r="D289" s="32"/>
      <x:c r="E289" s="32"/>
      <x:c r="F289" s="32"/>
      <x:c r="G289" s="32"/>
      <x:c r="H289" s="32"/>
      <x:c r="I289" s="32"/>
      <x:c r="J289" s="32"/>
      <x:c r="K289" s="32"/>
      <x:c r="L289" s="32"/>
    </x:row>
    <x:row r="290">
      <x:c r="A290" s="32"/>
      <x:c r="B290" s="32"/>
      <x:c r="C290" s="32"/>
      <x:c r="D290" s="32"/>
      <x:c r="E290" s="32"/>
      <x:c r="F290" s="32"/>
      <x:c r="G290" s="32"/>
      <x:c r="H290" s="32"/>
      <x:c r="I290" s="32"/>
      <x:c r="J290" s="32"/>
      <x:c r="K290" s="32"/>
      <x:c r="L290" s="32"/>
    </x:row>
    <x:row r="291">
      <x:c r="A291" s="32"/>
      <x:c r="B291" s="32"/>
      <x:c r="C291" s="32"/>
      <x:c r="D291" s="32"/>
      <x:c r="E291" s="32"/>
      <x:c r="F291" s="32"/>
      <x:c r="G291" s="32"/>
      <x:c r="H291" s="32"/>
      <x:c r="I291" s="32"/>
      <x:c r="J291" s="32"/>
      <x:c r="K291" s="32"/>
      <x:c r="L291" s="32"/>
    </x:row>
    <x:row r="292">
      <x:c r="A292" s="32"/>
      <x:c r="B292" s="32"/>
      <x:c r="C292" s="32"/>
      <x:c r="D292" s="32"/>
      <x:c r="E292" s="32"/>
      <x:c r="F292" s="32"/>
      <x:c r="G292" s="32"/>
      <x:c r="H292" s="32"/>
      <x:c r="I292" s="32"/>
      <x:c r="J292" s="32"/>
      <x:c r="K292" s="32"/>
      <x:c r="L292" s="32"/>
    </x:row>
    <x:row r="293">
      <x:c r="A293" s="32"/>
      <x:c r="B293" s="32"/>
      <x:c r="C293" s="32"/>
      <x:c r="D293" s="32"/>
      <x:c r="E293" s="32"/>
      <x:c r="F293" s="32"/>
      <x:c r="G293" s="32"/>
      <x:c r="H293" s="32"/>
      <x:c r="I293" s="32"/>
      <x:c r="J293" s="32"/>
      <x:c r="K293" s="32"/>
      <x:c r="L293" s="32"/>
    </x:row>
    <x:row r="294">
      <x:c r="A294" s="32"/>
      <x:c r="B294" s="32"/>
      <x:c r="C294" s="32"/>
      <x:c r="D294" s="32"/>
      <x:c r="E294" s="32"/>
      <x:c r="F294" s="32"/>
      <x:c r="G294" s="32"/>
      <x:c r="H294" s="32"/>
      <x:c r="I294" s="32"/>
      <x:c r="J294" s="32"/>
      <x:c r="K294" s="32"/>
      <x:c r="L294" s="32"/>
    </x:row>
    <x:row r="295">
      <x:c r="A295" s="32"/>
      <x:c r="B295" s="32"/>
      <x:c r="C295" s="32"/>
      <x:c r="D295" s="32"/>
      <x:c r="E295" s="32"/>
      <x:c r="F295" s="32"/>
      <x:c r="G295" s="32"/>
      <x:c r="H295" s="32"/>
      <x:c r="I295" s="32"/>
      <x:c r="J295" s="32"/>
      <x:c r="K295" s="32"/>
      <x:c r="L295" s="32"/>
    </x:row>
    <x:row r="296">
      <x:c r="A296" s="32"/>
      <x:c r="B296" s="32"/>
      <x:c r="C296" s="32"/>
      <x:c r="D296" s="32"/>
      <x:c r="E296" s="32"/>
      <x:c r="F296" s="32"/>
      <x:c r="G296" s="32"/>
      <x:c r="H296" s="32"/>
      <x:c r="I296" s="32"/>
      <x:c r="J296" s="32"/>
      <x:c r="K296" s="32"/>
      <x:c r="L296" s="32"/>
    </x:row>
    <x:row r="297">
      <x:c r="A297" s="32"/>
      <x:c r="B297" s="32"/>
      <x:c r="C297" s="32"/>
      <x:c r="D297" s="32"/>
      <x:c r="E297" s="32"/>
      <x:c r="F297" s="32"/>
      <x:c r="G297" s="32"/>
      <x:c r="H297" s="32"/>
      <x:c r="I297" s="32"/>
      <x:c r="J297" s="32"/>
      <x:c r="K297" s="32"/>
      <x:c r="L297" s="32"/>
    </x:row>
    <x:row r="298">
      <x:c r="A298" s="32"/>
      <x:c r="B298" s="32"/>
      <x:c r="C298" s="32"/>
      <x:c r="D298" s="32"/>
      <x:c r="E298" s="32"/>
      <x:c r="F298" s="32"/>
      <x:c r="G298" s="32"/>
      <x:c r="H298" s="32"/>
      <x:c r="I298" s="32"/>
      <x:c r="J298" s="32"/>
      <x:c r="K298" s="32"/>
      <x:c r="L298" s="32"/>
    </x:row>
    <x:row r="299">
      <x:c r="A299" s="32"/>
      <x:c r="B299" s="32"/>
      <x:c r="C299" s="32"/>
      <x:c r="D299" s="32"/>
      <x:c r="E299" s="32"/>
      <x:c r="F299" s="32"/>
      <x:c r="G299" s="32"/>
      <x:c r="H299" s="32"/>
      <x:c r="I299" s="32"/>
      <x:c r="J299" s="32"/>
      <x:c r="K299" s="32"/>
      <x:c r="L299" s="32"/>
    </x:row>
    <x:row r="300">
      <x:c r="A300" s="32"/>
      <x:c r="B300" s="32"/>
      <x:c r="C300" s="32"/>
      <x:c r="D300" s="32"/>
      <x:c r="E300" s="32"/>
      <x:c r="F300" s="32"/>
      <x:c r="G300" s="32"/>
      <x:c r="H300" s="32"/>
      <x:c r="I300" s="32"/>
      <x:c r="J300" s="32"/>
      <x:c r="K300" s="32"/>
      <x:c r="L300" s="32"/>
    </x:row>
    <x:row r="301">
      <x:c r="A301" s="32"/>
      <x:c r="B301" s="32"/>
      <x:c r="C301" s="32"/>
      <x:c r="D301" s="32"/>
      <x:c r="E301" s="32"/>
      <x:c r="F301" s="32"/>
      <x:c r="G301" s="32"/>
      <x:c r="H301" s="32"/>
      <x:c r="I301" s="32"/>
      <x:c r="J301" s="32"/>
      <x:c r="K301" s="32"/>
      <x:c r="L301" s="32"/>
    </x:row>
    <x:row r="302">
      <x:c r="A302" s="32"/>
      <x:c r="B302" s="32"/>
      <x:c r="C302" s="32"/>
      <x:c r="D302" s="32"/>
      <x:c r="E302" s="32"/>
      <x:c r="F302" s="32"/>
      <x:c r="G302" s="32"/>
      <x:c r="H302" s="32"/>
      <x:c r="I302" s="32"/>
      <x:c r="J302" s="32"/>
      <x:c r="K302" s="32"/>
      <x:c r="L302" s="32"/>
    </x:row>
    <x:row r="303">
      <x:c r="A303" s="32"/>
      <x:c r="B303" s="32"/>
      <x:c r="C303" s="32"/>
      <x:c r="D303" s="32"/>
      <x:c r="E303" s="32"/>
      <x:c r="F303" s="32"/>
      <x:c r="G303" s="32"/>
      <x:c r="H303" s="32"/>
      <x:c r="I303" s="32"/>
      <x:c r="J303" s="32"/>
      <x:c r="K303" s="32"/>
      <x:c r="L303" s="32"/>
    </x:row>
    <x:row r="304">
      <x:c r="A304" s="32"/>
      <x:c r="B304" s="32"/>
      <x:c r="C304" s="32"/>
      <x:c r="D304" s="32"/>
      <x:c r="E304" s="32"/>
      <x:c r="F304" s="32"/>
      <x:c r="G304" s="32"/>
      <x:c r="H304" s="32"/>
      <x:c r="I304" s="32"/>
      <x:c r="J304" s="32"/>
      <x:c r="K304" s="32"/>
      <x:c r="L304" s="32"/>
    </x:row>
    <x:row r="305">
      <x:c r="A305" s="32"/>
      <x:c r="B305" s="32"/>
      <x:c r="C305" s="32"/>
      <x:c r="D305" s="32"/>
      <x:c r="E305" s="32"/>
      <x:c r="F305" s="32"/>
      <x:c r="G305" s="32"/>
      <x:c r="H305" s="32"/>
      <x:c r="I305" s="32"/>
      <x:c r="J305" s="32"/>
      <x:c r="K305" s="32"/>
      <x:c r="L305" s="32"/>
    </x:row>
    <x:row r="306">
      <x:c r="A306" s="32"/>
      <x:c r="B306" s="32"/>
      <x:c r="C306" s="32"/>
      <x:c r="D306" s="32"/>
      <x:c r="E306" s="32"/>
      <x:c r="F306" s="32"/>
      <x:c r="G306" s="32"/>
      <x:c r="H306" s="32"/>
      <x:c r="I306" s="32"/>
      <x:c r="J306" s="32"/>
      <x:c r="K306" s="32"/>
      <x:c r="L306" s="32"/>
    </x:row>
    <x:row r="307">
      <x:c r="A307" s="32"/>
      <x:c r="B307" s="32"/>
      <x:c r="C307" s="32"/>
      <x:c r="D307" s="32"/>
      <x:c r="E307" s="32"/>
      <x:c r="F307" s="32"/>
      <x:c r="G307" s="32"/>
      <x:c r="H307" s="32"/>
      <x:c r="I307" s="32"/>
      <x:c r="J307" s="32"/>
      <x:c r="K307" s="32"/>
      <x:c r="L307" s="32"/>
    </x:row>
    <x:row r="308">
      <x:c r="A308" s="32"/>
      <x:c r="B308" s="32"/>
      <x:c r="C308" s="32"/>
      <x:c r="D308" s="32"/>
      <x:c r="E308" s="32"/>
      <x:c r="F308" s="32"/>
      <x:c r="G308" s="32"/>
      <x:c r="H308" s="32"/>
      <x:c r="I308" s="32"/>
      <x:c r="J308" s="32"/>
      <x:c r="K308" s="32"/>
      <x:c r="L308" s="32"/>
    </x:row>
    <x:row r="309">
      <x:c r="A309" s="32"/>
      <x:c r="B309" s="32"/>
      <x:c r="C309" s="32"/>
      <x:c r="D309" s="32"/>
      <x:c r="E309" s="32"/>
      <x:c r="F309" s="32"/>
      <x:c r="G309" s="32"/>
      <x:c r="H309" s="32"/>
      <x:c r="I309" s="32"/>
      <x:c r="J309" s="32"/>
      <x:c r="K309" s="32"/>
      <x:c r="L309" s="32"/>
    </x:row>
    <x:row r="310">
      <x:c r="A310" s="32"/>
      <x:c r="B310" s="32"/>
      <x:c r="C310" s="32"/>
      <x:c r="D310" s="32"/>
      <x:c r="E310" s="32"/>
      <x:c r="F310" s="32"/>
      <x:c r="G310" s="32"/>
      <x:c r="H310" s="32"/>
      <x:c r="I310" s="32"/>
      <x:c r="J310" s="32"/>
      <x:c r="K310" s="32"/>
      <x:c r="L310" s="32"/>
    </x:row>
    <x:row r="311">
      <x:c r="A311" s="32"/>
      <x:c r="B311" s="32"/>
      <x:c r="C311" s="32"/>
      <x:c r="D311" s="32"/>
      <x:c r="E311" s="32"/>
      <x:c r="F311" s="32"/>
      <x:c r="G311" s="32"/>
      <x:c r="H311" s="32"/>
      <x:c r="I311" s="32"/>
      <x:c r="J311" s="32"/>
      <x:c r="K311" s="32"/>
      <x:c r="L311" s="32"/>
    </x:row>
    <x:row r="312">
      <x:c r="A312" s="32"/>
      <x:c r="B312" s="32"/>
      <x:c r="C312" s="32"/>
      <x:c r="D312" s="32"/>
      <x:c r="E312" s="32"/>
      <x:c r="F312" s="32"/>
      <x:c r="G312" s="32"/>
      <x:c r="H312" s="32"/>
      <x:c r="I312" s="32"/>
      <x:c r="J312" s="32"/>
      <x:c r="K312" s="32"/>
      <x:c r="L312" s="32"/>
    </x:row>
    <x:row r="313">
      <x:c r="A313" s="32"/>
      <x:c r="B313" s="32"/>
      <x:c r="C313" s="32"/>
      <x:c r="D313" s="32"/>
      <x:c r="E313" s="32"/>
      <x:c r="F313" s="32"/>
      <x:c r="G313" s="32"/>
      <x:c r="H313" s="32"/>
      <x:c r="I313" s="32"/>
      <x:c r="J313" s="32"/>
      <x:c r="K313" s="32"/>
      <x:c r="L313" s="32"/>
    </x:row>
    <x:row r="314">
      <x:c r="A314" s="32"/>
      <x:c r="B314" s="32"/>
      <x:c r="C314" s="32"/>
      <x:c r="D314" s="32"/>
      <x:c r="E314" s="32"/>
      <x:c r="F314" s="32"/>
      <x:c r="G314" s="32"/>
      <x:c r="H314" s="32"/>
      <x:c r="I314" s="32"/>
      <x:c r="J314" s="32"/>
      <x:c r="K314" s="32"/>
      <x:c r="L314" s="32"/>
    </x:row>
    <x:row r="315">
      <x:c r="A315" s="32"/>
      <x:c r="B315" s="32"/>
      <x:c r="C315" s="32"/>
      <x:c r="D315" s="32"/>
      <x:c r="E315" s="32"/>
      <x:c r="F315" s="32"/>
      <x:c r="G315" s="32"/>
      <x:c r="H315" s="32"/>
      <x:c r="I315" s="32"/>
      <x:c r="J315" s="32"/>
      <x:c r="K315" s="32"/>
      <x:c r="L315" s="32"/>
    </x:row>
    <x:row r="316">
      <x:c r="A316" s="32"/>
      <x:c r="B316" s="32"/>
      <x:c r="C316" s="32"/>
      <x:c r="D316" s="32"/>
      <x:c r="E316" s="32"/>
      <x:c r="F316" s="32"/>
      <x:c r="G316" s="32"/>
      <x:c r="H316" s="32"/>
      <x:c r="I316" s="32"/>
      <x:c r="J316" s="32"/>
      <x:c r="K316" s="32"/>
      <x:c r="L316" s="32"/>
    </x:row>
    <x:row r="317">
      <x:c r="A317" s="32"/>
      <x:c r="B317" s="32"/>
      <x:c r="C317" s="32"/>
      <x:c r="D317" s="32"/>
      <x:c r="E317" s="32"/>
      <x:c r="F317" s="32"/>
      <x:c r="G317" s="32"/>
      <x:c r="H317" s="32"/>
      <x:c r="I317" s="32"/>
      <x:c r="J317" s="32"/>
      <x:c r="K317" s="32"/>
      <x:c r="L317" s="32"/>
    </x:row>
    <x:row r="318">
      <x:c r="A318" s="32"/>
      <x:c r="B318" s="32"/>
      <x:c r="C318" s="32"/>
      <x:c r="D318" s="32"/>
      <x:c r="E318" s="32"/>
      <x:c r="F318" s="32"/>
      <x:c r="G318" s="32"/>
      <x:c r="H318" s="32"/>
      <x:c r="I318" s="32"/>
      <x:c r="J318" s="32"/>
      <x:c r="K318" s="32"/>
      <x:c r="L318" s="32"/>
    </x:row>
    <x:row r="319">
      <x:c r="A319" s="32"/>
      <x:c r="B319" s="32"/>
      <x:c r="C319" s="32"/>
      <x:c r="D319" s="32"/>
      <x:c r="E319" s="32"/>
      <x:c r="F319" s="32"/>
      <x:c r="G319" s="32"/>
      <x:c r="H319" s="32"/>
      <x:c r="I319" s="32"/>
      <x:c r="J319" s="32"/>
      <x:c r="K319" s="32"/>
      <x:c r="L319" s="32"/>
    </x:row>
    <x:row r="320">
      <x:c r="A320" s="32"/>
      <x:c r="B320" s="32"/>
      <x:c r="C320" s="32"/>
      <x:c r="D320" s="32"/>
      <x:c r="E320" s="32"/>
      <x:c r="F320" s="32"/>
      <x:c r="G320" s="32"/>
      <x:c r="H320" s="32"/>
      <x:c r="I320" s="32"/>
      <x:c r="J320" s="32"/>
      <x:c r="K320" s="32"/>
      <x:c r="L320" s="32"/>
    </x:row>
    <x:row r="321">
      <x:c r="A321" s="32"/>
      <x:c r="B321" s="32"/>
      <x:c r="C321" s="32"/>
      <x:c r="D321" s="32"/>
      <x:c r="E321" s="32"/>
      <x:c r="F321" s="32"/>
      <x:c r="G321" s="32"/>
      <x:c r="H321" s="32"/>
      <x:c r="I321" s="32"/>
      <x:c r="J321" s="32"/>
      <x:c r="K321" s="32"/>
      <x:c r="L321" s="32"/>
    </x:row>
    <x:row r="322">
      <x:c r="A322" s="32"/>
      <x:c r="B322" s="32"/>
      <x:c r="C322" s="32"/>
      <x:c r="D322" s="32"/>
      <x:c r="E322" s="32"/>
      <x:c r="F322" s="32"/>
      <x:c r="G322" s="32"/>
      <x:c r="H322" s="32"/>
      <x:c r="I322" s="32"/>
      <x:c r="J322" s="32"/>
      <x:c r="K322" s="32"/>
      <x:c r="L322" s="32"/>
    </x:row>
    <x:row r="323">
      <x:c r="A323" s="32"/>
      <x:c r="B323" s="32"/>
      <x:c r="C323" s="32"/>
      <x:c r="D323" s="32"/>
      <x:c r="E323" s="32"/>
      <x:c r="F323" s="32"/>
      <x:c r="G323" s="32"/>
      <x:c r="H323" s="32"/>
      <x:c r="I323" s="32"/>
      <x:c r="J323" s="32"/>
      <x:c r="K323" s="32"/>
      <x:c r="L323" s="32"/>
    </x:row>
    <x:row r="324">
      <x:c r="A324" s="32"/>
      <x:c r="B324" s="32"/>
      <x:c r="C324" s="32"/>
      <x:c r="D324" s="32"/>
      <x:c r="E324" s="32"/>
      <x:c r="F324" s="32"/>
      <x:c r="G324" s="32"/>
      <x:c r="H324" s="32"/>
      <x:c r="I324" s="32"/>
      <x:c r="J324" s="32"/>
      <x:c r="K324" s="32"/>
      <x:c r="L324" s="32"/>
    </x:row>
    <x:row r="325">
      <x:c r="A325" s="32"/>
      <x:c r="B325" s="32"/>
      <x:c r="C325" s="32"/>
      <x:c r="D325" s="32"/>
      <x:c r="E325" s="32"/>
      <x:c r="F325" s="32"/>
      <x:c r="G325" s="32"/>
      <x:c r="H325" s="32"/>
      <x:c r="I325" s="32"/>
      <x:c r="J325" s="32"/>
      <x:c r="K325" s="32"/>
      <x:c r="L325" s="32"/>
    </x:row>
    <x:row r="326">
      <x:c r="A326" s="32"/>
      <x:c r="B326" s="32"/>
      <x:c r="C326" s="32"/>
      <x:c r="D326" s="32"/>
      <x:c r="E326" s="32"/>
      <x:c r="F326" s="32"/>
      <x:c r="G326" s="32"/>
      <x:c r="H326" s="32"/>
      <x:c r="I326" s="32"/>
      <x:c r="J326" s="32"/>
      <x:c r="K326" s="32"/>
      <x:c r="L326" s="32"/>
    </x:row>
    <x:row r="327">
      <x:c r="A327" s="32"/>
      <x:c r="B327" s="32"/>
      <x:c r="C327" s="32"/>
      <x:c r="D327" s="32"/>
      <x:c r="E327" s="32"/>
      <x:c r="F327" s="32"/>
      <x:c r="G327" s="32"/>
      <x:c r="H327" s="32"/>
      <x:c r="I327" s="32"/>
      <x:c r="J327" s="32"/>
      <x:c r="K327" s="32"/>
      <x:c r="L327" s="32"/>
    </x:row>
    <x:row r="328">
      <x:c r="A328" s="32"/>
      <x:c r="B328" s="32"/>
      <x:c r="C328" s="32"/>
      <x:c r="D328" s="32"/>
      <x:c r="E328" s="32"/>
      <x:c r="F328" s="32"/>
      <x:c r="G328" s="32"/>
      <x:c r="H328" s="32"/>
      <x:c r="I328" s="32"/>
      <x:c r="J328" s="32"/>
      <x:c r="K328" s="32"/>
      <x:c r="L328" s="32"/>
    </x:row>
    <x:row r="329">
      <x:c r="A329" s="32"/>
      <x:c r="B329" s="32"/>
      <x:c r="C329" s="32"/>
      <x:c r="D329" s="32"/>
      <x:c r="E329" s="32"/>
      <x:c r="F329" s="32"/>
      <x:c r="G329" s="32"/>
      <x:c r="H329" s="32"/>
      <x:c r="I329" s="32"/>
      <x:c r="J329" s="32"/>
      <x:c r="K329" s="32"/>
      <x:c r="L329" s="32"/>
    </x:row>
    <x:row r="330">
      <x:c r="A330" s="32"/>
      <x:c r="B330" s="32"/>
      <x:c r="C330" s="32"/>
      <x:c r="D330" s="32"/>
      <x:c r="E330" s="32"/>
      <x:c r="F330" s="32"/>
      <x:c r="G330" s="32"/>
      <x:c r="H330" s="32"/>
      <x:c r="I330" s="32"/>
      <x:c r="J330" s="32"/>
      <x:c r="K330" s="32"/>
      <x:c r="L330" s="32"/>
    </x:row>
    <x:row r="331">
      <x:c r="A331" s="32"/>
      <x:c r="B331" s="32"/>
      <x:c r="C331" s="32"/>
      <x:c r="D331" s="32"/>
      <x:c r="E331" s="32"/>
      <x:c r="F331" s="32"/>
      <x:c r="G331" s="32"/>
      <x:c r="H331" s="32"/>
      <x:c r="I331" s="32"/>
      <x:c r="J331" s="32"/>
      <x:c r="K331" s="32"/>
      <x:c r="L331" s="32"/>
    </x:row>
    <x:row r="332">
      <x:c r="A332" s="32"/>
      <x:c r="B332" s="32"/>
      <x:c r="C332" s="32"/>
      <x:c r="D332" s="32"/>
      <x:c r="E332" s="32"/>
      <x:c r="F332" s="32"/>
      <x:c r="G332" s="32"/>
      <x:c r="H332" s="32"/>
      <x:c r="I332" s="32"/>
      <x:c r="J332" s="32"/>
      <x:c r="K332" s="32"/>
      <x:c r="L332" s="32"/>
    </x:row>
    <x:row r="333">
      <x:c r="A333" s="32"/>
      <x:c r="B333" s="32"/>
      <x:c r="C333" s="32"/>
      <x:c r="D333" s="32"/>
      <x:c r="E333" s="32"/>
      <x:c r="F333" s="32"/>
      <x:c r="G333" s="32"/>
      <x:c r="H333" s="32"/>
      <x:c r="I333" s="32"/>
      <x:c r="J333" s="32"/>
      <x:c r="K333" s="32"/>
      <x:c r="L333" s="32"/>
    </x:row>
    <x:row r="334">
      <x:c r="A334" s="32"/>
      <x:c r="B334" s="32"/>
      <x:c r="C334" s="32"/>
      <x:c r="D334" s="32"/>
      <x:c r="E334" s="32"/>
      <x:c r="F334" s="32"/>
      <x:c r="G334" s="32"/>
      <x:c r="H334" s="32"/>
      <x:c r="I334" s="32"/>
      <x:c r="J334" s="32"/>
      <x:c r="K334" s="32"/>
      <x:c r="L334" s="32"/>
    </x:row>
    <x:row r="335">
      <x:c r="A335" s="32"/>
      <x:c r="B335" s="32"/>
      <x:c r="C335" s="32"/>
      <x:c r="D335" s="32"/>
      <x:c r="E335" s="32"/>
      <x:c r="F335" s="32"/>
      <x:c r="G335" s="32"/>
      <x:c r="H335" s="32"/>
      <x:c r="I335" s="32"/>
      <x:c r="J335" s="32"/>
      <x:c r="K335" s="32"/>
      <x:c r="L335" s="32"/>
    </x:row>
    <x:row r="336">
      <x:c r="A336" s="32"/>
      <x:c r="B336" s="32"/>
      <x:c r="C336" s="32"/>
      <x:c r="D336" s="32"/>
      <x:c r="E336" s="32"/>
      <x:c r="F336" s="32"/>
      <x:c r="G336" s="32"/>
      <x:c r="H336" s="32"/>
      <x:c r="I336" s="32"/>
      <x:c r="J336" s="32"/>
      <x:c r="K336" s="32"/>
      <x:c r="L336" s="32"/>
    </x:row>
    <x:row r="337">
      <x:c r="A337" s="32"/>
      <x:c r="B337" s="32"/>
      <x:c r="C337" s="32"/>
      <x:c r="D337" s="32"/>
      <x:c r="E337" s="32"/>
      <x:c r="F337" s="32"/>
      <x:c r="G337" s="32"/>
      <x:c r="H337" s="32"/>
      <x:c r="I337" s="32"/>
      <x:c r="J337" s="32"/>
      <x:c r="K337" s="32"/>
      <x:c r="L337" s="32"/>
    </x:row>
    <x:row r="338">
      <x:c r="A338" s="32"/>
      <x:c r="B338" s="32"/>
      <x:c r="C338" s="32"/>
      <x:c r="D338" s="32"/>
      <x:c r="E338" s="32"/>
      <x:c r="F338" s="32"/>
      <x:c r="G338" s="32"/>
      <x:c r="H338" s="32"/>
      <x:c r="I338" s="32"/>
      <x:c r="J338" s="32"/>
      <x:c r="K338" s="32"/>
      <x:c r="L338" s="32"/>
    </x:row>
    <x:row r="339">
      <x:c r="A339" s="32"/>
      <x:c r="B339" s="32"/>
      <x:c r="C339" s="32"/>
      <x:c r="D339" s="32"/>
      <x:c r="E339" s="32"/>
      <x:c r="F339" s="32"/>
      <x:c r="G339" s="32"/>
      <x:c r="H339" s="32"/>
      <x:c r="I339" s="32"/>
      <x:c r="J339" s="32"/>
      <x:c r="K339" s="32"/>
      <x:c r="L339" s="32"/>
    </x:row>
    <x:row r="340">
      <x:c r="A340" s="32"/>
      <x:c r="B340" s="32"/>
      <x:c r="C340" s="32"/>
      <x:c r="D340" s="32"/>
      <x:c r="E340" s="32"/>
      <x:c r="F340" s="32"/>
      <x:c r="G340" s="32"/>
      <x:c r="H340" s="32"/>
      <x:c r="I340" s="32"/>
      <x:c r="J340" s="32"/>
      <x:c r="K340" s="32"/>
      <x:c r="L340" s="32"/>
    </x:row>
    <x:row r="341">
      <x:c r="A341" s="32"/>
      <x:c r="B341" s="32"/>
      <x:c r="C341" s="32"/>
      <x:c r="D341" s="32"/>
      <x:c r="E341" s="32"/>
      <x:c r="F341" s="32"/>
      <x:c r="G341" s="32"/>
      <x:c r="H341" s="32"/>
      <x:c r="I341" s="32"/>
      <x:c r="J341" s="32"/>
      <x:c r="K341" s="32"/>
      <x:c r="L341" s="32"/>
    </x:row>
    <x:row r="342">
      <x:c r="A342" s="32"/>
      <x:c r="B342" s="32"/>
      <x:c r="C342" s="32"/>
      <x:c r="D342" s="32"/>
      <x:c r="E342" s="32"/>
      <x:c r="F342" s="32"/>
      <x:c r="G342" s="32"/>
      <x:c r="H342" s="32"/>
      <x:c r="I342" s="32"/>
      <x:c r="J342" s="32"/>
      <x:c r="K342" s="32"/>
      <x:c r="L342" s="32"/>
    </x:row>
    <x:row r="343">
      <x:c r="A343" s="32"/>
      <x:c r="B343" s="32"/>
      <x:c r="C343" s="32"/>
      <x:c r="D343" s="32"/>
      <x:c r="E343" s="32"/>
      <x:c r="F343" s="32"/>
      <x:c r="G343" s="32"/>
      <x:c r="H343" s="32"/>
      <x:c r="I343" s="32"/>
      <x:c r="J343" s="32"/>
      <x:c r="K343" s="32"/>
      <x:c r="L343" s="32"/>
    </x:row>
    <x:row r="344">
      <x:c r="A344" s="32"/>
      <x:c r="B344" s="32"/>
      <x:c r="C344" s="32"/>
      <x:c r="D344" s="32"/>
      <x:c r="E344" s="32"/>
      <x:c r="F344" s="32"/>
      <x:c r="G344" s="32"/>
      <x:c r="H344" s="32"/>
      <x:c r="I344" s="32"/>
      <x:c r="J344" s="32"/>
      <x:c r="K344" s="32"/>
      <x:c r="L344" s="32"/>
    </x:row>
    <x:row r="345">
      <x:c r="A345" s="32"/>
      <x:c r="B345" s="32"/>
      <x:c r="C345" s="32"/>
      <x:c r="D345" s="32"/>
      <x:c r="E345" s="32"/>
      <x:c r="F345" s="32"/>
      <x:c r="G345" s="32"/>
      <x:c r="H345" s="32"/>
      <x:c r="I345" s="32"/>
      <x:c r="J345" s="32"/>
      <x:c r="K345" s="32"/>
      <x:c r="L345" s="32"/>
    </x:row>
    <x:row r="346">
      <x:c r="A346" s="32"/>
      <x:c r="B346" s="32"/>
      <x:c r="C346" s="32"/>
      <x:c r="D346" s="32"/>
      <x:c r="E346" s="32"/>
      <x:c r="F346" s="32"/>
      <x:c r="G346" s="32"/>
      <x:c r="H346" s="32"/>
      <x:c r="I346" s="32"/>
      <x:c r="J346" s="32"/>
      <x:c r="K346" s="32"/>
      <x:c r="L346" s="32"/>
    </x:row>
    <x:row r="347">
      <x:c r="A347" s="32"/>
      <x:c r="B347" s="32"/>
      <x:c r="C347" s="32"/>
      <x:c r="D347" s="32"/>
      <x:c r="E347" s="32"/>
      <x:c r="F347" s="32"/>
      <x:c r="G347" s="32"/>
      <x:c r="H347" s="32"/>
      <x:c r="I347" s="32"/>
      <x:c r="J347" s="32"/>
      <x:c r="K347" s="32"/>
      <x:c r="L347" s="32"/>
    </x:row>
    <x:row r="348">
      <x:c r="A348" s="32"/>
      <x:c r="B348" s="32"/>
      <x:c r="C348" s="32"/>
      <x:c r="D348" s="32"/>
      <x:c r="E348" s="32"/>
      <x:c r="F348" s="32"/>
      <x:c r="G348" s="32"/>
      <x:c r="H348" s="32"/>
      <x:c r="I348" s="32"/>
      <x:c r="J348" s="32"/>
      <x:c r="K348" s="32"/>
      <x:c r="L348" s="32"/>
    </x:row>
    <x:row r="349">
      <x:c r="A349" s="32"/>
      <x:c r="B349" s="32"/>
      <x:c r="C349" s="32"/>
      <x:c r="D349" s="32"/>
      <x:c r="E349" s="32"/>
      <x:c r="F349" s="32"/>
      <x:c r="G349" s="32"/>
      <x:c r="H349" s="32"/>
      <x:c r="I349" s="32"/>
      <x:c r="J349" s="32"/>
      <x:c r="K349" s="32"/>
      <x:c r="L349" s="32"/>
    </x:row>
    <x:row r="350">
      <x:c r="A350" s="32"/>
      <x:c r="B350" s="32"/>
      <x:c r="C350" s="32"/>
      <x:c r="D350" s="32"/>
      <x:c r="E350" s="32"/>
      <x:c r="F350" s="32"/>
      <x:c r="G350" s="32"/>
      <x:c r="H350" s="32"/>
      <x:c r="I350" s="32"/>
      <x:c r="J350" s="32"/>
      <x:c r="K350" s="32"/>
      <x:c r="L350" s="32"/>
    </x:row>
    <x:row r="351">
      <x:c r="A351" s="32"/>
      <x:c r="B351" s="32"/>
      <x:c r="C351" s="32"/>
      <x:c r="D351" s="32"/>
      <x:c r="E351" s="32"/>
      <x:c r="F351" s="32"/>
      <x:c r="G351" s="32"/>
      <x:c r="H351" s="32"/>
      <x:c r="I351" s="32"/>
      <x:c r="J351" s="32"/>
      <x:c r="K351" s="32"/>
      <x:c r="L351" s="32"/>
    </x:row>
    <x:row r="352">
      <x:c r="A352" s="32"/>
      <x:c r="B352" s="32"/>
      <x:c r="C352" s="32"/>
      <x:c r="D352" s="32"/>
      <x:c r="E352" s="32"/>
      <x:c r="F352" s="32"/>
      <x:c r="G352" s="32"/>
      <x:c r="H352" s="32"/>
      <x:c r="I352" s="32"/>
      <x:c r="J352" s="32"/>
      <x:c r="K352" s="32"/>
      <x:c r="L352" s="32"/>
    </x:row>
    <x:row r="353">
      <x:c r="A353" s="32"/>
      <x:c r="B353" s="32"/>
      <x:c r="C353" s="32"/>
      <x:c r="D353" s="32"/>
      <x:c r="E353" s="32"/>
      <x:c r="F353" s="32"/>
      <x:c r="G353" s="32"/>
      <x:c r="H353" s="32"/>
      <x:c r="I353" s="32"/>
      <x:c r="J353" s="32"/>
      <x:c r="K353" s="32"/>
      <x:c r="L353" s="32"/>
    </x:row>
    <x:row r="354">
      <x:c r="A354" s="32"/>
      <x:c r="B354" s="32"/>
      <x:c r="C354" s="32"/>
      <x:c r="D354" s="32"/>
      <x:c r="E354" s="32"/>
      <x:c r="F354" s="32"/>
      <x:c r="G354" s="32"/>
      <x:c r="H354" s="32"/>
      <x:c r="I354" s="32"/>
      <x:c r="J354" s="32"/>
      <x:c r="K354" s="32"/>
      <x:c r="L354" s="32"/>
    </x:row>
    <x:row r="355">
      <x:c r="A355" s="32"/>
      <x:c r="B355" s="32"/>
      <x:c r="C355" s="32"/>
      <x:c r="D355" s="32"/>
      <x:c r="E355" s="32"/>
      <x:c r="F355" s="32"/>
      <x:c r="G355" s="32"/>
      <x:c r="H355" s="32"/>
      <x:c r="I355" s="32"/>
      <x:c r="J355" s="32"/>
      <x:c r="K355" s="32"/>
      <x:c r="L355" s="32"/>
    </x:row>
    <x:row r="356">
      <x:c r="A356" s="32"/>
      <x:c r="B356" s="32"/>
      <x:c r="C356" s="32"/>
      <x:c r="D356" s="32"/>
      <x:c r="E356" s="32"/>
      <x:c r="F356" s="32"/>
      <x:c r="G356" s="32"/>
      <x:c r="H356" s="32"/>
      <x:c r="I356" s="32"/>
      <x:c r="J356" s="32"/>
      <x:c r="K356" s="32"/>
      <x:c r="L356" s="32"/>
    </x:row>
    <x:row r="357">
      <x:c r="A357" s="32"/>
      <x:c r="B357" s="32"/>
      <x:c r="C357" s="32"/>
      <x:c r="D357" s="32"/>
      <x:c r="E357" s="32"/>
      <x:c r="F357" s="32"/>
      <x:c r="G357" s="32"/>
      <x:c r="H357" s="32"/>
      <x:c r="I357" s="32"/>
      <x:c r="J357" s="32"/>
      <x:c r="K357" s="32"/>
      <x:c r="L357" s="32"/>
    </x:row>
    <x:row r="358">
      <x:c r="A358" s="32"/>
      <x:c r="B358" s="32"/>
      <x:c r="C358" s="32"/>
      <x:c r="D358" s="32"/>
      <x:c r="E358" s="32"/>
      <x:c r="F358" s="32"/>
      <x:c r="G358" s="32"/>
      <x:c r="H358" s="32"/>
      <x:c r="I358" s="32"/>
      <x:c r="J358" s="32"/>
      <x:c r="K358" s="32"/>
      <x:c r="L358" s="32"/>
    </x:row>
    <x:row r="359">
      <x:c r="A359" s="32"/>
      <x:c r="B359" s="32"/>
      <x:c r="C359" s="32"/>
      <x:c r="D359" s="32"/>
      <x:c r="E359" s="32"/>
      <x:c r="F359" s="32"/>
      <x:c r="G359" s="32"/>
      <x:c r="H359" s="32"/>
      <x:c r="I359" s="32"/>
      <x:c r="J359" s="32"/>
      <x:c r="K359" s="32"/>
      <x:c r="L359" s="32"/>
    </x:row>
    <x:row r="360">
      <x:c r="A360" s="32"/>
      <x:c r="B360" s="32"/>
      <x:c r="C360" s="32"/>
      <x:c r="D360" s="32"/>
      <x:c r="E360" s="32"/>
      <x:c r="F360" s="32"/>
      <x:c r="G360" s="32"/>
      <x:c r="H360" s="32"/>
      <x:c r="I360" s="32"/>
      <x:c r="J360" s="32"/>
      <x:c r="K360" s="32"/>
      <x:c r="L360" s="32"/>
    </x:row>
    <x:row r="361">
      <x:c r="A361" s="32"/>
      <x:c r="B361" s="32"/>
      <x:c r="C361" s="32"/>
      <x:c r="D361" s="32"/>
      <x:c r="E361" s="32"/>
      <x:c r="F361" s="32"/>
      <x:c r="G361" s="32"/>
      <x:c r="H361" s="32"/>
      <x:c r="I361" s="32"/>
      <x:c r="J361" s="32"/>
      <x:c r="K361" s="32"/>
      <x:c r="L361" s="32"/>
    </x:row>
    <x:row r="362">
      <x:c r="A362" s="32"/>
      <x:c r="B362" s="32"/>
      <x:c r="C362" s="32"/>
      <x:c r="D362" s="32"/>
      <x:c r="E362" s="32"/>
      <x:c r="F362" s="32"/>
      <x:c r="G362" s="32"/>
      <x:c r="H362" s="32"/>
      <x:c r="I362" s="32"/>
      <x:c r="J362" s="32"/>
      <x:c r="K362" s="32"/>
      <x:c r="L362" s="32"/>
    </x:row>
    <x:row r="363">
      <x:c r="A363" s="32"/>
      <x:c r="B363" s="32"/>
      <x:c r="C363" s="32"/>
      <x:c r="D363" s="32"/>
      <x:c r="E363" s="32"/>
      <x:c r="F363" s="32"/>
      <x:c r="G363" s="32"/>
      <x:c r="H363" s="32"/>
      <x:c r="I363" s="32"/>
      <x:c r="J363" s="32"/>
      <x:c r="K363" s="32"/>
      <x:c r="L363" s="32"/>
    </x:row>
    <x:row r="364">
      <x:c r="A364" s="32"/>
      <x:c r="B364" s="32"/>
      <x:c r="C364" s="32"/>
      <x:c r="D364" s="32"/>
      <x:c r="E364" s="32"/>
      <x:c r="F364" s="32"/>
      <x:c r="G364" s="32"/>
      <x:c r="H364" s="32"/>
      <x:c r="I364" s="32"/>
      <x:c r="J364" s="32"/>
      <x:c r="K364" s="32"/>
      <x:c r="L364" s="32"/>
    </x:row>
    <x:row r="365">
      <x:c r="A365" s="32"/>
      <x:c r="B365" s="32"/>
      <x:c r="C365" s="32"/>
      <x:c r="D365" s="32"/>
      <x:c r="E365" s="32"/>
      <x:c r="F365" s="32"/>
      <x:c r="G365" s="32"/>
      <x:c r="H365" s="32"/>
      <x:c r="I365" s="32"/>
      <x:c r="J365" s="32"/>
      <x:c r="K365" s="32"/>
      <x:c r="L365" s="32"/>
    </x:row>
    <x:row r="366">
      <x:c r="A366" s="32"/>
      <x:c r="B366" s="32"/>
      <x:c r="C366" s="32"/>
      <x:c r="D366" s="32"/>
      <x:c r="E366" s="32"/>
      <x:c r="F366" s="32"/>
      <x:c r="G366" s="32"/>
      <x:c r="H366" s="32"/>
      <x:c r="I366" s="32"/>
      <x:c r="J366" s="32"/>
      <x:c r="K366" s="32"/>
      <x:c r="L366" s="32"/>
    </x:row>
    <x:row r="367">
      <x:c r="A367" s="32"/>
      <x:c r="B367" s="32"/>
      <x:c r="C367" s="32"/>
      <x:c r="D367" s="32"/>
      <x:c r="E367" s="32"/>
      <x:c r="F367" s="32"/>
      <x:c r="G367" s="32"/>
      <x:c r="H367" s="32"/>
      <x:c r="I367" s="32"/>
      <x:c r="J367" s="32"/>
      <x:c r="K367" s="32"/>
      <x:c r="L367" s="32"/>
    </x:row>
    <x:row r="368">
      <x:c r="A368" s="32"/>
      <x:c r="B368" s="32"/>
      <x:c r="C368" s="32"/>
      <x:c r="D368" s="32"/>
      <x:c r="E368" s="32"/>
      <x:c r="F368" s="32"/>
      <x:c r="G368" s="32"/>
      <x:c r="H368" s="32"/>
      <x:c r="I368" s="32"/>
      <x:c r="J368" s="32"/>
      <x:c r="K368" s="32"/>
      <x:c r="L368" s="32"/>
    </x:row>
    <x:row r="369">
      <x:c r="A369" s="32"/>
      <x:c r="B369" s="32"/>
      <x:c r="C369" s="32"/>
      <x:c r="D369" s="32"/>
      <x:c r="E369" s="32"/>
      <x:c r="F369" s="32"/>
      <x:c r="G369" s="32"/>
      <x:c r="H369" s="32"/>
      <x:c r="I369" s="32"/>
      <x:c r="J369" s="32"/>
      <x:c r="K369" s="32"/>
      <x:c r="L369" s="32"/>
    </x:row>
    <x:row r="370">
      <x:c r="A370" s="32"/>
      <x:c r="B370" s="32"/>
      <x:c r="C370" s="32"/>
      <x:c r="D370" s="32"/>
      <x:c r="E370" s="32"/>
      <x:c r="F370" s="32"/>
      <x:c r="G370" s="32"/>
      <x:c r="H370" s="32"/>
      <x:c r="I370" s="32"/>
      <x:c r="J370" s="32"/>
      <x:c r="K370" s="32"/>
      <x:c r="L370" s="32"/>
    </x:row>
    <x:row r="371">
      <x:c r="A371" s="32"/>
      <x:c r="B371" s="32"/>
      <x:c r="C371" s="32"/>
      <x:c r="D371" s="32"/>
      <x:c r="E371" s="32"/>
      <x:c r="F371" s="32"/>
      <x:c r="G371" s="32"/>
      <x:c r="H371" s="32"/>
      <x:c r="I371" s="32"/>
      <x:c r="J371" s="32"/>
      <x:c r="K371" s="32"/>
      <x:c r="L371" s="32"/>
    </x:row>
    <x:row r="372">
      <x:c r="A372" s="32"/>
      <x:c r="B372" s="32"/>
      <x:c r="C372" s="32"/>
      <x:c r="D372" s="32"/>
      <x:c r="E372" s="32"/>
      <x:c r="F372" s="32"/>
      <x:c r="G372" s="32"/>
      <x:c r="H372" s="32"/>
      <x:c r="I372" s="32"/>
      <x:c r="J372" s="32"/>
      <x:c r="K372" s="32"/>
      <x:c r="L372" s="32"/>
    </x:row>
    <x:row r="373">
      <x:c r="A373" s="32"/>
      <x:c r="B373" s="32"/>
      <x:c r="C373" s="32"/>
      <x:c r="D373" s="32"/>
      <x:c r="E373" s="32"/>
      <x:c r="F373" s="32"/>
      <x:c r="G373" s="32"/>
      <x:c r="H373" s="32"/>
      <x:c r="I373" s="32"/>
      <x:c r="J373" s="32"/>
      <x:c r="K373" s="32"/>
      <x:c r="L373" s="32"/>
    </x:row>
    <x:row r="374">
      <x:c r="A374" s="32"/>
      <x:c r="B374" s="32"/>
      <x:c r="C374" s="32"/>
      <x:c r="D374" s="32"/>
      <x:c r="E374" s="32"/>
      <x:c r="F374" s="32"/>
      <x:c r="G374" s="32"/>
      <x:c r="H374" s="32"/>
      <x:c r="I374" s="32"/>
      <x:c r="J374" s="32"/>
      <x:c r="K374" s="32"/>
      <x:c r="L374" s="32"/>
    </x:row>
    <x:row r="375">
      <x:c r="A375" s="32"/>
      <x:c r="B375" s="32"/>
      <x:c r="C375" s="32"/>
      <x:c r="D375" s="32"/>
      <x:c r="E375" s="32"/>
      <x:c r="F375" s="32"/>
      <x:c r="G375" s="32"/>
      <x:c r="H375" s="32"/>
      <x:c r="I375" s="32"/>
      <x:c r="J375" s="32"/>
      <x:c r="K375" s="32"/>
      <x:c r="L375" s="32"/>
    </x:row>
    <x:row r="376">
      <x:c r="A376" s="32"/>
      <x:c r="B376" s="32"/>
      <x:c r="C376" s="32"/>
      <x:c r="D376" s="32"/>
      <x:c r="E376" s="32"/>
      <x:c r="F376" s="32"/>
      <x:c r="G376" s="32"/>
      <x:c r="H376" s="32"/>
      <x:c r="I376" s="32"/>
      <x:c r="J376" s="32"/>
      <x:c r="K376" s="32"/>
      <x:c r="L376" s="32"/>
    </x:row>
    <x:row r="377">
      <x:c r="A377" s="32"/>
      <x:c r="B377" s="32"/>
      <x:c r="C377" s="32"/>
      <x:c r="D377" s="32"/>
      <x:c r="E377" s="32"/>
      <x:c r="F377" s="32"/>
      <x:c r="G377" s="32"/>
      <x:c r="H377" s="32"/>
      <x:c r="I377" s="32"/>
      <x:c r="J377" s="32"/>
      <x:c r="K377" s="32"/>
      <x:c r="L377" s="32"/>
    </x:row>
    <x:row r="378">
      <x:c r="A378" s="32"/>
      <x:c r="B378" s="32"/>
      <x:c r="C378" s="32"/>
      <x:c r="D378" s="32"/>
      <x:c r="E378" s="32"/>
      <x:c r="F378" s="32"/>
      <x:c r="G378" s="32"/>
      <x:c r="H378" s="32"/>
      <x:c r="I378" s="32"/>
      <x:c r="J378" s="32"/>
      <x:c r="K378" s="32"/>
      <x:c r="L378" s="32"/>
    </x:row>
    <x:row r="379">
      <x:c r="A379" s="32"/>
      <x:c r="B379" s="32"/>
      <x:c r="C379" s="32"/>
      <x:c r="D379" s="32"/>
      <x:c r="E379" s="32"/>
      <x:c r="F379" s="32"/>
      <x:c r="G379" s="32"/>
      <x:c r="H379" s="32"/>
      <x:c r="I379" s="32"/>
      <x:c r="J379" s="32"/>
      <x:c r="K379" s="32"/>
      <x:c r="L379" s="32"/>
    </x:row>
    <x:row r="380">
      <x:c r="A380" s="32"/>
      <x:c r="B380" s="32"/>
      <x:c r="C380" s="32"/>
      <x:c r="D380" s="32"/>
      <x:c r="E380" s="32"/>
      <x:c r="F380" s="32"/>
      <x:c r="G380" s="32"/>
      <x:c r="H380" s="32"/>
      <x:c r="I380" s="32"/>
      <x:c r="J380" s="32"/>
      <x:c r="K380" s="32"/>
      <x:c r="L380" s="32"/>
    </x:row>
    <x:row r="381">
      <x:c r="A381" s="32"/>
      <x:c r="B381" s="32"/>
      <x:c r="C381" s="32"/>
      <x:c r="D381" s="32"/>
      <x:c r="E381" s="32"/>
      <x:c r="F381" s="32"/>
      <x:c r="G381" s="32"/>
      <x:c r="H381" s="32"/>
      <x:c r="I381" s="32"/>
      <x:c r="J381" s="32"/>
      <x:c r="K381" s="32"/>
      <x:c r="L381" s="32"/>
    </x:row>
    <x:row r="382">
      <x:c r="A382" s="32"/>
      <x:c r="B382" s="32"/>
      <x:c r="C382" s="32"/>
      <x:c r="D382" s="32"/>
      <x:c r="E382" s="32"/>
      <x:c r="F382" s="32"/>
      <x:c r="G382" s="32"/>
      <x:c r="H382" s="32"/>
      <x:c r="I382" s="32"/>
      <x:c r="J382" s="32"/>
      <x:c r="K382" s="32"/>
      <x:c r="L382" s="32"/>
    </x:row>
    <x:row r="383">
      <x:c r="A383" s="32"/>
      <x:c r="B383" s="32"/>
      <x:c r="C383" s="32"/>
      <x:c r="D383" s="32"/>
      <x:c r="E383" s="32"/>
      <x:c r="F383" s="32"/>
      <x:c r="G383" s="32"/>
      <x:c r="H383" s="32"/>
      <x:c r="I383" s="32"/>
      <x:c r="J383" s="32"/>
      <x:c r="K383" s="32"/>
      <x:c r="L383" s="32"/>
    </x:row>
    <x:row r="384">
      <x:c r="A384" s="32"/>
      <x:c r="B384" s="32"/>
      <x:c r="C384" s="32"/>
      <x:c r="D384" s="32"/>
      <x:c r="E384" s="32"/>
      <x:c r="F384" s="32"/>
      <x:c r="G384" s="32"/>
      <x:c r="H384" s="32"/>
      <x:c r="I384" s="32"/>
      <x:c r="J384" s="32"/>
      <x:c r="K384" s="32"/>
      <x:c r="L384" s="32"/>
    </x:row>
    <x:row r="385">
      <x:c r="A385" s="32"/>
      <x:c r="B385" s="32"/>
      <x:c r="C385" s="32"/>
      <x:c r="D385" s="32"/>
      <x:c r="E385" s="32"/>
      <x:c r="F385" s="32"/>
      <x:c r="G385" s="32"/>
      <x:c r="H385" s="32"/>
      <x:c r="I385" s="32"/>
      <x:c r="J385" s="32"/>
      <x:c r="K385" s="32"/>
      <x:c r="L385" s="32"/>
    </x:row>
    <x:row r="386">
      <x:c r="A386" s="32"/>
      <x:c r="B386" s="32"/>
      <x:c r="C386" s="32"/>
      <x:c r="D386" s="32"/>
      <x:c r="E386" s="32"/>
      <x:c r="F386" s="32"/>
      <x:c r="G386" s="32"/>
      <x:c r="H386" s="32"/>
      <x:c r="I386" s="32"/>
      <x:c r="J386" s="32"/>
      <x:c r="K386" s="32"/>
      <x:c r="L386" s="32"/>
    </x:row>
    <x:row r="387">
      <x:c r="A387" s="32"/>
      <x:c r="B387" s="32"/>
      <x:c r="C387" s="32"/>
      <x:c r="D387" s="32"/>
      <x:c r="E387" s="32"/>
      <x:c r="F387" s="32"/>
      <x:c r="G387" s="32"/>
      <x:c r="H387" s="32"/>
      <x:c r="I387" s="32"/>
      <x:c r="J387" s="32"/>
      <x:c r="K387" s="32"/>
      <x:c r="L387" s="32"/>
    </x:row>
    <x:row r="388">
      <x:c r="A388" s="32"/>
      <x:c r="B388" s="32"/>
      <x:c r="C388" s="32"/>
      <x:c r="D388" s="32"/>
      <x:c r="E388" s="32"/>
      <x:c r="F388" s="32"/>
      <x:c r="G388" s="32"/>
      <x:c r="H388" s="32"/>
      <x:c r="I388" s="32"/>
      <x:c r="J388" s="32"/>
      <x:c r="K388" s="32"/>
      <x:c r="L388" s="32"/>
    </x:row>
    <x:row r="389">
      <x:c r="A389" s="32"/>
      <x:c r="B389" s="32"/>
      <x:c r="C389" s="32"/>
      <x:c r="D389" s="32"/>
      <x:c r="E389" s="32"/>
      <x:c r="F389" s="32"/>
      <x:c r="G389" s="32"/>
      <x:c r="H389" s="32"/>
      <x:c r="I389" s="32"/>
      <x:c r="J389" s="32"/>
      <x:c r="K389" s="32"/>
      <x:c r="L389" s="32"/>
    </x:row>
    <x:row r="390">
      <x:c r="A390" s="32"/>
      <x:c r="B390" s="32"/>
      <x:c r="C390" s="32"/>
      <x:c r="D390" s="32"/>
      <x:c r="E390" s="32"/>
      <x:c r="F390" s="32"/>
      <x:c r="G390" s="32"/>
      <x:c r="H390" s="32"/>
      <x:c r="I390" s="32"/>
      <x:c r="J390" s="32"/>
      <x:c r="K390" s="32"/>
      <x:c r="L390" s="32"/>
    </x:row>
    <x:row r="391">
      <x:c r="A391" s="32"/>
      <x:c r="B391" s="32"/>
      <x:c r="C391" s="32"/>
      <x:c r="D391" s="32"/>
      <x:c r="E391" s="32"/>
      <x:c r="F391" s="32"/>
      <x:c r="G391" s="32"/>
      <x:c r="H391" s="32"/>
      <x:c r="I391" s="32"/>
      <x:c r="J391" s="32"/>
      <x:c r="K391" s="32"/>
      <x:c r="L391" s="32"/>
    </x:row>
    <x:row r="392">
      <x:c r="A392" s="32"/>
      <x:c r="B392" s="32"/>
      <x:c r="C392" s="32"/>
      <x:c r="D392" s="32"/>
      <x:c r="E392" s="32"/>
      <x:c r="F392" s="32"/>
      <x:c r="G392" s="32"/>
      <x:c r="H392" s="32"/>
      <x:c r="I392" s="32"/>
      <x:c r="J392" s="32"/>
      <x:c r="K392" s="32"/>
      <x:c r="L392" s="32"/>
    </x:row>
    <x:row r="393">
      <x:c r="A393" s="32"/>
      <x:c r="B393" s="32"/>
      <x:c r="C393" s="32"/>
      <x:c r="D393" s="32"/>
      <x:c r="E393" s="32"/>
      <x:c r="F393" s="32"/>
      <x:c r="G393" s="32"/>
      <x:c r="H393" s="32"/>
      <x:c r="I393" s="32"/>
      <x:c r="J393" s="32"/>
      <x:c r="K393" s="32"/>
      <x:c r="L393" s="32"/>
    </x:row>
    <x:row r="394">
      <x:c r="A394" s="32"/>
      <x:c r="B394" s="32"/>
      <x:c r="C394" s="32"/>
      <x:c r="D394" s="32"/>
      <x:c r="E394" s="32"/>
      <x:c r="F394" s="32"/>
      <x:c r="G394" s="32"/>
      <x:c r="H394" s="32"/>
      <x:c r="I394" s="32"/>
      <x:c r="J394" s="32"/>
      <x:c r="K394" s="32"/>
      <x:c r="L394" s="32"/>
    </x:row>
    <x:row r="395">
      <x:c r="A395" s="32"/>
      <x:c r="B395" s="32"/>
      <x:c r="C395" s="32"/>
      <x:c r="D395" s="32"/>
      <x:c r="E395" s="32"/>
      <x:c r="F395" s="32"/>
      <x:c r="G395" s="32"/>
      <x:c r="H395" s="32"/>
      <x:c r="I395" s="32"/>
      <x:c r="J395" s="32"/>
      <x:c r="K395" s="32"/>
      <x:c r="L395" s="32"/>
    </x:row>
    <x:row r="396">
      <x:c r="A396" s="32"/>
      <x:c r="B396" s="32"/>
      <x:c r="C396" s="32"/>
      <x:c r="D396" s="32"/>
      <x:c r="E396" s="32"/>
      <x:c r="F396" s="32"/>
      <x:c r="G396" s="32"/>
      <x:c r="H396" s="32"/>
      <x:c r="I396" s="32"/>
      <x:c r="J396" s="32"/>
      <x:c r="K396" s="32"/>
      <x:c r="L396" s="32"/>
    </x:row>
    <x:row r="397">
      <x:c r="A397" s="32"/>
      <x:c r="B397" s="32"/>
      <x:c r="C397" s="32"/>
      <x:c r="D397" s="32"/>
      <x:c r="E397" s="32"/>
      <x:c r="F397" s="32"/>
      <x:c r="G397" s="32"/>
      <x:c r="H397" s="32"/>
      <x:c r="I397" s="32"/>
      <x:c r="J397" s="32"/>
      <x:c r="K397" s="32"/>
      <x:c r="L397" s="32"/>
    </x:row>
    <x:row r="398">
      <x:c r="A398" s="32"/>
      <x:c r="B398" s="32"/>
      <x:c r="C398" s="32"/>
      <x:c r="D398" s="32"/>
      <x:c r="E398" s="32"/>
      <x:c r="F398" s="32"/>
      <x:c r="G398" s="32"/>
      <x:c r="H398" s="32"/>
      <x:c r="I398" s="32"/>
      <x:c r="J398" s="32"/>
      <x:c r="K398" s="32"/>
      <x:c r="L398" s="32"/>
    </x:row>
    <x:row r="399">
      <x:c r="A399" s="32"/>
      <x:c r="B399" s="32"/>
      <x:c r="C399" s="32"/>
      <x:c r="D399" s="32"/>
      <x:c r="E399" s="32"/>
      <x:c r="F399" s="32"/>
      <x:c r="G399" s="32"/>
      <x:c r="H399" s="32"/>
      <x:c r="I399" s="32"/>
      <x:c r="J399" s="32"/>
      <x:c r="K399" s="32"/>
      <x:c r="L399" s="32"/>
    </x:row>
    <x:row r="400">
      <x:c r="A400" s="32"/>
      <x:c r="B400" s="32"/>
      <x:c r="C400" s="32"/>
      <x:c r="D400" s="32"/>
      <x:c r="E400" s="32"/>
      <x:c r="F400" s="32"/>
      <x:c r="G400" s="32"/>
      <x:c r="H400" s="32"/>
      <x:c r="I400" s="32"/>
      <x:c r="J400" s="32"/>
      <x:c r="K400" s="32"/>
      <x:c r="L400" s="32"/>
    </x:row>
    <x:row r="401">
      <x:c r="A401" s="32"/>
      <x:c r="B401" s="32"/>
      <x:c r="C401" s="32"/>
      <x:c r="D401" s="32"/>
      <x:c r="E401" s="32"/>
      <x:c r="F401" s="32"/>
      <x:c r="G401" s="32"/>
      <x:c r="H401" s="32"/>
      <x:c r="I401" s="32"/>
      <x:c r="J401" s="32"/>
      <x:c r="K401" s="32"/>
      <x:c r="L401" s="32"/>
    </x:row>
    <x:row r="402">
      <x:c r="A402" s="32"/>
      <x:c r="B402" s="32"/>
      <x:c r="C402" s="32"/>
      <x:c r="D402" s="32"/>
      <x:c r="E402" s="32"/>
      <x:c r="F402" s="32"/>
      <x:c r="G402" s="32"/>
      <x:c r="H402" s="32"/>
      <x:c r="I402" s="32"/>
      <x:c r="J402" s="32"/>
      <x:c r="K402" s="32"/>
      <x:c r="L402" s="32"/>
    </x:row>
    <x:row r="403">
      <x:c r="A403" s="32"/>
      <x:c r="B403" s="32"/>
      <x:c r="C403" s="32"/>
      <x:c r="D403" s="32"/>
      <x:c r="E403" s="32"/>
      <x:c r="F403" s="32"/>
      <x:c r="G403" s="32"/>
      <x:c r="H403" s="32"/>
      <x:c r="I403" s="32"/>
      <x:c r="J403" s="32"/>
      <x:c r="K403" s="32"/>
      <x:c r="L403" s="32"/>
    </x:row>
    <x:row r="404">
      <x:c r="A404" s="32"/>
      <x:c r="B404" s="32"/>
      <x:c r="C404" s="32"/>
      <x:c r="D404" s="32"/>
      <x:c r="E404" s="32"/>
      <x:c r="F404" s="32"/>
      <x:c r="G404" s="32"/>
      <x:c r="H404" s="32"/>
      <x:c r="I404" s="32"/>
      <x:c r="J404" s="32"/>
      <x:c r="K404" s="32"/>
      <x:c r="L404" s="32"/>
    </x:row>
    <x:row r="405">
      <x:c r="A405" s="32"/>
      <x:c r="B405" s="32"/>
      <x:c r="C405" s="32"/>
      <x:c r="D405" s="32"/>
      <x:c r="E405" s="32"/>
      <x:c r="F405" s="32"/>
      <x:c r="G405" s="32"/>
      <x:c r="H405" s="32"/>
      <x:c r="I405" s="32"/>
      <x:c r="J405" s="32"/>
      <x:c r="K405" s="32"/>
      <x:c r="L405" s="32"/>
    </x:row>
    <x:row r="406">
      <x:c r="A406" s="32"/>
      <x:c r="B406" s="32"/>
      <x:c r="C406" s="32"/>
      <x:c r="D406" s="32"/>
      <x:c r="E406" s="32"/>
      <x:c r="F406" s="32"/>
      <x:c r="G406" s="32"/>
      <x:c r="H406" s="32"/>
      <x:c r="I406" s="32"/>
      <x:c r="J406" s="32"/>
      <x:c r="K406" s="32"/>
      <x:c r="L406" s="32"/>
    </x:row>
    <x:row r="407">
      <x:c r="A407" s="32"/>
      <x:c r="B407" s="32"/>
      <x:c r="C407" s="32"/>
      <x:c r="D407" s="32"/>
      <x:c r="E407" s="32"/>
      <x:c r="F407" s="32"/>
      <x:c r="G407" s="32"/>
      <x:c r="H407" s="32"/>
      <x:c r="I407" s="32"/>
      <x:c r="J407" s="32"/>
      <x:c r="K407" s="32"/>
      <x:c r="L407" s="32"/>
    </x:row>
    <x:row r="408">
      <x:c r="A408" s="32"/>
      <x:c r="B408" s="32"/>
      <x:c r="C408" s="32"/>
      <x:c r="D408" s="32"/>
      <x:c r="E408" s="32"/>
      <x:c r="F408" s="32"/>
      <x:c r="G408" s="32"/>
      <x:c r="H408" s="32"/>
      <x:c r="I408" s="32"/>
      <x:c r="J408" s="32"/>
      <x:c r="K408" s="32"/>
      <x:c r="L408" s="32"/>
    </x:row>
    <x:row r="409">
      <x:c r="A409" s="32"/>
      <x:c r="B409" s="32"/>
      <x:c r="C409" s="32"/>
      <x:c r="D409" s="32"/>
      <x:c r="E409" s="32"/>
      <x:c r="F409" s="32"/>
      <x:c r="G409" s="32"/>
      <x:c r="H409" s="32"/>
      <x:c r="I409" s="32"/>
      <x:c r="J409" s="32"/>
      <x:c r="K409" s="32"/>
      <x:c r="L409" s="32"/>
    </x:row>
    <x:row r="410">
      <x:c r="A410" s="32"/>
      <x:c r="B410" s="32"/>
      <x:c r="C410" s="32"/>
      <x:c r="D410" s="32"/>
      <x:c r="E410" s="32"/>
      <x:c r="F410" s="32"/>
      <x:c r="G410" s="32"/>
      <x:c r="H410" s="32"/>
      <x:c r="I410" s="32"/>
      <x:c r="J410" s="32"/>
      <x:c r="K410" s="32"/>
      <x:c r="L410" s="32"/>
    </x:row>
    <x:row r="411">
      <x:c r="A411" s="32"/>
      <x:c r="B411" s="32"/>
      <x:c r="C411" s="32"/>
      <x:c r="D411" s="32"/>
      <x:c r="E411" s="32"/>
      <x:c r="F411" s="32"/>
      <x:c r="G411" s="32"/>
      <x:c r="H411" s="32"/>
      <x:c r="I411" s="32"/>
      <x:c r="J411" s="32"/>
      <x:c r="K411" s="32"/>
      <x:c r="L411" s="32"/>
    </x:row>
    <x:row r="412">
      <x:c r="A412" s="32"/>
      <x:c r="B412" s="32"/>
      <x:c r="C412" s="32"/>
      <x:c r="D412" s="32"/>
      <x:c r="E412" s="32"/>
      <x:c r="F412" s="32"/>
      <x:c r="G412" s="32"/>
      <x:c r="H412" s="32"/>
      <x:c r="I412" s="32"/>
      <x:c r="J412" s="32"/>
      <x:c r="K412" s="32"/>
      <x:c r="L412" s="32"/>
    </x:row>
    <x:row r="413">
      <x:c r="A413" s="32"/>
      <x:c r="B413" s="32"/>
      <x:c r="C413" s="32"/>
      <x:c r="D413" s="32"/>
      <x:c r="E413" s="32"/>
      <x:c r="F413" s="32"/>
      <x:c r="G413" s="32"/>
      <x:c r="H413" s="32"/>
      <x:c r="I413" s="32"/>
      <x:c r="J413" s="32"/>
      <x:c r="K413" s="32"/>
      <x:c r="L413" s="32"/>
    </x:row>
    <x:row r="414">
      <x:c r="A414" s="32"/>
      <x:c r="B414" s="32"/>
      <x:c r="C414" s="32"/>
      <x:c r="D414" s="32"/>
      <x:c r="E414" s="32"/>
      <x:c r="F414" s="32"/>
      <x:c r="G414" s="32"/>
      <x:c r="H414" s="32"/>
      <x:c r="I414" s="32"/>
      <x:c r="J414" s="32"/>
      <x:c r="K414" s="32"/>
      <x:c r="L414" s="32"/>
    </x:row>
    <x:row r="415">
      <x:c r="A415" s="32"/>
      <x:c r="B415" s="32"/>
      <x:c r="C415" s="32"/>
      <x:c r="D415" s="32"/>
      <x:c r="E415" s="32"/>
      <x:c r="F415" s="32"/>
      <x:c r="G415" s="32"/>
      <x:c r="H415" s="32"/>
      <x:c r="I415" s="32"/>
      <x:c r="J415" s="32"/>
      <x:c r="K415" s="32"/>
      <x:c r="L415" s="32"/>
    </x:row>
    <x:row r="416">
      <x:c r="A416" s="32"/>
      <x:c r="B416" s="32"/>
      <x:c r="C416" s="32"/>
      <x:c r="D416" s="32"/>
      <x:c r="E416" s="32"/>
      <x:c r="F416" s="32"/>
      <x:c r="G416" s="32"/>
      <x:c r="H416" s="32"/>
      <x:c r="I416" s="32"/>
      <x:c r="J416" s="32"/>
      <x:c r="K416" s="32"/>
      <x:c r="L416" s="32"/>
    </x:row>
    <x:row r="417">
      <x:c r="A417" s="32"/>
      <x:c r="B417" s="32"/>
      <x:c r="C417" s="32"/>
      <x:c r="D417" s="32"/>
      <x:c r="E417" s="32"/>
      <x:c r="F417" s="32"/>
      <x:c r="G417" s="32"/>
      <x:c r="H417" s="32"/>
      <x:c r="I417" s="32"/>
      <x:c r="J417" s="32"/>
      <x:c r="K417" s="32"/>
      <x:c r="L417" s="32"/>
    </x:row>
    <x:row r="418">
      <x:c r="A418" s="32"/>
      <x:c r="B418" s="32"/>
      <x:c r="C418" s="32"/>
      <x:c r="D418" s="32"/>
      <x:c r="E418" s="32"/>
      <x:c r="F418" s="32"/>
      <x:c r="G418" s="32"/>
      <x:c r="H418" s="32"/>
      <x:c r="I418" s="32"/>
      <x:c r="J418" s="32"/>
      <x:c r="K418" s="32"/>
      <x:c r="L418" s="32"/>
    </x:row>
    <x:row r="419">
      <x:c r="A419" s="32"/>
      <x:c r="B419" s="32"/>
      <x:c r="C419" s="32"/>
      <x:c r="D419" s="32"/>
      <x:c r="E419" s="32"/>
      <x:c r="F419" s="32"/>
      <x:c r="G419" s="32"/>
      <x:c r="H419" s="32"/>
      <x:c r="I419" s="32"/>
      <x:c r="J419" s="32"/>
      <x:c r="K419" s="32"/>
      <x:c r="L419" s="32"/>
    </x:row>
    <x:row r="420">
      <x:c r="A420" s="32"/>
      <x:c r="B420" s="32"/>
      <x:c r="C420" s="32"/>
      <x:c r="D420" s="32"/>
      <x:c r="E420" s="32"/>
      <x:c r="F420" s="32"/>
      <x:c r="G420" s="32"/>
      <x:c r="H420" s="32"/>
      <x:c r="I420" s="32"/>
      <x:c r="J420" s="32"/>
      <x:c r="K420" s="32"/>
      <x:c r="L420" s="32"/>
    </x:row>
    <x:row r="421">
      <x:c r="A421" s="32"/>
      <x:c r="B421" s="32"/>
      <x:c r="C421" s="32"/>
      <x:c r="D421" s="32"/>
      <x:c r="E421" s="32"/>
      <x:c r="F421" s="32"/>
      <x:c r="G421" s="32"/>
      <x:c r="H421" s="32"/>
      <x:c r="I421" s="32"/>
      <x:c r="J421" s="32"/>
      <x:c r="K421" s="32"/>
      <x:c r="L421" s="32"/>
    </x:row>
    <x:row r="422">
      <x:c r="A422" s="32"/>
      <x:c r="B422" s="32"/>
      <x:c r="C422" s="32"/>
      <x:c r="D422" s="32"/>
      <x:c r="E422" s="32"/>
      <x:c r="F422" s="32"/>
      <x:c r="G422" s="32"/>
      <x:c r="H422" s="32"/>
      <x:c r="I422" s="32"/>
      <x:c r="J422" s="32"/>
      <x:c r="K422" s="32"/>
      <x:c r="L422" s="32"/>
    </x:row>
    <x:row r="423">
      <x:c r="A423" s="32"/>
      <x:c r="B423" s="32"/>
      <x:c r="C423" s="32"/>
      <x:c r="D423" s="32"/>
      <x:c r="E423" s="32"/>
      <x:c r="F423" s="32"/>
      <x:c r="G423" s="32"/>
      <x:c r="H423" s="32"/>
      <x:c r="I423" s="32"/>
      <x:c r="J423" s="32"/>
      <x:c r="K423" s="32"/>
      <x:c r="L423" s="32"/>
    </x:row>
    <x:row r="424">
      <x:c r="A424" s="32"/>
      <x:c r="B424" s="32"/>
      <x:c r="C424" s="32"/>
      <x:c r="D424" s="32"/>
      <x:c r="E424" s="32"/>
      <x:c r="F424" s="32"/>
      <x:c r="G424" s="32"/>
      <x:c r="H424" s="32"/>
      <x:c r="I424" s="32"/>
      <x:c r="J424" s="32"/>
      <x:c r="K424" s="32"/>
      <x:c r="L424" s="32"/>
    </x:row>
    <x:row r="425">
      <x:c r="A425" s="32"/>
      <x:c r="B425" s="32"/>
      <x:c r="C425" s="32"/>
      <x:c r="D425" s="32"/>
      <x:c r="E425" s="32"/>
      <x:c r="F425" s="32"/>
      <x:c r="G425" s="32"/>
      <x:c r="H425" s="32"/>
      <x:c r="I425" s="32"/>
      <x:c r="J425" s="32"/>
      <x:c r="K425" s="32"/>
      <x:c r="L425" s="32"/>
    </x:row>
    <x:row r="426">
      <x:c r="A426" s="32"/>
      <x:c r="B426" s="32"/>
      <x:c r="C426" s="32"/>
      <x:c r="D426" s="32"/>
      <x:c r="E426" s="32"/>
      <x:c r="F426" s="32"/>
      <x:c r="G426" s="32"/>
      <x:c r="H426" s="32"/>
      <x:c r="I426" s="32"/>
      <x:c r="J426" s="32"/>
      <x:c r="K426" s="32"/>
      <x:c r="L426" s="32"/>
    </x:row>
    <x:row r="427">
      <x:c r="A427" s="32"/>
      <x:c r="B427" s="32"/>
      <x:c r="C427" s="32"/>
      <x:c r="D427" s="32"/>
      <x:c r="E427" s="32"/>
      <x:c r="F427" s="32"/>
      <x:c r="G427" s="32"/>
      <x:c r="H427" s="32"/>
      <x:c r="I427" s="32"/>
      <x:c r="J427" s="32"/>
      <x:c r="K427" s="32"/>
      <x:c r="L427" s="32"/>
    </x:row>
    <x:row r="428">
      <x:c r="A428" s="32"/>
      <x:c r="B428" s="32"/>
      <x:c r="C428" s="32"/>
      <x:c r="D428" s="32"/>
      <x:c r="E428" s="32"/>
      <x:c r="F428" s="32"/>
      <x:c r="G428" s="32"/>
      <x:c r="H428" s="32"/>
      <x:c r="I428" s="32"/>
      <x:c r="J428" s="32"/>
      <x:c r="K428" s="32"/>
      <x:c r="L428" s="32"/>
    </x:row>
    <x:row r="429">
      <x:c r="A429" s="32"/>
      <x:c r="B429" s="32"/>
      <x:c r="C429" s="32"/>
      <x:c r="D429" s="32"/>
      <x:c r="E429" s="32"/>
      <x:c r="F429" s="32"/>
      <x:c r="G429" s="32"/>
      <x:c r="H429" s="32"/>
      <x:c r="I429" s="32"/>
      <x:c r="J429" s="32"/>
      <x:c r="K429" s="32"/>
      <x:c r="L429" s="32"/>
    </x:row>
    <x:row r="430">
      <x:c r="A430" s="32"/>
      <x:c r="B430" s="32"/>
      <x:c r="C430" s="32"/>
      <x:c r="D430" s="32"/>
      <x:c r="E430" s="32"/>
      <x:c r="F430" s="32"/>
      <x:c r="G430" s="32"/>
      <x:c r="H430" s="32"/>
      <x:c r="I430" s="32"/>
      <x:c r="J430" s="32"/>
      <x:c r="K430" s="32"/>
      <x:c r="L430" s="32"/>
    </x:row>
    <x:row r="431">
      <x:c r="A431" s="32"/>
      <x:c r="B431" s="32"/>
      <x:c r="C431" s="32"/>
      <x:c r="D431" s="32"/>
      <x:c r="E431" s="32"/>
      <x:c r="F431" s="32"/>
      <x:c r="G431" s="32"/>
      <x:c r="H431" s="32"/>
      <x:c r="I431" s="32"/>
      <x:c r="J431" s="32"/>
      <x:c r="K431" s="32"/>
      <x:c r="L431" s="32"/>
    </x:row>
    <x:row r="432">
      <x:c r="A432" s="32"/>
      <x:c r="B432" s="32"/>
      <x:c r="C432" s="32"/>
      <x:c r="D432" s="32"/>
      <x:c r="E432" s="32"/>
      <x:c r="F432" s="32"/>
      <x:c r="G432" s="32"/>
      <x:c r="H432" s="32"/>
      <x:c r="I432" s="32"/>
      <x:c r="J432" s="32"/>
      <x:c r="K432" s="32"/>
      <x:c r="L432" s="32"/>
    </x:row>
    <x:row r="433">
      <x:c r="A433" s="32"/>
      <x:c r="B433" s="32"/>
      <x:c r="C433" s="32"/>
      <x:c r="D433" s="32"/>
      <x:c r="E433" s="32"/>
      <x:c r="F433" s="32"/>
      <x:c r="G433" s="32"/>
      <x:c r="H433" s="32"/>
      <x:c r="I433" s="32"/>
      <x:c r="J433" s="32"/>
      <x:c r="K433" s="32"/>
      <x:c r="L433" s="32"/>
    </x:row>
    <x:row r="434">
      <x:c r="A434" s="32"/>
      <x:c r="B434" s="32"/>
      <x:c r="C434" s="32"/>
      <x:c r="D434" s="32"/>
      <x:c r="E434" s="32"/>
      <x:c r="F434" s="32"/>
      <x:c r="G434" s="32"/>
      <x:c r="H434" s="32"/>
      <x:c r="I434" s="32"/>
      <x:c r="J434" s="32"/>
      <x:c r="K434" s="32"/>
      <x:c r="L434" s="32"/>
    </x:row>
    <x:row r="435">
      <x:c r="A435" s="32"/>
      <x:c r="B435" s="32"/>
      <x:c r="C435" s="32"/>
      <x:c r="D435" s="32"/>
      <x:c r="E435" s="32"/>
      <x:c r="F435" s="32"/>
      <x:c r="G435" s="32"/>
      <x:c r="H435" s="32"/>
      <x:c r="I435" s="32"/>
      <x:c r="J435" s="32"/>
      <x:c r="K435" s="32"/>
      <x:c r="L435" s="32"/>
    </x:row>
    <x:row r="436">
      <x:c r="A436" s="32"/>
      <x:c r="B436" s="32"/>
      <x:c r="C436" s="32"/>
      <x:c r="D436" s="32"/>
      <x:c r="E436" s="32"/>
      <x:c r="F436" s="32"/>
      <x:c r="G436" s="32"/>
      <x:c r="H436" s="32"/>
      <x:c r="I436" s="32"/>
      <x:c r="J436" s="32"/>
      <x:c r="K436" s="32"/>
      <x:c r="L436" s="32"/>
    </x:row>
    <x:row r="437">
      <x:c r="A437" s="32"/>
      <x:c r="B437" s="32"/>
      <x:c r="C437" s="32"/>
      <x:c r="D437" s="32"/>
      <x:c r="E437" s="32"/>
      <x:c r="F437" s="32"/>
      <x:c r="G437" s="32"/>
      <x:c r="H437" s="32"/>
      <x:c r="I437" s="32"/>
      <x:c r="J437" s="32"/>
      <x:c r="K437" s="32"/>
      <x:c r="L437" s="32"/>
    </x:row>
    <x:row r="438">
      <x:c r="A438" s="32"/>
      <x:c r="B438" s="32"/>
      <x:c r="C438" s="32"/>
      <x:c r="D438" s="32"/>
      <x:c r="E438" s="32"/>
      <x:c r="F438" s="32"/>
      <x:c r="G438" s="32"/>
      <x:c r="H438" s="32"/>
      <x:c r="I438" s="32"/>
      <x:c r="J438" s="32"/>
      <x:c r="K438" s="32"/>
      <x:c r="L438" s="32"/>
    </x:row>
    <x:row r="439">
      <x:c r="A439" s="32"/>
      <x:c r="B439" s="32"/>
      <x:c r="C439" s="32"/>
      <x:c r="D439" s="32"/>
      <x:c r="E439" s="32"/>
      <x:c r="F439" s="32"/>
      <x:c r="G439" s="32"/>
      <x:c r="H439" s="32"/>
      <x:c r="I439" s="32"/>
      <x:c r="J439" s="32"/>
      <x:c r="K439" s="32"/>
      <x:c r="L439" s="32"/>
    </x:row>
    <x:row r="440">
      <x:c r="A440" s="32"/>
      <x:c r="B440" s="32"/>
      <x:c r="C440" s="32"/>
      <x:c r="D440" s="32"/>
      <x:c r="E440" s="32"/>
      <x:c r="F440" s="32"/>
      <x:c r="G440" s="32"/>
      <x:c r="H440" s="32"/>
      <x:c r="I440" s="32"/>
      <x:c r="J440" s="32"/>
      <x:c r="K440" s="32"/>
      <x:c r="L440" s="32"/>
    </x:row>
    <x:row r="441">
      <x:c r="A441" s="32"/>
      <x:c r="B441" s="32"/>
      <x:c r="C441" s="32"/>
      <x:c r="D441" s="32"/>
      <x:c r="E441" s="32"/>
      <x:c r="F441" s="32"/>
      <x:c r="G441" s="32"/>
      <x:c r="H441" s="32"/>
      <x:c r="I441" s="32"/>
      <x:c r="J441" s="32"/>
      <x:c r="K441" s="32"/>
      <x:c r="L441" s="32"/>
    </x:row>
    <x:row r="442">
      <x:c r="A442" s="32"/>
      <x:c r="B442" s="32"/>
      <x:c r="C442" s="32"/>
      <x:c r="D442" s="32"/>
      <x:c r="E442" s="32"/>
      <x:c r="F442" s="32"/>
      <x:c r="G442" s="32"/>
      <x:c r="H442" s="32"/>
      <x:c r="I442" s="32"/>
      <x:c r="J442" s="32"/>
      <x:c r="K442" s="32"/>
      <x:c r="L442" s="32"/>
    </x:row>
    <x:row r="443">
      <x:c r="A443" s="32"/>
      <x:c r="B443" s="32"/>
      <x:c r="C443" s="32"/>
      <x:c r="D443" s="32"/>
      <x:c r="E443" s="32"/>
      <x:c r="F443" s="32"/>
      <x:c r="G443" s="32"/>
      <x:c r="H443" s="32"/>
      <x:c r="I443" s="32"/>
      <x:c r="J443" s="32"/>
      <x:c r="K443" s="32"/>
      <x:c r="L443" s="32"/>
    </x:row>
    <x:row r="444">
      <x:c r="A444" s="32"/>
      <x:c r="B444" s="32"/>
      <x:c r="C444" s="32"/>
      <x:c r="D444" s="32"/>
      <x:c r="E444" s="32"/>
      <x:c r="F444" s="32"/>
      <x:c r="G444" s="32"/>
      <x:c r="H444" s="32"/>
      <x:c r="I444" s="32"/>
      <x:c r="J444" s="32"/>
      <x:c r="K444" s="32"/>
      <x:c r="L444" s="32"/>
    </x:row>
    <x:row r="445">
      <x:c r="A445" s="32"/>
      <x:c r="B445" s="32"/>
      <x:c r="C445" s="32"/>
      <x:c r="D445" s="32"/>
      <x:c r="E445" s="32"/>
      <x:c r="F445" s="32"/>
      <x:c r="G445" s="32"/>
      <x:c r="H445" s="32"/>
      <x:c r="I445" s="32"/>
      <x:c r="J445" s="32"/>
      <x:c r="K445" s="32"/>
      <x:c r="L445" s="32"/>
    </x:row>
    <x:row r="446">
      <x:c r="A446" s="32"/>
      <x:c r="B446" s="32"/>
      <x:c r="C446" s="32"/>
      <x:c r="D446" s="32"/>
      <x:c r="E446" s="32"/>
      <x:c r="F446" s="32"/>
      <x:c r="G446" s="32"/>
      <x:c r="H446" s="32"/>
      <x:c r="I446" s="32"/>
      <x:c r="J446" s="32"/>
      <x:c r="K446" s="32"/>
      <x:c r="L446" s="32"/>
    </x:row>
    <x:row r="447">
      <x:c r="A447" s="32"/>
      <x:c r="B447" s="32"/>
      <x:c r="C447" s="32"/>
      <x:c r="D447" s="32"/>
      <x:c r="E447" s="32"/>
      <x:c r="F447" s="32"/>
      <x:c r="G447" s="32"/>
      <x:c r="H447" s="32"/>
      <x:c r="I447" s="32"/>
      <x:c r="J447" s="32"/>
      <x:c r="K447" s="32"/>
      <x:c r="L447" s="32"/>
    </x:row>
    <x:row r="448">
      <x:c r="A448" s="32"/>
      <x:c r="B448" s="32"/>
      <x:c r="C448" s="32"/>
      <x:c r="D448" s="32"/>
      <x:c r="E448" s="32"/>
      <x:c r="F448" s="32"/>
      <x:c r="G448" s="32"/>
      <x:c r="H448" s="32"/>
      <x:c r="I448" s="32"/>
      <x:c r="J448" s="32"/>
      <x:c r="K448" s="32"/>
      <x:c r="L448" s="32"/>
    </x:row>
    <x:row r="449">
      <x:c r="A449" s="32"/>
      <x:c r="B449" s="32"/>
      <x:c r="C449" s="32"/>
      <x:c r="D449" s="32"/>
      <x:c r="E449" s="32"/>
      <x:c r="F449" s="32"/>
      <x:c r="G449" s="32"/>
      <x:c r="H449" s="32"/>
      <x:c r="I449" s="32"/>
      <x:c r="J449" s="32"/>
      <x:c r="K449" s="32"/>
      <x:c r="L449" s="32"/>
    </x:row>
    <x:row r="450">
      <x:c r="A450" s="32"/>
      <x:c r="B450" s="32"/>
      <x:c r="C450" s="32"/>
      <x:c r="D450" s="32"/>
      <x:c r="E450" s="32"/>
      <x:c r="F450" s="32"/>
      <x:c r="G450" s="32"/>
      <x:c r="H450" s="32"/>
      <x:c r="I450" s="32"/>
      <x:c r="J450" s="32"/>
      <x:c r="K450" s="32"/>
      <x:c r="L450" s="32"/>
    </x:row>
    <x:row r="451">
      <x:c r="A451" s="32"/>
      <x:c r="B451" s="32"/>
      <x:c r="C451" s="32"/>
      <x:c r="D451" s="32"/>
      <x:c r="E451" s="32"/>
      <x:c r="F451" s="32"/>
      <x:c r="G451" s="32"/>
      <x:c r="H451" s="32"/>
      <x:c r="I451" s="32"/>
      <x:c r="J451" s="32"/>
      <x:c r="K451" s="32"/>
      <x:c r="L451" s="32"/>
    </x:row>
    <x:row r="452">
      <x:c r="A452" s="32"/>
      <x:c r="B452" s="32"/>
      <x:c r="C452" s="32"/>
      <x:c r="D452" s="32"/>
      <x:c r="E452" s="32"/>
      <x:c r="F452" s="32"/>
      <x:c r="G452" s="32"/>
      <x:c r="H452" s="32"/>
      <x:c r="I452" s="32"/>
      <x:c r="J452" s="32"/>
      <x:c r="K452" s="32"/>
      <x:c r="L452" s="32"/>
    </x:row>
    <x:row r="453">
      <x:c r="A453" s="32"/>
      <x:c r="B453" s="32"/>
      <x:c r="C453" s="32"/>
      <x:c r="D453" s="32"/>
      <x:c r="E453" s="32"/>
      <x:c r="F453" s="32"/>
      <x:c r="G453" s="32"/>
      <x:c r="H453" s="32"/>
      <x:c r="I453" s="32"/>
      <x:c r="J453" s="32"/>
      <x:c r="K453" s="32"/>
      <x:c r="L453" s="32"/>
    </x:row>
    <x:row r="454">
      <x:c r="A454" s="32"/>
      <x:c r="B454" s="32"/>
      <x:c r="C454" s="32"/>
      <x:c r="D454" s="32"/>
      <x:c r="E454" s="32"/>
      <x:c r="F454" s="32"/>
      <x:c r="G454" s="32"/>
      <x:c r="H454" s="32"/>
      <x:c r="I454" s="32"/>
      <x:c r="J454" s="32"/>
      <x:c r="K454" s="32"/>
      <x:c r="L454" s="32"/>
    </x:row>
    <x:row r="455">
      <x:c r="A455" s="32"/>
      <x:c r="B455" s="32"/>
      <x:c r="C455" s="32"/>
      <x:c r="D455" s="32"/>
      <x:c r="E455" s="32"/>
      <x:c r="F455" s="32"/>
      <x:c r="G455" s="32"/>
      <x:c r="H455" s="32"/>
      <x:c r="I455" s="32"/>
      <x:c r="J455" s="32"/>
      <x:c r="K455" s="32"/>
      <x:c r="L455" s="32"/>
    </x:row>
    <x:row r="456">
      <x:c r="A456" s="32"/>
      <x:c r="B456" s="32"/>
      <x:c r="C456" s="32"/>
      <x:c r="D456" s="32"/>
      <x:c r="E456" s="32"/>
      <x:c r="F456" s="32"/>
      <x:c r="G456" s="32"/>
      <x:c r="H456" s="32"/>
      <x:c r="I456" s="32"/>
      <x:c r="J456" s="32"/>
      <x:c r="K456" s="32"/>
      <x:c r="L456" s="32"/>
    </x:row>
    <x:row r="457">
      <x:c r="A457" s="32"/>
      <x:c r="B457" s="32"/>
      <x:c r="C457" s="32"/>
      <x:c r="D457" s="32"/>
      <x:c r="E457" s="32"/>
      <x:c r="F457" s="32"/>
      <x:c r="G457" s="32"/>
      <x:c r="H457" s="32"/>
      <x:c r="I457" s="32"/>
      <x:c r="J457" s="32"/>
      <x:c r="K457" s="32"/>
      <x:c r="L457" s="32"/>
    </x:row>
    <x:row r="458">
      <x:c r="A458" s="32"/>
      <x:c r="B458" s="32"/>
      <x:c r="C458" s="32"/>
      <x:c r="D458" s="32"/>
      <x:c r="E458" s="32"/>
      <x:c r="F458" s="32"/>
      <x:c r="G458" s="32"/>
      <x:c r="H458" s="32"/>
      <x:c r="I458" s="32"/>
      <x:c r="J458" s="32"/>
      <x:c r="K458" s="32"/>
      <x:c r="L458" s="32"/>
    </x:row>
    <x:row r="459">
      <x:c r="A459" s="32"/>
      <x:c r="B459" s="32"/>
      <x:c r="C459" s="32"/>
      <x:c r="D459" s="32"/>
      <x:c r="E459" s="32"/>
      <x:c r="F459" s="32"/>
      <x:c r="G459" s="32"/>
      <x:c r="H459" s="32"/>
      <x:c r="I459" s="32"/>
      <x:c r="J459" s="32"/>
      <x:c r="K459" s="32"/>
      <x:c r="L459" s="32"/>
    </x:row>
    <x:row r="460">
      <x:c r="A460" s="32"/>
      <x:c r="B460" s="32"/>
      <x:c r="C460" s="32"/>
      <x:c r="D460" s="32"/>
      <x:c r="E460" s="32"/>
      <x:c r="F460" s="32"/>
      <x:c r="G460" s="32"/>
      <x:c r="H460" s="32"/>
      <x:c r="I460" s="32"/>
      <x:c r="J460" s="32"/>
      <x:c r="K460" s="32"/>
      <x:c r="L460" s="32"/>
    </x:row>
    <x:row r="461">
      <x:c r="A461" s="32"/>
      <x:c r="B461" s="32"/>
      <x:c r="C461" s="32"/>
      <x:c r="D461" s="32"/>
      <x:c r="E461" s="32"/>
      <x:c r="F461" s="32"/>
      <x:c r="G461" s="32"/>
      <x:c r="H461" s="32"/>
      <x:c r="I461" s="32"/>
      <x:c r="J461" s="32"/>
      <x:c r="K461" s="32"/>
      <x:c r="L461" s="32"/>
    </x:row>
    <x:row r="462">
      <x:c r="A462" s="32"/>
      <x:c r="B462" s="32"/>
      <x:c r="C462" s="32"/>
      <x:c r="D462" s="32"/>
      <x:c r="E462" s="32"/>
      <x:c r="F462" s="32"/>
      <x:c r="G462" s="32"/>
      <x:c r="H462" s="32"/>
      <x:c r="I462" s="32"/>
      <x:c r="J462" s="32"/>
      <x:c r="K462" s="32"/>
      <x:c r="L462" s="32"/>
    </x:row>
    <x:row r="463">
      <x:c r="A463" s="32"/>
      <x:c r="B463" s="32"/>
      <x:c r="C463" s="32"/>
      <x:c r="D463" s="32"/>
      <x:c r="E463" s="32"/>
      <x:c r="F463" s="32"/>
      <x:c r="G463" s="32"/>
      <x:c r="H463" s="32"/>
      <x:c r="I463" s="32"/>
      <x:c r="J463" s="32"/>
      <x:c r="K463" s="32"/>
      <x:c r="L463" s="32"/>
    </x:row>
    <x:row r="464">
      <x:c r="A464" s="32"/>
      <x:c r="B464" s="32"/>
      <x:c r="C464" s="32"/>
      <x:c r="D464" s="32"/>
      <x:c r="E464" s="32"/>
      <x:c r="F464" s="32"/>
      <x:c r="G464" s="32"/>
      <x:c r="H464" s="32"/>
      <x:c r="I464" s="32"/>
      <x:c r="J464" s="32"/>
      <x:c r="K464" s="32"/>
      <x:c r="L464" s="32"/>
    </x:row>
    <x:row r="465">
      <x:c r="A465" s="32"/>
      <x:c r="B465" s="32"/>
      <x:c r="C465" s="32"/>
      <x:c r="D465" s="32"/>
      <x:c r="E465" s="32"/>
      <x:c r="F465" s="32"/>
      <x:c r="G465" s="32"/>
      <x:c r="H465" s="32"/>
      <x:c r="I465" s="32"/>
      <x:c r="J465" s="32"/>
      <x:c r="K465" s="32"/>
      <x:c r="L465" s="32"/>
    </x:row>
    <x:row r="466">
      <x:c r="A466" s="32"/>
      <x:c r="B466" s="32"/>
      <x:c r="C466" s="32"/>
      <x:c r="D466" s="32"/>
      <x:c r="E466" s="32"/>
      <x:c r="F466" s="32"/>
      <x:c r="G466" s="32"/>
      <x:c r="H466" s="32"/>
      <x:c r="I466" s="32"/>
      <x:c r="J466" s="32"/>
      <x:c r="K466" s="32"/>
      <x:c r="L466" s="32"/>
    </x:row>
    <x:row r="467">
      <x:c r="A467" s="32"/>
      <x:c r="B467" s="32"/>
      <x:c r="C467" s="32"/>
      <x:c r="D467" s="32"/>
      <x:c r="E467" s="32"/>
      <x:c r="F467" s="32"/>
      <x:c r="G467" s="32"/>
      <x:c r="H467" s="32"/>
      <x:c r="I467" s="32"/>
      <x:c r="J467" s="32"/>
      <x:c r="K467" s="32"/>
      <x:c r="L467" s="32"/>
    </x:row>
    <x:row r="468">
      <x:c r="A468" s="32"/>
      <x:c r="B468" s="32"/>
      <x:c r="C468" s="32"/>
      <x:c r="D468" s="32"/>
      <x:c r="E468" s="32"/>
      <x:c r="F468" s="32"/>
      <x:c r="G468" s="32"/>
      <x:c r="H468" s="32"/>
      <x:c r="I468" s="32"/>
      <x:c r="J468" s="32"/>
      <x:c r="K468" s="32"/>
      <x:c r="L468" s="32"/>
    </x:row>
    <x:row r="469">
      <x:c r="A469" s="32"/>
      <x:c r="B469" s="32"/>
      <x:c r="C469" s="32"/>
      <x:c r="D469" s="32"/>
      <x:c r="E469" s="32"/>
      <x:c r="F469" s="32"/>
      <x:c r="G469" s="32"/>
      <x:c r="H469" s="32"/>
      <x:c r="I469" s="32"/>
      <x:c r="J469" s="32"/>
      <x:c r="K469" s="32"/>
      <x:c r="L469" s="32"/>
    </x:row>
    <x:row r="470">
      <x:c r="A470" s="32"/>
      <x:c r="B470" s="32"/>
      <x:c r="C470" s="32"/>
      <x:c r="D470" s="32"/>
      <x:c r="E470" s="32"/>
      <x:c r="F470" s="32"/>
      <x:c r="G470" s="32"/>
      <x:c r="H470" s="32"/>
      <x:c r="I470" s="32"/>
      <x:c r="J470" s="32"/>
      <x:c r="K470" s="32"/>
      <x:c r="L470" s="32"/>
    </x:row>
    <x:row r="471">
      <x:c r="A471" s="32"/>
      <x:c r="B471" s="32"/>
      <x:c r="C471" s="32"/>
      <x:c r="D471" s="32"/>
      <x:c r="E471" s="32"/>
      <x:c r="F471" s="32"/>
      <x:c r="G471" s="32"/>
      <x:c r="H471" s="32"/>
      <x:c r="I471" s="32"/>
      <x:c r="J471" s="32"/>
      <x:c r="K471" s="32"/>
      <x:c r="L471" s="32"/>
    </x:row>
    <x:row r="472">
      <x:c r="A472" s="32"/>
      <x:c r="B472" s="32"/>
      <x:c r="C472" s="32"/>
      <x:c r="D472" s="32"/>
      <x:c r="E472" s="32"/>
      <x:c r="F472" s="32"/>
      <x:c r="G472" s="32"/>
      <x:c r="H472" s="32"/>
      <x:c r="I472" s="32"/>
      <x:c r="J472" s="32"/>
      <x:c r="K472" s="32"/>
      <x:c r="L472" s="32"/>
    </x:row>
    <x:row r="473">
      <x:c r="A473" s="32"/>
      <x:c r="B473" s="32"/>
      <x:c r="C473" s="32"/>
      <x:c r="D473" s="32"/>
      <x:c r="E473" s="32"/>
      <x:c r="F473" s="32"/>
      <x:c r="G473" s="32"/>
      <x:c r="H473" s="32"/>
      <x:c r="I473" s="32"/>
      <x:c r="J473" s="32"/>
      <x:c r="K473" s="32"/>
      <x:c r="L473" s="32"/>
    </x:row>
    <x:row r="474">
      <x:c r="A474" s="32"/>
      <x:c r="B474" s="32"/>
      <x:c r="C474" s="32"/>
      <x:c r="D474" s="32"/>
      <x:c r="E474" s="32"/>
      <x:c r="F474" s="32"/>
      <x:c r="G474" s="32"/>
      <x:c r="H474" s="32"/>
      <x:c r="I474" s="32"/>
      <x:c r="J474" s="32"/>
      <x:c r="K474" s="32"/>
      <x:c r="L474" s="32"/>
    </x:row>
    <x:row r="475">
      <x:c r="A475" s="32"/>
      <x:c r="B475" s="32"/>
      <x:c r="C475" s="32"/>
      <x:c r="D475" s="32"/>
      <x:c r="E475" s="32"/>
      <x:c r="F475" s="32"/>
      <x:c r="G475" s="32"/>
      <x:c r="H475" s="32"/>
      <x:c r="I475" s="32"/>
      <x:c r="J475" s="32"/>
      <x:c r="K475" s="32"/>
      <x:c r="L475" s="32"/>
    </x:row>
    <x:row r="476">
      <x:c r="A476" s="32"/>
      <x:c r="B476" s="32"/>
      <x:c r="C476" s="32"/>
      <x:c r="D476" s="32"/>
      <x:c r="E476" s="32"/>
      <x:c r="F476" s="32"/>
      <x:c r="G476" s="32"/>
      <x:c r="H476" s="32"/>
      <x:c r="I476" s="32"/>
      <x:c r="J476" s="32"/>
      <x:c r="K476" s="32"/>
      <x:c r="L476" s="32"/>
    </x:row>
    <x:row r="477">
      <x:c r="A477" s="32"/>
      <x:c r="B477" s="32"/>
      <x:c r="C477" s="32"/>
      <x:c r="D477" s="32"/>
      <x:c r="E477" s="32"/>
      <x:c r="F477" s="32"/>
      <x:c r="G477" s="32"/>
      <x:c r="H477" s="32"/>
      <x:c r="I477" s="32"/>
      <x:c r="J477" s="32"/>
      <x:c r="K477" s="32"/>
      <x:c r="L477" s="32"/>
    </x:row>
    <x:row r="478">
      <x:c r="A478" s="32"/>
      <x:c r="B478" s="32"/>
      <x:c r="C478" s="32"/>
      <x:c r="D478" s="32"/>
      <x:c r="E478" s="32"/>
      <x:c r="F478" s="32"/>
      <x:c r="G478" s="32"/>
      <x:c r="H478" s="32"/>
      <x:c r="I478" s="32"/>
      <x:c r="J478" s="32"/>
      <x:c r="K478" s="32"/>
      <x:c r="L478" s="32"/>
    </x:row>
    <x:row r="479">
      <x:c r="A479" s="32"/>
      <x:c r="B479" s="32"/>
      <x:c r="C479" s="32"/>
      <x:c r="D479" s="32"/>
      <x:c r="E479" s="32"/>
      <x:c r="F479" s="32"/>
      <x:c r="G479" s="32"/>
      <x:c r="H479" s="32"/>
      <x:c r="I479" s="32"/>
      <x:c r="J479" s="32"/>
      <x:c r="K479" s="32"/>
      <x:c r="L479" s="32"/>
    </x:row>
    <x:row r="480">
      <x:c r="A480" s="32"/>
      <x:c r="B480" s="32"/>
      <x:c r="C480" s="32"/>
      <x:c r="D480" s="32"/>
      <x:c r="E480" s="32"/>
      <x:c r="F480" s="32"/>
      <x:c r="G480" s="32"/>
      <x:c r="H480" s="32"/>
      <x:c r="I480" s="32"/>
      <x:c r="J480" s="32"/>
      <x:c r="K480" s="32"/>
      <x:c r="L480" s="32"/>
    </x:row>
    <x:row r="481">
      <x:c r="A481" s="32"/>
      <x:c r="B481" s="32"/>
      <x:c r="C481" s="32"/>
      <x:c r="D481" s="32"/>
      <x:c r="E481" s="32"/>
      <x:c r="F481" s="32"/>
      <x:c r="G481" s="32"/>
      <x:c r="H481" s="32"/>
      <x:c r="I481" s="32"/>
      <x:c r="J481" s="32"/>
      <x:c r="K481" s="32"/>
      <x:c r="L481" s="32"/>
    </x:row>
    <x:row r="482">
      <x:c r="A482" s="32"/>
      <x:c r="B482" s="32"/>
      <x:c r="C482" s="32"/>
      <x:c r="D482" s="32"/>
      <x:c r="E482" s="32"/>
      <x:c r="F482" s="32"/>
      <x:c r="G482" s="32"/>
      <x:c r="H482" s="32"/>
      <x:c r="I482" s="32"/>
      <x:c r="J482" s="32"/>
      <x:c r="K482" s="32"/>
      <x:c r="L482" s="32"/>
    </x:row>
    <x:row r="483">
      <x:c r="A483" s="32"/>
      <x:c r="B483" s="32"/>
      <x:c r="C483" s="32"/>
      <x:c r="D483" s="32"/>
      <x:c r="E483" s="32"/>
      <x:c r="F483" s="32"/>
      <x:c r="G483" s="32"/>
      <x:c r="H483" s="32"/>
      <x:c r="I483" s="32"/>
      <x:c r="J483" s="32"/>
      <x:c r="K483" s="32"/>
      <x:c r="L483" s="32"/>
    </x:row>
    <x:row r="484">
      <x:c r="A484" s="32"/>
      <x:c r="B484" s="32"/>
      <x:c r="C484" s="32"/>
      <x:c r="D484" s="32"/>
      <x:c r="E484" s="32"/>
      <x:c r="F484" s="32"/>
      <x:c r="G484" s="32"/>
      <x:c r="H484" s="32"/>
      <x:c r="I484" s="32"/>
      <x:c r="J484" s="32"/>
      <x:c r="K484" s="32"/>
      <x:c r="L484" s="32"/>
    </x:row>
    <x:row r="485">
      <x:c r="A485" s="32"/>
      <x:c r="B485" s="32"/>
      <x:c r="C485" s="32"/>
      <x:c r="D485" s="32"/>
      <x:c r="E485" s="32"/>
      <x:c r="F485" s="32"/>
      <x:c r="G485" s="32"/>
      <x:c r="H485" s="32"/>
      <x:c r="I485" s="32"/>
      <x:c r="J485" s="32"/>
      <x:c r="K485" s="32"/>
      <x:c r="L485" s="32"/>
    </x:row>
    <x:row r="486">
      <x:c r="A486" s="32"/>
      <x:c r="B486" s="32"/>
      <x:c r="C486" s="32"/>
      <x:c r="D486" s="32"/>
      <x:c r="E486" s="32"/>
      <x:c r="F486" s="32"/>
      <x:c r="G486" s="32"/>
      <x:c r="H486" s="32"/>
      <x:c r="I486" s="32"/>
      <x:c r="J486" s="32"/>
      <x:c r="K486" s="32"/>
      <x:c r="L486" s="32"/>
    </x:row>
    <x:row r="487">
      <x:c r="A487" s="32"/>
      <x:c r="B487" s="32"/>
      <x:c r="C487" s="32"/>
      <x:c r="D487" s="32"/>
      <x:c r="E487" s="32"/>
      <x:c r="F487" s="32"/>
      <x:c r="G487" s="32"/>
      <x:c r="H487" s="32"/>
      <x:c r="I487" s="32"/>
      <x:c r="J487" s="32"/>
      <x:c r="K487" s="32"/>
      <x:c r="L487" s="32"/>
    </x:row>
    <x:row r="488">
      <x:c r="A488" s="32"/>
      <x:c r="B488" s="32"/>
      <x:c r="C488" s="32"/>
      <x:c r="D488" s="32"/>
      <x:c r="E488" s="32"/>
      <x:c r="F488" s="32"/>
      <x:c r="G488" s="32"/>
      <x:c r="H488" s="32"/>
      <x:c r="I488" s="32"/>
      <x:c r="J488" s="32"/>
      <x:c r="K488" s="32"/>
      <x:c r="L488" s="32"/>
    </x:row>
    <x:row r="489">
      <x:c r="A489" s="32"/>
      <x:c r="B489" s="32"/>
      <x:c r="C489" s="32"/>
      <x:c r="D489" s="32"/>
      <x:c r="E489" s="32"/>
      <x:c r="F489" s="32"/>
      <x:c r="G489" s="32"/>
      <x:c r="H489" s="32"/>
      <x:c r="I489" s="32"/>
      <x:c r="J489" s="32"/>
      <x:c r="K489" s="32"/>
      <x:c r="L489" s="32"/>
    </x:row>
    <x:row r="490">
      <x:c r="A490" s="32"/>
      <x:c r="B490" s="32"/>
      <x:c r="C490" s="32"/>
      <x:c r="D490" s="32"/>
      <x:c r="E490" s="32"/>
      <x:c r="F490" s="32"/>
      <x:c r="G490" s="32"/>
      <x:c r="H490" s="32"/>
      <x:c r="I490" s="32"/>
      <x:c r="J490" s="32"/>
      <x:c r="K490" s="32"/>
      <x:c r="L490" s="32"/>
    </x:row>
    <x:row r="491">
      <x:c r="A491" s="32"/>
      <x:c r="B491" s="32"/>
      <x:c r="C491" s="32"/>
      <x:c r="D491" s="32"/>
      <x:c r="E491" s="32"/>
      <x:c r="F491" s="32"/>
      <x:c r="G491" s="32"/>
      <x:c r="H491" s="32"/>
      <x:c r="I491" s="32"/>
      <x:c r="J491" s="32"/>
      <x:c r="K491" s="32"/>
      <x:c r="L491" s="32"/>
    </x:row>
    <x:row r="492">
      <x:c r="A492" s="32"/>
      <x:c r="B492" s="32"/>
      <x:c r="C492" s="32"/>
      <x:c r="D492" s="32"/>
      <x:c r="E492" s="32"/>
      <x:c r="F492" s="32"/>
      <x:c r="G492" s="32"/>
      <x:c r="H492" s="32"/>
      <x:c r="I492" s="32"/>
      <x:c r="J492" s="32"/>
      <x:c r="K492" s="32"/>
      <x:c r="L492" s="32"/>
    </x:row>
    <x:row r="493">
      <x:c r="A493" s="32"/>
      <x:c r="B493" s="32"/>
      <x:c r="C493" s="32"/>
      <x:c r="D493" s="32"/>
      <x:c r="E493" s="32"/>
      <x:c r="F493" s="32"/>
      <x:c r="G493" s="32"/>
      <x:c r="H493" s="32"/>
      <x:c r="I493" s="32"/>
      <x:c r="J493" s="32"/>
      <x:c r="K493" s="32"/>
      <x:c r="L493" s="32"/>
    </x:row>
    <x:row r="494">
      <x:c r="A494" s="32"/>
      <x:c r="B494" s="32"/>
      <x:c r="C494" s="32"/>
      <x:c r="D494" s="32"/>
      <x:c r="E494" s="32"/>
      <x:c r="F494" s="32"/>
      <x:c r="G494" s="32"/>
      <x:c r="H494" s="32"/>
      <x:c r="I494" s="32"/>
      <x:c r="J494" s="32"/>
      <x:c r="K494" s="32"/>
      <x:c r="L494" s="32"/>
    </x:row>
    <x:row r="495">
      <x:c r="A495" s="32"/>
      <x:c r="B495" s="32"/>
      <x:c r="C495" s="32"/>
      <x:c r="D495" s="32"/>
      <x:c r="E495" s="32"/>
      <x:c r="F495" s="32"/>
      <x:c r="G495" s="32"/>
      <x:c r="H495" s="32"/>
      <x:c r="I495" s="32"/>
      <x:c r="J495" s="32"/>
      <x:c r="K495" s="32"/>
      <x:c r="L495" s="32"/>
    </x:row>
    <x:row r="496">
      <x:c r="A496" s="32"/>
      <x:c r="B496" s="32"/>
      <x:c r="C496" s="32"/>
      <x:c r="D496" s="32"/>
      <x:c r="E496" s="32"/>
      <x:c r="F496" s="32"/>
      <x:c r="G496" s="32"/>
      <x:c r="H496" s="32"/>
      <x:c r="I496" s="32"/>
      <x:c r="J496" s="32"/>
      <x:c r="K496" s="32"/>
      <x:c r="L496" s="32"/>
    </x:row>
    <x:row r="497">
      <x:c r="A497" s="32"/>
      <x:c r="B497" s="32"/>
      <x:c r="C497" s="32"/>
      <x:c r="D497" s="32"/>
      <x:c r="E497" s="32"/>
      <x:c r="F497" s="32"/>
      <x:c r="G497" s="32"/>
      <x:c r="H497" s="32"/>
      <x:c r="I497" s="32"/>
      <x:c r="J497" s="32"/>
      <x:c r="K497" s="32"/>
      <x:c r="L497" s="32"/>
    </x:row>
    <x:row r="498">
      <x:c r="A498" s="32"/>
      <x:c r="B498" s="32"/>
      <x:c r="C498" s="32"/>
      <x:c r="D498" s="32"/>
      <x:c r="E498" s="32"/>
      <x:c r="F498" s="32"/>
      <x:c r="G498" s="32"/>
      <x:c r="H498" s="32"/>
      <x:c r="I498" s="32"/>
      <x:c r="J498" s="32"/>
      <x:c r="K498" s="32"/>
      <x:c r="L498" s="32"/>
    </x:row>
    <x:row r="499">
      <x:c r="A499" s="32"/>
      <x:c r="B499" s="32"/>
      <x:c r="C499" s="32"/>
      <x:c r="D499" s="32"/>
      <x:c r="E499" s="32"/>
      <x:c r="F499" s="32"/>
      <x:c r="G499" s="32"/>
      <x:c r="H499" s="32"/>
      <x:c r="I499" s="32"/>
      <x:c r="J499" s="32"/>
      <x:c r="K499" s="32"/>
      <x:c r="L499" s="32"/>
    </x:row>
    <x:row r="500">
      <x:c r="A500" s="32"/>
      <x:c r="B500" s="32"/>
      <x:c r="C500" s="32"/>
      <x:c r="D500" s="32"/>
      <x:c r="E500" s="32"/>
      <x:c r="F500" s="32"/>
      <x:c r="G500" s="32"/>
      <x:c r="H500" s="32"/>
      <x:c r="I500" s="32"/>
      <x:c r="J500" s="32"/>
      <x:c r="K500" s="32"/>
      <x:c r="L500" s="32"/>
    </x:row>
  </x:sheetData>
  <x:mergeCells>
    <x:mergeCell ref="A1:L2"/>
  </x:mergeCells>
  <x:conditionalFormatting sqref="F5:F500">
    <x:cfRule type="expression" dxfId="10" priority="1">
      <x:formula>F5="Critical"</x:formula>
    </x:cfRule>
    <x:cfRule type="expression" dxfId="11" priority="2">
      <x:formula>F5="High"</x:formula>
    </x:cfRule>
  </x:conditionalFormatting>
  <x:conditionalFormatting sqref="K5:K500">
    <x:cfRule type="expression" dxfId="12" priority="3">
      <x:formula>K5="Closed"</x:formula>
    </x:cfRule>
  </x:conditionalFormatting>
  <x:dataValidations count="3">
    <x:dataValidation type="list" sqref="E5:E500">
      <x:formula1>"CPU,Memory,Data Load,Partition Merge,Core,WAL,Snapshot,Consumer,Management,Decision,Revision,Lease/Fencing,Drain,Correctness,Other"</x:formula1>
    </x:dataValidation>
    <x:dataValidation type="list" sqref="F5:F500">
      <x:formula1>"Info,Low,Medium,High,Critical"</x:formula1>
    </x:dataValidation>
    <x:dataValidation type="list" sqref="K5:K500">
      <x:formula1>"Open,Investigating,Accepted,Fixed,Rejected,Closed"</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4" hidden="0" customWidth="1"/>
    <x:col min="2" max="2" width="16" hidden="0" customWidth="1"/>
    <x:col min="3" max="3" width="22" hidden="0" customWidth="1"/>
    <x:col min="4" max="4" width="38" hidden="0" customWidth="1"/>
    <x:col min="5" max="5" width="38" hidden="0" customWidth="1"/>
    <x:col min="6" max="6" width="26" hidden="0" customWidth="1"/>
    <x:col min="7" max="7" width="28" hidden="0" customWidth="1"/>
    <x:col min="8" max="8" width="14" hidden="0" customWidth="1"/>
    <x:col min="9" max="9" width="30" hidden="0" customWidth="1"/>
  </x:cols>
  <x:sheetData>
    <x:row r="1">
      <x:c r="A1" s="4" t="str">
        <x:v>Decisiones técnicas derivadas de la campaña</x:v>
      </x:c>
      <x:c r="B1" s="4"/>
      <x:c r="C1" s="4"/>
      <x:c r="D1" s="4"/>
      <x:c r="E1" s="4"/>
      <x:c r="F1" s="4"/>
      <x:c r="G1" s="4"/>
      <x:c r="H1" s="4"/>
      <x:c r="I1" s="4"/>
    </x:row>
    <x:row r="2">
      <x:c r="A2" s="4"/>
      <x:c r="B2" s="4"/>
      <x:c r="C2" s="4"/>
      <x:c r="D2" s="4"/>
      <x:c r="E2" s="4"/>
      <x:c r="F2" s="4"/>
      <x:c r="G2" s="4"/>
      <x:c r="H2" s="4"/>
      <x:c r="I2" s="4"/>
    </x:row>
    <x:row r="4">
      <x:c r="A4" s="12" t="str">
        <x:v>Decision ID</x:v>
      </x:c>
      <x:c r="B4" s="12" t="str">
        <x:v>Date</x:v>
      </x:c>
      <x:c r="C4" s="12" t="str">
        <x:v>Scope</x:v>
      </x:c>
      <x:c r="D4" s="12" t="str">
        <x:v>Decision</x:v>
      </x:c>
      <x:c r="E4" s="12" t="str">
        <x:v>Rationale</x:v>
      </x:c>
      <x:c r="F4" s="12" t="str">
        <x:v>Evidence Runs</x:v>
      </x:c>
      <x:c r="G4" s="12" t="str">
        <x:v>Impact</x:v>
      </x:c>
      <x:c r="H4" s="12" t="str">
        <x:v>Status</x:v>
      </x:c>
      <x:c r="I4" s="12" t="str">
        <x:v>Follow-up</x:v>
      </x:c>
    </x:row>
    <x:row r="5">
      <x:c r="A5" s="32" t="str">
        <x:v>DEC-R35-001</x:v>
      </x:c>
      <x:c r="B5" s="32" t="n">
        <x:v>46259.53472222222</x:v>
      </x:c>
      <x:c r="C5" s="32" t="str">
        <x:v>R3.5A Baseline Load</x:v>
      </x:c>
      <x:c r="D5" s="32" t="str">
        <x:v>Cerrar A-001 como PASS/GREEN y avanzar a A-002 (250 alarmas, 10 minutos) sin activar profiling granular.</x:v>
      </x:c>
      <x:c r="E5" s="32" t="str">
        <x:v>A-001 mantuvo p95 141.46 ms y p99 150.43 ms, 0 overruns, start-to-start ~5 s, integridad durable/materializada alineada y RSS estable.</x:v>
      </x:c>
      <x:c r="F5" s="32" t="str">
        <x:v>814c4814-de17-43fc-bc59-d2f2fcda6b92</x:v>
      </x:c>
      <x:c r="G5" s="32" t="str">
        <x:v>Continúa la caracterización progresiva; cualquier inflexión se buscará aumentando carga antes de instrumentar fronteras internas.</x:v>
      </x:c>
      <x:c r="H5" s="32" t="str">
        <x:v>Accepted</x:v>
      </x:c>
      <x:c r="I5" s="32" t="str">
        <x:v>Ejecutar A-002 con el mismo perfil steady-state/latest y Local FS.</x:v>
      </x:c>
    </x:row>
    <x:row r="6">
      <x:c r="A6" s="32" t="str">
        <x:v>DEC-R35-002</x:v>
      </x:c>
      <x:c r="B6" s="32" t="n">
        <x:v>46259.552083333336</x:v>
      </x:c>
      <x:c r="C6" s="32" t="str">
        <x:v>R3.5A Baseline Load</x:v>
      </x:c>
      <x:c r="D6" s="32" t="str">
        <x:v>Cerrar A-002 como PASS/GREEN y avanzar a A-003 (500 alarmas, 10 minutos) sin cambios de código ni profiling granular.</x:v>
      </x:c>
      <x:c r="E6" s="32" t="str">
        <x:v>Con 2.5× alarmas vs A-001, p95 aumentó ~2.17× (141.46→307.32 ms), 0 overruns, RSS estable y journal durable/materialized alineado. El máximo aislado de 909 ms no muestra patrón de saturación.</x:v>
      </x:c>
      <x:c r="F6" s="32" t="str">
        <x:v>A-001; 90ae9223-a513-4643-aa8c-a2658d41bec9</x:v>
      </x:c>
      <x:c r="G6" s="32" t="str">
        <x:v>Mantener el mismo escenario y artefacto para obtener el siguiente punto comparable de la curva.</x:v>
      </x:c>
      <x:c r="H6" s="32" t="str">
        <x:v>Accepted</x:v>
      </x:c>
      <x:c r="I6" s="32" t="str">
        <x:v>Ejecutar A-003 con 500 alarmas durante 10 minutos.</x:v>
      </x:c>
    </x:row>
    <x:row r="7">
      <x:c r="A7" s="32" t="str">
        <x:v>DEC-R35-003</x:v>
      </x:c>
      <x:c r="B7" s="32" t="n">
        <x:v>46259.56597222222</x:v>
      </x:c>
      <x:c r="C7" s="32" t="str">
        <x:v>R3.5A Baseline Load</x:v>
      </x:c>
      <x:c r="D7" s="32" t="str">
        <x:v>Cerrar A-003 como PASS/GREEN y avanzar a A-004 (750 alarmas, 10 minutos) sin cambios de código ni profiling granular.</x:v>
      </x:c>
      <x:c r="E7" s="32" t="str">
        <x:v>Con 500 alarmas, p95 quedó en 437.59 ms y p99 en 618.82 ms, 0 overruns, RSS estable y journal durable/materialized alineado. Duplicar alarmas frente a A-002 no duplicó p95/p99 y el máximo incluso disminuyó.</x:v>
      </x:c>
      <x:c r="F7" s="32" t="str">
        <x:v>A-001; A-002; a6d0eae4-9bc6-47f7-91e2-7f02741ca635</x:v>
      </x:c>
      <x:c r="G7" s="32" t="str">
        <x:v>Se mantiene el mismo artefacto y escenario para medir 750 alarmas y detectar cualquier inicio de no-linealidad.</x:v>
      </x:c>
      <x:c r="H7" s="32" t="str">
        <x:v>Accepted</x:v>
      </x:c>
      <x:c r="I7" s="32" t="str">
        <x:v>Ejecutar A-004 con 750 alarmas durante 10 minutos.</x:v>
      </x:c>
    </x:row>
    <x:row r="8">
      <x:c r="A8" s="32" t="str">
        <x:v>DEC-R35-004</x:v>
      </x:c>
      <x:c r="B8" s="32" t="n">
        <x:v>46259.57777777778</x:v>
      </x:c>
      <x:c r="C8" s="32" t="str">
        <x:v>R3.5A Baseline Load</x:v>
      </x:c>
      <x:c r="D8" s="32" t="str">
        <x:v>Cerrar A-004 como PASS/GREEN y avanzar a A-005 (1000 alarmas, 10 minutos) sin cambios de código ni profiling granular.</x:v>
      </x:c>
      <x:c r="E8" s="32" t="str">
        <x:v>Con 750 alarmas, p95 quedó en 645.03 ms y p99 en 888.15 ms, 0 overruns, RSS estable y journal durable/materialized alineado. El crecimiento 500→750 es aproximadamente proporcional y no muestra rodilla.</x:v>
      </x:c>
      <x:c r="F8" s="32" t="str">
        <x:v>A-001; A-002; A-003; 79fff64c-2594-4e2d-958f-c32cb7f57d6c</x:v>
      </x:c>
      <x:c r="G8" s="32" t="str">
        <x:v>Completar el baseline objetivo de 1000 alarmas antes de entrar a presión de datos/particiones.</x:v>
      </x:c>
      <x:c r="H8" s="32" t="str">
        <x:v>Accepted</x:v>
      </x:c>
      <x:c r="I8" s="32" t="str">
        <x:v>Ejecutar A-005 con 1000 alarmas durante 10 minutos.</x:v>
      </x:c>
    </x:row>
    <x:row r="9">
      <x:c r="A9" s="32" t="str">
        <x:v>DEC-R35-005</x:v>
      </x:c>
      <x:c r="B9" s="32" t="n">
        <x:v>46259.59166666667</x:v>
      </x:c>
      <x:c r="C9" s="32" t="str">
        <x:v>R3.5A Baseline Load</x:v>
      </x:c>
      <x:c r="D9" s="32" t="str">
        <x:v>Cerrar R3.5A Baseline Load con A-001→A-005 en PASS/GREEN y avanzar a B-001 Latest narrow, sin cambios de código ni profiling granular.</x:v>
      </x:c>
      <x:c r="E9" s="32" t="str">
        <x:v>El baseline progresivo 100→1000 alarmas mantuvo 0 overruns y 0 errores de integridad. A-005: p95 907.38 ms, p99 1230.24 ms y máximo 1274.60 ms frente a periodo objetivo 5 s; journal alineado y 1000 alarmas materializadas. No se observó rodilla de capacidad.</x:v>
      </x:c>
      <x:c r="F9" s="32" t="str">
        <x:v>A-001; A-002; A-003; A-004; c4128825-75f6-43a9-8c1d-ec8112d89cf3</x:v>
      </x:c>
      <x:c r="G9" s="32" t="str">
        <x:v>R3.5A queda como baseline de motor. R3.5B aumentará presión de lectura manteniendo 1000 alarmas para aislar costo de datos/particiones/fuentes.</x:v>
      </x:c>
      <x:c r="H9" s="32" t="str">
        <x:v>Accepted</x:v>
      </x:c>
      <x:c r="I9" s="32" t="str">
        <x:v>Ejecutar B-001 con 1000 alarmas, Latest narrow, 1 partición / 1 fuente, 10 minutos.</x:v>
      </x:c>
    </x:row>
    <x:row r="10">
      <x:c r="A10" s="32" t="str">
        <x:v>DEC-R35-006</x:v>
      </x:c>
      <x:c r="B10" s="32" t="n">
        <x:v>46259.60833333333</x:v>
      </x:c>
      <x:c r="C10" s="32" t="str">
        <x:v>R3.5B Data &amp; Partition Pressure</x:v>
      </x:c>
      <x:c r="D10" s="32" t="str">
        <x:v>Cerrar B-001 como PASS/GREEN y avanzar a B-002 Latest wide sin cambios del Runtime productivo ni profiling granular.</x:v>
      </x:c>
      <x:c r="E10" s="32" t="str">
        <x:v>Con 1000 alarmas y 1000 señales únicas, B-001 mantiene 0 overruns, p95 1285.54 ms y p99 1587.69 ms. Source-load p95 es sólo 7.69 ms, por lo que aún existe margen y conviene aumentar ancho antes de instrumentar internamente.</x:v>
      </x:c>
      <x:c r="F10" s="32" t="str">
        <x:v>A-005; a6bf1f5d-5664-40ca-bd9f-257d7e022c46</x:v>
      </x:c>
      <x:c r="G10" s="32" t="str">
        <x:v>R3.5B continúa aislando presión de datos. B-002 debe aumentar columnas por alarma manteniendo 1 source / 1 partition / 1000 alarms.</x:v>
      </x:c>
      <x:c r="H10" s="32" t="str">
        <x:v>Accepted</x:v>
      </x:c>
      <x:c r="I10" s="32" t="str">
        <x:v>Ejecutar B-002 Latest wide con el mismo harness y comparar contra B-001.</x:v>
      </x:c>
    </x:row>
    <x:row r="11">
      <x:c r="A11" s="32" t="str">
        <x:v>DEC-R35-007</x:v>
      </x:c>
      <x:c r="B11" s="32" t="n">
        <x:v>46259.62013888889</x:v>
      </x:c>
      <x:c r="C11" s="32" t="str">
        <x:v>R3.5B Data &amp; Partition Pressure</x:v>
      </x:c>
      <x:c r="D11" s="32" t="str">
        <x:v>Cerrar B-002 como PASS/GREEN y avanzar a B-003 (4 partitions balanced) sin cambios del Runtime productivo ni profiling granular.</x:v>
      </x:c>
      <x:c r="E11" s="32" t="str">
        <x:v>Con 3000 columnas Latest, B-002 mantiene 0 overruns, p95 1084.95 ms y p99 1423.10 ms. El source-loader p95 crece a 17.45 ms pero sólo representa ~1.61% del ciclo; no aparece presión significativa por ancho.</x:v>
      </x:c>
      <x:c r="F11" s="32" t="str">
        <x:v>B-001; 1d262dd1-8264-4644-8b7c-55968584b09a</x:v>
      </x:c>
      <x:c r="G11" s="32" t="str">
        <x:v>La próxima dimensión debe ser particionamiento, manteniendo 1000 alarmas para aislar el costo de merge/resolución entre particiones.</x:v>
      </x:c>
      <x:c r="H11" s="32" t="str">
        <x:v>Accepted</x:v>
      </x:c>
      <x:c r="I11" s="32" t="str">
        <x:v>Ejecutar B-003 con 4 particiones balanceadas.</x:v>
      </x:c>
    </x:row>
    <x:row r="12">
      <x:c r="A12" s="32" t="str">
        <x:v>DEC-R35-008</x:v>
      </x:c>
      <x:c r="B12" s="32" t="n">
        <x:v>46259.63888888889</x:v>
      </x:c>
      <x:c r="C12" s="32" t="str">
        <x:v>R3.5B Data &amp; Partition Pressure</x:v>
      </x:c>
      <x:c r="D12" s="32" t="str">
        <x:v>Cerrar B-003 como PASS/GREEN y avanzar a B-004 (8 partitions balanced) sin cambios de código ni profiling granular.</x:v>
      </x:c>
      <x:c r="E12" s="32" t="str">
        <x:v>Con 4 particiones físicas balanceadas de 250 columnas, B-003 mantiene 0 overruns, p95 992.83 ms y p99 1352.17 ms. El merge p95 es 0.175 ms y source-load p95 8.09 ms, sin señal de presión estructural.</x:v>
      </x:c>
      <x:c r="F12" s="32" t="str">
        <x:v>B-001; B-002; 71c0030e-e5dc-4a33-887c-1399328db030</x:v>
      </x:c>
      <x:c r="G12" s="32" t="str">
        <x:v>El mismo harness ya permite escalar a 8 particiones; la siguiente prueba aislará la tendencia 4→8 manteniendo 1000 alarmas y 1000 columnas.</x:v>
      </x:c>
      <x:c r="H12" s="32" t="str">
        <x:v>Accepted</x:v>
      </x:c>
      <x:c r="I12" s="32" t="str">
        <x:v>Ejecutar B-004 con 8 particiones físicas balanceadas.</x:v>
      </x:c>
    </x:row>
    <x:row r="13">
      <x:c r="A13" s="32" t="str">
        <x:v>DEC-R35-009</x:v>
      </x:c>
      <x:c r="B13" s="32" t="n">
        <x:v>46259.65555555555</x:v>
      </x:c>
      <x:c r="C13" s="32" t="str">
        <x:v>R3.5B Data &amp; Partition Pressure</x:v>
      </x:c>
      <x:c r="D13" s="32" t="str">
        <x:v>Cerrar B-004 (36 partitions balanced) como PASS/GREEN y formalizar campaña adaptativa: omitir los puntos balanceados 8/16/32 y pasar a B-007 = 36 partitions skewed.</x:v>
      </x:c>
      <x:c r="E13" s="32" t="str">
        <x:v>El salto 4→36 hizo visible la presión (p95 +81.8%) sin overrun ni fallo de integridad. Source-load/merge siguen siendo una fracción mínima del ciclo y existe margen amplio frente a 5 s; repetir escalones intermedios tiene bajo valor experimental.</x:v>
      </x:c>
      <x:c r="F13" s="32" t="str">
        <x:v>B-003; d613de53-a439-414b-a17a-e4d4d5a0bfe2</x:v>
      </x:c>
      <x:c r="G13" s="32" t="str">
        <x:v>Reduce ejecuciones redundantes y conserva capacidad de volver a puntos intermedios sólo si una prueba posterior cruza una rodilla o gate.</x:v>
      </x:c>
      <x:c r="H13" s="32" t="str">
        <x:v>Accepted</x:v>
      </x:c>
      <x:c r="I13" s="32" t="str">
        <x:v>Preparar/ejecutar B-007 con 36 particiones skewed (~80% de columnas en ~20% de particiones).</x:v>
      </x:c>
    </x:row>
    <x:row r="14">
      <x:c r="A14" s="32" t="str">
        <x:v>DEC-R35-010</x:v>
      </x:c>
      <x:c r="B14" s="32" t="n">
        <x:v>46259.67291666667</x:v>
      </x:c>
      <x:c r="C14" s="32" t="str">
        <x:v>R3.5B Data &amp; Partition Pressure</x:v>
      </x:c>
      <x:c r="D14" s="32" t="str">
        <x:v>Cerrar B-007 (36 partitions skewed) como PASS/GREEN y avanzar a B-008 (36 mixed empty/missing-column), sin nuevas variantes de skew ni profiling granular.</x:v>
      </x:c>
      <x:c r="E14" s="32" t="str">
        <x:v>Con el mismo número de alarmas/columnas/particiones que B-004, el skew sólo aumenta p95 ~5.3%, p99 ~3.2% y max ~1.6%; 0 overruns, loader/merge marginales e integridad limpia.</x:v>
      </x:c>
      <x:c r="F14" s="32" t="str">
        <x:v>B-004; 89bc783e-94b8-470b-9f5e-09f4d9d5fa15</x:v>
      </x:c>
      <x:c r="G14" s="32" t="str">
        <x:v>La campaña adaptativa cambia a una dimensión de mayor información: heterogeneidad, particiones vacías y columnas ausentes.</x:v>
      </x:c>
      <x:c r="H14" s="32" t="str">
        <x:v>Accepted</x:v>
      </x:c>
      <x:c r="I14" s="32" t="str">
        <x:v>Preparar/ejecutar B-008 con 36 particiones mixed, preservando 1000 alarmas y una vista lógica Latest.</x:v>
      </x:c>
    </x:row>
    <x:row r="15">
      <x:c r="A15" s="32" t="str">
        <x:v>DEC-R35-011</x:v>
      </x:c>
      <x:c r="B15" s="32" t="n">
        <x:v>46259.69236111111</x:v>
      </x:c>
      <x:c r="C15" s="32" t="str">
        <x:v>R3.5B Data &amp; Partition Pressure</x:v>
      </x:c>
      <x:c r="D15" s="32" t="str">
        <x:v>Adjudicar B-008 como PASS-WITH-FINDINGS/GREEN: el FAIL crudo es un defecto del gate del harness, no del Runtime/Core. Corregir el gate neutral-snapshot y no repetir la corrida completa salvo que la validación 3.14.2 falle.</x:v>
      </x:c>
      <x:c r="E15" s="32" t="str">
        <x:v>Los 120 null primarios generan evaluaciones iniciales INACTIVE; el lifecycle no crea occurrence y el snapshot omite estados neutrales por contrato. Observado 880 == esperado 880, journal alineado, 3 commits correctos, 0 overruns y ejecución Job Runtime status=success.</x:v>
      </x:c>
      <x:c r="F15" s="32" t="str">
        <x:v>6ee6ed1a-e592-4e76-a95b-777f242eb996; Core lifecycle/snapshot contracts</x:v>
      </x:c>
      <x:c r="G15" s="32" t="str">
        <x:v>Evita tratar ausencia de hot-state como pérdida de configuración y hace que futuros escenarios heterogéneos usen un gate de integridad semánticamente correcto.</x:v>
      </x:c>
      <x:c r="H15" s="32" t="str">
        <x:v>Accepted</x:v>
      </x:c>
      <x:c r="I15" s="32" t="str">
        <x:v>Aplicar y validar R3.5B.3.1 en Python 3.14.2; luego liberar B-009 Historical window short.</x:v>
      </x:c>
    </x:row>
    <x:row r="16">
      <x:c r="A16" s="32" t="str">
        <x:v>DEC-R35-012</x:v>
      </x:c>
      <x:c r="B16" s="32" t="n">
        <x:v>46259.705555555556</x:v>
      </x:c>
      <x:c r="C16" s="32" t="str">
        <x:v>R3.5B Data &amp; Partition Pressure</x:v>
      </x:c>
      <x:c r="D16" s="32" t="str">
        <x:v>Cerrar R3.5B.3.1 Neutral Snapshot Integrity Gate Fix como validado y liberar B-009 sin repetir B-008 completo.</x:v>
      </x:c>
      <x:c r="E16" s="32" t="str">
        <x:v>El smoke de 30 s produjo result=PASS, integrity_ok=true, expected/observed snapshot=880/880, neutral_alarm_count=120, 0 overruns, journal durable==materialized y Job Runtime status=success. La corrida original de B-008 conserva valor autoritativo y su raw FAIL queda auditado como defecto del harness corregido.</x:v>
      </x:c>
      <x:c r="F16" s="32" t="str">
        <x:v>B-008 raw run 6ee6ed1a-e592-4e76-a95b-777f242eb996; B-008-GATE-SMOKE 1cd959ef-3cc6-452d-806c-72f9d3a738ed</x:v>
      </x:c>
      <x:c r="G16" s="32" t="str">
        <x:v>El gate de integridad queda semánticamente alineado con hot-state neutral; escenarios futuros con null/INACTIVE ya no confundirán configuración con materialización.</x:v>
      </x:c>
      <x:c r="H16" s="32" t="str">
        <x:v>Accepted</x:v>
      </x:c>
      <x:c r="I16" s="32" t="str">
        <x:v>Ejecutar B-009 Historical window short.</x:v>
      </x:c>
    </x:row>
    <x:row r="17">
      <x:c r="A17" s="32" t="str">
        <x:v>DEC-R35-013</x:v>
      </x:c>
      <x:c r="B17" s="32" t="n">
        <x:v>46259.77888888889</x:v>
      </x:c>
      <x:c r="C17" s="32" t="str">
        <x:v>R3.5B Data &amp; Partition Pressure</x:v>
      </x:c>
      <x:c r="D17" s="32" t="str">
        <x:v>Cerrar B-009 como PASS/GREEN pero clasificar p95≈3 s como boundary band, no como margen alto. Refinar B-010 para aumentar sólo profundidad temporal a 180 min manteniendo 3 series/alarm; supersede el candidato original 6 series × 3 h.</x:v>
      </x:c>
      <x:c r="E17" s="32" t="str">
        <x:v>B-009 obtuvo p95 2997.01 ms, p99 3284.83 ms, max 3600.32 ms y 0 overruns. La diferencia de ~3 ms respecto de 3 s no es experimentalmente significativa. CPU del proceso ≈1 core activo; loader/merge &lt;10/1 ms p95; integridad y memoria limpias.</x:v>
      </x:c>
      <x:c r="F17" s="32" t="str">
        <x:v>B-004; B-009 804265bb-f165-4deb-96ef-e062d0ee8117; A23 R3.4D repeated execution/stress handoff</x:v>
      </x:c>
      <x:c r="G17" s="32" t="str">
        <x:v>El siguiente test mantiene atribución causal y busca cruzar la frontera con ~3.24 M valores históricos, evitando un salto 6× que simultáneamente duplicaría ancho y triplicaría profundidad.</x:v>
      </x:c>
      <x:c r="H17" s="32" t="str">
        <x:v>Accepted</x:v>
      </x:c>
      <x:c r="I17" s="32" t="str">
        <x:v>Ejecutar B-010 con 1000 alarmas, 3 historical series/alarm, 180 min, 10 s step y 36 partitions/view. Si p95≥5 s o aparecen overruns, crear regresión B-010-R1 a 120 min.</x:v>
      </x:c>
    </x:row>
    <x:row r="18">
      <x:c r="A18" s="32" t="str">
        <x:v>DEC-R35-014</x:v>
      </x:c>
      <x:c r="B18" s="32" t="n">
        <x:v>46259.79849537037</x:v>
      </x:c>
      <x:c r="C18" s="32" t="str">
        <x:v>R3.5B Data &amp; Partition Pressure</x:v>
      </x:c>
      <x:c r="D18" s="32" t="str">
        <x:v>Cerrar B-010 como PASS/GREEN. No regresar a 120 min porque no se cruzó la frontera de 5 s. Ejecutar un último probe de ancho histórico manteniendo 180 min y aumentando 3→6 series/alarm. Usar B-011 como sustitución adaptativa del punto original de source-adapter isolation.</x:v>
      </x:c>
      <x:c r="E18" s="32" t="str">
        <x:v>B-010 produjo p95 3796.33 ms, p99 3999.59 ms, max 4465.37 ms, 0 overruns e integridad limpia con 3.24 M valores históricos. Frente a B-009, 3× más valores sólo incrementaron p95 ~26.7%. Memoria estabilizada, start-to-start estable, loader/merge marginales.</x:v>
      </x:c>
      <x:c r="F18" s="32" t="str">
        <x:v>B-009; B-010 013ab1e8-bc67-48af-92c2-44098a440a66; adaptive stress discovery policy</x:v>
      </x:c>
      <x:c r="G18" s="32" t="str">
        <x:v>El cambio B-010→B-011 modifica una sola dimensión: ancho histórico. 6 series × 180 min × 10 s = ~6.48 M valores. Esto maximiza información sin mezclar profundidad, particionado, lifecycle ni management.</x:v>
      </x:c>
      <x:c r="H18" s="32" t="str">
        <x:v>Accepted</x:v>
      </x:c>
      <x:c r="I18" s="32" t="str">
        <x:v>Ejecutar B-011 con 1000 alarmas, 6 historical series/alarm, 180 min, 10 s step y 36 partitions/view. Si p95≥5 s o aparecen overruns, regresar a 4 series/alarm. Si p95&lt;5 s e integridad sigue limpia, cerrar R3.5B y avanzar a R3.5C.</x:v>
      </x:c>
    </x:row>
    <x:row r="19">
      <x:c r="A19" s="32" t="str">
        <x:v>DEC-R35-015</x:v>
      </x:c>
      <x:c r="B19" s="32" t="n">
        <x:v>46259.8090625</x:v>
      </x:c>
      <x:c r="C19" s="32" t="str">
        <x:v>R3.5B Data &amp; Partition Pressure</x:v>
      </x:c>
      <x:c r="D19" s="32" t="str">
        <x:v>Cerrar B-011 como PASS-WITH-FINDINGS/GREEN y activar la regresión acordada por el único overrun. No declarar aún una frontera sostenida porque p50/p95/p99 permanecieron prácticamente planos al duplicar ancho.</x:v>
      </x:c>
      <x:c r="E19" s="32" t="str">
        <x:v>B-011: p95 3814.49 ms, p99 4033.21 ms, max 5636.62 ms, 1 overrun/121, integridad limpia. B-010→B-011 duplicó valores 3.24M→6.48M, pero p95 sólo aumentó 0.48%. El evento ocurrió en iteration 72 y desplazó la siguiente cadencia a 5638.20 ms; después el scheduler se recuperó.</x:v>
      </x:c>
      <x:c r="F19" s="32" t="str">
        <x:v>B-010; B-011 46865e37-d816-4710-8215-9c567a0edd2e; adaptive stress discovery policy</x:v>
      </x:c>
      <x:c r="G19" s="32" t="str">
        <x:v>La regla acordada exige regresar ante cualquier overrun. Usar 4 series mantiene profundidad, particionado y semántica constantes y reduce sólo ancho. Dado que el tail no fue acompañado por degradación central, una corrida limpia a 4 no probará por sí sola que la frontera esté entre 4 y 6; será necesaria reproducción a 6.</x:v>
      </x:c>
      <x:c r="H19" s="32" t="str">
        <x:v>Accepted</x:v>
      </x:c>
      <x:c r="I19" s="32" t="str">
        <x:v>Ejecutar B-011-R1 con 1000 alarmas, 4 historical series/alarm, 180 min, 10 s step y 36 partitions/view. Si hay p95≥5 s u overruns, investigar frontera ≤4. Si queda limpio, repetir 6 series antes de probar 5.</x:v>
      </x:c>
    </x:row>
    <x:row r="20">
      <x:c r="A20" s="32" t="str">
        <x:v>DEC-R35-016</x:v>
      </x:c>
      <x:c r="B20" s="32" t="n">
        <x:v>46259.82061342592</x:v>
      </x:c>
      <x:c r="C20" s="32" t="str">
        <x:v>R3.5B Data &amp; Partition Pressure</x:v>
      </x:c>
      <x:c r="D20" s="32" t="str">
        <x:v>Cerrar B-011-R1 como PASS/GREEN. La regresión a 4 series no reproduce overruns, por lo que no existe evidencia de una frontera ≤4 series. Repetir exactamente B-011 con 6 series antes de probar 5 o cerrar R3.5B.</x:v>
      </x:c>
      <x:c r="E20" s="32" t="str">
        <x:v>B-011-R1 produjo p95 3467.22 ms, p99 4269.63 ms, max 4921.44 ms y 0 overruns con 4.32 M valores históricos. La cadencia start-to-start permaneció estable entre 5000.54 y 5001.95 ms; integridad, memoria y durabilidad quedaron limpias.</x:v>
      </x:c>
      <x:c r="F20" s="32" t="str">
        <x:v>B-011; B-011-R1 ff67b804-d996-487a-93c7-766070fee7ec; DEC-R35-015</x:v>
      </x:c>
      <x:c r="G20" s="32" t="str">
        <x:v>Una corrida limpia a 4 series descarta una frontera reproducible en ese nivel, pero no prueba que 6 series sea inestable. Dado que B-011 tuvo sólo un outlier y p95 casi plano, la prueba técnicamente defendible es reproducir exactamente 6 series.</x:v>
      </x:c>
      <x:c r="H20" s="32" t="str">
        <x:v>Accepted</x:v>
      </x:c>
      <x:c r="I20" s="32" t="str">
        <x:v>Ejecutar B-011-R2 con 1000 alarmas, 6 historical series/alarm, 180 min, 10 s step y 36 partitions/view. Si reaparece cualquier overrun o p95≥5 s, probar 5 series. Si queda limpio, adjudicar el overrun original como no reproducido y cerrar R3.5B.</x:v>
      </x:c>
    </x:row>
    <x:row r="21">
      <x:c r="A21" s="32" t="str">
        <x:v>DEC-R35-017</x:v>
      </x:c>
      <x:c r="B21" s="32" t="n">
        <x:v>46259.83627314815</x:v>
      </x:c>
      <x:c r="C21" s="32" t="str">
        <x:v>R3.5B Data &amp; Partition Pressure</x:v>
      </x:c>
      <x:c r="D21" s="32" t="str">
        <x:v>Cerrar R3.5B como caracterización completada. B-011-R2 reproduce exactamente el stress de 6 series sin overrun, por lo que el evento aislado de B-011 queda adjudicado como no reproducido. No ejecutar 5 series ni más data-only stress; avanzar a R3.5C Functional Pressure.</x:v>
      </x:c>
      <x:c r="E21" s="32" t="str">
        <x:v>B-011-R2 obtuvo p95 4139.16 ms, p99 4865.38 ms, max 4969.75 ms y 0 overruns con 6.48 M valores. La cadencia start-to-start permaneció estable y la integridad fue limpia. B-011-R1 a 4 series también fue limpio. El tail de 6 series es estrecho, pero no existe una frontera reproducible que justifique más búsqueda unidimensional.</x:v>
      </x:c>
      <x:c r="F21" s="32" t="str">
        <x:v>B-011 46865e37-d816-4710-8215-9c567a0edd2e; B-011-R1 ff67b804-d996-487a-93c7-766070fee7ec; B-011-R2 d0375b0c-7cd0-4082-8b7e-aef300c8c392</x:v>
      </x:c>
      <x:c r="G21" s="32" t="str">
        <x:v>La campaña adaptativa ya caracterizó alarm count, source width, partition count/layout, heterogeneity, historical depth y historical width. Continuar aumentando datos tendría menor valor informativo que introducir lifecycle churn, writes, assignments, journey y evidence.</x:v>
      </x:c>
      <x:c r="H21" s="32" t="str">
        <x:v>Accepted</x:v>
      </x:c>
      <x:c r="I21" s="32" t="str">
        <x:v>Preparar el incremento de harness para C-001 Mixed lifecycle balanced / operational churn 10%. No ejecutar C-001 con el harness actual porque no expone un contrato de churn.</x:v>
      </x:c>
    </x:row>
    <x:row r="22">
      <x:c r="A22" s="32" t="str">
        <x:v>DEC-R35-018</x:v>
      </x:c>
      <x:c r="B22" s="32" t="n">
        <x:v>46259.86944444444</x:v>
      </x:c>
      <x:c r="C22" s="32" t="str">
        <x:v>R3.5C Functional Pressure</x:v>
      </x:c>
      <x:c r="D22" s="32" t="str">
        <x:v>Liberar C-001 con un contrato mínimo de churn funcional: 1000 alarmas C3, 100 priority_groups de 10 alarmas, 50/50 ACTIVE-INACTIVE y 10% de transiciones determinísticas por refresh. No mezclar ERROR, structural reset ni crash/recovery en C-001.</x:v>
      </x:c>
      <x:c r="E22" s="32" t="str">
        <x:v>El harness ahora materializa estado por alarma según generation, preserva grupos independientes y adjudica EngineCommit durables. Distingue lifecycle commits de evidence periódica contractual. Validación local adaptada: 216 tests pass; smoke real 100 alarms/10 groups PASS con counters exactos.</x:v>
      </x:c>
      <x:c r="F22" s="32" t="str">
        <x:v>R3.5B closure DEC-R35-017; Alarm Core lifecycle semantics; C-001 harness patch 0.1.0</x:v>
      </x:c>
      <x:c r="G22" s="32" t="str">
        <x:v>Mantiene atribución causal: C-001 mide sólo ACTIVE↔INACTIVE normal. ERROR/TechnicalHold queda para C-002/C-003; structural reset y crash windows quedan en R3.5E.</x:v>
      </x:c>
      <x:c r="H22" s="32" t="str">
        <x:v>Accepted</x:v>
      </x:c>
      <x:c r="I22" s="32" t="str">
        <x:v>Aplicar patch C-001 0.1.0, ejecutar gate autoritativo Python 3.14.2 + UV y luego ejecutar C-001 durante 600 s con 1000 alarmas, 36 partitions balanced, priority_group_size=10, operational_churn_percent=10 e initial_active_percent=50.</x:v>
      </x:c>
    </x:row>
    <x:row r="23">
      <x:c r="A23" s="32" t="str">
        <x:v>DEC-R35-019</x:v>
      </x:c>
      <x:c r="B23" s="32" t="n">
        <x:v>46259.88398148148</x:v>
      </x:c>
      <x:c r="C23" s="32" t="str">
        <x:v>R3.5C Functional Pressure</x:v>
      </x:c>
      <x:c r="D23" s="32" t="str">
        <x:v>Cerrar C-001 como PASS/GREEN. El churn normal 10% queda funcionalmente validado y con amplio margen. No ejecutar todavía 25%/50% de toggle normal; cambiar la siguiente dimensión a ERROR/TechnicalHold para aumentar costo semántico e información por corrida.</x:v>
      </x:c>
      <x:c r="E23" s="32" t="str">
        <x:v>C-001: 6000 transiciones, 700/700 lifecycle commits, 0 duplicados, counters exactos, snapshot 500/500, p95 1237.59 ms, max 1597.72 ms y 0 overruns. WAL independiente y snapshots confirman el resultado. El costo adicional de las generaciones con churn sigue muy lejos de 5 s.</x:v>
      </x:c>
      <x:c r="F23" s="32" t="str">
        <x:v>C-001 950633d5-157a-4d94-9b5b-a1cf48c4914b; DEC-R35-018</x:v>
      </x:c>
      <x:c r="G23" s="32" t="str">
        <x:v>ERROR transitorio ejercita TechnicalHold STARTED/CLEARED y continuidad de occurrence, una ruta semántica más rica que simplemente incrementar la tasa de ACTIVE↔INACTIVE. Mantener C-002 separado de expiry, structural reset y crash/recovery preserva atribución.</x:v>
      </x:c>
      <x:c r="H23" s="32" t="str">
        <x:v>Accepted</x:v>
      </x:c>
      <x:c r="I23" s="32" t="str">
        <x:v>Debatir/confirmar diseño C-002: bootstrap 100% ACTIVE; 1000 alarmas/100 grupos; cada generación modifica 10 grupos completos. Generaciones impares ACTIVE→ERROR y pares ERROR→ACTIVE; hold ~10 s &lt; 300 s; no occurrence/episode closure. Tras consenso, implementar sólo ese harness increment.</x:v>
      </x:c>
    </x:row>
    <x:row r="24">
      <x:c r="A24" s="32" t="str">
        <x:v>DEC-R35-020</x:v>
      </x:c>
      <x:c r="B24" s="32" t="n">
        <x:v>46259.9</x:v>
      </x:c>
      <x:c r="C24" s="32" t="str">
        <x:v>R3.5C Functional Pressure</x:v>
      </x:c>
      <x:c r="D24" s="32" t="str">
        <x:v>Liberar C-002 Technical Hold Recovery Churn con una sola nueva dimensión semántica: ACTIVE→ERROR→ACTIVE transitorio. No incorporar expiry, alarmas que nacen en ERROR, structural reset ni crash/recovery en este incremento.</x:v>
      </x:c>
      <x:c r="E24" s="32" t="str">
        <x:v>El harness agrega technical_hold_churn_percent mutuamente exclusivo con operational_churn_percent. El evaluator usa AlarmStatus.ERROR explícito con EvaluationError sintético. El gate cuenta STARTED/RECOVERED/EXPIRED desde Journey durable, exige cero cierres de Occurrence/Episode, cero expiraciones, assignment changes sólo de bootstrap y occurrence_id estable. Validación local adaptada: 24/24 tests del harness y 219/219 tests de alarms-runtime.</x:v>
      </x:c>
      <x:c r="F24" s="32" t="str">
        <x:v>C-001 950633d5-157a-4d94-9b5b-a1cf48c4914b; DEC-R35-019; C-002 harness patch 0.1.0</x:v>
      </x:c>
      <x:c r="G24" s="32" t="str">
        <x:v>Una cohorte completa permanece sólo una generación (~10 s) en ERROR y se recupera en la siguiente. Esto ejerce TechnicalHold real sin acercarse al grace contractual de 300 s y mantiene atribución causal.</x:v>
      </x:c>
      <x:c r="H24" s="32" t="str">
        <x:v>Accepted</x:v>
      </x:c>
      <x:c r="I24" s="32" t="str">
        <x:v>Aplicar el patch C-002 0.1.0; ejecutar gate autoritativo Python 3.14.2 + UV; luego ejecutar C-002 600 s, 1000 alarmas, 100 grupos×10, 36 partitions balanced, technical_hold_churn_percent=10, initial_active_percent=100. C-003/expiry se decide sólo después del resultado.</x:v>
      </x:c>
    </x:row>
    <x:row r="25">
      <x:c r="A25" s="32" t="str">
        <x:v>DEC-R35-021</x:v>
      </x:c>
      <x:c r="B25" s="32" t="n">
        <x:v>46259.909583333334</x:v>
      </x:c>
      <x:c r="C25" s="32" t="str">
        <x:v>R3.5C Functional Pressure</x:v>
      </x:c>
      <x:c r="D25" s="32" t="str">
        <x:v>Cerrar C-002 como PASS/GREEN. No escalar el porcentaje de ERROR transitorio. Cambiar la siguiente dimensión a TechnicalHold expiry + reappearance manteniendo el grace productivo real de 300 s.</x:v>
      </x:c>
      <x:c r="E25" s="32" t="str">
        <x:v>C-002 produjo 6000 transiciones, 3000 STARTED + 3000 RECOVERED exactos, 0 EXPIRED, 0 cierres de Occurrence/Episode, 0 identity mismatches, 700/700 lifecycle commits, p95 1170.53 ms y 0 overruns. WAL y snapshots independientes confirman el resultado.</x:v>
      </x:c>
      <x:c r="F25" s="32" t="str">
        <x:v>C-002 23009c7e-3c7f-4c41-a045-cbfa1a648318; DEC-R35-020</x:v>
      </x:c>
      <x:c r="G25" s="32" t="str">
        <x:v>Expiry/reappearance ejerce una rama semántica distinta: finaliza la continuidad por technical_uncertainty y obliga a crear nueva identidad durable al recuperar. Tiene mayor valor informativo que repetir ERROR corto con 25%/50% de población.</x:v>
      </x:c>
      <x:c r="H25" s="32" t="str">
        <x:v>Accepted</x:v>
      </x:c>
      <x:c r="I25" s="32" t="str">
        <x:v>Debatir/confirmar C-003: 10 cohortes de 100 alarmas entran ERROR cada 30 s, permanecen ~320 s, deben expirar después de 300 s y recuperarse entre t≈320 y 590 s. Tras consenso, implementar únicamente expiry/reappearance; structural reset/crash permanecen R3.5E.</x:v>
      </x:c>
    </x:row>
    <x:row r="26">
      <x:c r="A26" s="32" t="str">
        <x:v>DEC-R35-022</x:v>
      </x:c>
      <x:c r="B26" s="32" t="n">
        <x:v>46259.93263888889</x:v>
      </x:c>
      <x:c r="C26" s="32" t="str">
        <x:v>R3.5C Functional Pressure</x:v>
      </x:c>
      <x:c r="D26" s="32" t="str">
        <x:v>Liberar C-003 Technical Hold Expiry &amp; Reappearance manteniendo el grace productivo real de 300 s. El harness controla únicamente el calendario ERROR→expiry→ACTIVE y no modifica la semántica del Core.</x:v>
      </x:c>
      <x:c r="E26" s="32" t="str">
        <x:v>C-003 agrega un modo funcional exclusivo: 10% de alarmas por cohorte, stagger 30 s, ERROR duration 320 s, bootstrap 100% ACTIVE. El gate espera TechnicalHold EXPIRED durable, cierres exactos por technical_hold_expired/technical_uncertainty y nuevas Occurrence identities al reaparecer. Validación local adaptada: 27/27 harness tests y 222/222 alarms-runtime tests; smoke time-warp real produjo 10 expiries, 10 occurrence closes, 1 episode close y 10 nuevas occurrences.</x:v>
      </x:c>
      <x:c r="F26" s="32" t="str">
        <x:v>C-002 23009c7e-3c7f-4c41-a045-cbfa1a648318; DEC-R35-021; C-003 harness patch 0.1.0</x:v>
      </x:c>
      <x:c r="G26" s="32" t="str">
        <x:v>El calendario usa generaciones de 10 s: cohortes empiezan en 1,4,...,28; expiry ocurre 30 generaciones después del STARTED y recovery de datos 32 generaciones después. Esto conserva dos generaciones completas entre expiry y reappearance para demostrar que la continuidad anterior realmente terminó.</x:v>
      </x:c>
      <x:c r="H26" s="32" t="str">
        <x:v>Accepted</x:v>
      </x:c>
      <x:c r="I26" s="32" t="str">
        <x:v>Aplicar patch C-003 0.1.0; ejecutar gate autoritativo Python 3.14.2 + UV; luego ejecutar C-003 600 s, 1000 alarmas, 100 grupos×10, 36 partitions balanced, technical_hold_expiry_percent=10, stagger=30 s, error_duration=320 s, initial_active_percent=100.</x:v>
      </x:c>
    </x:row>
    <x:row r="27">
      <x:c r="A27" s="32" t="str">
        <x:v>DEC-R35-023</x:v>
      </x:c>
      <x:c r="B27" s="32" t="n">
        <x:v>46259.940405092595</x:v>
      </x:c>
      <x:c r="C27" s="32" t="str">
        <x:v>R3.5C Functional Pressure</x:v>
      </x:c>
      <x:c r="D27" s="32" t="str">
        <x:v>Cerrar C-003 como PASS/GREEN. La ruta TechnicalHold expiry + reappearance queda validada con el grace real de 300 s. No escalar más TechnicalHold. Usar C-004 para cerrar el caso sin continuidad previa: alarma que nace en ERROR y recién crea su primera Occurrence/Episode al pasar a ACTIVE.</x:v>
      </x:c>
      <x:c r="E27" s="32" t="str">
        <x:v>C-003 produjo 1000 STARTED + 1000 EXPIRED exactos, 0 RECOVERED, cierres con razones correctas, 1000 nuevas Occurrences sin identity reuse, 400/400 lifecycle commits, snapshot final 1000/1000, p95 1162.84 ms y 0 overruns. WAL y snapshots independientes confirman el resultado.</x:v>
      </x:c>
      <x:c r="F27" s="32" t="str">
        <x:v>C-003 9db89add-7ec1-4a7c-b21d-995145c3d0c4; DEC-R35-022</x:v>
      </x:c>
      <x:c r="G27" s="32" t="str">
        <x:v>C-001/C-002/C-003 ya cubren continuidad normal, ERROR transitorio y ERROR expirado con continuidad previa. El borde restante de ERROR es el estado inicial sin Occurrence. Es de alto valor de correctness y bajo costo, por lo que conviene cerrarlo antes de cambiar a routing/criticality C1/C2.</x:v>
      </x:c>
      <x:c r="H27" s="32" t="str">
        <x:v>Accepted</x:v>
      </x:c>
      <x:c r="I27" s="32" t="str">
        <x:v>Debatir/confirmar C-004: bootstrap 1000 alarmas en ERROR sin hot-state; mantener al menos dos generaciones; activar 100 alarmas (10 grupos) cada 20 s hasta 100% ACTIVE. Tras consenso, implementar sólo initial-ERROR/first-activation; luego pasar a C1/C2 pressure.</x:v>
      </x:c>
    </x:row>
    <x:row r="28">
      <x:c r="A28" s="32" t="str">
        <x:v>DEC-R35-024</x:v>
      </x:c>
      <x:c r="B28" s="32" t="n">
        <x:v>46259.95138888889</x:v>
      </x:c>
      <x:c r="C28" s="32" t="str">
        <x:v>R3.5C Functional Pressure</x:v>
      </x:c>
      <x:c r="D28" s="32" t="str">
        <x:v>Liberar C-004 Initial ERROR Bootstrap &amp; First Activation como último borde de ERROR sin continuidad previa. Mantener ERROR inicial durante 20 s y activar cohortes de 10% cada 20 s. No incorporar C1/C2, structural reset ni crash/recovery en este incremento.</x:v>
      </x:c>
      <x:c r="E28" s="32" t="str">
        <x:v>El harness agrega un modo funcional exclusivo que usa ERROR explícito antes de cualquier Occurrence. El gate verifica cero lifecycle commits antes de la primera activación, cero TechnicalHold durante todo el run, y exactamente una primera Occurrence/Assignment por alarma al activarse. Validación local adaptada: 31/31 harness tests y 226/226 alarms-runtime tests. Smoke real: generaciones 0 y 1 = 0 WAL/0 snapshots; primera cohorte en generación 2 = 10 Occurrences + 1 Episode + 10 Assignments; 0 TechnicalHold.</x:v>
      </x:c>
      <x:c r="F28" s="32" t="str">
        <x:v>C-003 9db89add-7ec1-4a7c-b21d-995145c3d0c4; DEC-R35-023; C-004 harness patch 0.1.0</x:v>
      </x:c>
      <x:c r="G28" s="32" t="str">
        <x:v>Este escenario completa la matriz de ERROR de R3.5C: sin continuidad previa, con continuidad recuperada antes del grace y con continuidad expirada. Después de C-004, el valor informativo mayor estará en routing/assignment C1/C2, no en más volumen C3/TechnicalHold.</x:v>
      </x:c>
      <x:c r="H28" s="32" t="str">
        <x:v>Accepted</x:v>
      </x:c>
      <x:c r="I28" s="32" t="str">
        <x:v>Aplicar patch C-004 0.1.0; ejecutar gate autoritativo Python 3.14.2 + UV; luego ejecutar C-004 600 s, 1000 alarmas, 100 grupos×10, 36 partitions balanced, initial_error_activation_percent=10, initial_error_hold_seconds=20, activation_stagger=20 s, initial_active_percent=0.</x:v>
      </x:c>
    </x:row>
    <x:row r="29">
      <x:c r="A29" s="32" t="str">
        <x:v>DEC-R35-025</x:v>
      </x:c>
      <x:c r="B29" s="32" t="n">
        <x:v>46259.961875</x:v>
      </x:c>
      <x:c r="C29" s="32" t="str">
        <x:v>R3.5C Functional Pressure</x:v>
      </x:c>
      <x:c r="D29" s="32" t="str">
        <x:v>Cerrar la semántica funcional de C-004 como PASS, pero adjudicar la corrida completa como PASS-WITH-FINDINGS / ACCEPTABLE-REVIEW por un hotspot de performance dependiente de la composición ERROR-sin-continuidad + ACTIVE. No avanzar todavía a Docker resource-envelope ni a C1/C2.</x:v>
      </x:c>
      <x:c r="E29" s="32" t="str">
        <x:v>C-004 tiene integridad exacta, pero p95 6.63 s y 18 overruns. La latencia sube desde ~0.9 s con 0 ACTIVE hasta ~7.1 s alrededor de 500 ACTIVE/500 ERROR, y vuelve a ~1.0 s con 1000 ACTIVE. El mismo patrón aparece en iteraciones sin writes; loader/merge son ~10/0.43 ms.</x:v>
      </x:c>
      <x:c r="F29" s="32" t="str">
        <x:v>C-004 f86db606-7094-4da9-b488-8fd58d9dac80; DEC-R35-024</x:v>
      </x:c>
      <x:c r="G29" s="32" t="str">
        <x:v>La campaña adaptativa exige reproducir y aislar cualquier rodilla antes de cambiar de dimensión. Una mezcla fija 50/50 elimina stagger y commits de activación, permitiendo decidir si el costo es intrínseco a la composición estable o consecuencia del proceso de adopción/crecimiento.</x:v>
      </x:c>
      <x:c r="H29" s="32" t="str">
        <x:v>Accepted</x:v>
      </x:c>
      <x:c r="I29" s="32" t="str">
        <x:v>Diseñar C-004-R1 como 1000 alarmas: 500 ACTIVE con continuidad y 500 ERROR sin continuidad desde bootstrap, 100 grupos ×10, Latest Narrow, 36 balanced, 5 min, sin transiciones posteriores. Requiere incremento focal del harness; no aproximar con el CLI C-004 actual.</x:v>
      </x:c>
    </x:row>
    <x:row r="30">
      <x:c r="A30" s="32" t="str">
        <x:v>DEC-R35-026</x:v>
      </x:c>
      <x:c r="B30" s="32" t="n">
        <x:v>46259.98541666667</x:v>
      </x:c>
      <x:c r="C30" s="32" t="str">
        <x:v>R3.5C Functional Pressure</x:v>
      </x:c>
      <x:c r="D30" s="32" t="str">
        <x:v>Liberar C-004-R1 como reproducción fija del hotspot de C-004: 500 ACTIVE con continuidad y 500 ERROR sin continuidad durante 300 s, sin stagger ni transiciones posteriores.</x:v>
      </x:c>
      <x:c r="E30" s="32" t="str">
        <x:v>El nuevo modo fixed_initial_error_percent materializa grupos completos en una composición inmutable. R1 espera sólo 50 commits lifecycle de bootstrap, 500 Occurrences, 50 Episodes, 500 assignments, 0 TechnicalHold y snapshot final 500. Validación local adaptada: 34/34 harness y 229/229 alarms-runtime. Smoke real 100 alarmas confirmó 50 ACTIVE / 50 ERROR neutral, 5 commits bootstrap y 0 transiciones.</x:v>
      </x:c>
      <x:c r="F30" s="32" t="str">
        <x:v>C-004 f86db606-7094-4da9-b488-8fd58d9dac80; F-C004-002; DEC-R35-025; C-004-R1 harness patch 0.1.0</x:v>
      </x:c>
      <x:c r="G30" s="32" t="str">
        <x:v>La composición 50/50 reproduce exactamente el punto de máxima latencia observado en C-004, pero elimina crecimiento, bursts de activación y cambios de estado. Si el p95 permanece ~6–8 s, el hotspot es intrínseco a la composición estable; si vuelve ~1 s, se reabre la hipótesis de interferencia del host o costo temporal de adopción.</x:v>
      </x:c>
      <x:c r="H30" s="32" t="str">
        <x:v>Accepted</x:v>
      </x:c>
      <x:c r="I30" s="32" t="str">
        <x:v>Aplicar patch C-004-R1 0.1.0; ejecutar gate Python 3.14.2 + UV; luego correr 300 s con 1000 alarmas, 100 grupos×10, Latest Narrow, 36 balanced, fixed_initial_error_percent=50, initial_active_percent=50. No pasar todavía a Docker 1.5 CPU / 3 GB hasta adjudicar R1.</x:v>
      </x:c>
    </x:row>
    <x:row r="31">
      <x:c r="A31" s="32" t="str">
        <x:v>DEC-R35-027</x:v>
      </x:c>
      <x:c r="B31" s="32" t="n">
        <x:v>46259.99119212963</x:v>
      </x:c>
      <x:c r="C31" s="32" t="str">
        <x:v>R3.5C Functional Pressure</x:v>
      </x:c>
      <x:c r="D31" s="32" t="str">
        <x:v>Adjudicar C-004-R1 como PASS-WITH-FINDINGS / ACCEPTABLE-REVIEW y considerar reproducido el hotspot 50/50. Descartar como explicación principal la escritura/WAL y la interferencia temporal del host. No pasar aún a Docker sizing; aislar primero el lookup de historia durable.</x:v>
      </x:c>
      <x:c r="E31" s="32" t="str">
        <x:v>R1 mantuvo 500 ACTIVE + 500 ERROR sin cambios durante 300 s. Bootstrap=1.25 s; los siguientes 46 ciclos sin commits fueron 6.33–6.90 s, steady p50/p95=6.43/6.57 s; 46/47 overruns. WAL sólo contiene 50 commits bootstrap (1.015 MB), RSS queda 132.70→132.72 MB y CPU≈100% de un core.</x:v>
      </x:c>
      <x:c r="F31" s="32" t="str">
        <x:v>C-004-R1 fdc14ae0-9854-41c3-9ab8-a0b05ad3915c; F-C004-002; F-C004R1-002; DEC-R35-026</x:v>
      </x:c>
      <x:c r="G31" s="32" t="str">
        <x:v>El código ofrece una explicación concreta: cada grupo sin snapshot verifica historia durable recorriendo read_durable_records(); al coexistir A grupos con historia y E grupos sin snapshot, el costo potencial se repite aproximadamente A×E. La forma medida de C-004 tiene r≈0.9974 contra ese término.</x:v>
      </x:c>
      <x:c r="H31" s="32" t="str">
        <x:v>Accepted</x:v>
      </x:c>
      <x:c r="I31" s="32" t="str">
        <x:v>Debatir/confirmar C-004-R2: instrumentar call count/time de _has_durable_group_history/read_durable_records en el mismo 50/50 y comparar con un POC que construya una única vez por ciclo el conjunto de priority_groups con historia durable. No cambiar producto ni comenzar Docker 1.5 CPU / 3 GB hasta cerrar causalidad.</x:v>
      </x:c>
    </x:row>
    <x:row r="32">
      <x:c r="A32" s="32" t="str">
        <x:v>DEC-R35-028</x:v>
      </x:c>
      <x:c r="B32" s="32" t="n">
        <x:v>46260.805555555555</x:v>
      </x:c>
      <x:c r="C32" s="32" t="str">
        <x:v>R3.5C Functional Pressure</x:v>
      </x:c>
      <x:c r="D32" s="32" t="str">
        <x:v>Liberar C-004-R2 como confirmación end-to-end del candidato de causa raíz. Mantener intacto el producto: el índice durable por ciclo existe sólo dentro del performance harness.</x:v>
      </x:c>
      <x:c r="E32" s="32" t="str">
        <x:v>POC aislado sobre el volumen autoritativo R1: baseline promedio ≈6394.5 ms por 50 lookups vs indexed ≈127.3 ms, ~50× de reducción; scans 150→3 y entries procesadas 7500→150 en tres ciclos. El resultado de pertenencia durable fue idéntico. Harness 37/37 y alarms-runtime 232/232 en validación local adaptada.</x:v>
      </x:c>
      <x:c r="F32" s="32" t="str">
        <x:v>C-004-R1 fdc14ae0-9854-41c3-9ab8-a0b05ad3915c; F-C004R1-002; F-C004R2-001; DEC-R35-027</x:v>
      </x:c>
      <x:c r="G32" s="32" t="str">
        <x:v>El POC se invalida en cada iteración y vuelve a leer el journal una vez por ciclo, por lo que no elimina la validación periódica de corrupción. Sólo evita releer el mismo journal decenas de veces dentro del mismo ciclo.</x:v>
      </x:c>
      <x:c r="H32" s="32" t="str">
        <x:v>Accepted</x:v>
      </x:c>
      <x:c r="I32" s="32" t="str">
        <x:v>Aplicar patch C-004-R2 0.1.0; gate Python 3.14.2 + UV; ejecutar 180 s con 1000 alarmas, fixed_initial_error_percent=50, initial_active_percent=50 y durable_history_lookup_mode=indexed. Adjudicar métricas de lookup + p95 antes de acordar cualquier cambio productivo.</x:v>
      </x:c>
    </x:row>
    <x:row r="33">
      <x:c r="A33" s="32" t="str">
        <x:v>DEC-R35-029</x:v>
      </x:c>
      <x:c r="B33" s="32" t="n">
        <x:v>46260.810752314814</x:v>
      </x:c>
      <x:c r="C33" s="32" t="str">
        <x:v>R3.5C Functional Pressure</x:v>
      </x:c>
      <x:c r="D33" s="32" t="str">
        <x:v>Cerrar C-004-R2 como PASS/GREEN y cerrar la causalidad del hotspot: la degradación era producida por releer el journal durable completo para cada grupo sin snapshot. Preparar diseño del fix productivo, sin aplicarlo todavía.</x:v>
      </x:c>
      <x:c r="E33" s="32" t="str">
        <x:v>R2 mantuvo exactamente 500 ACTIVE + 500 ERROR neutral y los mismos 50 commits bootstrap de R1, pero p95 cayó 6569.58→992.88 ms (~6.62×) y overruns 46/47→0/37. 1900 lookups se resolvieron con sólo 36 scans del journal / 1800 entries; 36 index builds costaron 0.322 ms.</x:v>
      </x:c>
      <x:c r="F33" s="32" t="str">
        <x:v>C-004-R2 5669a356-5857-440d-941e-17cc8f6f5251; F-C004R1-002; F-C004R2-001; F-C004R2-002; DEC-R35-028</x:v>
      </x:c>
      <x:c r="G33" s="32" t="str">
        <x:v>La solución validada no requiere relajar integridad ni cache global: basta una vista de pertenencia durable limitada al ciclo de ejecución, reconstruida desde el journal para ese ciclo y compartida por los load_group(). Debe preservarse la detección de missing snapshot + durable history como corrupción.</x:v>
      </x:c>
      <x:c r="H33" s="32" t="str">
        <x:v>Accepted</x:v>
      </x:c>
      <x:c r="I33" s="32" t="str">
        <x:v>Revisar y acordar C-004-R3 product fix: introducir durable-history membership cycle-scoped en la composición Runtime, agregar tests de corrupción/empty journal/múltiples grupos, espejo comentado y repetir 50/50 sin durable_history_lookup_mode del harness. Después retomar R3.5C y luego Docker 1.5 CPU / 3 GB.</x:v>
      </x:c>
    </x:row>
    <x:row r="34">
      <x:c r="A34" s="32" t="str">
        <x:v>DEC-R35-030</x:v>
      </x:c>
      <x:c r="B34" s="32" t="n">
        <x:v>46260.82777777778</x:v>
      </x:c>
      <x:c r="C34" s="32" t="str">
        <x:v>R3.5C Functional Pressure</x:v>
      </x:c>
      <x:c r="D34" s="32" t="str">
        <x:v>Liberar ada-alarms-runtime-process 0.14.2 y C-004-R3 para regresión productiva del fix durable-history. El cambio usa hidratación batch por ciclo y no introduce cache global/persistente.</x:v>
      </x:c>
      <x:c r="E34" s="32" t="str">
        <x:v>R2 demostró causalidad con p95 6.57→0.99 s. El producto 0.14.2 implementa el mismo principio de forma explícita: snapshots primero; si existen faltantes, un solo scan durable para construir membership del lote. Gate local adaptado 238/238; batch sobre WAL real de R1 159–226 ms.</x:v>
      </x:c>
      <x:c r="F34" s="32" t="str">
        <x:v>C-004-R2 5669a356-5857-440d-941e-17cc8f6f5251; DEC-R35-029; product patch 0.14.2</x:v>
      </x:c>
      <x:c r="G34" s="32" t="str">
        <x:v>Batch explícito evita estado oculto y mantiene compatibilidad semántica de load_group(). La regla missing snapshot + durable history = corruption permanece intacta. No se escanea el WAL cuando todos los snapshots están presentes.</x:v>
      </x:c>
      <x:c r="H34" s="32" t="str">
        <x:v>Accepted</x:v>
      </x:c>
      <x:c r="I34" s="32" t="str">
        <x:v>Aplicar patch 0.14.2; ejecutar Ruff/format/pytest/build con Python 3.14.2 + UV; correr C-004-R3 300 s con fixed_initial_error_percent=50 e initial_active_percent=50, sin --durable-history-lookup-mode indexed. Si queda GREEN con integridad exacta, cerrar el finding y retomar R3.5C antes del resource envelope Docker.</x:v>
      </x:c>
    </x:row>
    <x:row r="35">
      <x:c r="A35" s="32" t="str">
        <x:v>DEC-R35-031</x:v>
      </x:c>
      <x:c r="B35" s="32" t="n">
        <x:v>46260.85099537037</x:v>
      </x:c>
      <x:c r="C35" s="32" t="str">
        <x:v>R3.5C Functional Pressure</x:v>
      </x:c>
      <x:c r="D35" s="32" t="str">
        <x:v>Cerrar C-004-R3 como PASS/GREEN y aceptar ada-alarms-runtime-process 0.14.2 como corrección validada del repeated durable-history lookup. Abandonar los antiguos incrementos genéricos de churn C3 y cambiar la siguiente dimensión a routing/assignment C1.</x:v>
      </x:c>
      <x:c r="E35" s="32" t="str">
        <x:v>R3 product path, harness baseline: p95=987.97 ms, 0 overruns, exact 500 ACTIVE/500 neutral. 100 durable records = 50 lifecycle bootstrap + 50 evidence-only at 5 min; durable==materialized; errors/warnings/resource-pressure=0. All WAL records identify runtime 0.14.2.</x:v>
      </x:c>
      <x:c r="F35" s="32" t="str">
        <x:v>C-004-R3 aaa915fa-41f3-4bac-8778-35c764634764; DEC-R35-030; F-C004R3-002</x:v>
      </x:c>
      <x:c r="G35" s="32" t="str">
        <x:v>La regresión productiva recupera el mismo rango de R2 sin soporte especial del harness, por lo que la causa y el fix quedan cerrados. C-001 ya cubrió churn C3 de 10%; aumentar a 25/50/100% aporta menos información que ejercer las semánticas C1/C2 aún no caracterizadas.</x:v>
      </x:c>
      <x:c r="H35" s="32" t="str">
        <x:v>Accepted</x:v>
      </x:c>
      <x:c r="I35" s="32" t="str">
        <x:v>Debatir C-005: C1 immediate routing fan-out con 1000 ACTIVE, 100 grupos×10, origin + 3 destinos inmediatos (4 assignments/alarm), 36 balanced, 5 min. Implementar sólo tras acuerdo; luego C2 delayed routing.</x:v>
      </x:c>
    </x:row>
    <x:row r="36">
      <x:c r="A36" s="32" t="str">
        <x:v>DEC-R35-032</x:v>
      </x:c>
      <x:c r="B36" s="32" t="n">
        <x:v>46260.86597222222</x:v>
      </x:c>
      <x:c r="C36" s="32" t="str">
        <x:v>R3.5C Functional Pressure</x:v>
      </x:c>
      <x:c r="D36" s="32" t="str">
        <x:v>Liberar C-005 como primera caracterización de routing C1: 1000 alarmas ACTIVE, 100 grupos×10, origin + 3 destinos inmediatos por alarma. No combinar routing con churn ni alterar producto.</x:v>
      </x:c>
      <x:c r="E36" s="32" t="str">
        <x:v>El harness construye PlannedAlarm C1 reales con RoutingDestination sin delay y amplía el gate para exigir 4000 ASSIGNED, cero cambios delayed/removal y 4000 assignments materializados con cero pending. Validación local adaptada: 42/42 harness y 242/242 alarms-runtime; smoke 100 alarmas confirmó 400 assignments exactos.</x:v>
      </x:c>
      <x:c r="F36" s="32" t="str">
        <x:v>C-004-R3 aaa915fa-41f3-4bac-8778-35c764634764; DEC-R35-031; C-005 harness patch 0.1.0</x:v>
      </x:c>
      <x:c r="G36" s="32" t="str">
        <x:v>C-001 ya cubrió churn C3 y C-002..C-004 cerraron la matriz ERROR. C1 aporta una dimensión semántica nueva: fan-out inmediato de routing y mayor volumen de AssignmentChange dentro del mismo commit de lifecycle.</x:v>
      </x:c>
      <x:c r="H36" s="32" t="str">
        <x:v>Accepted</x:v>
      </x:c>
      <x:c r="I36" s="32" t="str">
        <x:v>Aplicar patch C-005 0.1.0; ejecutar gate Python 3.14.2 + UV; correr 300 s con c1_routing_destination_count=3, initial_active_percent=100, 1000 alarmas, grupos×10 y 36 partitions balanced. Si queda GREEN con integridad exacta, diseñar C2 delayed routing.</x:v>
      </x:c>
    </x:row>
    <x:row r="37">
      <x:c r="A37" s="32" t="str">
        <x:v>DEC-R35-033</x:v>
      </x:c>
      <x:c r="B37" s="32" t="n">
        <x:v>46260.87045138889</x:v>
      </x:c>
      <x:c r="C37" s="32" t="str">
        <x:v>R3.5C Functional Pressure</x:v>
      </x:c>
      <x:c r="D37" s="32" t="str">
        <x:v>Cerrar C-005 como PASS/GREEN. El fan-out C1 origin + 3 destinos inmediatos queda validado sin pending ni degradación del ciclo estable. Siguiente dimensión: C2 delayed routing.</x:v>
      </x:c>
      <x:c r="E37" s="32" t="str">
        <x:v>C-005 produjo 4000/4000 ASSIGNED, 0 SCHEDULED/RESCHEDULED/REMOVED, snapshot 4000 assignments/0 pending, p95=978.11 ms y 0 overruns. WAL=4.995 MB; peak RSS=144.15 MB; journal aligned; errors/warnings=0.</x:v>
      </x:c>
      <x:c r="F37" s="32" t="str">
        <x:v>C-005 c3547859-d2f4-4280-8359-e9913eb80e75; DEC-R35-032</x:v>
      </x:c>
      <x:c r="G37" s="32" t="str">
        <x:v>Aumentar destinos C1 sólo escala un comportamiento ya validado. C2 agrega estado pending, deadlines absolutos y commits posteriores al bootstrap, por lo que entrega más información sobre routing real.</x:v>
      </x:c>
      <x:c r="H37" s="32" t="str">
        <x:v>Accepted</x:v>
      </x:c>
      <x:c r="I37" s="32" t="str">
        <x:v>Debatir/confirmar C-006: C2 con origin inmediato + tres destinos retrasados 60/120/180 s. Esperar 3000 SCHEDULED en bootstrap y tres olas de 1000 ASSIGNED, con final 4000 assigned/0 pending. No incluir reschedule/removal hasta cerrar esta progresión temporal base.</x:v>
      </x:c>
    </x:row>
    <x:row r="38">
      <x:c r="A38" s="32" t="str">
        <x:v>DEC-R35-034</x:v>
      </x:c>
      <x:c r="B38" s="32" t="n">
        <x:v>46260.93402777778</x:v>
      </x:c>
      <x:c r="C38" s="32" t="str">
        <x:v>R3.5C Functional Pressure</x:v>
      </x:c>
      <x:c r="D38" s="32" t="str">
        <x:v>Liberar C-006 como progresión C2 temporal base: origin inmediato y tres destinos delayed a 60/120/180 s. Mantener señal/configuración congeladas y no introducir reschedule/removal todavía.</x:v>
      </x:c>
      <x:c r="E38" s="32" t="str">
        <x:v>El harness construye PlannedAlarm C2 reales y valida no sólo 4000 ASSIGNED + 3000 SCHEDULED finales/acumulados, sino también offsets due_at y fotografías materializadas por ola: pending 3000→2000→1000→0. Validación local adaptada: 46/46 harness, 246/246 runtime y espejo token-equivalente.</x:v>
      </x:c>
      <x:c r="F38" s="32" t="str">
        <x:v>C-005 c3547859-d2f4-4280-8359-e9913eb80e75; DEC-R35-033; C-006 harness patch 0.1.0</x:v>
      </x:c>
      <x:c r="G38" s="32" t="str">
        <x:v>C1 quedó holgadamente GREEN; C2 agrega el contrato temporal pendiente sin mezclar cambios de configuración. Los delays se alinean con data_refresh=10 s para evitar múltiples lifecycle commits del mismo grupo dentro de una sola generación de campaña.</x:v>
      </x:c>
      <x:c r="H38" s="32" t="str">
        <x:v>Accepted</x:v>
      </x:c>
      <x:c r="I38" s="32" t="str">
        <x:v>Aplicar patch C-006 0.1.0; gate Python 3.14.2 + UV; ejecutar 300 s con --c2-routing-delay-seconds 60,120,180, 1000 ACTIVE, grupos×10 y 36 balanced. Si queda GREEN e intermedios exactos, diseñar C2 configuration-change / RESCHEDULED.</x:v>
      </x:c>
    </x:row>
    <x:row r="39">
      <x:c r="A39" s="32" t="str">
        <x:v>DEC-R35-035</x:v>
      </x:c>
      <x:c r="B39" s="32" t="n">
        <x:v>46260.94861111111</x:v>
      </x:c>
      <x:c r="C39" s="32" t="str">
        <x:v>R3.5C Functional Pressure</x:v>
      </x:c>
      <x:c r="D39" s="32" t="str">
        <x:v>Cerrar C-006 como PASS/GREEN. C2 SCHEDULED→ASSIGNED queda validado con deadlines +60/+120/+180 s, pending snapshots intermedios exactos y cero overruns. Avanzar a RESCHEDULED respetando el freeze de configuración.</x:v>
      </x:c>
      <x:c r="E39" s="32" t="str">
        <x:v>C-006: lifecycle=400/400, ASSIGNED=4000, SCHEDULED=3000, RESCHEDULED/REMOVED=0; waves 1000/3000→2000/2000→3000/1000→4000/0; p95=1.950 s, 0 overruns; WAL=9.145 MB; peak RSS=145.77 MB; durable==materialized.</x:v>
      </x:c>
      <x:c r="F39" s="32" t="str">
        <x:v>C-006 bccad405-b4a3-4d37-aced-d232a39dec33; DEC-R35-034</x:v>
      </x:c>
      <x:c r="G39" s="32" t="str">
        <x:v>El runtime usa configuración congelada durante la ejecución/ventana, por lo que una prueba correcta de RESCHEDULED debe cruzar una frontera de adopción de configuración con estado durable preservado. Cambiar delays dentro del mismo run probaría un comportamiento que el contrato operativo no promete.</x:v>
      </x:c>
      <x:c r="H39" s="32" t="str">
        <x:v>Accepted</x:v>
      </x:c>
      <x:c r="I39" s="32" t="str">
        <x:v>Diseñar C-007 en dos fases sobre el mismo volumen: PERF-AC-1 crea 3000 pending a +60/+120/+180 y se detiene antes de +60; PERF-AC-2 se adopta en una nueva ejecución con los mismos destinos a +90/+150/+210. Esperar 3000 RESCHEDULED, Occurrence IDs intactos y posterior 4000 assigned/0 pending. Mantener REMOVED=0.</x:v>
      </x:c>
    </x:row>
    <x:row r="40">
      <x:c r="A40" s="32" t="str">
        <x:v>DEC-R35-036</x:v>
      </x:c>
      <x:c r="B40" s="32" t="n">
        <x:v>46260.98333333333</x:v>
      </x:c>
      <x:c r="C40" s="32" t="str">
        <x:v>R3.5C Functional Pressure</x:v>
      </x:c>
      <x:c r="D40" s="32" t="str">
        <x:v>Liberar C-007 como prueba bifásica de C2 RESCHEDULED cruzando una frontera real de configuración. El harness debe orquestar ambas ejecuciones sobre el mismo volumen durable y no mutar configuración mid-run.</x:v>
      </x:c>
      <x:c r="E40" s="32" t="str">
        <x:v>Phase A publica PERF-AC-1 con +60/+120/+180 y termina a 30 s con 3000 pending. Phase B publica PERF-AC-2 con los mismos destinos a +90/+150/+210, registra la revisión cacheada AC-1 y deja que la adopción productiva emita 3000 RESCHEDULED. Gate local adaptado: 50/50 harness y 250/250 Runtime. Smoke directo de adopción confirmó COMPATIBLE, RESCHEDULED exactos, identidad preservada y pending reprogramado.</x:v>
      </x:c>
      <x:c r="F40" s="32" t="str">
        <x:v>C-006 bccad405-b4a3-4d37-aced-d232a39dec33; DEC-R35-035; C-007 harness patch 0.1.0</x:v>
      </x:c>
      <x:c r="G40" s="32" t="str">
        <x:v>La arquitectura respeta el freeze de configuración: AC-1 y AC-2 nunca coexisten como mutación dentro de una misma ejecución. El estado durable, las Occurrences y los destinos sí se preservan entre fases, por lo que RESCHEDULED mide reconciliación real de pending state y no una simulación del harness.</x:v>
      </x:c>
      <x:c r="H40" s="32" t="str">
        <x:v>Accepted</x:v>
      </x:c>
      <x:c r="I40" s="32" t="str">
        <x:v>Aplicar patch C-007 0.1.0; gate Python 3.14.2 + UV; ejecutar un único comando 270 s con initial delays 60,120,180, revised delays 90,150,210 y Phase A=30 s. Esperar 3000 RESCHEDULED, 100 reschedule commits, occurrence_identity_mismatches=0, revision transition OK y final 4000 assigned/0 pending. Si queda GREEN, diseñar C2 REMOVED en una prueba separada.</x:v>
      </x:c>
    </x:row>
    <x:row r="41">
      <x:c r="A41" s="32" t="str">
        <x:v>DEC-R35-037</x:v>
      </x:c>
      <x:c r="B41" s="32" t="n">
        <x:v>46260.992430555554</x:v>
      </x:c>
      <x:c r="C41" s="32" t="str">
        <x:v>R3.5C Functional Pressure</x:v>
      </x:c>
      <x:c r="D41" s="32" t="str">
        <x:v>Cerrar C-007 como PASS/GREEN. C2 RESCHEDULED queda validado en una frontera real de configuración con identidad de Occurrence preservada. Avanzar a REMOVED como semántica separada.</x:v>
      </x:c>
      <x:c r="E41" s="32" t="str">
        <x:v>C-007: lifecycle=500/500; ASSIGNED=4000; SCHEDULED=3000; RESCHEDULED=3000; REMOVED=0; 100 reschedule commits; revision_transition_ok=true; occurrence mismatches=0; final 4000 assigned/0 pending; p95=1.924 s, 0 overruns; WAL=10.663 MB; peak RSS=150.37 MB; durable==materialized.</x:v>
      </x:c>
      <x:c r="F41" s="32" t="str">
        <x:v>C-007 phase A fcb116ba-6438-46a9-8ba6-a1bfdd11e1ac; phase B 52e52d15-ab29-4d02-ae0b-db8ef8b4346b; DEC-R35-036</x:v>
      </x:c>
      <x:c r="G41" s="32" t="str">
        <x:v>La prueba confirma que el freeze intra-ventana y la reconciliación inter-ventana componen correctamente. Para REMOVED conviene adoptar la nueva revisión después del primer deadline: así una sola prueba cubre eliminación de Tool ya assigned y de Tools todavía pending.</x:v>
      </x:c>
      <x:c r="H41" s="32" t="str">
        <x:v>Accepted</x:v>
      </x:c>
      <x:c r="I41" s="32" t="str">
        <x:v>Debatir/confirmar C-008: Phase A 90 s con +60/+120/+180; Phase B misma identidad C2 pero destinations=(). Esperar 3000 REMOVED en 100 commits, divididos 1000 reached + 2000 pending; origin permanece assigned, occurrence IDs intactos, RESCHEDULED=0, final 1000 assigned/0 pending.</x:v>
      </x:c>
    </x:row>
    <x:row r="42">
      <x:c r="A42" s="32" t="str">
        <x:v>DEC-R35-038</x:v>
      </x:c>
      <x:c r="B42" s="32" t="n">
        <x:v>46261.01111111111</x:v>
      </x:c>
      <x:c r="C42" s="32" t="str">
        <x:v>R3.5C Functional Pressure</x:v>
      </x:c>
      <x:c r="D42" s="32" t="str">
        <x:v>Liberar C-008 como prueba bifásica de C2 REMOVED. Phase A debe cruzar sólo el primer deadline; Phase B adopta una revisión compatible sin RoutingDestination y reutiliza el mismo estado durable.</x:v>
      </x:c>
      <x:c r="E42" s="32" t="str">
        <x:v>El harness exige 3000 REMOVED exactos: 1000 desde route-01 ya assigned y 2000 desde route-02/03 pending. Final: sólo 1000 origin assignments, 0 pending; RESCHEDULED=0; identity mismatches=0. Validación local adaptada: 54/54 harness, 254/254 Runtime, compile y mirrors verdes.</x:v>
      </x:c>
      <x:c r="F42" s="32" t="str">
        <x:v>C-007 52e52d15-ab29-4d02-ae0b-db8ef8b4346b; DEC-R35-037; C-008 harness patch 0.1.0</x:v>
      </x:c>
      <x:c r="G42" s="32" t="str">
        <x:v>Usar Phase A=90 s permite cubrir en una sola adopción las dos ramas de routing removal ya definidas por Core: Tool alcanzado y Tool pending. Se conserva Criticality.C2 y origin Tool, por lo que la adopción es COMPATIBLE y no debe cerrar ni recrear la Occurrence.</x:v>
      </x:c>
      <x:c r="H42" s="32" t="str">
        <x:v>Accepted</x:v>
      </x:c>
      <x:c r="I42" s="32" t="str">
        <x:v>Aplicar patch C-008 0.1.0; gate Python 3.14.2 + UV; ejecutar un único comando 210 s con delays 60,120,180 y Phase A=90 s. Esperar lifecycle=300, ASSIGNED=2000, SCHEDULED=3000, REMOVED=3000, removal commits=100, removed reached/pending=1000/2000, revision transition OK, occurrence mismatches=0 y final 1000 assigned/0 pending.</x:v>
      </x:c>
    </x:row>
    <x:row r="43">
      <x:c r="A43" s="32" t="str">
        <x:v>DEC-R35-039</x:v>
      </x:c>
      <x:c r="B43" s="32" t="n">
        <x:v>46261.02116898148</x:v>
      </x:c>
      <x:c r="C43" s="32" t="str">
        <x:v>R3.5C Functional Pressure</x:v>
      </x:c>
      <x:c r="D43" s="32" t="str">
        <x:v>Cerrar C-008 como PASS/GREEN y declarar R3.5C cerrado 11/11. La semántica routing C1/C2 queda caracterizada y funcionalmente exacta; avanzar a R3.5D Management/Decisions.</x:v>
      </x:c>
      <x:c r="E43" s="32" t="str">
        <x:v>C-008: lifecycle=300/300; ASSIGNED=2000; SCHEDULED=3000; REMOVED=3000; RESCHEDULED=0; removed reached/pending=1000/2000; occurrence mismatches=0; final 1000 origin assignments/0 pending; p95=1.603 s, 0 overruns; durable==materialized at 7,696,200 bytes. R3.5C completed=11/11 and open findings=0.</x:v>
      </x:c>
      <x:c r="F43" s="32" t="str">
        <x:v>C-008 phase A 267e39e5-f708-447f-b68d-79a50bf34c1f; phase B d54b12b9-0300-48c4-a869-7c8402b7beba; DEC-R35-038</x:v>
      </x:c>
      <x:c r="G43" s="32" t="str">
        <x:v>Más presión C2 estable tendría bajo rendimiento informativo: immediate/scheduled/reschedule/remove ya están cubiertos con deadlines, revisión compatible e identidad durable. El siguiente riesgo independiente es el control-plane durable de ManagementAction y DeactivationDecision.</x:v>
      </x:c>
      <x:c r="H43" s="32" t="str">
        <x:v>Accepted</x:v>
      </x:c>
      <x:c r="I43" s="32" t="str">
        <x:v>Diseñar D-001 como una única ManagementAction EFFECTIVE sobre una Occurrence estable, pasando por AlarmDurableInputConsumer y verificando InputReceipt durable antes del cursor. Sin deactivation_intent, cascadas ni reappearance dentro del run. Implementar sólo tras acuerdo.</x:v>
      </x:c>
    </x:row>
    <x:row r="44">
      <x:c r="A44" s="32" t="str">
        <x:v>DEC-R35-040</x:v>
      </x:c>
      <x:c r="B44" s="32" t="n">
        <x:v>46261.05</x:v>
      </x:c>
      <x:c r="C44" s="32" t="str">
        <x:v>R3.5D Management / Decisions</x:v>
      </x:c>
      <x:c r="D44" s="32" t="str">
        <x:v>Liberar D-001 como baseline de una única ManagementAction EFFECTIVE pasando por AlarmDurableInputConsumer. La prueba debe medir input visible→receipt durable y verificar receipt antes de cursor, sin deactivation ni reappearance.</x:v>
      </x:c>
      <x:c r="E44" s="32" t="str">
        <x:v>El harness expone una sola acción a +30 s, resuelve occurrence_id desde snapshot durable y deja que el consumer/product ejecute el ciclo. Instrumentación previa al cursor comprueba el receipt ya indexado durable. Gate local adaptado: 58/58 harness, 258/258 Runtime; smoke real confirmó 1 EFFECTIVE receipt + 1 STARTED effect y cursor 256.</x:v>
      </x:c>
      <x:c r="F44" s="32" t="str">
        <x:v>DEC-R35-039; D-001 harness patch 0.1.0; smoke D-001-SMOKE</x:v>
      </x:c>
      <x:c r="G44" s="32" t="str">
        <x:v>D-001 debe aislar el contrato durable de control-plane antes de aumentar frecuencia. No usa Service Bus ni red porque eso mezclaría transporte con semántica del Runtime; esos límites pueden caracterizarse en una campaña de integración.</x:v>
      </x:c>
      <x:c r="H44" s="32" t="str">
        <x:v>Accepted</x:v>
      </x:c>
      <x:c r="I44" s="32" t="str">
        <x:v>Aplicar patch D-001 0.1.0; gate Python 3.14.2 + UV; ejecutar 120 s con 1000 ACTIVE, groups×10, 36 balanced y --management-action-at-seconds 30. Esperar 101 durable records, exactly one EFFECTIVE receipt/effect STARTED, cursor=256, pending=0, no deactivation, identity exact. Si queda GREEN, avanzar a D-002 management continuous 1/s.</x:v>
      </x:c>
    </x:row>
    <x:row r="45">
      <x:c r="A45" s="32" t="str">
        <x:v>DEC-R35-041</x:v>
      </x:c>
      <x:c r="B45" s="32" t="n">
        <x:v>46261.06543981482</x:v>
      </x:c>
      <x:c r="C45" s="32" t="str">
        <x:v>R3.5D Management / Decisions</x:v>
      </x:c>
      <x:c r="D45" s="32" t="str">
        <x:v>Cerrar D-001 como PASS/GREEN. El contrato MANAGEMENT/EFFECTIVE → ManagementEffect STARTED → durable InputReceipt → cursor queda validado para un input individual; avanzar a carga sostenida 1/s.</x:v>
      </x:c>
      <x:c r="E45" s="32" t="str">
        <x:v>D-001: input→receipt=997.95 ms; receipt/effect=1/1; management commits=1; cursor=256; pending=0; receipt-before-cursor=true; occurrence mismatch=0; p95 iteration=1.007 s; 0 overruns; 101 durable records / 2,037,716 bytes; durable==materialized.</x:v>
      </x:c>
      <x:c r="F45" s="32" t="str">
        <x:v>D-001 3204ca5b-1be9-4968-b9c0-c0b2fb6ede3e; DEC-R35-040</x:v>
      </x:c>
      <x:c r="G45" s="32" t="str">
        <x:v>Para D-002, repetir acciones sobre una misma alarma cambiaría la semántica hacia ADDITIONAL. Usar targets únicos preserva EFFECTIVE y convierte la prueba en una caracterización pura de throughput/latencia. Rotar por grupos evita que el batch de 5 s quede concentrado en un solo priority group.</x:v>
      </x:c>
      <x:c r="H45" s="32" t="str">
        <x:v>Accepted</x:v>
      </x:c>
      <x:c r="I45" s="32" t="str">
        <x:v>Debatir/confirmar D-002: 600 s, 540 ManagementAction a 1/s desde +30 hasta +569 s, targets únicos rotando los 100 priority groups, no deactivation_intent, reappearance +1h. Esperar 540 EFFECTIVE receipts/effects, 0 lost/duplicates, pending final=0 y medir p50/p95/p99/max input→receipt más batch size/cursor/WAL. Implementar sólo tras acuerdo.</x:v>
      </x:c>
    </x:row>
    <x:row r="46">
      <x:c r="A46" s="32" t="str">
        <x:v>DEC-R35-042</x:v>
      </x:c>
      <x:c r="B46" s="32" t="n">
        <x:v>46261.080555555556</x:v>
      </x:c>
      <x:c r="C46" s="32" t="str">
        <x:v>R3.5D Management / Decisions</x:v>
      </x:c>
      <x:c r="D46" s="32" t="str">
        <x:v>Liberar D-002 como carga sostenida de ManagementAction a 1/s durante 540 s útiles. Mantener todas las acciones EFFECTIVE mediante targets únicos y distribuirlas entre priority groups.</x:v>
      </x:c>
      <x:c r="E46" s="32" t="str">
        <x:v>El harness generaliza D-001 con count+interval sin tocar producto. Source IDs PERF-M-000001..000540, targets group-major round-robin y consumer instrumentado confirma cada receipt antes del cursor. Gate local adaptado: 62/62 harness, 262/262 Runtime. Smoke real 10 acciones: batches 1/5/4, 10 receipts/effects exactos, 0 loss/duplicates, cursor/pending exactos.</x:v>
      </x:c>
      <x:c r="F46" s="32" t="str">
        <x:v>D-001 3204ca5b-1be9-4968-b9c0-c0b2fb6ede3e; DEC-R35-041; D-002 harness patch 0.1.0</x:v>
      </x:c>
      <x:c r="G46" s="32" t="str">
        <x:v>Con cadence=5 s, 1 input/s naturalmente produce batches cercanos a cinco. Eso es parte del workload y no debe forzarse a consumo 1:1. Rotar grupos evita hot-spot artificial y usar alarmas únicas evita cambiar a outcome ADDITIONAL.</x:v>
      </x:c>
      <x:c r="H46" s="32" t="str">
        <x:v>Accepted</x:v>
      </x:c>
      <x:c r="I46" s="32" t="str">
        <x:v>Aplicar patch D-002 0.1.0; gate Python 3.14.2 + UV; ejecutar 600 s con 540 actions desde +30 s, interval=1 s, 1000 ACTIVE, groups×10 y 36 balanced. Esperar 540 EFFECTIVE receipts + 540 STARTED effects, lost/duplicates=0, pending final=0, receipt-before-cursor checked=540 y medir p50/p95/p99/max input→receipt, batch sizes, cursor y WAL. Si queda GREEN/íntegro, avanzar a D-003 Management burst 50.</x:v>
      </x:c>
    </x:row>
    <x:row r="47">
      <x:c r="A47" s="32" t="str">
        <x:v>DEC-R35-043</x:v>
      </x:c>
      <x:c r="B47" s="32" t="n">
        <x:v>46261.09722222222</x:v>
      </x:c>
      <x:c r="C47" s="32" t="str">
        <x:v>R3.5D / Generic Job Runtime</x:v>
      </x:c>
      <x:c r="D47" s="32" t="str">
        <x:v>No adjudicar D-002 como FAIL funcional ni repetir/acortar el test. Bloquear R3.5D hasta corregir en la base genérica la auto-contención heartbeat ↔ fenced_mutation observada en atlanticus-job-runtime 0.7.0.</x:v>
      </x:c>
      <x:c r="E47" s="32" t="str">
        <x:v>Management llegó completo: 540 EFFECTIVE receipts/effects, cursor 138240, pending 0. El fallo ocurre durante evidencia +600 s: WAL durable completo para 100 grupos, 76 materializados y 24 pendientes. Fail-closed preservado. POC independiente confirma LeaseRenewalError con owner/generation intactos y lease no expirado.</x:v>
      </x:c>
      <x:c r="F47" s="32" t="str">
        <x:v>D-002 b318a6a4-d160-4b05-a5eb-300d7110040c; F-D002-001; atlanticus-job-runtime 0.7.0</x:v>
      </x:c>
      <x:c r="G47" s="32" t="str">
        <x:v>El heartbeat actual convierte un timeout de adquisición del mismo PhysicalAuthorityFence en failure terminal inmediato. Eso confunde contención interna transitoria con pérdida de autoridad. El fix debe ser genérico y no debe aumentar timeouts del harness ni relajar fencing de consumidores.</x:v>
      </x:c>
      <x:c r="H47" s="32" t="str">
        <x:v>Accepted</x:v>
      </x:c>
      <x:c r="I47" s="32" t="str">
        <x:v>Diseñar R20C.3.2 con un retry seguro de renewal bajo fence contention: no extender lease sin fence; mantener new mutations fenced; declarar pérdida sólo si no puede reconfirmarse autoridad antes de expiración/authority deadline o si ownership/generation cambian. Tests mínimos: long self-fence, repeated short self-fences/starvation, takeover continúa fail-closed, authority deadline, y recovery D-002-like 24 applied/76 skipped. Después gate runtime, consumidores afectados y rerun D-002 limpio.</x:v>
      </x:c>
    </x:row>
    <x:row r="48">
      <x:c r="A48" s="32" t="str">
        <x:v>DEC-R35-044</x:v>
      </x:c>
      <x:c r="B48" s="32" t="n">
        <x:v>46261.115277777775</x:v>
      </x:c>
      <x:c r="C48" s="32" t="str">
        <x:v>R20C.3.2 / Generic Job Runtime</x:v>
      </x:c>
      <x:c r="D48" s="32" t="str">
        <x:v>Liberar candidato atlanticus-job-runtime 0.7.1 para corregir false LeaseRenewalError por starvation del heartbeat frente a PhysicalAuthorityFence ocupado transitoriamente por mutaciones legítimas del mismo owner.</x:v>
      </x:c>
      <x:c r="E48" s="32" t="str">
        <x:v>El heartbeat conserva la última expires_at confirmada bajo fence y, ante fence ocupado, usa try_acquire + retry hasta esa frontera segura. Nunca renueva sin fence ni revive una lease expirada. Al adquirir fence revalida owner/generation/expiry antes de escribir. stop_renewal interrumpe la espera. Public renew(), assert_current() y fenced_mutation() conservan su contrato síncrono histórico. Local adapted gate: 142/142 runtime tests, compile PASS, commented mirror token-equivalent. POC exacta sobre copia del D-002 fallido: recovery 24 applied + 76 skipped, 0 discarded tail y heads alineados.</x:v>
      </x:c>
      <x:c r="F48" s="32" t="str">
        <x:v>F-D002-001; D-002 b318a6a4-d160-4b05-a5eb-300d7110040c; atlanticus-r20c3.2-job-runtime-lease-heartbeat-fence-starvation-fix-0.7.1.zip</x:v>
      </x:c>
      <x:c r="G48" s="32" t="str">
        <x:v>La corrección está en la base genérica porque el defecto es de coordinación de autoridad y puede afectar cualquier consumidor con múltiples fenced mutations. Se coordinan 16 consumers a ==0.7.1. Locks deben regenerarse con UV; no se aceptan lockfiles editados manualmente. F-D002-001 permanece abierto hasta certificación autoritativa y rerun.</x:v>
      </x:c>
      <x:c r="H48" s="32" t="str">
        <x:v>Accepted</x:v>
      </x:c>
      <x:c r="I48" s="32" t="str">
        <x:v>Aplicar patch R20C.3.2. Regenerar backend/uv.lock y los 16 uv.lock consumidores con Python 3.14.2 + UV. Gate runtime: Ruff/format, 142 tests, import/version 0.7.1 y wheel. Ejecutar regresiones focales de lease authority. Validar recovery sobre copia del D-002: 24 applied/76 skipped y heads aligned. Después limpiar D-002 y rerun 600 s; sólo entonces cerrar F-D002-001 y adjudicar D-002.</x:v>
      </x:c>
    </x:row>
    <x:row r="49">
      <x:c r="A49" s="32" t="str">
        <x:v>DEC-R35-045</x:v>
      </x:c>
      <x:c r="B49" s="32" t="n">
        <x:v>46261.15277777778</x:v>
      </x:c>
      <x:c r="C49" s="32" t="str">
        <x:v>R20C.3.2 / Generic Job Runtime</x:v>
      </x:c>
      <x:c r="D49" s="32" t="str">
        <x:v>Cerrar técnicamente R20C.3.2 con atlanticus-job-runtime 0.7.1. La coordinación heartbeat↔PhysicalAuthorityFence ya distingue contención transitoria de pérdida real de autoridad sin relajar fencing ni revival de leases expiradas.</x:v>
      </x:c>
      <x:c r="E49" s="32" t="str">
        <x:v>Authoritative host evidence: backend runtime gate 142/142 PASS, import 0.7.1 PASS, wheel atlanticus_job_runtime-0.7.1-py3-none-any.whl built, focal lease/lifecycle authority 21/21 PASS. backend lock + 16 consumer locks/pins migrated from 0.7.0 to 0.7.1 with UV and no stale pins. Exact preserved D-002 recovery POC PASS: 24 applied + 76 skipped, discarded_tail_bytes=0, final materialized==durable at 5,994,817. alarms-runtime regression 262/262 PASS after updating its project-contract expectation to Runtime 0.7.1.</x:v>
      </x:c>
      <x:c r="F49" s="32" t="str">
        <x:v>DEC-R35-044; F-D002-001; R20C.3.2 Runtime 0.7.1; D-002 failed run b318a6a4-d160-4b05-a5eb-300d7110040c</x:v>
      </x:c>
      <x:c r="G49" s="32" t="str">
        <x:v>El fix queda cerrado a nivel de contrato/gate/recovery. F-D002-001 no se cierra todavía porque la campaña exige confirmación end-to-end en el mismo workload que expuso la carrera. El siguiente paso correcto es repetir D-002 desde volumen limpio, sin acortar duración ni mover el evidence tick.</x:v>
      </x:c>
      <x:c r="H49" s="32" t="str">
        <x:v>Accepted</x:v>
      </x:c>
      <x:c r="I49" s="32" t="str">
        <x:v>Rerun D-002 limpio con 1000 alarms, 600 s, cadence 5 s, refresh 10 s, 540 ManagementAction @1/s desde +30 s y Runtime 0.7.1. Cierre esperado: run success, 0 LeaseRenewalError, 540 EFFECTIVE receipts/effects, lost=0, duplicates=0, pending=0, receipt-before-cursor=540, durable==materialized. Si queda íntegro, cerrar F-D002-001 y adjudicar D-002; luego avanzar a D-003 burst 50.</x:v>
      </x:c>
    </x:row>
    <x:row r="50">
      <x:c r="A50" s="32" t="str">
        <x:v>DEC-R35-046</x:v>
      </x:c>
      <x:c r="B50" s="32" t="n">
        <x:v>46261.163518518515</x:v>
      </x:c>
      <x:c r="C50" s="32" t="str">
        <x:v>R20C.3.2 / R3.5D</x:v>
      </x:c>
      <x:c r="D50" s="32" t="str">
        <x:v>Cerrar F-D002-001 y confirmar R20C.3.2 end-to-end: el clean rerun de D-002 con Runtime 0.7.1 completa el mismo +600 s evidence wave que disparó la carrera anterior, sin LeaseRenewalError.</x:v>
      </x:c>
      <x:c r="E50" s="32" t="str">
        <x:v>Run 5e7bd0dc-d6b9-4556-a3bd-8b81a3eb3478: execution status=success, 121 iterations, 835 commits, 0 errors/warnings/resource pressure, journal durable==materialized at 8,025,617 bytes. Management remains exact 540 EFFECTIVE / 540 STARTED, pending=0, receipt-before-cursor=540/540.</x:v>
      </x:c>
      <x:c r="F50" s="32" t="str">
        <x:v>DEC-R35-045; F-D002-001; atlanticus-job-runtime 0.7.1</x:v>
      </x:c>
      <x:c r="G50" s="32" t="str">
        <x:v>La certificación previa de gate/recovery ya demostraba el contrato; este rerun prueba que el fix también resuelve la carrera bajo el workload real que la descubrió. No queda blocker abierto de lease para R3.5D.</x:v>
      </x:c>
      <x:c r="H50" s="32" t="str">
        <x:v>Accepted</x:v>
      </x:c>
      <x:c r="I50" s="32" t="str">
        <x:v>Continuar con adjudicación D-002 y diseño de D-003 Management burst 50.</x:v>
      </x:c>
    </x:row>
    <x:row r="51">
      <x:c r="A51" s="32" t="str">
        <x:v>DEC-R35-047</x:v>
      </x:c>
      <x:c r="B51" s="32" t="n">
        <x:v>46261.16388888889</x:v>
      </x:c>
      <x:c r="C51" s="32" t="str">
        <x:v>R3.5D Management / Decisions</x:v>
      </x:c>
      <x:c r="D51" s="32" t="str">
        <x:v>Cerrar D-002 como PASS/GREEN. El sustained workload 1/s queda caracterizado sin backlog; la siguiente dimensión es un burst simultáneo de 50 ManagementAction.</x:v>
      </x:c>
      <x:c r="E51" s="32" t="str">
        <x:v>D-002: 540/540 EFFECTIVE receipts/effects, lost=0, duplicates=0, cursor=138240, pending/high-water=0/0, batches 1×1 + 107×5 + 1×4, input→receipt p95=5.212 s, iteration p95=1.058 s, 0 overruns, 835 durable records / 8,025,617 bytes, durable==materialized.</x:v>
      </x:c>
      <x:c r="F51" s="32" t="str">
        <x:v>D-002 5e7bd0dc-d6b9-4556-a3bd-8b81a3eb3478; DEC-R35-046</x:v>
      </x:c>
      <x:c r="G51" s="32" t="str">
        <x:v>Para D-003 conviene mantener las mismas acciones independientes y cambiar sólo la forma de llegada. 50 targets únicos en 50 priority groups preservan EFFECTIVE y eliminan un hot-spot artificial. Un run de 120 s aísla el burst y evita el tick de evidencia de +300 s.</x:v>
      </x:c>
      <x:c r="H51" s="32" t="str">
        <x:v>Accepted</x:v>
      </x:c>
      <x:c r="I51" s="32" t="str">
        <x:v>Debatir/confirmar D-003: burst único de 50 acciones simultáneas a +30 s, alarms slot-1 de groups 001..050, no deactivation_intent, reappearance +1h, duración recomendada 120 s. Medir absorción en primera iteración, input→receipt p50/p95/p99/max, batch size, commits, cursor/pending y WAL. Implementar sólo tras acuerdo.</x:v>
      </x:c>
    </x:row>
    <x:row r="52">
      <x:c r="A52" s="32" t="str">
        <x:v>DEC-R35-048</x:v>
      </x:c>
      <x:c r="B52" s="32" t="n">
        <x:v>46261.18402777778</x:v>
      </x:c>
      <x:c r="C52" s="32" t="str">
        <x:v>R3.5D Management / Decisions</x:v>
      </x:c>
      <x:c r="D52" s="32" t="str">
        <x:v>Liberar D-003 como burst único de 50 ManagementAction simultáneas a +30 s, usando 50 targets únicos en priority groups 001..050 y duración 120 s.</x:v>
      </x:c>
      <x:c r="E52" s="32" t="str">
        <x:v>El harness reutiliza el source multi-management: interval=0 representa burst y hace visibles las 50 acciones en la misma frontera temporal. Se agrega gate explícito de absorción en la primera iteración elegible, contado por nuevos receipts durables confirmados antes del avance de cursor. Local adapted gate: 65/65 harness, 265/265 alarms-runtime, compile/mirror PASS. Smoke real reducido: 10/10 acciones absorbidas en un único primer batch, 10 EFFECTIVE/STARTED, cursor=2560, pending=0, receipt-before-cursor=10/10 y durable==materialized.</x:v>
      </x:c>
      <x:c r="F52" s="32" t="str">
        <x:v>D-002 5e7bd0dc-d6b9-4556-a3bd-8b81a3eb3478; DEC-R35-047; D-003 harness patch 0.1.0</x:v>
      </x:c>
      <x:c r="G52" s="32" t="str">
        <x:v>D-003 cambia sólo la forma de llegada respecto de D-002. Los 50 grupos distintos evitan un hotspot artificial y los targets únicos evitan outcome ADDITIONAL. La duración de 120 s evita contaminar la medición con la ola periódica de evidencia de +300 s.</x:v>
      </x:c>
      <x:c r="H52" s="32" t="str">
        <x:v>Accepted</x:v>
      </x:c>
      <x:c r="I52" s="32" t="str">
        <x:v>Aplicar patch D-003 0.1.0; gate Python 3.14.2 + UV; ejecutar 120 s con 1000 ACTIVE, 50 actions simultáneas a +30 s, count=50, interval=0, groups×10 y 36 balanced. Esperar first batch=50, one non-empty management batch, 50 EFFECTIVE receipts/effects, lost/duplicates=0, pending final=0, cursor=12800, receipt-before-cursor=50, durable==materialized y performance class según p95 global.</x:v>
      </x:c>
    </x:row>
    <x:row r="53">
      <x:c r="A53" s="32" t="str">
        <x:v>DEC-R35-049</x:v>
      </x:c>
      <x:c r="B53" s="32" t="n">
        <x:v>46261.58613425926</x:v>
      </x:c>
      <x:c r="C53" s="32" t="str">
        <x:v>R3.5D Management / Decisions</x:v>
      </x:c>
      <x:c r="D53" s="32" t="str">
        <x:v>Cerrar D-003 como PASS/GREEN: el burst simultáneo de 50 acciones fue absorbido completamente en la primera iteración elegible, sin backlog ni pérdida/duplicación.</x:v>
      </x:c>
      <x:c r="E53" s="32" t="str">
        <x:v>Run 8f918b47-edd2-46e7-bc0b-de8a4206183a: first batch=50/50, nonempty batches=1, 50 EFFECTIVE/STARTED, cursor=12800, pending=0, receipt-before-cursor=50/50, p95 iteration=1.295 s, burst iteration=1.379 s, 0 overruns, 150 durable records / 2,376,600 bytes, durable==materialized.</x:v>
      </x:c>
      <x:c r="F53" s="32" t="str">
        <x:v>D-003 8f918b47-edd2-46e7-bc0b-de8a4206183a; DEC-R35-048</x:v>
      </x:c>
      <x:c r="G53" s="32" t="str">
        <x:v>El resultado demuestra que no existe un límite efectivo inferior a 50 en este workload y que repartir un target por grupo elimina concentración artificial.</x:v>
      </x:c>
      <x:c r="H53" s="32" t="str">
        <x:v>Accepted</x:v>
      </x:c>
      <x:c r="I53" s="32" t="str">
        <x:v>Avanzar a D-004 Management burst 100 manteniendo 120 s y el mismo gate de primera iteración.</x:v>
      </x:c>
    </x:row>
    <x:row r="54">
      <x:c r="A54" s="32" t="str">
        <x:v>DEC-R35-050</x:v>
      </x:c>
      <x:c r="B54" s="32" t="n">
        <x:v>46261.586805555555</x:v>
      </x:c>
      <x:c r="C54" s="32" t="str">
        <x:v>R3.5D Management / Decisions</x:v>
      </x:c>
      <x:c r="D54" s="32" t="str">
        <x:v>Liberar D-004 como burst único de 100 ManagementAction simultáneas a +30 s usando slot-1 de los 100 priority groups.</x:v>
      </x:c>
      <x:c r="E54" s="32" t="str">
        <x:v>El harness D-003 ya soporta bursts genéricos mediante interval=0; no requiere cambios de código. Con count=100 la rotación targetea naturalmente perf-group-001..100, preservando targets únicos y outcomes EFFECTIVE.</x:v>
      </x:c>
      <x:c r="F54" s="32" t="str">
        <x:v>D-003 8f918b47-edd2-46e7-bc0b-de8a4206183a; DEC-R35-049</x:v>
      </x:c>
      <x:c r="G54" s="32" t="str">
        <x:v>Mantener 120 s evita mezclar la ola +300 s. El gate duro de burst exige first_nonempty_batch_size=100, aunque eventual 100/100 receipts por múltiples ciclos no sería suficiente para PASS de D-004.</x:v>
      </x:c>
      <x:c r="H54" s="32" t="str">
        <x:v>Accepted</x:v>
      </x:c>
      <x:c r="I54" s="32" t="str">
        <x:v>Ejecutar D-004 con 1000 ACTIVE, duration=120 s, cadence=5 s, refresh=10 s, count=100, interval=0, action_at=30 s. Esperar 100 EFFECTIVE/STARTED, first batch=100/100, one nonempty batch, cursor=25600, pending=0, receipt-before-cursor=100/100, lost/duplicates=0 y WAL=200 records con durable==materialized.</x:v>
      </x:c>
    </x:row>
    <x:row r="55">
      <x:c r="A55" s="32" t="str">
        <x:v>DEC-R35-051</x:v>
      </x:c>
      <x:c r="B55" s="32" t="n">
        <x:v>46261.59961805555</x:v>
      </x:c>
      <x:c r="C55" s="32" t="str">
        <x:v>R3.5D Management / Decisions</x:v>
      </x:c>
      <x:c r="D55" s="32" t="str">
        <x:v>Cerrar D-004 como PASS/GREEN: 100 ManagementAction simultáneas fueron absorbidas en la primera iteración elegible, una por cada priority group, sin backlog.</x:v>
      </x:c>
      <x:c r="E55" s="32" t="str">
        <x:v>Run 248c19b9-3f16-471c-b1cf-0d730744b47a: first batch=100/100, nonempty batches=1, 100 EFFECTIVE/STARTED, cursor=25600, pending=0, receipt-before-cursor=100/100, burst iteration=1.717 s, global p95=1.564 s, 0 overruns, 200 durable records / 2,722,400 bytes, durable==materialized.</x:v>
      </x:c>
      <x:c r="F55" s="32" t="str">
        <x:v>D-004 248c19b9-3f16-471c-b1cf-0d730744b47a; DEC-R35-050</x:v>
      </x:c>
      <x:c r="G55" s="32" t="str">
        <x:v>El burst ya cubre los 100 priority groups sin revelar cap/backlog. Seguir aumentando Management en esta etapa aportaría menos información que cambiar a la siguiente dimensión control-plane prevista: DeactivationDecision.</x:v>
      </x:c>
      <x:c r="H55" s="32" t="str">
        <x:v>Accepted</x:v>
      </x:c>
      <x:c r="I55" s="32" t="str">
        <x:v>Abrir diseño D-005 Single DeactivationDecision.</x:v>
      </x:c>
    </x:row>
    <x:row r="56">
      <x:c r="A56" s="32" t="str">
        <x:v>DEC-R35-052</x:v>
      </x:c>
      <x:c r="B56" s="32" t="n">
        <x:v>46261.600694444445</x:v>
      </x:c>
      <x:c r="C56" s="32" t="str">
        <x:v>R3.5D Management / Decisions</x:v>
      </x:c>
      <x:c r="D56" s="32" t="str">
        <x:v>Proponer D-005 como baseline de una DeactivationDecision APPROVED contra un DeactivationRequest real y durable creado previamente por una ManagementAction con deactivation_intent y approval_required=true.</x:v>
      </x:c>
      <x:c r="E56" s="32" t="str">
        <x:v>A03.5 fija que el request deriva internamente de ManagementAction y que decision ingress tiene identidad/cursor independientes; A18 fija que approval_required=true mantiene la alarma visible mientras espera, que el request debe ser durable y que aprobar sólo activa el tiempo restante hasta effective_until original.</x:v>
      </x:c>
      <x:c r="F56" s="32" t="str">
        <x:v>A03.5 Durable Handoffs; A18 R3.3B.0; D-004 248c19b9-3f16-471c-b1cf-0d730744b47a</x:v>
      </x:c>
      <x:c r="G56" s="32" t="str">
        <x:v>Para medir decisión sin mezclar expiry, usar setup request a +30 s y decision APPROVED a +60 s dentro de un run de 120 s, con ventana de desactivación candidata de 300 s desde requested_at. No hardcodear enums/result counts hasta inspeccionar código/tests vigentes del consumer y Core.</x:v>
      </x:c>
      <x:c r="H56" s="32" t="str">
        <x:v>Accepted</x:v>
      </x:c>
      <x:c r="I56" s="32" t="str">
        <x:v>Antes de implementar: inspeccionar Runtime/Core tests actuales para contract fields/outcomes; luego generalizar harness con synthetic canonical decision source e instrumentación decision visible→receipt, request-before-decision, receipt-before-decision-cursor, pending/cursor y DeactivationEffect. Implementar sólo tras acuerdo.</x:v>
      </x:c>
    </x:row>
    <x:row r="57">
      <x:c r="A57" s="32" t="str">
        <x:v>DEC-R35-053</x:v>
      </x:c>
      <x:c r="B57" s="32" t="n">
        <x:v>46261.63333333333</x:v>
      </x:c>
      <x:c r="C57" s="32" t="str">
        <x:v>R3.5D Management / Decisions</x:v>
      </x:c>
      <x:c r="D57" s="32" t="str">
        <x:v>Liberar D-005 como baseline de una única DeactivationDecision APPROVED contra un DeactivationRequest real y durable generado por ManagementAction, con request +30 s, decision +60 s y ventana original de 300 s.</x:v>
      </x:c>
      <x:c r="E57" s="32" t="str">
        <x:v>El contrato vigente fue inspeccionado antes de implementar. Setup: DEACTIVATION_REQUEST/PENDING_APPROVAL y request durable PERF-DR-PERF-M-000001. Decision: DEACTIVATION_DECISION/APPLIED. El efecto aprobado comienza en decided_at pero conserva request.effective_until, por lo que quedan 270 s. Harness valida además target visible mientras pending, cursors independientes 256/256, receipts antes de cada cursor, pending-request high-water=1/final=0, exact occurrence identity y WAL esperado 102 records. Local adapted gate: 69/69 harness + 269/269 alarms-runtime, compile/mirror PASS.</x:v>
      </x:c>
      <x:c r="F57" s="32" t="str">
        <x:v>D-004 248c19b9-3f16-471c-b1cf-0d730744b47a; A03.5 Durable Handoffs; A18 R3.3B.0; D-005 harness patch 0.1.0</x:v>
      </x:c>
      <x:c r="G57" s="32" t="str">
        <x:v>No se crea un feed artificial de DeactivationRequest porque no existe en el contrato de producción. La decisión sólo se expone cuando el request exacto ya aparece en WAL durable. El smoke local reducido confirmó PENDING_APPROVAL→APPLIED y preservación de effective_until, pero no se usa para performance por SIGTERM externo.</x:v>
      </x:c>
      <x:c r="H57" s="32" t="str">
        <x:v>Accepted</x:v>
      </x:c>
      <x:c r="I57" s="32" t="str">
        <x:v>Aplicar patch D-005 0.1.0; gate Python 3.14.2 + UV; ejecutar 120 s con 1000 ACTIVE, request setup +30 s, decision APPROVED +60 s, deactivation window 300 s. Esperar request/decision receipts exactos, remaining window=270 s, cursors 256/256, pending final=0, target visible while pending=true, decision input→receipt &gt;=0, total WAL=102, durable==materialized y performance class según p95 global.</x:v>
      </x:c>
    </x:row>
    <x:row r="58">
      <x:c r="A58" s="32" t="str">
        <x:v>DEC-R35-054</x:v>
      </x:c>
      <x:c r="B58" s="32" t="n">
        <x:v>46261.63972222222</x:v>
      </x:c>
      <x:c r="C58" s="32" t="str">
        <x:v>R3.5D Management / Decisions</x:v>
      </x:c>
      <x:c r="D58" s="32" t="str">
        <x:v>Cerrar D-005 como PASS/GREEN: la DeactivationDecision APPROVED individual conserva causalidad, occurrence, receipt-before-cursor y la ventana original del DeactivationRequest.</x:v>
      </x:c>
      <x:c r="E58" s="32" t="str">
        <x:v>Run fa708376-dcb7-4fa4-b8af-ec09ea6bb5b5: 1 PENDING_APPROVAL + 1 APPLIED, cursors 256/256, pending final=0/0/0, target visible while pending=true, remaining=270/270 s, decision latency=981.46 ms, p95 iteration=1169.96 ms, 0 overruns, 102 records / 2,045,701 bytes, durable==materialized. Auditoría directa del WAL confirma exactamente 100 bootstrap + request commit + decision commit y snapshots finales alineados.</x:v>
      </x:c>
      <x:c r="F58" s="32" t="str">
        <x:v>D-005 fa708376-dcb7-4fa4-b8af-ec09ea6bb5b5; DEC-R35-053</x:v>
      </x:c>
      <x:c r="G58" s="32" t="str">
        <x:v>El baseline demuestra la semántica individual sin deuda ni extensión accidental del efecto. No hay finding de producto abierto.</x:v>
      </x:c>
      <x:c r="H58" s="32" t="str">
        <x:v>Accepted</x:v>
      </x:c>
      <x:c r="I58" s="32" t="str">
        <x:v>Avanzar al debate de diseño D-006 Decision continuous 1/s.</x:v>
      </x:c>
    </x:row>
    <x:row r="59">
      <x:c r="A59" s="32" t="str">
        <x:v>DEC-R35-055</x:v>
      </x:c>
      <x:c r="B59" s="32" t="n">
        <x:v>46261.64166666667</x:v>
      </x:c>
      <x:c r="C59" s="32" t="str">
        <x:v>R3.5D Management / Decisions</x:v>
      </x:c>
      <x:c r="D59" s="32" t="str">
        <x:v>Proponer D-006 como workload sostenido de 540 DeactivationDecision APPROVED a 1/s medido en una fase separada de la creación de sus 540 DeactivationRequest prerequisitos.</x:v>
      </x:c>
      <x:c r="E59" s="32" t="str">
        <x:v>Diseño recomendado: un único escenario harness ejecuta dos fases secuenciales sobre el mismo volumen. Phase A usa el camino canónico ManagementAction→DeactivationRequest a 1/s para 540 targets únicos (approval_required=true, ventana original 1800 s) y debe terminar con 540 requests pendientes durables. Phase B, sin recrear/bootstrappear el estado, expone las 540 decisions APPROVED a 1/s. Gate de integridad: 540 APPLIED + 540 DeactivationEffect STARTED, 0 lost/duplicates/wrong occurrence, pending final=0, pending requests final=0, cursors 138240/138240 y durable==materialized; cada effect conserva su request.effective_until.</x:v>
      </x:c>
      <x:c r="F59" s="32" t="str">
        <x:v>D-005 fa708376-dcb7-4fa4-b8af-ec09ea6bb5b5; D-002 5e7bd0dc-d6b9-4556-a3bd-8b81a3eb3478; DEC-R35-054</x:v>
      </x:c>
      <x:c r="G59" s="32" t="str">
        <x:v>La alternativa de emitir request y decision concurrentemente con offset fijo es más corta, pero mezcla throughput de management/request con throughput de decisions y hace menos defendible cualquier atribución de costo. La estrategia two-phase reutiliza un patrón ya aceptado en la campaña: fases consecutivas sobre estado durable compartido.</x:v>
      </x:c>
      <x:c r="H59" s="32" t="str">
        <x:v>Accepted</x:v>
      </x:c>
      <x:c r="I59" s="32" t="str">
        <x:v>Confirmar diseño antes de implementar. Si se acepta, el siguiente incremento debe ser exclusivamente harness; no tocar Core, Persistence ni Runtime salvo que la inspección previa demuestre una carencia real del contrato.</x:v>
      </x:c>
    </x:row>
    <x:row r="60">
      <x:c r="A60" s="32" t="str">
        <x:v>DEC-R35-056</x:v>
      </x:c>
      <x:c r="B60" s="32" t="n">
        <x:v>46261.6666666667</x:v>
      </x:c>
      <x:c r="C60" s="32" t="str">
        <x:v>R3.5D Management / Decisions</x:v>
      </x:c>
      <x:c r="D60" s="32" t="str">
        <x:v>Liberar D-006 como harness two-phase de 540 DeactivationRequest canónicos @1/s seguidos por 540 DeactivationDecision APPROVED @1/s sobre el mismo volumen durable, sin modificar código productivo.</x:v>
      </x:c>
      <x:c r="E60" s="32" t="str">
        <x:v>La implementación queda limitada a baseline/metrics/run, sus tres espejos comentados y tests. Phase A usa ManagementAction+deactivation_intent sobre 540 targets únicos approval_required=true. Phase B no se construye si falta cualquiera de los 540 request_ids, si alguno no es approval_required o si el set exacto no sigue pendiente en consumer state. La medición de Phase B expone sólo el stream de decisions. El gate cruza receipts, requests, effects, occurrence identity, correlación decision→request, cursores 138240/138240, pending, snapshots y preservación individual de request.effective_until; remaining-window se caracteriza min/max sin exigir 1200 s exactos.</x:v>
      </x:c>
      <x:c r="F60" s="32" t="str">
        <x:v>DEC-R35-055; D-005 fa708376-dcb7-4fa4-b8af-ec09ea6bb5b5; D-002 5e7bd0dc-d6b9-4556-a3bd-8b81a3eb3478; D-006 harness patch 0.1.0</x:v>
      </x:c>
      <x:c r="G60" s="32" t="str">
        <x:v>El aislamiento two-phase permite atribuir la presión medida al decision consumer y aborta antes de Phase B si la preparación durable es incompleta. La validación local disponible confirma equivalencia semántica del espejo y sintaxis; el gate autoritativo Python 3.14.2 + UV debe ejecutarse en el entorno objetivo porque este contenedor no dispone de Python 3.14.2/ruff/pyarrow offline.</x:v>
      </x:c>
      <x:c r="H60" s="32" t="str">
        <x:v>Accepted</x:v>
      </x:c>
      <x:c r="I60" s="32"/>
    </x:row>
    <x:row r="61">
      <x:c r="A61" s="32" t="str">
        <x:v>DEC-R35-057</x:v>
      </x:c>
      <x:c r="B61" s="32" t="n">
        <x:v>46261.6770833333</x:v>
      </x:c>
      <x:c r="C61" s="32" t="str">
        <x:v>R3.5D Management / Decisions</x:v>
      </x:c>
      <x:c r="D61" s="32" t="str">
        <x:v>Corregir D-006 harness 0.1.0 a 0.1.1 reemplazando la referencia inexistente `_percentile` por el helper local existente `_percentile_values` en run.py y su espejo comentado.</x:v>
      </x:c>
      <x:c r="E61" s="32" t="str">
        <x:v>El primer gate autoritativo detectó F821 en tres métricas decision input→receipt y el suite terminó 272 passed / 1 failed por el mismo NameError. `_percentile_values` ya existe en run.py y es el helper usado por las métricas sostenidas de Management, por lo que reutilizarlo mantiene la misma interpolación y evita introducir imports o helpers duplicados. El diff funcional son seis sustituciones de nombre, tres en producción y tres en el espejo.</x:v>
      </x:c>
      <x:c r="F61" s="32" t="str">
        <x:v>D-006 harness 0.1.0; DEC-R35-056; authoritative gate attempt GLONBW11 2026-08-27</x:v>
      </x:c>
      <x:c r="G61" s="32" t="str">
        <x:v>Fix exclusivamente de harness. Tests no se modifican: el test existente que falló actúa como regresión del defecto. Semantic commented mirror verificado equivalente. El gate 3.14.2 + UV debe repetirse completo antes de ejecutar los 20 minutos de D-006.</x:v>
      </x:c>
      <x:c r="H61" s="32" t="str">
        <x:v>Accepted</x:v>
      </x:c>
      <x:c r="I61" s="32"/>
    </x:row>
    <x:row r="62">
      <x:c r="A62" s="32" t="str">
        <x:v>DEC-R35-058</x:v>
      </x:c>
      <x:c r="B62" s="32" t="n">
        <x:v>46261.6902777778</x:v>
      </x:c>
      <x:c r="C62" s="32" t="str">
        <x:v>R3.5D Management / Decisions</x:v>
      </x:c>
      <x:c r="D62" s="32" t="str">
        <x:v>Corregir D-006 harness 0.1.1 a 0.1.2 alineando la visibilidad de DeactivationDecision sostenidas con el iteration.as_of congelado, sin relajar el contrato temporal de Core.</x:v>
      </x:c>
      <x:c r="E62" s="32" t="str">
        <x:v>La primera corrida real two-phase completó Phase A en 602.908 s (run d4b79894) y Phase B falló al iniciar decisions (run e8aabcb1) con AlarmContractError: decided_at must not be after cycle_at. El source calculaba fresh visibility con perf_counter() en el instante de lectura, mientras cycle_at/as_of había sido capturado antes. Al cruzar un segundo durante preparación, podía incluir una decisión futura para ese ciclo. 0.1.2 entrega iteration.as_of al source y limita fresh records por arrival monotonic y por decided_at &lt;= as_of.</x:v>
      </x:c>
      <x:c r="F62" s="32" t="str">
        <x:v>D-006 run attempt phase A d4b79894; phase B e8aabcb1; DEC-R35-057; D-006 harness patch 0.1.2</x:v>
      </x:c>
      <x:c r="G62" s="32" t="str">
        <x:v>El error confirma que Core protege correctamente la causalidad temporal. No se modifica Core, Persistence, Runtime, versiones ni dependencias. No se resta un margen artificial al decided_at: una decisión que llega después del snapshot temporal del ciclo espera a la siguiente iteración. Se agrega una regresión focal que reproduce elapsed visibility por delante del logical as_of.</x:v>
      </x:c>
      <x:c r="H62" s="32" t="str">
        <x:v>Accepted</x:v>
      </x:c>
      <x:c r="I62" s="32"/>
    </x:row>
    <x:row r="63">
      <x:c r="A63" s="32" t="str">
        <x:v>DEC-R35-059</x:v>
      </x:c>
      <x:c r="B63" s="32" t="n">
        <x:v>46261.71229166667</x:v>
      </x:c>
      <x:c r="C63" s="32" t="str">
        <x:v>R3.5D Management / Decisions</x:v>
      </x:c>
      <x:c r="D63" s="32" t="str">
        <x:v>Cerrar D-006 como PASS/GREEN: 540 DeactivationDecision APPROVED a 1/s se sostienen en Phase B después de 540 requests canónicos preparados en Phase A, sin backlog, pérdida, duplicación ni ruptura temporal.</x:v>
      </x:c>
      <x:c r="E63" s="32" t="str">
        <x:v>Ambas ejecuciones terminaron success. Los 540 pares reconstruidos desde WAL conservan request→decision→effect, alarm_key, occurrence y effective_until. Cursors=138240/138240; pending final=0/0/0; receipt-before-cursor=540/540; window mismatches=0. Global p95 iteration=1.060 s con 0 overruns. Decision input→receipt p95=6.107 s se adjudica como latencia cadence-dominated, no como fallo.</x:v>
      </x:c>
      <x:c r="F63" s="32" t="str">
        <x:v>D-006 phase A f586e4a0-d802-40de-ba6f-90abe8950208; phase B 4a45dc70-1f12-47dc-8687-79f59a94b3db; F-D006-001; harness 0.1.2</x:v>
      </x:c>
      <x:c r="G63" s="32" t="str">
        <x:v>D-006 cierra la dimensión sostenida de Decisions. No hay finding de producto abierto. Core conserva intacta su validación decided_at &lt;= cycle_at.</x:v>
      </x:c>
      <x:c r="H63" s="32" t="str">
        <x:v>Accepted</x:v>
      </x:c>
      <x:c r="I63" s="32" t="str">
        <x:v>Diseñar D-007 como burst simultáneo de 50 decisions sobre requests pre-provisionados.</x:v>
      </x:c>
    </x:row>
    <x:row r="64">
      <x:c r="A64" s="32" t="str">
        <x:v>DEC-R35-060</x:v>
      </x:c>
      <x:c r="B64" s="32" t="n">
        <x:v>46261.71319444445</x:v>
      </x:c>
      <x:c r="C64" s="32" t="str">
        <x:v>R3.5D Management / Decisions</x:v>
      </x:c>
      <x:c r="D64" s="32" t="str">
        <x:v>Proponer D-007 como Decision burst 50 two-phase: provisionar 50 DeactivationRequest canónicos en Phase A y exponer 50 APPROVED decisions simultáneas en Phase B sobre el mismo volumen.</x:v>
      </x:c>
      <x:c r="E64" s="32" t="str">
        <x:v>El patrón replica el aislamiento causal validado en D-006 y permite comparar directamente con D-003 Management burst 50. Una acción por perf-group-001..050 evita concentrar targets en pocos grupos. Phase B debe absorber 50/50 en la primera iteración elegible.</x:v>
      </x:c>
      <x:c r="F64" s="32" t="str">
        <x:v>D-006 PASS/GREEN; D-003 8f918b47-edd2-46e7-bc0b-de8a4206183a; DEC-R35-059</x:v>
      </x:c>
      <x:c r="G64" s="32" t="str">
        <x:v>La fase de setup no forma parte de la medición de burst. Mantener 1000 ACTIVE, C3, cadence 5 s, refresh 10 s y ventana original 600 s; validar effective_until por request.</x:v>
      </x:c>
      <x:c r="H64" s="32" t="str">
        <x:v>Accepted</x:v>
      </x:c>
      <x:c r="I64" s="32" t="str">
        <x:v>Implementar D-007 como harness-only two-phase burst y ejecutar gate Python 3.14.2 + UV.</x:v>
      </x:c>
    </x:row>
    <x:row r="65">
      <x:c r="A65" s="32" t="str">
        <x:v>DEC-R35-061</x:v>
      </x:c>
      <x:c r="B65" s="32" t="n">
        <x:v>46261.75</x:v>
      </x:c>
      <x:c r="C65" s="32" t="str">
        <x:v>R3.5D Management / Decisions</x:v>
      </x:c>
      <x:c r="D65" s="32" t="str">
        <x:v>Liberar D-007 harness 0.1.0 para Decision burst 50 two-phase, reutilizando la frontera multi-decision de D-006 y agregando burst interval=0 sin crear un pipeline alternativo.</x:v>
      </x:c>
      <x:c r="E65" s="32" t="str">
        <x:v>La implementación admite interval=0 en los sources two-phase, conserva targeting una alarma por perf-group-001..050 y agrega arrival_mode burst. El gate de burst se apoya en receipts confirmados por el consumer: el primer batch no vacío debe contener las 50 decisions. Además, Phase A adopta el mismo límite iteration.as_of que Phase B para impedir ManagementAction source_created_at futuro respecto de cycle_at.</x:v>
      </x:c>
      <x:c r="F65" s="32" t="str">
        <x:v>D-006 PASS/GREEN; D-003 8f918b47-edd2-46e7-bc0b-de8a4206183a; DEC-R35-060; D-007 harness patch 0.1.0</x:v>
      </x:c>
      <x:c r="G65" s="32" t="str">
        <x:v>Cambio exclusivamente de harness. Core mantiene intactas sus validaciones temporales; no se introducen delays artificiales ni se cambia la cadencia. El patch contiene exactamente 7 archivos y cuatro regresiones nuevas.</x:v>
      </x:c>
      <x:c r="H65" s="32" t="str">
        <x:v>Accepted</x:v>
      </x:c>
      <x:c r="I65" s="32" t="str">
        <x:v>Ejecutar gate Python 3.14.2 + UV. Si queda verde, correr D-007 desde volumen limpio con dos fases de 120 s.</x:v>
      </x:c>
    </x:row>
    <x:row r="66">
      <x:c r="A66" s="32" t="str">
        <x:v>DEC-R35-062</x:v>
      </x:c>
      <x:c r="B66" s="32" t="n">
        <x:v>46261.76210648148</x:v>
      </x:c>
      <x:c r="C66" s="32" t="str">
        <x:v>R3.5D Management / Decisions</x:v>
      </x:c>
      <x:c r="D66" s="32" t="str">
        <x:v>Cerrar D-007 como PASS/GREEN: el burst de 50 DeactivationDecision APPROVED se absorbe 50/50 en la primera iteración elegible, con causalidad y materialización exactas.</x:v>
      </x:c>
      <x:c r="E66" s="32" t="str">
        <x:v>Phase A y Phase B terminaron success. WAL independiente confirma 100 bootstrap + 50 request + 50 decision records, sin commit duplicates ni chain mismatches. Las 50 parejas conservan alarm_key, occurrence y effective_until; remaining=479 s uniforme. Decision input→receipt=1851.26 ms, global p95 iteration=1.248 s, 0 overruns. No existe backlog final ni finding de producto.</x:v>
      </x:c>
      <x:c r="F66" s="32" t="str">
        <x:v>D-007 phase A 2acf1950-9045-4781-bab2-16b328882371; phase B b4acb562-5468-4276-b109-220c246065b2; F-D007-001; harness 0.1.0</x:v>
      </x:c>
      <x:c r="G66" s="32" t="str">
        <x:v>D-007 cierra la dimensión burst 50 de Decisions. El gate fuerte fue receipt batch 50/50, no sólo el conteo final APPLIED. Core/Persistence/Runtime permanecen sin cambios.</x:v>
      </x:c>
      <x:c r="H66" s="32" t="str">
        <x:v>Accepted</x:v>
      </x:c>
      <x:c r="I66" s="32" t="str">
        <x:v>Diseñar D-008 para pending correlation con orden de entrega invertido entre decision y request.</x:v>
      </x:c>
    </x:row>
    <x:row r="67">
      <x:c r="A67" s="32" t="str">
        <x:v>DEC-R35-063</x:v>
      </x:c>
      <x:c r="B67" s="32" t="n">
        <x:v>46261.76319444445</x:v>
      </x:c>
      <x:c r="C67" s="32" t="str">
        <x:v>R3.5D Management / Decisions</x:v>
      </x:c>
      <x:c r="D67" s="32" t="str">
        <x:v>Proponer D-008 como prueba de inverted delivery: 50 decisions llegan al consumer antes de que sus 50 requests sean durables, pero los timestamps de dominio conservan request.requested_at &lt;= decision.decided_at.</x:v>
      </x:c>
      <x:c r="E67" s="32" t="str">
        <x:v>El consumer actualmente puede avanzar el cursor de decisions y retener locators no procesados en state.decisions.pending. La prueba útil es demostrar que ese mecanismo evita pérdida cuando el prerequisito llega por otro stream más tarde. Usar request logical time +30 s, decision logical/visible +45 s y delivery tardío del ManagementAction a +60 s; la decisión debe quedar pending hasta el ciclo posterior al commit del request.</x:v>
      </x:c>
      <x:c r="F67" s="32" t="str">
        <x:v>D-007 PASS/GREEN; consumer pending contract; Core deactivation temporal contract; DEC-R35-062</x:v>
      </x:c>
      <x:c r="G67" s="32" t="str">
        <x:v>No se debe modelar decided_at &lt; requested_at ni relajar Core. Tampoco debe exigirse receipt-before-decision-cursor: en D-008 el cursor avanza deliberadamente antes del receipt y la seguridad depende de la persistencia exacta del pending locator.</x:v>
      </x:c>
      <x:c r="H67" s="32" t="str">
        <x:v>Accepted</x:v>
      </x:c>
      <x:c r="I67" s="32" t="str">
        <x:v>Implementar D-008 como harness-only single-execution inverted delivery y ejecutar gate Python 3.14.2 + UV.</x:v>
      </x:c>
    </x:row>
    <x:row r="68">
      <x:c r="A68" s="32" t="str">
        <x:v>DEC-R35-064</x:v>
      </x:c>
      <x:c r="B68" s="32" t="n">
        <x:v>46261.79</x:v>
      </x:c>
      <x:c r="C68" s="32" t="str">
        <x:v>R3.5D Management / Decisions</x:v>
      </x:c>
      <x:c r="D68" s="32" t="str">
        <x:v>Liberar D-008 harness 0.1.0 para inverted delivery/pending correlation: 50 decisions se entregan antes que sus requests durables, manteniendo requested_at anterior a decided_at.</x:v>
      </x:c>
      <x:c r="E68" s="32" t="str">
        <x:v>El harness usa un único source para ambos streams. A +45 s expone una sola vez los 50 records de Decision; el consumer debe avanzar cursor y persistir 50 locators pending. A +60 s expone 50 ManagementAction con source_created_at lógico +30 s; esos requests se vuelven durables, pero las decisions siguen pending ese ciclo porque el durable index fue capturado antes del commit. Un ciclo posterior debe resolverlas desde read_at sin fresh redelivery. Se instrumentan los tres estados durables y se exige WAL exacto 100+50+50.</x:v>
      </x:c>
      <x:c r="F68" s="32" t="str">
        <x:v>D-007 PASS/GREEN; DEC-R35-063; D-008 harness patch 0.1.0</x:v>
      </x:c>
      <x:c r="G68" s="32" t="str">
        <x:v>Cambio exclusivamente de harness. No se modifica la semántica de cursor/pending del consumer ni las validaciones de Core. En este escenario receipt-before-decision-cursor no es gate: cursor-first es la condición bajo prueba y la seguridad depende del locator pending durable.</x:v>
      </x:c>
      <x:c r="H68" s="32" t="str">
        <x:v>Accepted</x:v>
      </x:c>
      <x:c r="I68" s="32" t="str">
        <x:v>Ejecutar Ruff/format y suite completa Python 3.14.2 + UV. Si queda 282/282, correr D-008 desde volumen limpio.</x:v>
      </x:c>
    </x:row>
    <x:row r="69">
      <x:c r="A69" s="32" t="str">
        <x:v>DEC-R35-065</x:v>
      </x:c>
      <x:c r="B69" s="32" t="n">
        <x:v>46261.781343</x:v>
      </x:c>
      <x:c r="C69" s="32" t="str">
        <x:v>R3.5D Management / Decisions</x:v>
      </x:c>
      <x:c r="D69" s="32" t="str">
        <x:v>Cerrar D-008 como PASS/GREEN: cursor-first + pending durable conserva y reprocesa exactamente 50 Decisions entregadas antes de sus requests, sin relajar causalidad temporal.</x:v>
      </x:c>
      <x:c r="E69" s="32" t="str">
        <x:v>El run autoritativo y el WAL independiente coinciden. No hay commit de Decisions a +45/+50/+55; a +60 se persisten exactamente 50 requests y a +65 aparecen exactamente 50 APPLIED/effects. El harness observó el set exacto de 50 locators pending antes y después del request commit, fresh Decision count=50 y read_at=200. Final cursors=12800/12800, pending=0/0/0, remaining=585 s, WAL=200 / 2,775,850 bytes y durable==materialized.</x:v>
      </x:c>
      <x:c r="F69" s="32" t="str">
        <x:v>D-008 7b0edb58-fa4f-4fca-9c11-cfda59d5c5c2; F-D008-001; harness 0.1.0</x:v>
      </x:c>
      <x:c r="G69" s="32" t="str">
        <x:v>D-008 valida el contrato de pending correlation end-to-end. Receipt-before-decision-cursor no aplica a este caso: el cursor avanza primero de forma intencional y la seguridad está en el locator pending durable. No hay finding de producto abierto.</x:v>
      </x:c>
      <x:c r="H69" s="32" t="str">
        <x:v>Accepted</x:v>
      </x:c>
      <x:c r="I69" s="32" t="str">
        <x:v>Diseñar D-009 como pipeline concurrente sostenido Management + Decisions.</x:v>
      </x:c>
    </x:row>
    <x:row r="70">
      <x:c r="A70" s="32" t="str">
        <x:v>DEC-R35-066</x:v>
      </x:c>
      <x:c r="B70" s="32" t="n">
        <x:v>46261.7822</x:v>
      </x:c>
      <x:c r="C70" s="32" t="str">
        <x:v>R3.5D Management / Decisions</x:v>
      </x:c>
      <x:c r="D70" s="32" t="str">
        <x:v>Proponer D-009 como mixed continuous pipeline en una sola ejecución: 480 request-producing ManagementAction @1/s desde +30 s y 480 matching APPROVED Decisions @1/s desde +60 s.</x:v>
      </x:c>
      <x:c r="E70" s="32" t="str">
        <x:v>Ahora sí es correcto mezclar ambos streams: D-002/D-006 aislaron throughput individual, D-008 validó pending correlation y D-009 busca explícitamente interferencia concurrente. Un lag de 30 s conserva requested_at &lt; decided_at y normalmente permite request durable antes de cada Decision, mientras mantiene ~450 s de overlap. 480 inputs dejan ~60 s de tail dentro de un run de 600 s.</x:v>
      </x:c>
      <x:c r="F70" s="32" t="str">
        <x:v>D-002 PASS/GREEN; D-006 PASS/GREEN; D-008 PASS/GREEN; DEC-R35-065</x:v>
      </x:c>
      <x:c r="G70" s="32" t="str">
        <x:v>Hard gates: 480 PENDING_APPROVAL + 480 APPLIED, effects exactos, cursors=122880/122880, final pending=0, no loss/duplicates/wrong correlation/window mismatch y durable==materialized. Pending high-water y read_at amplification son caracterización, no FAIL automático si convergen correctamente.</x:v>
      </x:c>
      <x:c r="H70" s="32" t="str">
        <x:v>Accepted</x:v>
      </x:c>
      <x:c r="I70" s="32" t="str">
        <x:v>Implementar D-009 como harness-only mixed single-execution y ejecutar gate Python 3.14.2 + UV.</x:v>
      </x:c>
    </x:row>
    <x:row r="71">
      <x:c r="A71" s="32" t="str">
        <x:v>DEC-R35-067</x:v>
      </x:c>
      <x:c r="B71" s="32" t="n">
        <x:v>46261.8</x:v>
      </x:c>
      <x:c r="C71" s="32" t="str">
        <x:v>R3.5D Management / Decisions</x:v>
      </x:c>
      <x:c r="D71" s="32" t="str">
        <x:v>Liberar D-009 harness 0.1.0 para mixed Management + Decisions continuous en una sola ejecución, sin reutilizar el runner two-phase de D-006/D-007.</x:v>
      </x:c>
      <x:c r="E71" s="32" t="str">
        <x:v>El escenario mixed se identifica por multi-input sostenido con Decision start posterior al Management start. Un único source coordina ambos streams, mantiene un request/decision pair por índice con lag fijo y limita fresh visibility por reloj monotónico + iteration.as_of. El consumer de performance registra receipts nuevos de ambos streams en cada replace_state para medir ciclos realmente mixtos, latencias separadas, batch distributions y pending amplification sin convertir pending transitorio en FAIL.</x:v>
      </x:c>
      <x:c r="F71" s="32" t="str">
        <x:v>D-008 PASS/GREEN; D-006/D-007 baselines; DEC-R35-066; D-009 harness patch 0.1.0</x:v>
      </x:c>
      <x:c r="G71" s="32" t="str">
        <x:v>Cambio exclusivamente de harness. Hard FAIL queda reservado para pérdida, duplicación, correlación/identidad/ventana incorrecta, cursores finales inexactos, pending final no resuelto o divergencia durable/materialized. Pending high-water y read_at son métricas de caracterización mientras converjan.</x:v>
      </x:c>
      <x:c r="H71" s="32" t="str">
        <x:v>Accepted</x:v>
      </x:c>
      <x:c r="I71" s="32" t="str">
        <x:v>Ejecutar Ruff/format y suite completa Python 3.14.2 + UV. Si queda 286/286, correr D-009 limpio por 600 s.</x:v>
      </x:c>
    </x:row>
    <x:row r="72">
      <x:c r="A72" s="32" t="str">
        <x:v>DEC-R35-068</x:v>
      </x:c>
      <x:c r="B72" s="32" t="n">
        <x:v>46261.80470561192</x:v>
      </x:c>
      <x:c r="C72" s="32" t="str">
        <x:v>R3.5D Management / Decisions</x:v>
      </x:c>
      <x:c r="D72" s="32" t="str">
        <x:v>Cerrar D-009 como PASS/GREEN: Management request ingress y matching Decisions sostienen overlap continuo sin pending de stream, pérdida, duplicación ni divergencia durable.</x:v>
      </x:c>
      <x:c r="E72" s="32" t="str">
        <x:v>Run 1cfa0555-b0c9-4674-b249-9dbde1f1d141: 480/480 PENDING_APPROVAL/APPLIED, effects exactos, 91 mixed receipt cycles, cursors=122880/122880, final pending=0/0/0. Request/Decision p95=5190.44/5195.30 ms; pending stream high-water=0/0, pending request high-water=30; mixed cycle p95≈1101.77 ms. WAL independiente: 1250 records / 11,894,761 bytes, 0 duplicate commits/chains/snapshot mismatches and durable==materialized.</x:v>
      </x:c>
      <x:c r="F72" s="32" t="str">
        <x:v>D-009 1cfa0555-b0c9-4674-b249-9dbde1f1d141; F-D009-001; harness 0.1.0</x:v>
      </x:c>
      <x:c r="G72" s="32" t="str">
        <x:v>D-009 demuestra que el mixed ingress no introduce un cuello nuevo respecto de los baselines aislados. Pending/read_at permanecen cero con 30 s de lag. No hay finding de producto abierto.</x:v>
      </x:c>
      <x:c r="H72" s="32" t="str">
        <x:v>Accepted</x:v>
      </x:c>
      <x:c r="I72" s="32" t="str">
        <x:v>Diseñar D-010 como late Decision burst después de remover las alarmas objetivo mediante configuración.</x:v>
      </x:c>
    </x:row>
    <x:row r="73">
      <x:c r="A73" s="32" t="str">
        <x:v>DEC-R35-069</x:v>
      </x:c>
      <x:c r="B73" s="32" t="n">
        <x:v>46261.8055</x:v>
      </x:c>
      <x:c r="C73" s="32" t="str">
        <x:v>R3.5D Management / Decisions</x:v>
      </x:c>
      <x:c r="D73" s="32" t="str">
        <x:v>Proponer D-010 como burst de 100 late APPROVED Decisions contra requests válidos cuyos targets fueron REMOVED por una revisión de configuración entre request y decision.</x:v>
      </x:c>
      <x:c r="E73" s="32" t="str">
        <x:v>Una acción por los 100 priority groups crea 100 PENDING_APPROVAL a +30 s. Una revisión target a +60 s elimina exactamente esas 100 identidades mediante el adoption planner/executor real, cerrando sus occurrences con CONFIGURATION_REMOVED. A +90 s las Decisions originales deben responder STALE_TARGET porque el request sigue apuntando al occurrence anterior, no porque esté expirado. 100 targets cubren todos los grupos sin repetir throughput sostenido ya cerrado.</x:v>
      </x:c>
      <x:c r="F73" s="32" t="str">
        <x:v>D-009 PASS/GREEN; existing Core STALE_TARGET contract; existing runtime consumer stale-target test</x:v>
      </x:c>
      <x:c r="G73" s="32" t="str">
        <x:v>No modificar snapshots directamente ni recrear targets. Hard gate propuesto: 100 STALE_TARGET, 0 APPLIED, 0 DeactivationEffect, pending final=0, exact original request correlation, final target revision con 900 alarmas. Los conteos secundarios de adoption se fijarán después de leer/implementar el contrato actual.</x:v>
      </x:c>
      <x:c r="H73" s="32" t="str">
        <x:v>Accepted</x:v>
      </x:c>
      <x:c r="I73" s="32" t="str">
        <x:v>Implementar D-010 con adoption real, gate STALE_TARGET y ejecutar Python 3.14.2 + UV.</x:v>
      </x:c>
    </x:row>
    <x:row r="74">
      <x:c r="A74" s="32" t="str">
        <x:v>DEC-R35-070</x:v>
      </x:c>
      <x:c r="B74" s="32" t="n">
        <x:v>46261.82</x:v>
      </x:c>
      <x:c r="C74" s="32" t="str">
        <x:v>R3.5D Management / Decisions</x:v>
      </x:c>
      <x:c r="D74" s="32" t="str">
        <x:v>Liberar D-010 harness 0.1.0 para late Decision after configuration removal, usando el resolver y Configuration Adoption executor reales.</x:v>
      </x:c>
      <x:c r="E74" s="32" t="str">
        <x:v>El harness añade un source de inputs stale-target y un source de revisión programada. PERF-AC-2 se construye con 900 alarmas removiendo exactamente el primer slot de perf-group-001..100, sin compactar índices de parámetros. A +60 el resolver adopta esa revisión por el flujo productivo. El gate secundario se fijó desde el contrato real: 100 occurrence CLOSED/CONFIGURATION_REMOVED y 100 ManagementEffect CLEARED. A +90 cada Decision original debe producir exactamente STALE_TARGET; se exige un journey stale por decision y se prohíbe cualquier DeactivationEffect.</x:v>
      </x:c>
      <x:c r="F74" s="32" t="str">
        <x:v>D-009 PASS/GREEN; DEC-R35-069; Core STALE_TARGET contract; configuration adoption executor; D-010 harness patch 0.1.0</x:v>
      </x:c>
      <x:c r="G74" s="32" t="str">
        <x:v>Cambio exclusivamente de harness. No se hardcodean assignment changes porque removal quita el target antes de routing y ese conteo no forma parte del contrato primario. El WAL sí tiene forma exacta para este run corto: 400 commits esperados. Core, Persistence y Runtime no se modifican.</x:v>
      </x:c>
      <x:c r="H74" s="32" t="str">
        <x:v>Accepted</x:v>
      </x:c>
      <x:c r="I74" s="32" t="str">
        <x:v>Ejecutar Ruff/format y suite completa Python 3.14.2 + UV. Si queda 290/290, correr D-010 limpio por 180 s.</x:v>
      </x:c>
    </x:row>
    <x:row r="75">
      <x:c r="A75" s="32" t="str">
        <x:v>DEC-R35-071</x:v>
      </x:c>
      <x:c r="B75" s="32" t="n">
        <x:v>46261.84</x:v>
      </x:c>
      <x:c r="C75" s="32" t="str">
        <x:v>R3.5D Management / Decisions</x:v>
      </x:c>
      <x:c r="D75" s="32" t="str">
        <x:v>Corregir exclusivamente el empaquetado de D-010 de 0.1.0 a 0.1.1: restaurar el prefijo stage-relative `scopes/ada/processes/alarms-runtime/` en los 7 archivos del patch.</x:v>
      </x:c>
      <x:c r="E75" s="32" t="str">
        <x:v>El gate 0.1.0 mostró Ruff/format verdes pero sólo 286 tests, exactamente el suite D-009. Auditoría del ZIP confirmó que las 4 pruebas D-010 sí estaban presentes, pero bajo `tests/...` en la raíz del archivo; al aplicar desde `atlanticus-stage` no modificaron el paquete real. D-009 0.1.0 sí tenía el prefijo correcto. El patch 0.1.1 conserva byte-a-byte los 7 payloads y cambia únicamente sus rutas dentro del ZIP.</x:v>
      </x:c>
      <x:c r="F75" s="32" t="str">
        <x:v>D-010 gate attempt 286 passed in 11.41 s; archive inspection 0.1.0 vs D-009; patch 0.1.1</x:v>
      </x:c>
      <x:c r="G75" s="32" t="str">
        <x:v>No se abre finding de producto ni se cambia el harness. Deben eliminarse los directorios raíz `performance/` y `tests/` creados accidentalmente por 0.1.0 antes de aplicar 0.1.1.</x:v>
      </x:c>
      <x:c r="H75" s="32" t="str">
        <x:v>Accepted</x:v>
      </x:c>
      <x:c r="I75" s="32" t="str">
        <x:v>Aplicar 0.1.1 desde atlanticus-stage y repetir el mismo gate; resultado esperado 290/290.</x:v>
      </x:c>
    </x:row>
    <x:row r="76">
      <x:c r="A76" s="32" t="str">
        <x:v>DEC-R35-072</x:v>
      </x:c>
      <x:c r="B76" s="32" t="n">
        <x:v>46261.845</x:v>
      </x:c>
      <x:c r="C76" s="32" t="str">
        <x:v>R3.5D Management / Decisions</x:v>
      </x:c>
      <x:c r="D76" s="32" t="str">
        <x:v>Corregir D-010 harness de 0.1.1 a 0.1.2 para preparar iteration.as_of también en StaleTargetDeactivationInputSource antes del primer read_after de bootstrap.</x:v>
      </x:c>
      <x:c r="E76" s="32" t="str">
        <x:v>El run 93dc873a-4511-4bcd-9f8c-3e7e0ee932db falló en la primera iteración antes de producir trabajo. PerformanceAlarmDurableInputConsumer.execute ya invocaba prepare_iteration para Sustained request/decision, Inverted y Mixed, pero omitía StaleTarget. La clase StaleTarget ya implementaba correctamente prepare_iteration y exigía ese valor en read_after. El fix agrega la clase al mismo dispatch y una regresión que verifica el orden prepare_iteration → AlarmDurableInputConsumer.execute durante bootstrap.</x:v>
      </x:c>
      <x:c r="F76" s="32" t="str">
        <x:v>D-010 failed workload attempt 93dc873a-4511-4bcd-9f8c-3e7e0ee932db; baseline.py line 3343/2607; patch 0.1.2</x:v>
      </x:c>
      <x:c r="G76" s="32" t="str">
        <x:v>Harness-only. No Core, Persistence, Runtime, revision resolver ni adoption executor se modifica. El intento fallido no constituye resultado funcional D-010 porque terminó con iterations=0/work=0. Expected full suite after one new regression: 291.</x:v>
      </x:c>
      <x:c r="H76" s="32" t="str">
        <x:v>Accepted</x:v>
      </x:c>
      <x:c r="I76" s="32" t="str">
        <x:v>Aplicar 0.1.2 sobre 0.1.1, repetir Ruff/format/pytest y sólo con 291/291 relanzar D-010 desde volumen limpio.</x:v>
      </x:c>
    </x:row>
    <x:row r="77">
      <x:c r="A77" s="32" t="str">
        <x:v>DEC-R35-073</x:v>
      </x:c>
      <x:c r="B77" s="32" t="n">
        <x:v>46261.855</x:v>
      </x:c>
      <x:c r="C77" s="32" t="str">
        <x:v>R3.5D Management / Decisions</x:v>
      </x:c>
      <x:c r="D77" s="32" t="str">
        <x:v>Corregir D-010 harness de 0.1.2 a 0.1.3 para excluir stale-target del runner multi-decision two-phase y mantener D-010 en la ejecución single-run prevista.</x:v>
      </x:c>
      <x:c r="E77" s="32" t="str">
        <x:v>El segundo intento D-010 avanzó correctamente por bootstrap, request burst y adoption real, pero `main()` evaluó sólo multi-decision + not inverted + not mixed y por eso eligió `_run_sustained_deactivation_decisions`. D-010 tiene count=100 y stale-target=true, por lo que esa selección era incorrecta. 0.1.3 encapsula el contrato de routing y exige además `not has_stale_target_deactivation_pressure`. La regresión verifica D-010=false y D-007=true para el runner two-phase.</x:v>
      </x:c>
      <x:c r="F77" s="32" t="str">
        <x:v>D-010 attempts 6b806d0b... / 12f1d6f4...; run.py main routing condition; patch 0.1.3</x:v>
      </x:c>
      <x:c r="G77" s="32" t="str">
        <x:v>Harness-only. No Core, Persistence, Runtime, input source, metrics ni adoption se modifica. El intento no se adjudica porque terminó en el builder de métricas incorrecto después de ejecutar dos runs.</x:v>
      </x:c>
      <x:c r="H77" s="32" t="str">
        <x:v>Accepted</x:v>
      </x:c>
      <x:c r="I77" s="32" t="str">
        <x:v>Aplicar 0.1.3 sobre 0.1.2, repetir Ruff/format/pytest y sólo con 292/292 relanzar D-010 desde volumen limpio.</x:v>
      </x:c>
    </x:row>
    <x:row r="78">
      <x:c r="A78" s="32" t="str">
        <x:v>DEC-R35-074</x:v>
      </x:c>
      <x:c r="B78" s="32" t="n">
        <x:v>46261.86</x:v>
      </x:c>
      <x:c r="C78" s="32" t="str">
        <x:v>R3.5D Management / Decisions</x:v>
      </x:c>
      <x:c r="D78" s="32" t="str">
        <x:v>Corregir exclusivamente el fixture de la regresión de routing D-010/D-007 en harness 0.1.4; mantener sin cambios la implementación de routing 0.1.3.</x:v>
      </x:c>
      <x:c r="E78" s="32" t="str">
        <x:v>El gate 0.1.3 llegó a 290 PASS y 1 FAIL. El FAIL ocurrió antes del assertion: ambos BaselineScenario de la regresión omitían `data_profile=latest-narrow` a pesar de habilitar Management pressure. Se agregan a ambos fixtures los parámetros canónicos data_refresh=10, latest-narrow, physical_partition_count=36 y balanced layout. El test count no cambia.</x:v>
      </x:c>
      <x:c r="F78" s="32" t="str">
        <x:v>D-010 0.1.3 gate: 1 failed / 290 passed; traceback BaselineScenario.__post_init__; patch 0.1.4</x:v>
      </x:c>
      <x:c r="G78" s="32" t="str">
        <x:v>Test-only. No production code, Core, Persistence, Runtime, source, metrics, resolver ni adoption cambian. El routing fix 0.1.3 sigue siendo el código bajo validación.</x:v>
      </x:c>
      <x:c r="H78" s="32" t="str">
        <x:v>Accepted</x:v>
      </x:c>
      <x:c r="I78" s="32" t="str">
        <x:v>Aplicar 0.1.4 sobre 0.1.3 y repetir Ruff/format/pytest; esperado 292/292 antes de relanzar D-010.</x:v>
      </x:c>
    </x:row>
    <x:row r="79">
      <x:c r="A79" s="32" t="str">
        <x:v>DEC-R35-075</x:v>
      </x:c>
      <x:c r="B79" s="32" t="n">
        <x:v>46261.865</x:v>
      </x:c>
      <x:c r="C79" s="32" t="str">
        <x:v>R3.5D Management / Decisions</x:v>
      </x:c>
      <x:c r="D79" s="32" t="str">
        <x:v>Restaurar en D-010 harness 0.1.5 la regresión bootstrap de 0.1.2 que se perdió al construir el test payload 0.1.3, manteniendo simultáneamente la regresión de routing corregida por 0.1.4.</x:v>
      </x:c>
      <x:c r="E79" s="32" t="str">
        <x:v>Comparación directa de los ZIP: 0.1.2 tenía 91 funciones test e incluía `test_stale_target_consumer_prepares_iteration_as_of_before_bootstrap_read`; 0.1.3 también tenía 91 porque agregó `test_stale_target_scenario_routes_to_single_execution_not_two_phase` pero eliminó accidentalmente la regresión bootstrap. 0.1.4 corrigió el fixture de routing y sus 291 tests pasaron, validando ese routing. 0.1.5 restaura exactamente la prueba bootstrap, elevando el archivo a 92 funciones test.</x:v>
      </x:c>
      <x:c r="F79" s="32" t="str">
        <x:v>D-010 0.1.4 gate: 291 passed in 3.52 s; direct ZIP diff 0.1.2→0.1.3→0.1.4; patch 0.1.5</x:v>
      </x:c>
      <x:c r="G79" s="32" t="str">
        <x:v>Test-only. No production code cambia. Clock fix 0.1.2 y routing fix 0.1.3 permanecen intactos. Este incremento corrige cobertura acumulativa, no comportamiento.</x:v>
      </x:c>
      <x:c r="H79" s="32" t="str">
        <x:v>Accepted</x:v>
      </x:c>
      <x:c r="I79" s="32" t="str">
        <x:v>Aplicar 0.1.5 sobre 0.1.4 y repetir gate; esperado verdadero 292/292 antes de relanzar D-010.</x:v>
      </x:c>
    </x:row>
    <x:row r="80">
      <x:c r="A80" s="32" t="str">
        <x:v>DEC-R35-076</x:v>
      </x:c>
      <x:c r="B80" s="32" t="n">
        <x:v>46261.8568</x:v>
      </x:c>
      <x:c r="C80" s="32" t="str">
        <x:v>R3.5D Management / Decisions</x:v>
      </x:c>
      <x:c r="D80" s="32" t="str">
        <x:v>Clasificar el FAIL del run D-010 550948d8... como falso negativo del harness y liberar 0.1.6 para alinear la adjudicación con la serialización durable real.</x:v>
      </x:c>
      <x:c r="E80" s="32" t="str">
        <x:v>Auditoría independiente reconstruyó 100/100 request→configuration removal→STALE_TARGET chains sin errores. OccurrenceChange persiste `closure_reason=configuration_removed`, no uppercase. El stale journey no serializa `discriminator`; cada commit decision contiene exactamente un DEACTIVATION_DECISION receipt y un `deactivation_decision_stale_target` journey del mismo alarm/occurrence/priority group. 0.1.6 usa esas dos propiedades reales para contar closures y correlacionar.</x:v>
      </x:c>
      <x:c r="F80" s="32" t="str">
        <x:v>Run 550948d8-3846-4cce-9f7b-29ed40bef027; independent WAL/snapshot audit; F-D010-001; patch 0.1.6</x:v>
      </x:c>
      <x:c r="G80" s="32" t="str">
        <x:v>Harness-only adjudication fix. No Core, Persistence, Runtime, source, revision resolver ni adoption executor cambia. Este run es evidencia de producto GREEN, pero D-010 permanece abierto hasta un rerun PASS del harness.</x:v>
      </x:c>
      <x:c r="H80" s="32" t="str">
        <x:v>Accepted</x:v>
      </x:c>
      <x:c r="I80" s="32" t="str">
        <x:v>Aplicar 0.1.6, repetir suite 292/292 y ejecutar una confirmación D-010 limpia de 180 s.</x:v>
      </x:c>
    </x:row>
    <x:row r="81">
      <x:c r="A81" s="32" t="str">
        <x:v>DEC-R35-077</x:v>
      </x:c>
      <x:c r="B81" s="32" t="n">
        <x:v>46261.8751</x:v>
      </x:c>
      <x:c r="C81" s="32" t="str">
        <x:v>R3.5D Management / Decisions</x:v>
      </x:c>
      <x:c r="D81" s="32" t="str">
        <x:v>Cerrar D-010 como PASS/GREEN y cerrar R3.5D 10/10 tras gate 0.1.6 292/292, run autoritativo PASS y auditoría durable independiente convergente.</x:v>
      </x:c>
      <x:c r="E81" s="32" t="str">
        <x:v>Run 24b97fa3-80b4-4f25-bab1-ca074d05590c: 100 PENDING_APPROVAL, 100 configuration_removed closures, 100 ManagementEffect STARTED/CLEARED, 100 STALE_TARGET, 0 APPLIED/DeactivationEffect, exact cursors 25600/25600 y pending=0/0/0. WAL=400 / 4,037,700 B with 100 groups × 4 records, 0 duplicate commits, 0 chain/snapshot mismatches, final 900 alarms and durable==materialized. One 5499.03 ms adoption overrun is accepted as Info characterization because correctness is exact and performance class remains GREEN.</x:v>
      </x:c>
      <x:c r="F81" s="32" t="str">
        <x:v>D-010 run 24b97fa3-80b4-4f25-bab1-ca074d05590c; harness 0.1.6 gate 292/292; F-D010-001; F-D010-002; results ZIP sha256 8cb8733c...; work ZIP sha256 43ff5feac...</x:v>
      </x:c>
      <x:c r="G81" s="32" t="str">
        <x:v>No open product finding remains in R3.5D. The adoption overrun becomes a reference point for R3.5E rather than a blocker. R3.5D Management/Decisions is complete 10/10.</x:v>
      </x:c>
      <x:c r="H81" s="32" t="str">
        <x:v>Accepted</x:v>
      </x:c>
      <x:c r="I81" s="32" t="str">
        <x:v>Begin R3.5E with E-001 Parameter-only adoption design; explicitly observe adoption duration against D-010.</x:v>
      </x:c>
    </x:row>
    <x:row r="82">
      <x:c r="A82" s="32" t="str">
        <x:v>DEC-R35-078</x:v>
      </x:c>
      <x:c r="B82" s="32" t="n">
        <x:v>46261.89</x:v>
      </x:c>
      <x:c r="C82" s="32" t="str">
        <x:v>R3.5E Configuration / Failure</x:v>
      </x:c>
      <x:c r="D82" s="32" t="str">
        <x:v>Definir E-001 como adopción parameter-only COMPATIBLE de PERF-AC-1 threshold 0.50 a PERF-AC-2 threshold 0.75 sobre 1000 alarmas ACTIVE, con ejecución única de 180 s y gate durable de cero commits artificiales.</x:v>
      </x:c>
      <x:c r="E82" s="32" t="str">
        <x:v>El contrato real clasifica cambios sólo de parameters como COMPATIBLE. AlarmConfigurationAdoptionExecutor devuelve commit_result=None si no existen materializations; JobComposition promueve entonces PERF-AC-2 y ejecuta el ciclo operacional normal en la misma iteración. Como signal=1.00 permanece ACTIVE para ambos thresholds y Evidence sampling es 300 s, una ejecución de 180 s no debe generar commits posteriores al bootstrap. Se exige cache efectivo PERF-AC-2 con snapshots state_basis PERF-AC-1 y WAL exacto=100.</x:v>
      </x:c>
      <x:c r="F82" s="32" t="str">
        <x:v>Contract inspection: plan_configuration_adoption, AlarmConfigurationAdoptionExecutor, AlarmRuntimeJobComposition._adopt_candidate, materialize_evidence/materialize_group_commit; E-001 harness 0.1.0 SHA-256 6c121a973538562e6e9bee0d6e046107cacb7a588109576d4166aedd60d14d85</x:v>
      </x:c>
      <x:c r="G82" s="32" t="str">
        <x:v>Harness-only: 7 files baseline/metrics/run + commented mirrors + tests. No product source, versions, dependencies or locks. D-010 5499.03 ms adoption duration is retained only as characterization reference.</x:v>
      </x:c>
      <x:c r="H82" s="32" t="str">
        <x:v>Accepted</x:v>
      </x:c>
      <x:c r="I82" s="32" t="str">
        <x:v>Apply harness on GLONBW11 and require Ruff/format green + 296/296 before running E-001 workload.</x:v>
      </x:c>
    </x:row>
    <x:row r="83">
      <x:c r="A83" s="32" t="str">
        <x:v>DEC-R35-079</x:v>
      </x:c>
      <x:c r="B83" s="32" t="n">
        <x:v>46261.902</x:v>
      </x:c>
      <x:c r="C83" s="32" t="str">
        <x:v>R3.5E Configuration / Failure</x:v>
      </x:c>
      <x:c r="D83" s="32" t="str">
        <x:v>Corregir exclusivamente el fixture RuntimeManifest de la regresión E-001 en harness 0.1.1, cambiando schema_version de int 1 a string '1'.</x:v>
      </x:c>
      <x:c r="E83" s="32" t="str">
        <x:v>El gate 0.1.0 quedó Ruff/format verde y pytest 295 PASS / 1 FAIL. El FAIL ocurrió antes del assertion de E-001 porque RuntimeManifest.__post_init__ valida schema_version con `_required_text()`. El fixture sintético usó un tipo inválido; el contrato productivo exige string no vacío. No se modifica ni relaja la validación productiva.</x:v>
      </x:c>
      <x:c r="F83" s="32" t="str">
        <x:v>E-001 gate 0.1.0: 1 failed / 295 passed; revision_resolution.py RuntimeManifest contract; patch 0.1.1</x:v>
      </x:c>
      <x:c r="G83" s="32" t="str">
        <x:v>Test-only. No baseline/metrics/run, Core, Runtime, resolver, adoption, versions, dependencies o locks cambian. El suite esperado permanece en 296.</x:v>
      </x:c>
      <x:c r="H83" s="32" t="str">
        <x:v>Accepted</x:v>
      </x:c>
      <x:c r="I83" s="32" t="str">
        <x:v>Aplicar 0.1.1 sobre 0.1.0 y repetir Ruff/format/pytest; sólo con 296/296 ejecutar workload E-001.</x:v>
      </x:c>
    </x:row>
    <x:row r="84">
      <x:c r="A84" s="32" t="str">
        <x:v>DEC-R35-080</x:v>
      </x:c>
      <x:c r="B84" s="32" t="n">
        <x:v>46261.91</x:v>
      </x:c>
      <x:c r="C84" s="32" t="str">
        <x:v>R3.5E Configuration / Failure</x:v>
      </x:c>
      <x:c r="D84" s="32" t="str">
        <x:v>Corregir el fixture RuntimeManifest E-001 para consumir directamente `RUNTIME_MANIFEST_SCHEMA_VERSION` en vez de hardcodear `'1'`.</x:v>
      </x:c>
      <x:c r="E84" s="32" t="str">
        <x:v>El gate 0.1.1 confirmó que schema_version no sólo debe ser string: debe coincidir exactamente con el schema soportado por RuntimeManifest. El contrato público exporta `RUNTIME_MANIFEST_SCHEMA_VERSION` y su valor actual es `alarm-runtime-manifest.v1`; otros tests productivos ya usan esta constante. Usarla en E-001 evita duplicar un literal contractual y mantiene la regresión alineada a futuras revisiones.</x:v>
      </x:c>
      <x:c r="F84" s="32" t="str">
        <x:v>E-001 gate 0.1.1: 1 failed / 295 passed; revision_resolution.py constant and existing resolver/composition tests; patch 0.1.2 SHA-256 81ec7daa725fbec330f3639515552a6ce3326af661be782da0b6e25c34441c09</x:v>
      </x:c>
      <x:c r="G84" s="32" t="str">
        <x:v>Test-only. No baseline/metrics/run, Core, Runtime, resolver, adoption, versions, dependencies o locks cambian. Suite esperado permanece 296.</x:v>
      </x:c>
      <x:c r="H84" s="32" t="str">
        <x:v>Accepted</x:v>
      </x:c>
      <x:c r="I84" s="32" t="str">
        <x:v>Aplicar 0.1.2 sobre 0.1.1 y repetir Ruff/format/pytest; sólo con 296/296 ejecutar workload E-001.</x:v>
      </x:c>
    </x:row>
    <x:row r="85">
      <x:c r="A85" s="32" t="str">
        <x:v>DEC-R35-081</x:v>
      </x:c>
      <x:c r="B85" s="32" t="n">
        <x:v>46261.918</x:v>
      </x:c>
      <x:c r="C85" s="32" t="str">
        <x:v>R3.5E Configuration / Failure</x:v>
      </x:c>
      <x:c r="D85" s="32" t="str">
        <x:v>Cerrar E-001 Parameter-only adoption como PASS/GREEN y aceptar como evidencia que una adopción 1000×COMPATIBLE promueve PERF-AC-2 sin fabricar commits durables ni reescribir snapshots.</x:v>
      </x:c>
      <x:c r="E85" s="32" t="str">
        <x:v>Run 29fdaf99-f789-4401-8866-a1cd9cff2bac: plan 1000 COMPATIBLE y cero otras dispositions; adoption iteration #13=1346.11 ms, cycle_executed=true; 24 iteraciones posteriores CACHE_CURRENT; cache final PERF-AC-2. WAL exacto 100 records / 2,030,800 B, todos PERF-AC-1 bootstrap y 0 PERF-AC-2; 100 snapshots siguen state_basis PERF-AC-1; 1000 occurrences abiertas; 0 duplicate commits/chains/materialized mismatches; 0 overruns. La adoption compatible fue ~75.5% más corta que la remoción D-010.</x:v>
      </x:c>
      <x:c r="F85" s="32" t="str">
        <x:v>E-001 run 29fdaf99-f789-4401-8866-a1cd9cff2bac; harness 0.1.2 gate 296/296; results ZIP sha256 c2c41ddac04b26114158899ad53c862ce853c08ff13537bb6e02fdb7cf81cd18; work ZIP sha256 96b1fbb88a15c170e530398aed0aa4fc65772e7aa3b8c8af582adf5d2fefb773</x:v>
      </x:c>
      <x:c r="G85" s="32" t="str">
        <x:v>No product finding. Confirms explicit separation between effective runtime configuration and durable state_basis when a compatible parameter adoption causes no operational state mutation.</x:v>
      </x:c>
      <x:c r="H85" s="32" t="str">
        <x:v>Accepted</x:v>
      </x:c>
      <x:c r="I85" s="32" t="str">
        <x:v>Proceed to E-002 C2 routing adoption design.</x:v>
      </x:c>
    </x:row>
    <x:row r="86">
      <x:c r="A86" s="32"/>
      <x:c r="B86" s="32"/>
      <x:c r="C86" s="32"/>
      <x:c r="D86" s="32"/>
      <x:c r="E86" s="32"/>
      <x:c r="F86" s="32"/>
      <x:c r="G86" s="32"/>
      <x:c r="H86" s="32"/>
      <x:c r="I86" s="32"/>
    </x:row>
    <x:row r="87">
      <x:c r="A87" s="32"/>
      <x:c r="B87" s="32"/>
      <x:c r="C87" s="32"/>
      <x:c r="D87" s="32"/>
      <x:c r="E87" s="32"/>
      <x:c r="F87" s="32"/>
      <x:c r="G87" s="32"/>
      <x:c r="H87" s="32"/>
      <x:c r="I87" s="32"/>
    </x:row>
    <x:row r="88">
      <x:c r="A88" s="32"/>
      <x:c r="B88" s="32"/>
      <x:c r="C88" s="32"/>
      <x:c r="D88" s="32"/>
      <x:c r="E88" s="32"/>
      <x:c r="F88" s="32"/>
      <x:c r="G88" s="32"/>
      <x:c r="H88" s="32"/>
      <x:c r="I88" s="32"/>
    </x:row>
    <x:row r="89">
      <x:c r="A89" s="32"/>
      <x:c r="B89" s="32"/>
      <x:c r="C89" s="32"/>
      <x:c r="D89" s="32"/>
      <x:c r="E89" s="32"/>
      <x:c r="F89" s="32"/>
      <x:c r="G89" s="32"/>
      <x:c r="H89" s="32"/>
      <x:c r="I89" s="32"/>
    </x:row>
    <x:row r="90">
      <x:c r="A90" s="32"/>
      <x:c r="B90" s="32"/>
      <x:c r="C90" s="32"/>
      <x:c r="D90" s="32"/>
      <x:c r="E90" s="32"/>
      <x:c r="F90" s="32"/>
      <x:c r="G90" s="32"/>
      <x:c r="H90" s="32"/>
      <x:c r="I90" s="32"/>
    </x:row>
    <x:row r="91">
      <x:c r="A91" s="32"/>
      <x:c r="B91" s="32"/>
      <x:c r="C91" s="32"/>
      <x:c r="D91" s="32"/>
      <x:c r="E91" s="32"/>
      <x:c r="F91" s="32"/>
      <x:c r="G91" s="32"/>
      <x:c r="H91" s="32"/>
      <x:c r="I91" s="32"/>
    </x:row>
    <x:row r="92">
      <x:c r="A92" s="32"/>
      <x:c r="B92" s="32"/>
      <x:c r="C92" s="32"/>
      <x:c r="D92" s="32"/>
      <x:c r="E92" s="32"/>
      <x:c r="F92" s="32"/>
      <x:c r="G92" s="32"/>
      <x:c r="H92" s="32"/>
      <x:c r="I92" s="32"/>
    </x:row>
    <x:row r="93">
      <x:c r="A93" s="32"/>
      <x:c r="B93" s="32"/>
      <x:c r="C93" s="32"/>
      <x:c r="D93" s="32"/>
      <x:c r="E93" s="32"/>
      <x:c r="F93" s="32"/>
      <x:c r="G93" s="32"/>
      <x:c r="H93" s="32"/>
      <x:c r="I93" s="32"/>
    </x:row>
    <x:row r="94">
      <x:c r="A94" s="32"/>
      <x:c r="B94" s="32"/>
      <x:c r="C94" s="32"/>
      <x:c r="D94" s="32"/>
      <x:c r="E94" s="32"/>
      <x:c r="F94" s="32"/>
      <x:c r="G94" s="32"/>
      <x:c r="H94" s="32"/>
      <x:c r="I94" s="32"/>
    </x:row>
    <x:row r="95">
      <x:c r="A95" s="32"/>
      <x:c r="B95" s="32"/>
      <x:c r="C95" s="32"/>
      <x:c r="D95" s="32"/>
      <x:c r="E95" s="32"/>
      <x:c r="F95" s="32"/>
      <x:c r="G95" s="32"/>
      <x:c r="H95" s="32"/>
      <x:c r="I95" s="32"/>
    </x:row>
    <x:row r="96">
      <x:c r="A96" s="32"/>
      <x:c r="B96" s="32"/>
      <x:c r="C96" s="32"/>
      <x:c r="D96" s="32"/>
      <x:c r="E96" s="32"/>
      <x:c r="F96" s="32"/>
      <x:c r="G96" s="32"/>
      <x:c r="H96" s="32"/>
      <x:c r="I96" s="32"/>
    </x:row>
    <x:row r="97">
      <x:c r="A97" s="32"/>
      <x:c r="B97" s="32"/>
      <x:c r="C97" s="32"/>
      <x:c r="D97" s="32"/>
      <x:c r="E97" s="32"/>
      <x:c r="F97" s="32"/>
      <x:c r="G97" s="32"/>
      <x:c r="H97" s="32"/>
      <x:c r="I97" s="32"/>
    </x:row>
    <x:row r="98">
      <x:c r="A98" s="32"/>
      <x:c r="B98" s="32"/>
      <x:c r="C98" s="32"/>
      <x:c r="D98" s="32"/>
      <x:c r="E98" s="32"/>
      <x:c r="F98" s="32"/>
      <x:c r="G98" s="32"/>
      <x:c r="H98" s="32"/>
      <x:c r="I98" s="32"/>
    </x:row>
    <x:row r="99">
      <x:c r="A99" s="32"/>
      <x:c r="B99" s="32"/>
      <x:c r="C99" s="32"/>
      <x:c r="D99" s="32"/>
      <x:c r="E99" s="32"/>
      <x:c r="F99" s="32"/>
      <x:c r="G99" s="32"/>
      <x:c r="H99" s="32"/>
      <x:c r="I99" s="32"/>
    </x:row>
    <x:row r="100">
      <x:c r="A100" s="32"/>
      <x:c r="B100" s="32"/>
      <x:c r="C100" s="32"/>
      <x:c r="D100" s="32"/>
      <x:c r="E100" s="32"/>
      <x:c r="F100" s="32"/>
      <x:c r="G100" s="32"/>
      <x:c r="H100" s="32"/>
      <x:c r="I100" s="32"/>
    </x:row>
    <x:row r="101">
      <x:c r="A101" s="32"/>
      <x:c r="B101" s="32"/>
      <x:c r="C101" s="32"/>
      <x:c r="D101" s="32"/>
      <x:c r="E101" s="32"/>
      <x:c r="F101" s="32"/>
      <x:c r="G101" s="32"/>
      <x:c r="H101" s="32"/>
      <x:c r="I101" s="32"/>
    </x:row>
    <x:row r="102">
      <x:c r="A102" s="32"/>
      <x:c r="B102" s="32"/>
      <x:c r="C102" s="32"/>
      <x:c r="D102" s="32"/>
      <x:c r="E102" s="32"/>
      <x:c r="F102" s="32"/>
      <x:c r="G102" s="32"/>
      <x:c r="H102" s="32"/>
      <x:c r="I102" s="32"/>
    </x:row>
    <x:row r="103">
      <x:c r="A103" s="32"/>
      <x:c r="B103" s="32"/>
      <x:c r="C103" s="32"/>
      <x:c r="D103" s="32"/>
      <x:c r="E103" s="32"/>
      <x:c r="F103" s="32"/>
      <x:c r="G103" s="32"/>
      <x:c r="H103" s="32"/>
      <x:c r="I103" s="32"/>
    </x:row>
    <x:row r="104">
      <x:c r="A104" s="32"/>
      <x:c r="B104" s="32"/>
      <x:c r="C104" s="32"/>
      <x:c r="D104" s="32"/>
      <x:c r="E104" s="32"/>
      <x:c r="F104" s="32"/>
      <x:c r="G104" s="32"/>
      <x:c r="H104" s="32"/>
      <x:c r="I104" s="32"/>
    </x:row>
    <x:row r="105">
      <x:c r="A105" s="32"/>
      <x:c r="B105" s="32"/>
      <x:c r="C105" s="32"/>
      <x:c r="D105" s="32"/>
      <x:c r="E105" s="32"/>
      <x:c r="F105" s="32"/>
      <x:c r="G105" s="32"/>
      <x:c r="H105" s="32"/>
      <x:c r="I105" s="32"/>
    </x:row>
    <x:row r="106">
      <x:c r="A106" s="32"/>
      <x:c r="B106" s="32"/>
      <x:c r="C106" s="32"/>
      <x:c r="D106" s="32"/>
      <x:c r="E106" s="32"/>
      <x:c r="F106" s="32"/>
      <x:c r="G106" s="32"/>
      <x:c r="H106" s="32"/>
      <x:c r="I106" s="32"/>
    </x:row>
    <x:row r="107">
      <x:c r="A107" s="32"/>
      <x:c r="B107" s="32"/>
      <x:c r="C107" s="32"/>
      <x:c r="D107" s="32"/>
      <x:c r="E107" s="32"/>
      <x:c r="F107" s="32"/>
      <x:c r="G107" s="32"/>
      <x:c r="H107" s="32"/>
      <x:c r="I107" s="32"/>
    </x:row>
    <x:row r="108">
      <x:c r="A108" s="32"/>
      <x:c r="B108" s="32"/>
      <x:c r="C108" s="32"/>
      <x:c r="D108" s="32"/>
      <x:c r="E108" s="32"/>
      <x:c r="F108" s="32"/>
      <x:c r="G108" s="32"/>
      <x:c r="H108" s="32"/>
      <x:c r="I108" s="32"/>
    </x:row>
    <x:row r="109">
      <x:c r="A109" s="32"/>
      <x:c r="B109" s="32"/>
      <x:c r="C109" s="32"/>
      <x:c r="D109" s="32"/>
      <x:c r="E109" s="32"/>
      <x:c r="F109" s="32"/>
      <x:c r="G109" s="32"/>
      <x:c r="H109" s="32"/>
      <x:c r="I109" s="32"/>
    </x:row>
    <x:row r="110">
      <x:c r="A110" s="32"/>
      <x:c r="B110" s="32"/>
      <x:c r="C110" s="32"/>
      <x:c r="D110" s="32"/>
      <x:c r="E110" s="32"/>
      <x:c r="F110" s="32"/>
      <x:c r="G110" s="32"/>
      <x:c r="H110" s="32"/>
      <x:c r="I110" s="32"/>
    </x:row>
    <x:row r="111">
      <x:c r="A111" s="32"/>
      <x:c r="B111" s="32"/>
      <x:c r="C111" s="32"/>
      <x:c r="D111" s="32"/>
      <x:c r="E111" s="32"/>
      <x:c r="F111" s="32"/>
      <x:c r="G111" s="32"/>
      <x:c r="H111" s="32"/>
      <x:c r="I111" s="32"/>
    </x:row>
    <x:row r="112">
      <x:c r="A112" s="32"/>
      <x:c r="B112" s="32"/>
      <x:c r="C112" s="32"/>
      <x:c r="D112" s="32"/>
      <x:c r="E112" s="32"/>
      <x:c r="F112" s="32"/>
      <x:c r="G112" s="32"/>
      <x:c r="H112" s="32"/>
      <x:c r="I112" s="32"/>
    </x:row>
    <x:row r="113">
      <x:c r="A113" s="32"/>
      <x:c r="B113" s="32"/>
      <x:c r="C113" s="32"/>
      <x:c r="D113" s="32"/>
      <x:c r="E113" s="32"/>
      <x:c r="F113" s="32"/>
      <x:c r="G113" s="32"/>
      <x:c r="H113" s="32"/>
      <x:c r="I113" s="32"/>
    </x:row>
    <x:row r="114">
      <x:c r="A114" s="32"/>
      <x:c r="B114" s="32"/>
      <x:c r="C114" s="32"/>
      <x:c r="D114" s="32"/>
      <x:c r="E114" s="32"/>
      <x:c r="F114" s="32"/>
      <x:c r="G114" s="32"/>
      <x:c r="H114" s="32"/>
      <x:c r="I114" s="32"/>
    </x:row>
    <x:row r="115">
      <x:c r="A115" s="32"/>
      <x:c r="B115" s="32"/>
      <x:c r="C115" s="32"/>
      <x:c r="D115" s="32"/>
      <x:c r="E115" s="32"/>
      <x:c r="F115" s="32"/>
      <x:c r="G115" s="32"/>
      <x:c r="H115" s="32"/>
      <x:c r="I115" s="32"/>
    </x:row>
    <x:row r="116">
      <x:c r="A116" s="32"/>
      <x:c r="B116" s="32"/>
      <x:c r="C116" s="32"/>
      <x:c r="D116" s="32"/>
      <x:c r="E116" s="32"/>
      <x:c r="F116" s="32"/>
      <x:c r="G116" s="32"/>
      <x:c r="H116" s="32"/>
      <x:c r="I116" s="32"/>
    </x:row>
    <x:row r="117">
      <x:c r="A117" s="32"/>
      <x:c r="B117" s="32"/>
      <x:c r="C117" s="32"/>
      <x:c r="D117" s="32"/>
      <x:c r="E117" s="32"/>
      <x:c r="F117" s="32"/>
      <x:c r="G117" s="32"/>
      <x:c r="H117" s="32"/>
      <x:c r="I117" s="32"/>
    </x:row>
    <x:row r="118">
      <x:c r="A118" s="32"/>
      <x:c r="B118" s="32"/>
      <x:c r="C118" s="32"/>
      <x:c r="D118" s="32"/>
      <x:c r="E118" s="32"/>
      <x:c r="F118" s="32"/>
      <x:c r="G118" s="32"/>
      <x:c r="H118" s="32"/>
      <x:c r="I118" s="32"/>
    </x:row>
    <x:row r="119">
      <x:c r="A119" s="32"/>
      <x:c r="B119" s="32"/>
      <x:c r="C119" s="32"/>
      <x:c r="D119" s="32"/>
      <x:c r="E119" s="32"/>
      <x:c r="F119" s="32"/>
      <x:c r="G119" s="32"/>
      <x:c r="H119" s="32"/>
      <x:c r="I119" s="32"/>
    </x:row>
    <x:row r="120">
      <x:c r="A120" s="32"/>
      <x:c r="B120" s="32"/>
      <x:c r="C120" s="32"/>
      <x:c r="D120" s="32"/>
      <x:c r="E120" s="32"/>
      <x:c r="F120" s="32"/>
      <x:c r="G120" s="32"/>
      <x:c r="H120" s="32"/>
      <x:c r="I120" s="32"/>
    </x:row>
    <x:row r="121">
      <x:c r="A121" s="32"/>
      <x:c r="B121" s="32"/>
      <x:c r="C121" s="32"/>
      <x:c r="D121" s="32"/>
      <x:c r="E121" s="32"/>
      <x:c r="F121" s="32"/>
      <x:c r="G121" s="32"/>
      <x:c r="H121" s="32"/>
      <x:c r="I121" s="32"/>
    </x:row>
    <x:row r="122">
      <x:c r="A122" s="32"/>
      <x:c r="B122" s="32"/>
      <x:c r="C122" s="32"/>
      <x:c r="D122" s="32"/>
      <x:c r="E122" s="32"/>
      <x:c r="F122" s="32"/>
      <x:c r="G122" s="32"/>
      <x:c r="H122" s="32"/>
      <x:c r="I122" s="32"/>
    </x:row>
    <x:row r="123">
      <x:c r="A123" s="32"/>
      <x:c r="B123" s="32"/>
      <x:c r="C123" s="32"/>
      <x:c r="D123" s="32"/>
      <x:c r="E123" s="32"/>
      <x:c r="F123" s="32"/>
      <x:c r="G123" s="32"/>
      <x:c r="H123" s="32"/>
      <x:c r="I123" s="32"/>
    </x:row>
    <x:row r="124">
      <x:c r="A124" s="32"/>
      <x:c r="B124" s="32"/>
      <x:c r="C124" s="32"/>
      <x:c r="D124" s="32"/>
      <x:c r="E124" s="32"/>
      <x:c r="F124" s="32"/>
      <x:c r="G124" s="32"/>
      <x:c r="H124" s="32"/>
      <x:c r="I124" s="32"/>
    </x:row>
    <x:row r="125">
      <x:c r="A125" s="32"/>
      <x:c r="B125" s="32"/>
      <x:c r="C125" s="32"/>
      <x:c r="D125" s="32"/>
      <x:c r="E125" s="32"/>
      <x:c r="F125" s="32"/>
      <x:c r="G125" s="32"/>
      <x:c r="H125" s="32"/>
      <x:c r="I125" s="32"/>
    </x:row>
    <x:row r="126">
      <x:c r="A126" s="32"/>
      <x:c r="B126" s="32"/>
      <x:c r="C126" s="32"/>
      <x:c r="D126" s="32"/>
      <x:c r="E126" s="32"/>
      <x:c r="F126" s="32"/>
      <x:c r="G126" s="32"/>
      <x:c r="H126" s="32"/>
      <x:c r="I126" s="32"/>
    </x:row>
    <x:row r="127">
      <x:c r="A127" s="32"/>
      <x:c r="B127" s="32"/>
      <x:c r="C127" s="32"/>
      <x:c r="D127" s="32"/>
      <x:c r="E127" s="32"/>
      <x:c r="F127" s="32"/>
      <x:c r="G127" s="32"/>
      <x:c r="H127" s="32"/>
      <x:c r="I127" s="32"/>
    </x:row>
    <x:row r="128">
      <x:c r="A128" s="32"/>
      <x:c r="B128" s="32"/>
      <x:c r="C128" s="32"/>
      <x:c r="D128" s="32"/>
      <x:c r="E128" s="32"/>
      <x:c r="F128" s="32"/>
      <x:c r="G128" s="32"/>
      <x:c r="H128" s="32"/>
      <x:c r="I128" s="32"/>
    </x:row>
    <x:row r="129">
      <x:c r="A129" s="32"/>
      <x:c r="B129" s="32"/>
      <x:c r="C129" s="32"/>
      <x:c r="D129" s="32"/>
      <x:c r="E129" s="32"/>
      <x:c r="F129" s="32"/>
      <x:c r="G129" s="32"/>
      <x:c r="H129" s="32"/>
      <x:c r="I129" s="32"/>
    </x:row>
    <x:row r="130">
      <x:c r="A130" s="32"/>
      <x:c r="B130" s="32"/>
      <x:c r="C130" s="32"/>
      <x:c r="D130" s="32"/>
      <x:c r="E130" s="32"/>
      <x:c r="F130" s="32"/>
      <x:c r="G130" s="32"/>
      <x:c r="H130" s="32"/>
      <x:c r="I130" s="32"/>
    </x:row>
    <x:row r="131">
      <x:c r="A131" s="32"/>
      <x:c r="B131" s="32"/>
      <x:c r="C131" s="32"/>
      <x:c r="D131" s="32"/>
      <x:c r="E131" s="32"/>
      <x:c r="F131" s="32"/>
      <x:c r="G131" s="32"/>
      <x:c r="H131" s="32"/>
      <x:c r="I131" s="32"/>
    </x:row>
    <x:row r="132">
      <x:c r="A132" s="32"/>
      <x:c r="B132" s="32"/>
      <x:c r="C132" s="32"/>
      <x:c r="D132" s="32"/>
      <x:c r="E132" s="32"/>
      <x:c r="F132" s="32"/>
      <x:c r="G132" s="32"/>
      <x:c r="H132" s="32"/>
      <x:c r="I132" s="32"/>
    </x:row>
    <x:row r="133">
      <x:c r="A133" s="32"/>
      <x:c r="B133" s="32"/>
      <x:c r="C133" s="32"/>
      <x:c r="D133" s="32"/>
      <x:c r="E133" s="32"/>
      <x:c r="F133" s="32"/>
      <x:c r="G133" s="32"/>
      <x:c r="H133" s="32"/>
      <x:c r="I133" s="32"/>
    </x:row>
    <x:row r="134">
      <x:c r="A134" s="32"/>
      <x:c r="B134" s="32"/>
      <x:c r="C134" s="32"/>
      <x:c r="D134" s="32"/>
      <x:c r="E134" s="32"/>
      <x:c r="F134" s="32"/>
      <x:c r="G134" s="32"/>
      <x:c r="H134" s="32"/>
      <x:c r="I134" s="32"/>
    </x:row>
    <x:row r="135">
      <x:c r="A135" s="32"/>
      <x:c r="B135" s="32"/>
      <x:c r="C135" s="32"/>
      <x:c r="D135" s="32"/>
      <x:c r="E135" s="32"/>
      <x:c r="F135" s="32"/>
      <x:c r="G135" s="32"/>
      <x:c r="H135" s="32"/>
      <x:c r="I135" s="32"/>
    </x:row>
    <x:row r="136">
      <x:c r="A136" s="32"/>
      <x:c r="B136" s="32"/>
      <x:c r="C136" s="32"/>
      <x:c r="D136" s="32"/>
      <x:c r="E136" s="32"/>
      <x:c r="F136" s="32"/>
      <x:c r="G136" s="32"/>
      <x:c r="H136" s="32"/>
      <x:c r="I136" s="32"/>
    </x:row>
    <x:row r="137">
      <x:c r="A137" s="32"/>
      <x:c r="B137" s="32"/>
      <x:c r="C137" s="32"/>
      <x:c r="D137" s="32"/>
      <x:c r="E137" s="32"/>
      <x:c r="F137" s="32"/>
      <x:c r="G137" s="32"/>
      <x:c r="H137" s="32"/>
      <x:c r="I137" s="32"/>
    </x:row>
    <x:row r="138">
      <x:c r="A138" s="32"/>
      <x:c r="B138" s="32"/>
      <x:c r="C138" s="32"/>
      <x:c r="D138" s="32"/>
      <x:c r="E138" s="32"/>
      <x:c r="F138" s="32"/>
      <x:c r="G138" s="32"/>
      <x:c r="H138" s="32"/>
      <x:c r="I138" s="32"/>
    </x:row>
    <x:row r="139">
      <x:c r="A139" s="32"/>
      <x:c r="B139" s="32"/>
      <x:c r="C139" s="32"/>
      <x:c r="D139" s="32"/>
      <x:c r="E139" s="32"/>
      <x:c r="F139" s="32"/>
      <x:c r="G139" s="32"/>
      <x:c r="H139" s="32"/>
      <x:c r="I139" s="32"/>
    </x:row>
    <x:row r="140">
      <x:c r="A140" s="32"/>
      <x:c r="B140" s="32"/>
      <x:c r="C140" s="32"/>
      <x:c r="D140" s="32"/>
      <x:c r="E140" s="32"/>
      <x:c r="F140" s="32"/>
      <x:c r="G140" s="32"/>
      <x:c r="H140" s="32"/>
      <x:c r="I140" s="32"/>
    </x:row>
    <x:row r="141">
      <x:c r="A141" s="32"/>
      <x:c r="B141" s="32"/>
      <x:c r="C141" s="32"/>
      <x:c r="D141" s="32"/>
      <x:c r="E141" s="32"/>
      <x:c r="F141" s="32"/>
      <x:c r="G141" s="32"/>
      <x:c r="H141" s="32"/>
      <x:c r="I141" s="32"/>
    </x:row>
    <x:row r="142">
      <x:c r="A142" s="32"/>
      <x:c r="B142" s="32"/>
      <x:c r="C142" s="32"/>
      <x:c r="D142" s="32"/>
      <x:c r="E142" s="32"/>
      <x:c r="F142" s="32"/>
      <x:c r="G142" s="32"/>
      <x:c r="H142" s="32"/>
      <x:c r="I142" s="32"/>
    </x:row>
    <x:row r="143">
      <x:c r="A143" s="32"/>
      <x:c r="B143" s="32"/>
      <x:c r="C143" s="32"/>
      <x:c r="D143" s="32"/>
      <x:c r="E143" s="32"/>
      <x:c r="F143" s="32"/>
      <x:c r="G143" s="32"/>
      <x:c r="H143" s="32"/>
      <x:c r="I143" s="32"/>
    </x:row>
    <x:row r="144">
      <x:c r="A144" s="32"/>
      <x:c r="B144" s="32"/>
      <x:c r="C144" s="32"/>
      <x:c r="D144" s="32"/>
      <x:c r="E144" s="32"/>
      <x:c r="F144" s="32"/>
      <x:c r="G144" s="32"/>
      <x:c r="H144" s="32"/>
      <x:c r="I144" s="32"/>
    </x:row>
    <x:row r="145">
      <x:c r="A145" s="32"/>
      <x:c r="B145" s="32"/>
      <x:c r="C145" s="32"/>
      <x:c r="D145" s="32"/>
      <x:c r="E145" s="32"/>
      <x:c r="F145" s="32"/>
      <x:c r="G145" s="32"/>
      <x:c r="H145" s="32"/>
      <x:c r="I145" s="32"/>
    </x:row>
    <x:row r="146">
      <x:c r="A146" s="32"/>
      <x:c r="B146" s="32"/>
      <x:c r="C146" s="32"/>
      <x:c r="D146" s="32"/>
      <x:c r="E146" s="32"/>
      <x:c r="F146" s="32"/>
      <x:c r="G146" s="32"/>
      <x:c r="H146" s="32"/>
      <x:c r="I146" s="32"/>
    </x:row>
    <x:row r="147">
      <x:c r="A147" s="32"/>
      <x:c r="B147" s="32"/>
      <x:c r="C147" s="32"/>
      <x:c r="D147" s="32"/>
      <x:c r="E147" s="32"/>
      <x:c r="F147" s="32"/>
      <x:c r="G147" s="32"/>
      <x:c r="H147" s="32"/>
      <x:c r="I147" s="32"/>
    </x:row>
    <x:row r="148">
      <x:c r="A148" s="32"/>
      <x:c r="B148" s="32"/>
      <x:c r="C148" s="32"/>
      <x:c r="D148" s="32"/>
      <x:c r="E148" s="32"/>
      <x:c r="F148" s="32"/>
      <x:c r="G148" s="32"/>
      <x:c r="H148" s="32"/>
      <x:c r="I148" s="32"/>
    </x:row>
    <x:row r="149">
      <x:c r="A149" s="32"/>
      <x:c r="B149" s="32"/>
      <x:c r="C149" s="32"/>
      <x:c r="D149" s="32"/>
      <x:c r="E149" s="32"/>
      <x:c r="F149" s="32"/>
      <x:c r="G149" s="32"/>
      <x:c r="H149" s="32"/>
      <x:c r="I149" s="32"/>
    </x:row>
    <x:row r="150">
      <x:c r="A150" s="32"/>
      <x:c r="B150" s="32"/>
      <x:c r="C150" s="32"/>
      <x:c r="D150" s="32"/>
      <x:c r="E150" s="32"/>
      <x:c r="F150" s="32"/>
      <x:c r="G150" s="32"/>
      <x:c r="H150" s="32"/>
      <x:c r="I150" s="32"/>
    </x:row>
    <x:row r="151">
      <x:c r="A151" s="32"/>
      <x:c r="B151" s="32"/>
      <x:c r="C151" s="32"/>
      <x:c r="D151" s="32"/>
      <x:c r="E151" s="32"/>
      <x:c r="F151" s="32"/>
      <x:c r="G151" s="32"/>
      <x:c r="H151" s="32"/>
      <x:c r="I151" s="32"/>
    </x:row>
    <x:row r="152">
      <x:c r="A152" s="32"/>
      <x:c r="B152" s="32"/>
      <x:c r="C152" s="32"/>
      <x:c r="D152" s="32"/>
      <x:c r="E152" s="32"/>
      <x:c r="F152" s="32"/>
      <x:c r="G152" s="32"/>
      <x:c r="H152" s="32"/>
      <x:c r="I152" s="32"/>
    </x:row>
    <x:row r="153">
      <x:c r="A153" s="32"/>
      <x:c r="B153" s="32"/>
      <x:c r="C153" s="32"/>
      <x:c r="D153" s="32"/>
      <x:c r="E153" s="32"/>
      <x:c r="F153" s="32"/>
      <x:c r="G153" s="32"/>
      <x:c r="H153" s="32"/>
      <x:c r="I153" s="32"/>
    </x:row>
    <x:row r="154">
      <x:c r="A154" s="32"/>
      <x:c r="B154" s="32"/>
      <x:c r="C154" s="32"/>
      <x:c r="D154" s="32"/>
      <x:c r="E154" s="32"/>
      <x:c r="F154" s="32"/>
      <x:c r="G154" s="32"/>
      <x:c r="H154" s="32"/>
      <x:c r="I154" s="32"/>
    </x:row>
    <x:row r="155">
      <x:c r="A155" s="32"/>
      <x:c r="B155" s="32"/>
      <x:c r="C155" s="32"/>
      <x:c r="D155" s="32"/>
      <x:c r="E155" s="32"/>
      <x:c r="F155" s="32"/>
      <x:c r="G155" s="32"/>
      <x:c r="H155" s="32"/>
      <x:c r="I155" s="32"/>
    </x:row>
    <x:row r="156">
      <x:c r="A156" s="32"/>
      <x:c r="B156" s="32"/>
      <x:c r="C156" s="32"/>
      <x:c r="D156" s="32"/>
      <x:c r="E156" s="32"/>
      <x:c r="F156" s="32"/>
      <x:c r="G156" s="32"/>
      <x:c r="H156" s="32"/>
      <x:c r="I156" s="32"/>
    </x:row>
    <x:row r="157">
      <x:c r="A157" s="32"/>
      <x:c r="B157" s="32"/>
      <x:c r="C157" s="32"/>
      <x:c r="D157" s="32"/>
      <x:c r="E157" s="32"/>
      <x:c r="F157" s="32"/>
      <x:c r="G157" s="32"/>
      <x:c r="H157" s="32"/>
      <x:c r="I157" s="32"/>
    </x:row>
    <x:row r="158">
      <x:c r="A158" s="32"/>
      <x:c r="B158" s="32"/>
      <x:c r="C158" s="32"/>
      <x:c r="D158" s="32"/>
      <x:c r="E158" s="32"/>
      <x:c r="F158" s="32"/>
      <x:c r="G158" s="32"/>
      <x:c r="H158" s="32"/>
      <x:c r="I158" s="32"/>
    </x:row>
    <x:row r="159">
      <x:c r="A159" s="32"/>
      <x:c r="B159" s="32"/>
      <x:c r="C159" s="32"/>
      <x:c r="D159" s="32"/>
      <x:c r="E159" s="32"/>
      <x:c r="F159" s="32"/>
      <x:c r="G159" s="32"/>
      <x:c r="H159" s="32"/>
      <x:c r="I159" s="32"/>
    </x:row>
    <x:row r="160">
      <x:c r="A160" s="32"/>
      <x:c r="B160" s="32"/>
      <x:c r="C160" s="32"/>
      <x:c r="D160" s="32"/>
      <x:c r="E160" s="32"/>
      <x:c r="F160" s="32"/>
      <x:c r="G160" s="32"/>
      <x:c r="H160" s="32"/>
      <x:c r="I160" s="32"/>
    </x:row>
    <x:row r="161">
      <x:c r="A161" s="32"/>
      <x:c r="B161" s="32"/>
      <x:c r="C161" s="32"/>
      <x:c r="D161" s="32"/>
      <x:c r="E161" s="32"/>
      <x:c r="F161" s="32"/>
      <x:c r="G161" s="32"/>
      <x:c r="H161" s="32"/>
      <x:c r="I161" s="32"/>
    </x:row>
    <x:row r="162">
      <x:c r="A162" s="32"/>
      <x:c r="B162" s="32"/>
      <x:c r="C162" s="32"/>
      <x:c r="D162" s="32"/>
      <x:c r="E162" s="32"/>
      <x:c r="F162" s="32"/>
      <x:c r="G162" s="32"/>
      <x:c r="H162" s="32"/>
      <x:c r="I162" s="32"/>
    </x:row>
    <x:row r="163">
      <x:c r="A163" s="32"/>
      <x:c r="B163" s="32"/>
      <x:c r="C163" s="32"/>
      <x:c r="D163" s="32"/>
      <x:c r="E163" s="32"/>
      <x:c r="F163" s="32"/>
      <x:c r="G163" s="32"/>
      <x:c r="H163" s="32"/>
      <x:c r="I163" s="32"/>
    </x:row>
    <x:row r="164">
      <x:c r="A164" s="32"/>
      <x:c r="B164" s="32"/>
      <x:c r="C164" s="32"/>
      <x:c r="D164" s="32"/>
      <x:c r="E164" s="32"/>
      <x:c r="F164" s="32"/>
      <x:c r="G164" s="32"/>
      <x:c r="H164" s="32"/>
      <x:c r="I164" s="32"/>
    </x:row>
    <x:row r="165">
      <x:c r="A165" s="32"/>
      <x:c r="B165" s="32"/>
      <x:c r="C165" s="32"/>
      <x:c r="D165" s="32"/>
      <x:c r="E165" s="32"/>
      <x:c r="F165" s="32"/>
      <x:c r="G165" s="32"/>
      <x:c r="H165" s="32"/>
      <x:c r="I165" s="32"/>
    </x:row>
    <x:row r="166">
      <x:c r="A166" s="32"/>
      <x:c r="B166" s="32"/>
      <x:c r="C166" s="32"/>
      <x:c r="D166" s="32"/>
      <x:c r="E166" s="32"/>
      <x:c r="F166" s="32"/>
      <x:c r="G166" s="32"/>
      <x:c r="H166" s="32"/>
      <x:c r="I166" s="32"/>
    </x:row>
    <x:row r="167">
      <x:c r="A167" s="32"/>
      <x:c r="B167" s="32"/>
      <x:c r="C167" s="32"/>
      <x:c r="D167" s="32"/>
      <x:c r="E167" s="32"/>
      <x:c r="F167" s="32"/>
      <x:c r="G167" s="32"/>
      <x:c r="H167" s="32"/>
      <x:c r="I167" s="32"/>
    </x:row>
    <x:row r="168">
      <x:c r="A168" s="32"/>
      <x:c r="B168" s="32"/>
      <x:c r="C168" s="32"/>
      <x:c r="D168" s="32"/>
      <x:c r="E168" s="32"/>
      <x:c r="F168" s="32"/>
      <x:c r="G168" s="32"/>
      <x:c r="H168" s="32"/>
      <x:c r="I168" s="32"/>
    </x:row>
    <x:row r="169">
      <x:c r="A169" s="32"/>
      <x:c r="B169" s="32"/>
      <x:c r="C169" s="32"/>
      <x:c r="D169" s="32"/>
      <x:c r="E169" s="32"/>
      <x:c r="F169" s="32"/>
      <x:c r="G169" s="32"/>
      <x:c r="H169" s="32"/>
      <x:c r="I169" s="32"/>
    </x:row>
    <x:row r="170">
      <x:c r="A170" s="32"/>
      <x:c r="B170" s="32"/>
      <x:c r="C170" s="32"/>
      <x:c r="D170" s="32"/>
      <x:c r="E170" s="32"/>
      <x:c r="F170" s="32"/>
      <x:c r="G170" s="32"/>
      <x:c r="H170" s="32"/>
      <x:c r="I170" s="32"/>
    </x:row>
    <x:row r="171">
      <x:c r="A171" s="32"/>
      <x:c r="B171" s="32"/>
      <x:c r="C171" s="32"/>
      <x:c r="D171" s="32"/>
      <x:c r="E171" s="32"/>
      <x:c r="F171" s="32"/>
      <x:c r="G171" s="32"/>
      <x:c r="H171" s="32"/>
      <x:c r="I171" s="32"/>
    </x:row>
    <x:row r="172">
      <x:c r="A172" s="32"/>
      <x:c r="B172" s="32"/>
      <x:c r="C172" s="32"/>
      <x:c r="D172" s="32"/>
      <x:c r="E172" s="32"/>
      <x:c r="F172" s="32"/>
      <x:c r="G172" s="32"/>
      <x:c r="H172" s="32"/>
      <x:c r="I172" s="32"/>
    </x:row>
    <x:row r="173">
      <x:c r="A173" s="32"/>
      <x:c r="B173" s="32"/>
      <x:c r="C173" s="32"/>
      <x:c r="D173" s="32"/>
      <x:c r="E173" s="32"/>
      <x:c r="F173" s="32"/>
      <x:c r="G173" s="32"/>
      <x:c r="H173" s="32"/>
      <x:c r="I173" s="32"/>
    </x:row>
    <x:row r="174">
      <x:c r="A174" s="32"/>
      <x:c r="B174" s="32"/>
      <x:c r="C174" s="32"/>
      <x:c r="D174" s="32"/>
      <x:c r="E174" s="32"/>
      <x:c r="F174" s="32"/>
      <x:c r="G174" s="32"/>
      <x:c r="H174" s="32"/>
      <x:c r="I174" s="32"/>
    </x:row>
    <x:row r="175">
      <x:c r="A175" s="32"/>
      <x:c r="B175" s="32"/>
      <x:c r="C175" s="32"/>
      <x:c r="D175" s="32"/>
      <x:c r="E175" s="32"/>
      <x:c r="F175" s="32"/>
      <x:c r="G175" s="32"/>
      <x:c r="H175" s="32"/>
      <x:c r="I175" s="32"/>
    </x:row>
    <x:row r="176">
      <x:c r="A176" s="32"/>
      <x:c r="B176" s="32"/>
      <x:c r="C176" s="32"/>
      <x:c r="D176" s="32"/>
      <x:c r="E176" s="32"/>
      <x:c r="F176" s="32"/>
      <x:c r="G176" s="32"/>
      <x:c r="H176" s="32"/>
      <x:c r="I176" s="32"/>
    </x:row>
    <x:row r="177">
      <x:c r="A177" s="32"/>
      <x:c r="B177" s="32"/>
      <x:c r="C177" s="32"/>
      <x:c r="D177" s="32"/>
      <x:c r="E177" s="32"/>
      <x:c r="F177" s="32"/>
      <x:c r="G177" s="32"/>
      <x:c r="H177" s="32"/>
      <x:c r="I177" s="32"/>
    </x:row>
    <x:row r="178">
      <x:c r="A178" s="32"/>
      <x:c r="B178" s="32"/>
      <x:c r="C178" s="32"/>
      <x:c r="D178" s="32"/>
      <x:c r="E178" s="32"/>
      <x:c r="F178" s="32"/>
      <x:c r="G178" s="32"/>
      <x:c r="H178" s="32"/>
      <x:c r="I178" s="32"/>
    </x:row>
    <x:row r="179">
      <x:c r="A179" s="32"/>
      <x:c r="B179" s="32"/>
      <x:c r="C179" s="32"/>
      <x:c r="D179" s="32"/>
      <x:c r="E179" s="32"/>
      <x:c r="F179" s="32"/>
      <x:c r="G179" s="32"/>
      <x:c r="H179" s="32"/>
      <x:c r="I179" s="32"/>
    </x:row>
    <x:row r="180">
      <x:c r="A180" s="32"/>
      <x:c r="B180" s="32"/>
      <x:c r="C180" s="32"/>
      <x:c r="D180" s="32"/>
      <x:c r="E180" s="32"/>
      <x:c r="F180" s="32"/>
      <x:c r="G180" s="32"/>
      <x:c r="H180" s="32"/>
      <x:c r="I180" s="32"/>
    </x:row>
    <x:row r="181">
      <x:c r="A181" s="32"/>
      <x:c r="B181" s="32"/>
      <x:c r="C181" s="32"/>
      <x:c r="D181" s="32"/>
      <x:c r="E181" s="32"/>
      <x:c r="F181" s="32"/>
      <x:c r="G181" s="32"/>
      <x:c r="H181" s="32"/>
      <x:c r="I181" s="32"/>
    </x:row>
    <x:row r="182">
      <x:c r="A182" s="32"/>
      <x:c r="B182" s="32"/>
      <x:c r="C182" s="32"/>
      <x:c r="D182" s="32"/>
      <x:c r="E182" s="32"/>
      <x:c r="F182" s="32"/>
      <x:c r="G182" s="32"/>
      <x:c r="H182" s="32"/>
      <x:c r="I182" s="32"/>
    </x:row>
    <x:row r="183">
      <x:c r="A183" s="32"/>
      <x:c r="B183" s="32"/>
      <x:c r="C183" s="32"/>
      <x:c r="D183" s="32"/>
      <x:c r="E183" s="32"/>
      <x:c r="F183" s="32"/>
      <x:c r="G183" s="32"/>
      <x:c r="H183" s="32"/>
      <x:c r="I183" s="32"/>
    </x:row>
    <x:row r="184">
      <x:c r="A184" s="32"/>
      <x:c r="B184" s="32"/>
      <x:c r="C184" s="32"/>
      <x:c r="D184" s="32"/>
      <x:c r="E184" s="32"/>
      <x:c r="F184" s="32"/>
      <x:c r="G184" s="32"/>
      <x:c r="H184" s="32"/>
      <x:c r="I184" s="32"/>
    </x:row>
    <x:row r="185">
      <x:c r="A185" s="32"/>
      <x:c r="B185" s="32"/>
      <x:c r="C185" s="32"/>
      <x:c r="D185" s="32"/>
      <x:c r="E185" s="32"/>
      <x:c r="F185" s="32"/>
      <x:c r="G185" s="32"/>
      <x:c r="H185" s="32"/>
      <x:c r="I185" s="32"/>
    </x:row>
    <x:row r="186">
      <x:c r="A186" s="32"/>
      <x:c r="B186" s="32"/>
      <x:c r="C186" s="32"/>
      <x:c r="D186" s="32"/>
      <x:c r="E186" s="32"/>
      <x:c r="F186" s="32"/>
      <x:c r="G186" s="32"/>
      <x:c r="H186" s="32"/>
      <x:c r="I186" s="32"/>
    </x:row>
    <x:row r="187">
      <x:c r="A187" s="32"/>
      <x:c r="B187" s="32"/>
      <x:c r="C187" s="32"/>
      <x:c r="D187" s="32"/>
      <x:c r="E187" s="32"/>
      <x:c r="F187" s="32"/>
      <x:c r="G187" s="32"/>
      <x:c r="H187" s="32"/>
      <x:c r="I187" s="32"/>
    </x:row>
    <x:row r="188">
      <x:c r="A188" s="32"/>
      <x:c r="B188" s="32"/>
      <x:c r="C188" s="32"/>
      <x:c r="D188" s="32"/>
      <x:c r="E188" s="32"/>
      <x:c r="F188" s="32"/>
      <x:c r="G188" s="32"/>
      <x:c r="H188" s="32"/>
      <x:c r="I188" s="32"/>
    </x:row>
    <x:row r="189">
      <x:c r="A189" s="32"/>
      <x:c r="B189" s="32"/>
      <x:c r="C189" s="32"/>
      <x:c r="D189" s="32"/>
      <x:c r="E189" s="32"/>
      <x:c r="F189" s="32"/>
      <x:c r="G189" s="32"/>
      <x:c r="H189" s="32"/>
      <x:c r="I189" s="32"/>
    </x:row>
    <x:row r="190">
      <x:c r="A190" s="32"/>
      <x:c r="B190" s="32"/>
      <x:c r="C190" s="32"/>
      <x:c r="D190" s="32"/>
      <x:c r="E190" s="32"/>
      <x:c r="F190" s="32"/>
      <x:c r="G190" s="32"/>
      <x:c r="H190" s="32"/>
      <x:c r="I190" s="32"/>
    </x:row>
    <x:row r="191">
      <x:c r="A191" s="32"/>
      <x:c r="B191" s="32"/>
      <x:c r="C191" s="32"/>
      <x:c r="D191" s="32"/>
      <x:c r="E191" s="32"/>
      <x:c r="F191" s="32"/>
      <x:c r="G191" s="32"/>
      <x:c r="H191" s="32"/>
      <x:c r="I191" s="32"/>
    </x:row>
    <x:row r="192">
      <x:c r="A192" s="32"/>
      <x:c r="B192" s="32"/>
      <x:c r="C192" s="32"/>
      <x:c r="D192" s="32"/>
      <x:c r="E192" s="32"/>
      <x:c r="F192" s="32"/>
      <x:c r="G192" s="32"/>
      <x:c r="H192" s="32"/>
      <x:c r="I192" s="32"/>
    </x:row>
    <x:row r="193">
      <x:c r="A193" s="32"/>
      <x:c r="B193" s="32"/>
      <x:c r="C193" s="32"/>
      <x:c r="D193" s="32"/>
      <x:c r="E193" s="32"/>
      <x:c r="F193" s="32"/>
      <x:c r="G193" s="32"/>
      <x:c r="H193" s="32"/>
      <x:c r="I193" s="32"/>
    </x:row>
    <x:row r="194">
      <x:c r="A194" s="32"/>
      <x:c r="B194" s="32"/>
      <x:c r="C194" s="32"/>
      <x:c r="D194" s="32"/>
      <x:c r="E194" s="32"/>
      <x:c r="F194" s="32"/>
      <x:c r="G194" s="32"/>
      <x:c r="H194" s="32"/>
      <x:c r="I194" s="32"/>
    </x:row>
    <x:row r="195">
      <x:c r="A195" s="32"/>
      <x:c r="B195" s="32"/>
      <x:c r="C195" s="32"/>
      <x:c r="D195" s="32"/>
      <x:c r="E195" s="32"/>
      <x:c r="F195" s="32"/>
      <x:c r="G195" s="32"/>
      <x:c r="H195" s="32"/>
      <x:c r="I195" s="32"/>
    </x:row>
    <x:row r="196">
      <x:c r="A196" s="32"/>
      <x:c r="B196" s="32"/>
      <x:c r="C196" s="32"/>
      <x:c r="D196" s="32"/>
      <x:c r="E196" s="32"/>
      <x:c r="F196" s="32"/>
      <x:c r="G196" s="32"/>
      <x:c r="H196" s="32"/>
      <x:c r="I196" s="32"/>
    </x:row>
    <x:row r="197">
      <x:c r="A197" s="32"/>
      <x:c r="B197" s="32"/>
      <x:c r="C197" s="32"/>
      <x:c r="D197" s="32"/>
      <x:c r="E197" s="32"/>
      <x:c r="F197" s="32"/>
      <x:c r="G197" s="32"/>
      <x:c r="H197" s="32"/>
      <x:c r="I197" s="32"/>
    </x:row>
    <x:row r="198">
      <x:c r="A198" s="32"/>
      <x:c r="B198" s="32"/>
      <x:c r="C198" s="32"/>
      <x:c r="D198" s="32"/>
      <x:c r="E198" s="32"/>
      <x:c r="F198" s="32"/>
      <x:c r="G198" s="32"/>
      <x:c r="H198" s="32"/>
      <x:c r="I198" s="32"/>
    </x:row>
    <x:row r="199">
      <x:c r="A199" s="32"/>
      <x:c r="B199" s="32"/>
      <x:c r="C199" s="32"/>
      <x:c r="D199" s="32"/>
      <x:c r="E199" s="32"/>
      <x:c r="F199" s="32"/>
      <x:c r="G199" s="32"/>
      <x:c r="H199" s="32"/>
      <x:c r="I199" s="32"/>
    </x:row>
    <x:row r="200">
      <x:c r="A200" s="32"/>
      <x:c r="B200" s="32"/>
      <x:c r="C200" s="32"/>
      <x:c r="D200" s="32"/>
      <x:c r="E200" s="32"/>
      <x:c r="F200" s="32"/>
      <x:c r="G200" s="32"/>
      <x:c r="H200" s="32"/>
      <x:c r="I200" s="32"/>
    </x:row>
    <x:row r="201">
      <x:c r="A201" s="32"/>
      <x:c r="B201" s="32"/>
      <x:c r="C201" s="32"/>
      <x:c r="D201" s="32"/>
      <x:c r="E201" s="32"/>
      <x:c r="F201" s="32"/>
      <x:c r="G201" s="32"/>
      <x:c r="H201" s="32"/>
      <x:c r="I201" s="32"/>
    </x:row>
    <x:row r="202">
      <x:c r="A202" s="32"/>
      <x:c r="B202" s="32"/>
      <x:c r="C202" s="32"/>
      <x:c r="D202" s="32"/>
      <x:c r="E202" s="32"/>
      <x:c r="F202" s="32"/>
      <x:c r="G202" s="32"/>
      <x:c r="H202" s="32"/>
      <x:c r="I202" s="32"/>
    </x:row>
    <x:row r="203">
      <x:c r="A203" s="32"/>
      <x:c r="B203" s="32"/>
      <x:c r="C203" s="32"/>
      <x:c r="D203" s="32"/>
      <x:c r="E203" s="32"/>
      <x:c r="F203" s="32"/>
      <x:c r="G203" s="32"/>
      <x:c r="H203" s="32"/>
      <x:c r="I203" s="32"/>
    </x:row>
    <x:row r="204">
      <x:c r="A204" s="32"/>
      <x:c r="B204" s="32"/>
      <x:c r="C204" s="32"/>
      <x:c r="D204" s="32"/>
      <x:c r="E204" s="32"/>
      <x:c r="F204" s="32"/>
      <x:c r="G204" s="32"/>
      <x:c r="H204" s="32"/>
      <x:c r="I204" s="32"/>
    </x:row>
    <x:row r="205">
      <x:c r="A205" s="32"/>
      <x:c r="B205" s="32"/>
      <x:c r="C205" s="32"/>
      <x:c r="D205" s="32"/>
      <x:c r="E205" s="32"/>
      <x:c r="F205" s="32"/>
      <x:c r="G205" s="32"/>
      <x:c r="H205" s="32"/>
      <x:c r="I205" s="32"/>
    </x:row>
    <x:row r="206">
      <x:c r="A206" s="32"/>
      <x:c r="B206" s="32"/>
      <x:c r="C206" s="32"/>
      <x:c r="D206" s="32"/>
      <x:c r="E206" s="32"/>
      <x:c r="F206" s="32"/>
      <x:c r="G206" s="32"/>
      <x:c r="H206" s="32"/>
      <x:c r="I206" s="32"/>
    </x:row>
    <x:row r="207">
      <x:c r="A207" s="32"/>
      <x:c r="B207" s="32"/>
      <x:c r="C207" s="32"/>
      <x:c r="D207" s="32"/>
      <x:c r="E207" s="32"/>
      <x:c r="F207" s="32"/>
      <x:c r="G207" s="32"/>
      <x:c r="H207" s="32"/>
      <x:c r="I207" s="32"/>
    </x:row>
    <x:row r="208">
      <x:c r="A208" s="32"/>
      <x:c r="B208" s="32"/>
      <x:c r="C208" s="32"/>
      <x:c r="D208" s="32"/>
      <x:c r="E208" s="32"/>
      <x:c r="F208" s="32"/>
      <x:c r="G208" s="32"/>
      <x:c r="H208" s="32"/>
      <x:c r="I208" s="32"/>
    </x:row>
    <x:row r="209">
      <x:c r="A209" s="32"/>
      <x:c r="B209" s="32"/>
      <x:c r="C209" s="32"/>
      <x:c r="D209" s="32"/>
      <x:c r="E209" s="32"/>
      <x:c r="F209" s="32"/>
      <x:c r="G209" s="32"/>
      <x:c r="H209" s="32"/>
      <x:c r="I209" s="32"/>
    </x:row>
    <x:row r="210">
      <x:c r="A210" s="32"/>
      <x:c r="B210" s="32"/>
      <x:c r="C210" s="32"/>
      <x:c r="D210" s="32"/>
      <x:c r="E210" s="32"/>
      <x:c r="F210" s="32"/>
      <x:c r="G210" s="32"/>
      <x:c r="H210" s="32"/>
      <x:c r="I210" s="32"/>
    </x:row>
    <x:row r="211">
      <x:c r="A211" s="32"/>
      <x:c r="B211" s="32"/>
      <x:c r="C211" s="32"/>
      <x:c r="D211" s="32"/>
      <x:c r="E211" s="32"/>
      <x:c r="F211" s="32"/>
      <x:c r="G211" s="32"/>
      <x:c r="H211" s="32"/>
      <x:c r="I211" s="32"/>
    </x:row>
    <x:row r="212">
      <x:c r="A212" s="32"/>
      <x:c r="B212" s="32"/>
      <x:c r="C212" s="32"/>
      <x:c r="D212" s="32"/>
      <x:c r="E212" s="32"/>
      <x:c r="F212" s="32"/>
      <x:c r="G212" s="32"/>
      <x:c r="H212" s="32"/>
      <x:c r="I212" s="32"/>
    </x:row>
    <x:row r="213">
      <x:c r="A213" s="32"/>
      <x:c r="B213" s="32"/>
      <x:c r="C213" s="32"/>
      <x:c r="D213" s="32"/>
      <x:c r="E213" s="32"/>
      <x:c r="F213" s="32"/>
      <x:c r="G213" s="32"/>
      <x:c r="H213" s="32"/>
      <x:c r="I213" s="32"/>
    </x:row>
    <x:row r="214">
      <x:c r="A214" s="32"/>
      <x:c r="B214" s="32"/>
      <x:c r="C214" s="32"/>
      <x:c r="D214" s="32"/>
      <x:c r="E214" s="32"/>
      <x:c r="F214" s="32"/>
      <x:c r="G214" s="32"/>
      <x:c r="H214" s="32"/>
      <x:c r="I214" s="32"/>
    </x:row>
    <x:row r="215">
      <x:c r="A215" s="32"/>
      <x:c r="B215" s="32"/>
      <x:c r="C215" s="32"/>
      <x:c r="D215" s="32"/>
      <x:c r="E215" s="32"/>
      <x:c r="F215" s="32"/>
      <x:c r="G215" s="32"/>
      <x:c r="H215" s="32"/>
      <x:c r="I215" s="32"/>
    </x:row>
    <x:row r="216">
      <x:c r="A216" s="32"/>
      <x:c r="B216" s="32"/>
      <x:c r="C216" s="32"/>
      <x:c r="D216" s="32"/>
      <x:c r="E216" s="32"/>
      <x:c r="F216" s="32"/>
      <x:c r="G216" s="32"/>
      <x:c r="H216" s="32"/>
      <x:c r="I216" s="32"/>
    </x:row>
    <x:row r="217">
      <x:c r="A217" s="32"/>
      <x:c r="B217" s="32"/>
      <x:c r="C217" s="32"/>
      <x:c r="D217" s="32"/>
      <x:c r="E217" s="32"/>
      <x:c r="F217" s="32"/>
      <x:c r="G217" s="32"/>
      <x:c r="H217" s="32"/>
      <x:c r="I217" s="32"/>
    </x:row>
    <x:row r="218">
      <x:c r="A218" s="32"/>
      <x:c r="B218" s="32"/>
      <x:c r="C218" s="32"/>
      <x:c r="D218" s="32"/>
      <x:c r="E218" s="32"/>
      <x:c r="F218" s="32"/>
      <x:c r="G218" s="32"/>
      <x:c r="H218" s="32"/>
      <x:c r="I218" s="32"/>
    </x:row>
    <x:row r="219">
      <x:c r="A219" s="32"/>
      <x:c r="B219" s="32"/>
      <x:c r="C219" s="32"/>
      <x:c r="D219" s="32"/>
      <x:c r="E219" s="32"/>
      <x:c r="F219" s="32"/>
      <x:c r="G219" s="32"/>
      <x:c r="H219" s="32"/>
      <x:c r="I219" s="32"/>
    </x:row>
    <x:row r="220">
      <x:c r="A220" s="32"/>
      <x:c r="B220" s="32"/>
      <x:c r="C220" s="32"/>
      <x:c r="D220" s="32"/>
      <x:c r="E220" s="32"/>
      <x:c r="F220" s="32"/>
      <x:c r="G220" s="32"/>
      <x:c r="H220" s="32"/>
      <x:c r="I220" s="32"/>
    </x:row>
    <x:row r="221">
      <x:c r="A221" s="32"/>
      <x:c r="B221" s="32"/>
      <x:c r="C221" s="32"/>
      <x:c r="D221" s="32"/>
      <x:c r="E221" s="32"/>
      <x:c r="F221" s="32"/>
      <x:c r="G221" s="32"/>
      <x:c r="H221" s="32"/>
      <x:c r="I221" s="32"/>
    </x:row>
    <x:row r="222">
      <x:c r="A222" s="32"/>
      <x:c r="B222" s="32"/>
      <x:c r="C222" s="32"/>
      <x:c r="D222" s="32"/>
      <x:c r="E222" s="32"/>
      <x:c r="F222" s="32"/>
      <x:c r="G222" s="32"/>
      <x:c r="H222" s="32"/>
      <x:c r="I222" s="32"/>
    </x:row>
    <x:row r="223">
      <x:c r="A223" s="32"/>
      <x:c r="B223" s="32"/>
      <x:c r="C223" s="32"/>
      <x:c r="D223" s="32"/>
      <x:c r="E223" s="32"/>
      <x:c r="F223" s="32"/>
      <x:c r="G223" s="32"/>
      <x:c r="H223" s="32"/>
      <x:c r="I223" s="32"/>
    </x:row>
    <x:row r="224">
      <x:c r="A224" s="32"/>
      <x:c r="B224" s="32"/>
      <x:c r="C224" s="32"/>
      <x:c r="D224" s="32"/>
      <x:c r="E224" s="32"/>
      <x:c r="F224" s="32"/>
      <x:c r="G224" s="32"/>
      <x:c r="H224" s="32"/>
      <x:c r="I224" s="32"/>
    </x:row>
    <x:row r="225">
      <x:c r="A225" s="32"/>
      <x:c r="B225" s="32"/>
      <x:c r="C225" s="32"/>
      <x:c r="D225" s="32"/>
      <x:c r="E225" s="32"/>
      <x:c r="F225" s="32"/>
      <x:c r="G225" s="32"/>
      <x:c r="H225" s="32"/>
      <x:c r="I225" s="32"/>
    </x:row>
    <x:row r="226">
      <x:c r="A226" s="32"/>
      <x:c r="B226" s="32"/>
      <x:c r="C226" s="32"/>
      <x:c r="D226" s="32"/>
      <x:c r="E226" s="32"/>
      <x:c r="F226" s="32"/>
      <x:c r="G226" s="32"/>
      <x:c r="H226" s="32"/>
      <x:c r="I226" s="32"/>
    </x:row>
    <x:row r="227">
      <x:c r="A227" s="32"/>
      <x:c r="B227" s="32"/>
      <x:c r="C227" s="32"/>
      <x:c r="D227" s="32"/>
      <x:c r="E227" s="32"/>
      <x:c r="F227" s="32"/>
      <x:c r="G227" s="32"/>
      <x:c r="H227" s="32"/>
      <x:c r="I227" s="32"/>
    </x:row>
    <x:row r="228">
      <x:c r="A228" s="32"/>
      <x:c r="B228" s="32"/>
      <x:c r="C228" s="32"/>
      <x:c r="D228" s="32"/>
      <x:c r="E228" s="32"/>
      <x:c r="F228" s="32"/>
      <x:c r="G228" s="32"/>
      <x:c r="H228" s="32"/>
      <x:c r="I228" s="32"/>
    </x:row>
    <x:row r="229">
      <x:c r="A229" s="32"/>
      <x:c r="B229" s="32"/>
      <x:c r="C229" s="32"/>
      <x:c r="D229" s="32"/>
      <x:c r="E229" s="32"/>
      <x:c r="F229" s="32"/>
      <x:c r="G229" s="32"/>
      <x:c r="H229" s="32"/>
      <x:c r="I229" s="32"/>
    </x:row>
    <x:row r="230">
      <x:c r="A230" s="32"/>
      <x:c r="B230" s="32"/>
      <x:c r="C230" s="32"/>
      <x:c r="D230" s="32"/>
      <x:c r="E230" s="32"/>
      <x:c r="F230" s="32"/>
      <x:c r="G230" s="32"/>
      <x:c r="H230" s="32"/>
      <x:c r="I230" s="32"/>
    </x:row>
    <x:row r="231">
      <x:c r="A231" s="32"/>
      <x:c r="B231" s="32"/>
      <x:c r="C231" s="32"/>
      <x:c r="D231" s="32"/>
      <x:c r="E231" s="32"/>
      <x:c r="F231" s="32"/>
      <x:c r="G231" s="32"/>
      <x:c r="H231" s="32"/>
      <x:c r="I231" s="32"/>
    </x:row>
    <x:row r="232">
      <x:c r="A232" s="32"/>
      <x:c r="B232" s="32"/>
      <x:c r="C232" s="32"/>
      <x:c r="D232" s="32"/>
      <x:c r="E232" s="32"/>
      <x:c r="F232" s="32"/>
      <x:c r="G232" s="32"/>
      <x:c r="H232" s="32"/>
      <x:c r="I232" s="32"/>
    </x:row>
    <x:row r="233">
      <x:c r="A233" s="32"/>
      <x:c r="B233" s="32"/>
      <x:c r="C233" s="32"/>
      <x:c r="D233" s="32"/>
      <x:c r="E233" s="32"/>
      <x:c r="F233" s="32"/>
      <x:c r="G233" s="32"/>
      <x:c r="H233" s="32"/>
      <x:c r="I233" s="32"/>
    </x:row>
    <x:row r="234">
      <x:c r="A234" s="32"/>
      <x:c r="B234" s="32"/>
      <x:c r="C234" s="32"/>
      <x:c r="D234" s="32"/>
      <x:c r="E234" s="32"/>
      <x:c r="F234" s="32"/>
      <x:c r="G234" s="32"/>
      <x:c r="H234" s="32"/>
      <x:c r="I234" s="32"/>
    </x:row>
    <x:row r="235">
      <x:c r="A235" s="32"/>
      <x:c r="B235" s="32"/>
      <x:c r="C235" s="32"/>
      <x:c r="D235" s="32"/>
      <x:c r="E235" s="32"/>
      <x:c r="F235" s="32"/>
      <x:c r="G235" s="32"/>
      <x:c r="H235" s="32"/>
      <x:c r="I235" s="32"/>
    </x:row>
    <x:row r="236">
      <x:c r="A236" s="32"/>
      <x:c r="B236" s="32"/>
      <x:c r="C236" s="32"/>
      <x:c r="D236" s="32"/>
      <x:c r="E236" s="32"/>
      <x:c r="F236" s="32"/>
      <x:c r="G236" s="32"/>
      <x:c r="H236" s="32"/>
      <x:c r="I236" s="32"/>
    </x:row>
    <x:row r="237">
      <x:c r="A237" s="32"/>
      <x:c r="B237" s="32"/>
      <x:c r="C237" s="32"/>
      <x:c r="D237" s="32"/>
      <x:c r="E237" s="32"/>
      <x:c r="F237" s="32"/>
      <x:c r="G237" s="32"/>
      <x:c r="H237" s="32"/>
      <x:c r="I237" s="32"/>
    </x:row>
    <x:row r="238">
      <x:c r="A238" s="32"/>
      <x:c r="B238" s="32"/>
      <x:c r="C238" s="32"/>
      <x:c r="D238" s="32"/>
      <x:c r="E238" s="32"/>
      <x:c r="F238" s="32"/>
      <x:c r="G238" s="32"/>
      <x:c r="H238" s="32"/>
      <x:c r="I238" s="32"/>
    </x:row>
    <x:row r="239">
      <x:c r="A239" s="32"/>
      <x:c r="B239" s="32"/>
      <x:c r="C239" s="32"/>
      <x:c r="D239" s="32"/>
      <x:c r="E239" s="32"/>
      <x:c r="F239" s="32"/>
      <x:c r="G239" s="32"/>
      <x:c r="H239" s="32"/>
      <x:c r="I239" s="32"/>
    </x:row>
    <x:row r="240">
      <x:c r="A240" s="32"/>
      <x:c r="B240" s="32"/>
      <x:c r="C240" s="32"/>
      <x:c r="D240" s="32"/>
      <x:c r="E240" s="32"/>
      <x:c r="F240" s="32"/>
      <x:c r="G240" s="32"/>
      <x:c r="H240" s="32"/>
      <x:c r="I240" s="32"/>
    </x:row>
    <x:row r="241">
      <x:c r="A241" s="32"/>
      <x:c r="B241" s="32"/>
      <x:c r="C241" s="32"/>
      <x:c r="D241" s="32"/>
      <x:c r="E241" s="32"/>
      <x:c r="F241" s="32"/>
      <x:c r="G241" s="32"/>
      <x:c r="H241" s="32"/>
      <x:c r="I241" s="32"/>
    </x:row>
    <x:row r="242">
      <x:c r="A242" s="32"/>
      <x:c r="B242" s="32"/>
      <x:c r="C242" s="32"/>
      <x:c r="D242" s="32"/>
      <x:c r="E242" s="32"/>
      <x:c r="F242" s="32"/>
      <x:c r="G242" s="32"/>
      <x:c r="H242" s="32"/>
      <x:c r="I242" s="32"/>
    </x:row>
    <x:row r="243">
      <x:c r="A243" s="32"/>
      <x:c r="B243" s="32"/>
      <x:c r="C243" s="32"/>
      <x:c r="D243" s="32"/>
      <x:c r="E243" s="32"/>
      <x:c r="F243" s="32"/>
      <x:c r="G243" s="32"/>
      <x:c r="H243" s="32"/>
      <x:c r="I243" s="32"/>
    </x:row>
    <x:row r="244">
      <x:c r="A244" s="32"/>
      <x:c r="B244" s="32"/>
      <x:c r="C244" s="32"/>
      <x:c r="D244" s="32"/>
      <x:c r="E244" s="32"/>
      <x:c r="F244" s="32"/>
      <x:c r="G244" s="32"/>
      <x:c r="H244" s="32"/>
      <x:c r="I244" s="32"/>
    </x:row>
    <x:row r="245">
      <x:c r="A245" s="32"/>
      <x:c r="B245" s="32"/>
      <x:c r="C245" s="32"/>
      <x:c r="D245" s="32"/>
      <x:c r="E245" s="32"/>
      <x:c r="F245" s="32"/>
      <x:c r="G245" s="32"/>
      <x:c r="H245" s="32"/>
      <x:c r="I245" s="32"/>
    </x:row>
    <x:row r="246">
      <x:c r="A246" s="32"/>
      <x:c r="B246" s="32"/>
      <x:c r="C246" s="32"/>
      <x:c r="D246" s="32"/>
      <x:c r="E246" s="32"/>
      <x:c r="F246" s="32"/>
      <x:c r="G246" s="32"/>
      <x:c r="H246" s="32"/>
      <x:c r="I246" s="32"/>
    </x:row>
    <x:row r="247">
      <x:c r="A247" s="32"/>
      <x:c r="B247" s="32"/>
      <x:c r="C247" s="32"/>
      <x:c r="D247" s="32"/>
      <x:c r="E247" s="32"/>
      <x:c r="F247" s="32"/>
      <x:c r="G247" s="32"/>
      <x:c r="H247" s="32"/>
      <x:c r="I247" s="32"/>
    </x:row>
    <x:row r="248">
      <x:c r="A248" s="32"/>
      <x:c r="B248" s="32"/>
      <x:c r="C248" s="32"/>
      <x:c r="D248" s="32"/>
      <x:c r="E248" s="32"/>
      <x:c r="F248" s="32"/>
      <x:c r="G248" s="32"/>
      <x:c r="H248" s="32"/>
      <x:c r="I248" s="32"/>
    </x:row>
    <x:row r="249">
      <x:c r="A249" s="32"/>
      <x:c r="B249" s="32"/>
      <x:c r="C249" s="32"/>
      <x:c r="D249" s="32"/>
      <x:c r="E249" s="32"/>
      <x:c r="F249" s="32"/>
      <x:c r="G249" s="32"/>
      <x:c r="H249" s="32"/>
      <x:c r="I249" s="32"/>
    </x:row>
    <x:row r="250">
      <x:c r="A250" s="32"/>
      <x:c r="B250" s="32"/>
      <x:c r="C250" s="32"/>
      <x:c r="D250" s="32"/>
      <x:c r="E250" s="32"/>
      <x:c r="F250" s="32"/>
      <x:c r="G250" s="32"/>
      <x:c r="H250" s="32"/>
      <x:c r="I250" s="32"/>
    </x:row>
    <x:row r="251">
      <x:c r="A251" s="32"/>
      <x:c r="B251" s="32"/>
      <x:c r="C251" s="32"/>
      <x:c r="D251" s="32"/>
      <x:c r="E251" s="32"/>
      <x:c r="F251" s="32"/>
      <x:c r="G251" s="32"/>
      <x:c r="H251" s="32"/>
      <x:c r="I251" s="32"/>
    </x:row>
    <x:row r="252">
      <x:c r="A252" s="32"/>
      <x:c r="B252" s="32"/>
      <x:c r="C252" s="32"/>
      <x:c r="D252" s="32"/>
      <x:c r="E252" s="32"/>
      <x:c r="F252" s="32"/>
      <x:c r="G252" s="32"/>
      <x:c r="H252" s="32"/>
      <x:c r="I252" s="32"/>
    </x:row>
    <x:row r="253">
      <x:c r="A253" s="32"/>
      <x:c r="B253" s="32"/>
      <x:c r="C253" s="32"/>
      <x:c r="D253" s="32"/>
      <x:c r="E253" s="32"/>
      <x:c r="F253" s="32"/>
      <x:c r="G253" s="32"/>
      <x:c r="H253" s="32"/>
      <x:c r="I253" s="32"/>
    </x:row>
    <x:row r="254">
      <x:c r="A254" s="32"/>
      <x:c r="B254" s="32"/>
      <x:c r="C254" s="32"/>
      <x:c r="D254" s="32"/>
      <x:c r="E254" s="32"/>
      <x:c r="F254" s="32"/>
      <x:c r="G254" s="32"/>
      <x:c r="H254" s="32"/>
      <x:c r="I254" s="32"/>
    </x:row>
    <x:row r="255">
      <x:c r="A255" s="32"/>
      <x:c r="B255" s="32"/>
      <x:c r="C255" s="32"/>
      <x:c r="D255" s="32"/>
      <x:c r="E255" s="32"/>
      <x:c r="F255" s="32"/>
      <x:c r="G255" s="32"/>
      <x:c r="H255" s="32"/>
      <x:c r="I255" s="32"/>
    </x:row>
    <x:row r="256">
      <x:c r="A256" s="32"/>
      <x:c r="B256" s="32"/>
      <x:c r="C256" s="32"/>
      <x:c r="D256" s="32"/>
      <x:c r="E256" s="32"/>
      <x:c r="F256" s="32"/>
      <x:c r="G256" s="32"/>
      <x:c r="H256" s="32"/>
      <x:c r="I256" s="32"/>
    </x:row>
    <x:row r="257">
      <x:c r="A257" s="32"/>
      <x:c r="B257" s="32"/>
      <x:c r="C257" s="32"/>
      <x:c r="D257" s="32"/>
      <x:c r="E257" s="32"/>
      <x:c r="F257" s="32"/>
      <x:c r="G257" s="32"/>
      <x:c r="H257" s="32"/>
      <x:c r="I257" s="32"/>
    </x:row>
    <x:row r="258">
      <x:c r="A258" s="32"/>
      <x:c r="B258" s="32"/>
      <x:c r="C258" s="32"/>
      <x:c r="D258" s="32"/>
      <x:c r="E258" s="32"/>
      <x:c r="F258" s="32"/>
      <x:c r="G258" s="32"/>
      <x:c r="H258" s="32"/>
      <x:c r="I258" s="32"/>
    </x:row>
    <x:row r="259">
      <x:c r="A259" s="32"/>
      <x:c r="B259" s="32"/>
      <x:c r="C259" s="32"/>
      <x:c r="D259" s="32"/>
      <x:c r="E259" s="32"/>
      <x:c r="F259" s="32"/>
      <x:c r="G259" s="32"/>
      <x:c r="H259" s="32"/>
      <x:c r="I259" s="32"/>
    </x:row>
    <x:row r="260">
      <x:c r="A260" s="32"/>
      <x:c r="B260" s="32"/>
      <x:c r="C260" s="32"/>
      <x:c r="D260" s="32"/>
      <x:c r="E260" s="32"/>
      <x:c r="F260" s="32"/>
      <x:c r="G260" s="32"/>
      <x:c r="H260" s="32"/>
      <x:c r="I260" s="32"/>
    </x:row>
    <x:row r="261">
      <x:c r="A261" s="32"/>
      <x:c r="B261" s="32"/>
      <x:c r="C261" s="32"/>
      <x:c r="D261" s="32"/>
      <x:c r="E261" s="32"/>
      <x:c r="F261" s="32"/>
      <x:c r="G261" s="32"/>
      <x:c r="H261" s="32"/>
      <x:c r="I261" s="32"/>
    </x:row>
    <x:row r="262">
      <x:c r="A262" s="32"/>
      <x:c r="B262" s="32"/>
      <x:c r="C262" s="32"/>
      <x:c r="D262" s="32"/>
      <x:c r="E262" s="32"/>
      <x:c r="F262" s="32"/>
      <x:c r="G262" s="32"/>
      <x:c r="H262" s="32"/>
      <x:c r="I262" s="32"/>
    </x:row>
    <x:row r="263">
      <x:c r="A263" s="32"/>
      <x:c r="B263" s="32"/>
      <x:c r="C263" s="32"/>
      <x:c r="D263" s="32"/>
      <x:c r="E263" s="32"/>
      <x:c r="F263" s="32"/>
      <x:c r="G263" s="32"/>
      <x:c r="H263" s="32"/>
      <x:c r="I263" s="32"/>
    </x:row>
    <x:row r="264">
      <x:c r="A264" s="32"/>
      <x:c r="B264" s="32"/>
      <x:c r="C264" s="32"/>
      <x:c r="D264" s="32"/>
      <x:c r="E264" s="32"/>
      <x:c r="F264" s="32"/>
      <x:c r="G264" s="32"/>
      <x:c r="H264" s="32"/>
      <x:c r="I264" s="32"/>
    </x:row>
    <x:row r="265">
      <x:c r="A265" s="32"/>
      <x:c r="B265" s="32"/>
      <x:c r="C265" s="32"/>
      <x:c r="D265" s="32"/>
      <x:c r="E265" s="32"/>
      <x:c r="F265" s="32"/>
      <x:c r="G265" s="32"/>
      <x:c r="H265" s="32"/>
      <x:c r="I265" s="32"/>
    </x:row>
    <x:row r="266">
      <x:c r="A266" s="32"/>
      <x:c r="B266" s="32"/>
      <x:c r="C266" s="32"/>
      <x:c r="D266" s="32"/>
      <x:c r="E266" s="32"/>
      <x:c r="F266" s="32"/>
      <x:c r="G266" s="32"/>
      <x:c r="H266" s="32"/>
      <x:c r="I266" s="32"/>
    </x:row>
    <x:row r="267">
      <x:c r="A267" s="32"/>
      <x:c r="B267" s="32"/>
      <x:c r="C267" s="32"/>
      <x:c r="D267" s="32"/>
      <x:c r="E267" s="32"/>
      <x:c r="F267" s="32"/>
      <x:c r="G267" s="32"/>
      <x:c r="H267" s="32"/>
      <x:c r="I267" s="32"/>
    </x:row>
    <x:row r="268">
      <x:c r="A268" s="32"/>
      <x:c r="B268" s="32"/>
      <x:c r="C268" s="32"/>
      <x:c r="D268" s="32"/>
      <x:c r="E268" s="32"/>
      <x:c r="F268" s="32"/>
      <x:c r="G268" s="32"/>
      <x:c r="H268" s="32"/>
      <x:c r="I268" s="32"/>
    </x:row>
    <x:row r="269">
      <x:c r="A269" s="32"/>
      <x:c r="B269" s="32"/>
      <x:c r="C269" s="32"/>
      <x:c r="D269" s="32"/>
      <x:c r="E269" s="32"/>
      <x:c r="F269" s="32"/>
      <x:c r="G269" s="32"/>
      <x:c r="H269" s="32"/>
      <x:c r="I269" s="32"/>
    </x:row>
    <x:row r="270">
      <x:c r="A270" s="32"/>
      <x:c r="B270" s="32"/>
      <x:c r="C270" s="32"/>
      <x:c r="D270" s="32"/>
      <x:c r="E270" s="32"/>
      <x:c r="F270" s="32"/>
      <x:c r="G270" s="32"/>
      <x:c r="H270" s="32"/>
      <x:c r="I270" s="32"/>
    </x:row>
    <x:row r="271">
      <x:c r="A271" s="32"/>
      <x:c r="B271" s="32"/>
      <x:c r="C271" s="32"/>
      <x:c r="D271" s="32"/>
      <x:c r="E271" s="32"/>
      <x:c r="F271" s="32"/>
      <x:c r="G271" s="32"/>
      <x:c r="H271" s="32"/>
      <x:c r="I271" s="32"/>
    </x:row>
    <x:row r="272">
      <x:c r="A272" s="32"/>
      <x:c r="B272" s="32"/>
      <x:c r="C272" s="32"/>
      <x:c r="D272" s="32"/>
      <x:c r="E272" s="32"/>
      <x:c r="F272" s="32"/>
      <x:c r="G272" s="32"/>
      <x:c r="H272" s="32"/>
      <x:c r="I272" s="32"/>
    </x:row>
    <x:row r="273">
      <x:c r="A273" s="32"/>
      <x:c r="B273" s="32"/>
      <x:c r="C273" s="32"/>
      <x:c r="D273" s="32"/>
      <x:c r="E273" s="32"/>
      <x:c r="F273" s="32"/>
      <x:c r="G273" s="32"/>
      <x:c r="H273" s="32"/>
      <x:c r="I273" s="32"/>
    </x:row>
    <x:row r="274">
      <x:c r="A274" s="32"/>
      <x:c r="B274" s="32"/>
      <x:c r="C274" s="32"/>
      <x:c r="D274" s="32"/>
      <x:c r="E274" s="32"/>
      <x:c r="F274" s="32"/>
      <x:c r="G274" s="32"/>
      <x:c r="H274" s="32"/>
      <x:c r="I274" s="32"/>
    </x:row>
    <x:row r="275">
      <x:c r="A275" s="32"/>
      <x:c r="B275" s="32"/>
      <x:c r="C275" s="32"/>
      <x:c r="D275" s="32"/>
      <x:c r="E275" s="32"/>
      <x:c r="F275" s="32"/>
      <x:c r="G275" s="32"/>
      <x:c r="H275" s="32"/>
      <x:c r="I275" s="32"/>
    </x:row>
    <x:row r="276">
      <x:c r="A276" s="32"/>
      <x:c r="B276" s="32"/>
      <x:c r="C276" s="32"/>
      <x:c r="D276" s="32"/>
      <x:c r="E276" s="32"/>
      <x:c r="F276" s="32"/>
      <x:c r="G276" s="32"/>
      <x:c r="H276" s="32"/>
      <x:c r="I276" s="32"/>
    </x:row>
    <x:row r="277">
      <x:c r="A277" s="32"/>
      <x:c r="B277" s="32"/>
      <x:c r="C277" s="32"/>
      <x:c r="D277" s="32"/>
      <x:c r="E277" s="32"/>
      <x:c r="F277" s="32"/>
      <x:c r="G277" s="32"/>
      <x:c r="H277" s="32"/>
      <x:c r="I277" s="32"/>
    </x:row>
    <x:row r="278">
      <x:c r="A278" s="32"/>
      <x:c r="B278" s="32"/>
      <x:c r="C278" s="32"/>
      <x:c r="D278" s="32"/>
      <x:c r="E278" s="32"/>
      <x:c r="F278" s="32"/>
      <x:c r="G278" s="32"/>
      <x:c r="H278" s="32"/>
      <x:c r="I278" s="32"/>
    </x:row>
    <x:row r="279">
      <x:c r="A279" s="32"/>
      <x:c r="B279" s="32"/>
      <x:c r="C279" s="32"/>
      <x:c r="D279" s="32"/>
      <x:c r="E279" s="32"/>
      <x:c r="F279" s="32"/>
      <x:c r="G279" s="32"/>
      <x:c r="H279" s="32"/>
      <x:c r="I279" s="32"/>
    </x:row>
    <x:row r="280">
      <x:c r="A280" s="32"/>
      <x:c r="B280" s="32"/>
      <x:c r="C280" s="32"/>
      <x:c r="D280" s="32"/>
      <x:c r="E280" s="32"/>
      <x:c r="F280" s="32"/>
      <x:c r="G280" s="32"/>
      <x:c r="H280" s="32"/>
      <x:c r="I280" s="32"/>
    </x:row>
    <x:row r="281">
      <x:c r="A281" s="32"/>
      <x:c r="B281" s="32"/>
      <x:c r="C281" s="32"/>
      <x:c r="D281" s="32"/>
      <x:c r="E281" s="32"/>
      <x:c r="F281" s="32"/>
      <x:c r="G281" s="32"/>
      <x:c r="H281" s="32"/>
      <x:c r="I281" s="32"/>
    </x:row>
    <x:row r="282">
      <x:c r="A282" s="32"/>
      <x:c r="B282" s="32"/>
      <x:c r="C282" s="32"/>
      <x:c r="D282" s="32"/>
      <x:c r="E282" s="32"/>
      <x:c r="F282" s="32"/>
      <x:c r="G282" s="32"/>
      <x:c r="H282" s="32"/>
      <x:c r="I282" s="32"/>
    </x:row>
    <x:row r="283">
      <x:c r="A283" s="32"/>
      <x:c r="B283" s="32"/>
      <x:c r="C283" s="32"/>
      <x:c r="D283" s="32"/>
      <x:c r="E283" s="32"/>
      <x:c r="F283" s="32"/>
      <x:c r="G283" s="32"/>
      <x:c r="H283" s="32"/>
      <x:c r="I283" s="32"/>
    </x:row>
    <x:row r="284">
      <x:c r="A284" s="32"/>
      <x:c r="B284" s="32"/>
      <x:c r="C284" s="32"/>
      <x:c r="D284" s="32"/>
      <x:c r="E284" s="32"/>
      <x:c r="F284" s="32"/>
      <x:c r="G284" s="32"/>
      <x:c r="H284" s="32"/>
      <x:c r="I284" s="32"/>
    </x:row>
    <x:row r="285">
      <x:c r="A285" s="32"/>
      <x:c r="B285" s="32"/>
      <x:c r="C285" s="32"/>
      <x:c r="D285" s="32"/>
      <x:c r="E285" s="32"/>
      <x:c r="F285" s="32"/>
      <x:c r="G285" s="32"/>
      <x:c r="H285" s="32"/>
      <x:c r="I285" s="32"/>
    </x:row>
    <x:row r="286">
      <x:c r="A286" s="32"/>
      <x:c r="B286" s="32"/>
      <x:c r="C286" s="32"/>
      <x:c r="D286" s="32"/>
      <x:c r="E286" s="32"/>
      <x:c r="F286" s="32"/>
      <x:c r="G286" s="32"/>
      <x:c r="H286" s="32"/>
      <x:c r="I286" s="32"/>
    </x:row>
    <x:row r="287">
      <x:c r="A287" s="32"/>
      <x:c r="B287" s="32"/>
      <x:c r="C287" s="32"/>
      <x:c r="D287" s="32"/>
      <x:c r="E287" s="32"/>
      <x:c r="F287" s="32"/>
      <x:c r="G287" s="32"/>
      <x:c r="H287" s="32"/>
      <x:c r="I287" s="32"/>
    </x:row>
    <x:row r="288">
      <x:c r="A288" s="32"/>
      <x:c r="B288" s="32"/>
      <x:c r="C288" s="32"/>
      <x:c r="D288" s="32"/>
      <x:c r="E288" s="32"/>
      <x:c r="F288" s="32"/>
      <x:c r="G288" s="32"/>
      <x:c r="H288" s="32"/>
      <x:c r="I288" s="32"/>
    </x:row>
    <x:row r="289">
      <x:c r="A289" s="32"/>
      <x:c r="B289" s="32"/>
      <x:c r="C289" s="32"/>
      <x:c r="D289" s="32"/>
      <x:c r="E289" s="32"/>
      <x:c r="F289" s="32"/>
      <x:c r="G289" s="32"/>
      <x:c r="H289" s="32"/>
      <x:c r="I289" s="32"/>
    </x:row>
    <x:row r="290">
      <x:c r="A290" s="32"/>
      <x:c r="B290" s="32"/>
      <x:c r="C290" s="32"/>
      <x:c r="D290" s="32"/>
      <x:c r="E290" s="32"/>
      <x:c r="F290" s="32"/>
      <x:c r="G290" s="32"/>
      <x:c r="H290" s="32"/>
      <x:c r="I290" s="32"/>
    </x:row>
    <x:row r="291">
      <x:c r="A291" s="32"/>
      <x:c r="B291" s="32"/>
      <x:c r="C291" s="32"/>
      <x:c r="D291" s="32"/>
      <x:c r="E291" s="32"/>
      <x:c r="F291" s="32"/>
      <x:c r="G291" s="32"/>
      <x:c r="H291" s="32"/>
      <x:c r="I291" s="32"/>
    </x:row>
    <x:row r="292">
      <x:c r="A292" s="32"/>
      <x:c r="B292" s="32"/>
      <x:c r="C292" s="32"/>
      <x:c r="D292" s="32"/>
      <x:c r="E292" s="32"/>
      <x:c r="F292" s="32"/>
      <x:c r="G292" s="32"/>
      <x:c r="H292" s="32"/>
      <x:c r="I292" s="32"/>
    </x:row>
    <x:row r="293">
      <x:c r="A293" s="32"/>
      <x:c r="B293" s="32"/>
      <x:c r="C293" s="32"/>
      <x:c r="D293" s="32"/>
      <x:c r="E293" s="32"/>
      <x:c r="F293" s="32"/>
      <x:c r="G293" s="32"/>
      <x:c r="H293" s="32"/>
      <x:c r="I293" s="32"/>
    </x:row>
    <x:row r="294">
      <x:c r="A294" s="32"/>
      <x:c r="B294" s="32"/>
      <x:c r="C294" s="32"/>
      <x:c r="D294" s="32"/>
      <x:c r="E294" s="32"/>
      <x:c r="F294" s="32"/>
      <x:c r="G294" s="32"/>
      <x:c r="H294" s="32"/>
      <x:c r="I294" s="32"/>
    </x:row>
    <x:row r="295">
      <x:c r="A295" s="32"/>
      <x:c r="B295" s="32"/>
      <x:c r="C295" s="32"/>
      <x:c r="D295" s="32"/>
      <x:c r="E295" s="32"/>
      <x:c r="F295" s="32"/>
      <x:c r="G295" s="32"/>
      <x:c r="H295" s="32"/>
      <x:c r="I295" s="32"/>
    </x:row>
    <x:row r="296">
      <x:c r="A296" s="32"/>
      <x:c r="B296" s="32"/>
      <x:c r="C296" s="32"/>
      <x:c r="D296" s="32"/>
      <x:c r="E296" s="32"/>
      <x:c r="F296" s="32"/>
      <x:c r="G296" s="32"/>
      <x:c r="H296" s="32"/>
      <x:c r="I296" s="32"/>
    </x:row>
    <x:row r="297">
      <x:c r="A297" s="32"/>
      <x:c r="B297" s="32"/>
      <x:c r="C297" s="32"/>
      <x:c r="D297" s="32"/>
      <x:c r="E297" s="32"/>
      <x:c r="F297" s="32"/>
      <x:c r="G297" s="32"/>
      <x:c r="H297" s="32"/>
      <x:c r="I297" s="32"/>
    </x:row>
    <x:row r="298">
      <x:c r="A298" s="32"/>
      <x:c r="B298" s="32"/>
      <x:c r="C298" s="32"/>
      <x:c r="D298" s="32"/>
      <x:c r="E298" s="32"/>
      <x:c r="F298" s="32"/>
      <x:c r="G298" s="32"/>
      <x:c r="H298" s="32"/>
      <x:c r="I298" s="32"/>
    </x:row>
    <x:row r="299">
      <x:c r="A299" s="32"/>
      <x:c r="B299" s="32"/>
      <x:c r="C299" s="32"/>
      <x:c r="D299" s="32"/>
      <x:c r="E299" s="32"/>
      <x:c r="F299" s="32"/>
      <x:c r="G299" s="32"/>
      <x:c r="H299" s="32"/>
      <x:c r="I299" s="32"/>
    </x:row>
    <x:row r="300">
      <x:c r="A300" s="32"/>
      <x:c r="B300" s="32"/>
      <x:c r="C300" s="32"/>
      <x:c r="D300" s="32"/>
      <x:c r="E300" s="32"/>
      <x:c r="F300" s="32"/>
      <x:c r="G300" s="32"/>
      <x:c r="H300" s="32"/>
      <x:c r="I300" s="32"/>
    </x:row>
  </x:sheetData>
  <x:mergeCells>
    <x:mergeCell ref="A1:I2"/>
  </x:mergeCells>
  <x:conditionalFormatting sqref="H5:H300">
    <x:cfRule type="expression" dxfId="13" priority="1">
      <x:formula>H5="Accepted"</x:formula>
    </x:cfRule>
    <x:cfRule type="expression" dxfId="14" priority="2">
      <x:formula>H5="Implemented"</x:formula>
    </x:cfRule>
    <x:cfRule type="expression" dxfId="15" priority="3">
      <x:formula>H5="Deferred"</x:formula>
    </x:cfRule>
  </x:conditionalFormatting>
  <x:dataValidations count="1">
    <x:dataValidation type="list" sqref="H5:H300">
      <x:formula1>"Proposed,Accepted,Implemented,Deferred,Rejected"</x:formula1>
    </x:dataValidation>
  </x:dataValidations>
  <x:pageMargins left="0.7" right="0.7" top="0.75" bottom="0.75" header="0.3" footer="0.3"/>
</x:worksheet>
</file>

<file path=xl/worksheets/sheet6.xml><?xml version="1.0" encoding="utf-8"?>
<x:worksheet xmlns:x="http://schemas.openxmlformats.org/spreadsheetml/2006/main">
  <x:sheetFormatPr defaultRowHeight="15"/>
  <x:cols>
    <x:col min="1" max="1" width="24" hidden="0" customWidth="1"/>
    <x:col min="2" max="2" width="16" hidden="0" customWidth="1"/>
    <x:col min="3" max="3" width="34" hidden="0" customWidth="1"/>
    <x:col min="4" max="4" width="14" hidden="0" customWidth="1"/>
    <x:col min="5" max="5" width="12" hidden="0" customWidth="1"/>
    <x:col min="6" max="6" width="12" hidden="0" customWidth="1"/>
    <x:col min="7" max="7" width="4" hidden="0" customWidth="1"/>
    <x:col min="8" max="8" width="22" hidden="0" customWidth="1"/>
    <x:col min="9" max="9" width="12" hidden="0" customWidth="1"/>
    <x:col min="10" max="10" width="22" hidden="0" customWidth="1"/>
  </x:cols>
  <x:sheetData>
    <x:row r="1">
      <x:c r="A1" s="4" t="str">
        <x:v>R3.5 — Campaign Dashboard</x:v>
      </x:c>
      <x:c r="B1" s="4"/>
      <x:c r="C1" s="4"/>
      <x:c r="D1" s="4"/>
      <x:c r="E1" s="4"/>
      <x:c r="F1" s="4"/>
      <x:c r="G1" s="4"/>
      <x:c r="H1" s="4"/>
      <x:c r="I1" s="4"/>
      <x:c r="J1" s="4"/>
    </x:row>
    <x:row r="2">
      <x:c r="A2" s="4"/>
      <x:c r="B2" s="4"/>
      <x:c r="C2" s="4"/>
      <x:c r="D2" s="4"/>
      <x:c r="E2" s="4"/>
      <x:c r="F2" s="4"/>
      <x:c r="G2" s="4"/>
      <x:c r="H2" s="4"/>
      <x:c r="I2" s="4"/>
      <x:c r="J2" s="4"/>
    </x:row>
    <x:row r="4">
      <x:c r="A4" s="12" t="str">
        <x:v>KPI</x:v>
      </x:c>
      <x:c r="B4" s="12" t="str">
        <x:v>Value</x:v>
      </x:c>
      <x:c r="D4" s="12" t="str">
        <x:v>Phase</x:v>
      </x:c>
      <x:c r="E4" s="12" t="str">
        <x:v>Planned</x:v>
      </x:c>
      <x:c r="F4" s="12" t="str">
        <x:v>Completed</x:v>
      </x:c>
      <x:c r="H4" s="12" t="str">
        <x:v>Run result</x:v>
      </x:c>
      <x:c r="I4" s="12" t="str">
        <x:v>Count</x:v>
      </x:c>
      <x:c r="J4" s="12" t="str">
        <x:v>Performance</x:v>
      </x:c>
    </x:row>
    <x:row r="5">
      <x:c r="A5" s="21" t="str">
        <x:v>Total tests</x:v>
      </x:c>
      <x:c r="B5" t="n">
        <x:f>COUNTA('01_Test_Plan'!A5:A200)</x:f>
        <x:v>62</x:v>
      </x:c>
      <x:c r="D5" s="21" t="str">
        <x:v>R3.5A</x:v>
      </x:c>
      <x:c r="E5" t="n">
        <x:f>COUNTIF('01_Test_Plan'!B5:B200,D5)</x:f>
        <x:v>5</x:v>
      </x:c>
      <x:c r="F5" t="n">
        <x:f>COUNTIFS('01_Test_Plan'!B5:B200,D5,'01_Test_Plan'!R5:R200,"Completed")</x:f>
        <x:v>5</x:v>
      </x:c>
      <x:c r="H5" s="21" t="str">
        <x:v>PASS</x:v>
      </x:c>
      <x:c r="I5" t="n">
        <x:v>35</x:v>
      </x:c>
      <x:c r="J5" t="str">
        <x:v>GREEN</x:v>
      </x:c>
    </x:row>
    <x:row r="6">
      <x:c r="A6" s="21" t="str">
        <x:v>Completed</x:v>
      </x:c>
      <x:c r="B6" t="n">
        <x:v>38</x:v>
      </x:c>
      <x:c r="D6" s="21" t="str">
        <x:v>R3.5B</x:v>
      </x:c>
      <x:c r="E6" t="n">
        <x:f>COUNTIF('01_Test_Plan'!B5:B200,D6)</x:f>
        <x:v>13</x:v>
      </x:c>
      <x:c r="F6" t="n">
        <x:f>COUNTIFS('01_Test_Plan'!B5:B200,D6,'01_Test_Plan'!R5:R200,"Completed")</x:f>
        <x:v>11</x:v>
      </x:c>
      <x:c r="H6" s="21" t="str">
        <x:v>PASS-WITH-FINDINGS</x:v>
      </x:c>
      <x:c r="I6" t="n">
        <x:v>4</x:v>
      </x:c>
      <x:c r="J6" t="str">
        <x:v>ACCEPTABLE/REVIEW</x:v>
      </x:c>
    </x:row>
    <x:row r="7">
      <x:c r="A7" s="21" t="str">
        <x:v>Ready / Running</x:v>
      </x:c>
      <x:c r="B7" t="n">
        <x:v>0</x:v>
      </x:c>
      <x:c r="D7" s="21" t="str">
        <x:v>R3.5C</x:v>
      </x:c>
      <x:c r="E7" t="n">
        <x:f>COUNTIF('01_Test_Plan'!B5:B200,D7)</x:f>
        <x:v>11</x:v>
      </x:c>
      <x:c r="F7" t="n">
        <x:v>11</x:v>
      </x:c>
      <x:c r="H7" s="21" t="str">
        <x:v>FAIL</x:v>
      </x:c>
      <x:c r="I7" t="n">
        <x:f>COUNTIF('02_Run_Results'!AI5:AI500,"FAIL")</x:f>
        <x:v>0</x:v>
      </x:c>
      <x:c r="J7" t="str">
        <x:v>INVESTIGATE</x:v>
      </x:c>
    </x:row>
    <x:row r="8">
      <x:c r="A8" s="21" t="str">
        <x:v>Blocked</x:v>
      </x:c>
      <x:c r="B8" t="n">
        <x:v>0</x:v>
      </x:c>
      <x:c r="D8" s="21" t="str">
        <x:v>R3.5D</x:v>
      </x:c>
      <x:c r="E8" t="n">
        <x:f>COUNTIF('01_Test_Plan'!B5:B200,D8)</x:f>
        <x:v>10</x:v>
      </x:c>
      <x:c r="F8" t="n">
        <x:v>10</x:v>
      </x:c>
      <x:c r="H8" s="21" t="str">
        <x:v>OBSERVED</x:v>
      </x:c>
      <x:c r="I8" t="n">
        <x:v>1</x:v>
      </x:c>
      <x:c r="J8" t="str">
        <x:v>N/A</x:v>
      </x:c>
    </x:row>
    <x:row r="9">
      <x:c r="A9" s="21" t="str">
        <x:v>Completion %</x:v>
      </x:c>
      <x:c r="B9" s="38" t="n">
        <x:f>B6/B5</x:f>
        <x:v>0.6129032258064516</x:v>
      </x:c>
      <x:c r="D9" s="21" t="str">
        <x:v>R3.5E</x:v>
      </x:c>
      <x:c r="E9" t="n">
        <x:f>COUNTIF('01_Test_Plan'!B5:B200,D9)</x:f>
        <x:v>12</x:v>
      </x:c>
      <x:c r="F9" t="n">
        <x:v>1</x:v>
      </x:c>
    </x:row>
    <x:row r="10">
      <x:c r="A10" s="21" t="str">
        <x:v>Open findings</x:v>
      </x:c>
      <x:c r="B10" t="n">
        <x:v>0</x:v>
      </x:c>
      <x:c r="D10" s="21" t="str">
        <x:v>R3.5F</x:v>
      </x:c>
      <x:c r="E10" t="n">
        <x:f>COUNTIF('01_Test_Plan'!B5:B200,D10)</x:f>
        <x:v>11</x:v>
      </x:c>
      <x:c r="F10" t="n">
        <x:f>COUNTIFS('01_Test_Plan'!B5:B200,D10,'01_Test_Plan'!R5:R200,"Completed")</x:f>
        <x:v>0</x:v>
      </x:c>
    </x:row>
    <x:row r="11">
      <x:c r="A11" s="21" t="str">
        <x:v>High/Critical findings</x:v>
      </x:c>
      <x:c r="B11" t="n">
        <x:v>0</x:v>
      </x:c>
    </x:row>
    <x:row r="14">
      <x:c r="A14" s="28" t="str">
        <x:v>Interpretación de performance (caracterización, no certificación)</x:v>
      </x:c>
      <x:c r="B14" s="28"/>
      <x:c r="C14" s="28"/>
      <x:c r="D14" s="28"/>
      <x:c r="E14" s="28"/>
      <x:c r="F14" s="28"/>
      <x:c r="G14" s="28"/>
      <x:c r="H14" s="28"/>
      <x:c r="I14" s="28"/>
      <x:c r="J14" s="28"/>
    </x:row>
    <x:row r="15">
      <x:c r="A15" s="21" t="str">
        <x:v>GREEN</x:v>
      </x:c>
      <x:c r="B15" s="32" t="str">
        <x:v>p95 ≤ 5 s</x:v>
      </x:c>
      <x:c r="C15" s="32" t="str">
        <x:v>El periodo candidato de 5 s parece sostenible.</x:v>
      </x:c>
    </x:row>
    <x:row r="16">
      <x:c r="A16" s="21" t="str">
        <x:v>ACCEPTABLE / REVIEW</x:v>
      </x:c>
      <x:c r="B16" s="32" t="str">
        <x:v>5 s &lt; p95 ≤ 10 s</x:v>
      </x:c>
      <x:c r="C16" s="32" t="str">
        <x:v>Operacionalmente usable; habrá overruns y conviene analizar tendencia.</x:v>
      </x:c>
    </x:row>
    <x:row r="17">
      <x:c r="A17" s="21" t="str">
        <x:v>INVESTIGATE</x:v>
      </x:c>
      <x:c r="B17" s="32" t="str">
        <x:v>p95 &gt; 10 s</x:v>
      </x:c>
      <x:c r="C17" s="32" t="str">
        <x:v>Buscar cuello de botella antes de cerrar timings productivos.</x:v>
      </x:c>
    </x:row>
    <x:row r="18">
      <x:c r="A18" s="21" t="str">
        <x:v>Integrity FAIL</x:v>
      </x:c>
      <x:c r="B18" s="32" t="str">
        <x:v>Independiente de performance</x:v>
      </x:c>
      <x:c r="C18" s="32" t="str">
        <x:v>Corrupción, duplicados, pérdida durable, stale writer, OOM real o crecimiento no acotado.</x:v>
      </x:c>
    </x:row>
    <x:row r="21">
      <x:c r="A21" s="53" t="str">
        <x:v>Baseline comparison</x:v>
      </x:c>
      <x:c r="B21" s="53" t="str">
        <x:v>Alarms</x:v>
      </x:c>
      <x:c r="C21" s="53" t="str">
        <x:v>p50 ms</x:v>
      </x:c>
      <x:c r="D21" s="53" t="str">
        <x:v>p95 ms</x:v>
      </x:c>
      <x:c r="E21" s="53" t="str">
        <x:v>p99 ms</x:v>
      </x:c>
      <x:c r="F21" s="53" t="str">
        <x:v>Peak RSS MB</x:v>
      </x:c>
      <x:c r="H21" s="59" t="str">
        <x:v>Scaling view</x:v>
      </x:c>
      <x:c r="I21" s="59" t="str">
        <x:v>A-004→A-005</x:v>
      </x:c>
      <x:c r="J21" s="59" t="str">
        <x:v>Interpretation</x:v>
      </x:c>
    </x:row>
    <x:row r="22">
      <x:c r="A22" t="str">
        <x:v>A-001</x:v>
      </x:c>
      <x:c r="B22" t="n">
        <x:v>100</x:v>
      </x:c>
      <x:c r="C22" s="54" t="n">
        <x:v>99.05531300046277</x:v>
      </x:c>
      <x:c r="D22" s="54" t="n">
        <x:v>141.46000239998102</x:v>
      </x:c>
      <x:c r="E22" s="54" t="n">
        <x:v>150.42760952004758</x:v>
      </x:c>
      <x:c r="F22" s="54" t="n">
        <x:v>125.984375</x:v>
      </x:c>
      <x:c r="H22" s="63" t="str">
        <x:v>Alarm count</x:v>
      </x:c>
      <x:c r="I22" t="str">
        <x:v>1.33×</x:v>
      </x:c>
      <x:c r="J22" t="str">
        <x:v>750 → 1000</x:v>
      </x:c>
    </x:row>
    <x:row r="23">
      <x:c r="A23" t="str">
        <x:v>A-002</x:v>
      </x:c>
      <x:c r="B23" t="n">
        <x:v>250</x:v>
      </x:c>
      <x:c r="C23" s="54" t="n">
        <x:v>205.6304830002773</x:v>
      </x:c>
      <x:c r="D23" s="54" t="n">
        <x:v>307.31912499959435</x:v>
      </x:c>
      <x:c r="E23" s="54" t="n">
        <x:v>444.96683280012763</x:v>
      </x:c>
      <x:c r="F23" s="54" t="n">
        <x:v>129.65234375</x:v>
      </x:c>
      <x:c r="H23" s="63" t="str">
        <x:v>p95</x:v>
      </x:c>
      <x:c r="I23" t="str">
        <x:v>1.41×</x:v>
      </x:c>
      <x:c r="J23" t="str">
        <x:v>645.03 → 907.38 ms</x:v>
      </x:c>
    </x:row>
    <x:row r="24">
      <x:c r="A24" t="str">
        <x:v>A-003</x:v>
      </x:c>
      <x:c r="B24" t="n">
        <x:v>500</x:v>
      </x:c>
      <x:c r="C24" s="54" t="n">
        <x:v>387.4734989994977</x:v>
      </x:c>
      <x:c r="D24" s="54" t="n">
        <x:v>437.5932749999265</x:v>
      </x:c>
      <x:c r="E24" s="54" t="n">
        <x:v>618.8205041999024</x:v>
      </x:c>
      <x:c r="F24" s="54" t="n">
        <x:v>131.265625</x:v>
      </x:c>
      <x:c r="H24" s="63" t="str">
        <x:v>p99</x:v>
      </x:c>
      <x:c r="I24" t="str">
        <x:v>1.39×</x:v>
      </x:c>
      <x:c r="J24" t="str">
        <x:v>888.15 → 1230.24 ms</x:v>
      </x:c>
    </x:row>
    <x:row r="25">
      <x:c r="A25" t="str">
        <x:v>A-004</x:v>
      </x:c>
      <x:c r="B25" t="n">
        <x:v>750</x:v>
      </x:c>
      <x:c r="C25" s="54" t="n">
        <x:v>585.9871780003232</x:v>
      </x:c>
      <x:c r="D25" s="54" t="n">
        <x:v>645.0332279991926</x:v>
      </x:c>
      <x:c r="E25" s="54" t="n">
        <x:v>888.147127799857</x:v>
      </x:c>
      <x:c r="F25" s="54" t="n">
        <x:v>135.6328125</x:v>
      </x:c>
    </x:row>
    <x:row r="26">
      <x:c r="A26" t="str">
        <x:v>A-005</x:v>
      </x:c>
      <x:c r="B26" t="n">
        <x:v>1000</x:v>
      </x:c>
      <x:c r="C26" s="54" t="n">
        <x:v>806.6423309992388</x:v>
      </x:c>
      <x:c r="D26" s="54" t="n">
        <x:v>907.3825960003887</x:v>
      </x:c>
      <x:c r="E26" s="54" t="n">
        <x:v>1230.2396648003196</x:v>
      </x:c>
      <x:c r="F26" s="54" t="n">
        <x:v>139.6171875</x:v>
      </x:c>
      <x:c r="H26" s="68" t="str">
        <x:v>R3.5A closure</x:v>
      </x:c>
      <x:c r="I26" s="68" t="str">
        <x:v>Value</x:v>
      </x:c>
      <x:c r="J26" s="68" t="str">
        <x:v>Interpretation</x:v>
      </x:c>
    </x:row>
    <x:row r="27">
      <x:c r="H27" s="72" t="str">
        <x:v>100→1000 p95</x:v>
      </x:c>
      <x:c r="I27" t="str">
        <x:v>6.41×</x:v>
      </x:c>
      <x:c r="J27" t="str">
        <x:v>Alarm count increased 10×</x:v>
      </x:c>
    </x:row>
    <x:row r="28">
      <x:c r="H28" s="72" t="str">
        <x:v>A-005 p95 budget</x:v>
      </x:c>
      <x:c r="I28" t="str">
        <x:v>18.15%</x:v>
      </x:c>
      <x:c r="J28" t="str">
        <x:v>907.38 ms of 5000 ms</x:v>
      </x:c>
    </x:row>
    <x:row r="30">
      <x:c r="A30" s="87" t="str">
        <x:v>Data pressure comparison</x:v>
      </x:c>
      <x:c r="B30" s="87" t="str">
        <x:v>Alarms</x:v>
      </x:c>
      <x:c r="C30" s="87" t="str">
        <x:v>Profile</x:v>
      </x:c>
      <x:c r="D30" s="87" t="str">
        <x:v>Source Columns</x:v>
      </x:c>
      <x:c r="E30" s="87" t="str">
        <x:v>p95 ms</x:v>
      </x:c>
      <x:c r="F30" s="87" t="str">
        <x:v>p99 ms</x:v>
      </x:c>
      <x:c r="G30" s="87" t="str">
        <x:v>Peak RSS MB</x:v>
      </x:c>
      <x:c r="I30" s="88" t="str">
        <x:v>B-002 finding</x:v>
      </x:c>
      <x:c r="J30" s="88" t="str">
        <x:v>Value</x:v>
      </x:c>
    </x:row>
    <x:row r="31">
      <x:c r="A31" t="str">
        <x:v>A-005</x:v>
      </x:c>
      <x:c r="B31" t="n">
        <x:v>1000</x:v>
      </x:c>
      <x:c r="C31" t="str">
        <x:v>shared-latest</x:v>
      </x:c>
      <x:c r="D31" t="n">
        <x:v>1</x:v>
      </x:c>
      <x:c r="E31" s="54" t="n">
        <x:v>907.3825960003887</x:v>
      </x:c>
      <x:c r="F31" s="54" t="n">
        <x:v>1230.2396648003196</x:v>
      </x:c>
      <x:c r="G31" s="54" t="n">
        <x:v>139.6171875</x:v>
      </x:c>
      <x:c r="I31" t="str">
        <x:v>Columns vs B-001</x:v>
      </x:c>
      <x:c r="J31" t="str">
        <x:v>3.00×</x:v>
      </x:c>
    </x:row>
    <x:row r="32">
      <x:c r="A32" t="str">
        <x:v>B-001</x:v>
      </x:c>
      <x:c r="B32" t="n">
        <x:v>1000</x:v>
      </x:c>
      <x:c r="C32" t="str">
        <x:v>latest-narrow</x:v>
      </x:c>
      <x:c r="D32" t="n">
        <x:v>1000</x:v>
      </x:c>
      <x:c r="E32" s="54" t="n">
        <x:v>1285.5415329995594</x:v>
      </x:c>
      <x:c r="F32" s="54" t="n">
        <x:v>1587.6863376004615</x:v>
      </x:c>
      <x:c r="G32" s="54" t="n">
        <x:v>142.03125</x:v>
      </x:c>
      <x:c r="I32" t="str">
        <x:v>Source-load p95</x:v>
      </x:c>
      <x:c r="J32" t="str">
        <x:v>17.45 ms</x:v>
      </x:c>
    </x:row>
    <x:row r="33">
      <x:c r="A33" t="str">
        <x:v>B-002</x:v>
      </x:c>
      <x:c r="B33" t="n">
        <x:v>1000</x:v>
      </x:c>
      <x:c r="C33" t="str">
        <x:v>latest-wide</x:v>
      </x:c>
      <x:c r="D33" t="n">
        <x:v>3000</x:v>
      </x:c>
      <x:c r="E33" s="54" t="n">
        <x:v>1084.9532180000097</x:v>
      </x:c>
      <x:c r="F33" s="54" t="n">
        <x:v>1423.1032609997783</x:v>
      </x:c>
      <x:c r="G33" s="54" t="n">
        <x:v>144.91015625</x:v>
      </x:c>
      <x:c r="I33" t="str">
        <x:v>Source-load p95 delta</x:v>
      </x:c>
      <x:c r="J33" t="str">
        <x:v>2.27×</x:v>
      </x:c>
    </x:row>
    <x:row r="34">
      <x:c r="I34" t="str">
        <x:v>Cycle p95 delta</x:v>
      </x:c>
      <x:c r="J34" t="str">
        <x:v>-15.6%</x:v>
      </x:c>
    </x:row>
    <x:row r="35">
      <x:c r="I35" t="str">
        <x:v>Source load / cycle p95</x:v>
      </x:c>
      <x:c r="J35" t="str">
        <x:v>~1.61%</x:v>
      </x:c>
    </x:row>
    <x:row r="37">
      <x:c r="A37" s="98" t="str">
        <x:v>Partition pressure comparison</x:v>
      </x:c>
      <x:c r="B37" s="98" t="str">
        <x:v>Alarms</x:v>
      </x:c>
      <x:c r="C37" s="98" t="str">
        <x:v>Source Columns</x:v>
      </x:c>
      <x:c r="D37" s="98" t="str">
        <x:v>Physical Partitions</x:v>
      </x:c>
      <x:c r="E37" s="98" t="str">
        <x:v>Source Load p95 ms</x:v>
      </x:c>
      <x:c r="F37" s="98" t="str">
        <x:v>Merge p95 ms</x:v>
      </x:c>
      <x:c r="G37" s="98" t="str">
        <x:v>Cycle p95 ms</x:v>
      </x:c>
      <x:c r="H37" s="98" t="str">
        <x:v>Peak RSS MB</x:v>
      </x:c>
      <x:c r="J37" s="109" t="str">
        <x:v>B-007 skew finding</x:v>
      </x:c>
      <x:c r="K37" s="109" t="str">
        <x:v>Value</x:v>
      </x:c>
    </x:row>
    <x:row r="38">
      <x:c r="A38" t="str">
        <x:v>B-001</x:v>
      </x:c>
      <x:c r="B38" t="n">
        <x:v>1000</x:v>
      </x:c>
      <x:c r="C38" t="n">
        <x:v>1000</x:v>
      </x:c>
      <x:c r="D38" t="n">
        <x:v>1</x:v>
      </x:c>
      <x:c r="E38" s="54" t="n">
        <x:v>7.693696999922395</x:v>
      </x:c>
      <x:c r="F38" s="54"/>
      <x:c r="G38" s="54" t="n">
        <x:v>1285.5415329995594</x:v>
      </x:c>
      <x:c r="H38" s="54" t="n">
        <x:v>142.03125</x:v>
      </x:c>
      <x:c r="J38" t="str">
        <x:v>Layout</x:v>
      </x:c>
      <x:c r="K38" t="str">
        <x:v>≈80/20</x:v>
      </x:c>
    </x:row>
    <x:row r="39">
      <x:c r="A39" t="str">
        <x:v>B-003</x:v>
      </x:c>
      <x:c r="B39" t="n">
        <x:v>1000</x:v>
      </x:c>
      <x:c r="C39" t="n">
        <x:v>1000</x:v>
      </x:c>
      <x:c r="D39" t="n">
        <x:v>4</x:v>
      </x:c>
      <x:c r="E39" s="54" t="n">
        <x:v>8.08684000003268</x:v>
      </x:c>
      <x:c r="F39" s="54" t="n">
        <x:v>0.1754949989845045</x:v>
      </x:c>
      <x:c r="G39" s="54" t="n">
        <x:v>992.8304490003939</x:v>
      </x:c>
      <x:c r="H39" s="54" t="n">
        <x:v>142.14453125</x:v>
      </x:c>
      <x:c r="J39" t="str">
        <x:v>p95 vs balanced</x:v>
      </x:c>
      <x:c r="K39" t="str">
        <x:v>+5.3%</x:v>
      </x:c>
    </x:row>
    <x:row r="40">
      <x:c r="A40" t="str">
        <x:v>B-004</x:v>
      </x:c>
      <x:c r="B40" t="n">
        <x:v>1000</x:v>
      </x:c>
      <x:c r="C40" t="n">
        <x:v>1000</x:v>
      </x:c>
      <x:c r="D40" t="n">
        <x:v>36</x:v>
      </x:c>
      <x:c r="E40" s="54" t="n">
        <x:v>25.373956999828806</x:v>
      </x:c>
      <x:c r="F40" s="54" t="n">
        <x:v>1.012687000184087</x:v>
      </x:c>
      <x:c r="G40" s="54" t="n">
        <x:v>1805.0333699993644</x:v>
      </x:c>
      <x:c r="H40" s="54" t="n">
        <x:v>141.50390625</x:v>
      </x:c>
      <x:c r="J40" t="str">
        <x:v>p99 vs balanced</x:v>
      </x:c>
      <x:c r="K40" t="str">
        <x:v>+3.2%</x:v>
      </x:c>
    </x:row>
    <x:row r="41">
      <x:c r="A41" t="str">
        <x:v>B-007</x:v>
      </x:c>
      <x:c r="B41" t="n">
        <x:v>1000</x:v>
      </x:c>
      <x:c r="C41" t="n">
        <x:v>1000</x:v>
      </x:c>
      <x:c r="D41" t="n">
        <x:v>36</x:v>
      </x:c>
      <x:c r="E41" s="54" t="n">
        <x:v>26.14674100004777</x:v>
      </x:c>
      <x:c r="F41" s="54" t="n">
        <x:v>1.103362999856472</x:v>
      </x:c>
      <x:c r="G41" s="54" t="n">
        <x:v>1899.9880939991272</x:v>
      </x:c>
      <x:c r="H41" s="54" t="n">
        <x:v>141.70703125</x:v>
      </x:c>
      <x:c r="J41" t="str">
        <x:v>Source-load p95</x:v>
      </x:c>
      <x:c r="K41" t="str">
        <x:v>26.15 ms</x:v>
      </x:c>
    </x:row>
    <x:row r="42">
      <x:c r="A42" t="str">
        <x:v>B-008</x:v>
      </x:c>
      <x:c r="B42" t="n">
        <x:v>1000</x:v>
      </x:c>
      <x:c r="C42" t="n">
        <x:v>1000</x:v>
      </x:c>
      <x:c r="D42" t="n">
        <x:v>36</x:v>
      </x:c>
      <x:c r="E42" s="54" t="n">
        <x:v>10.821471998497145</x:v>
      </x:c>
      <x:c r="F42" s="54" t="n">
        <x:v>1.0019420005846769</x:v>
      </x:c>
      <x:c r="G42" s="54" t="n">
        <x:v>1003.201858002285</x:v>
      </x:c>
      <x:c r="H42" s="54" t="n">
        <x:v>140.8671875</x:v>
      </x:c>
      <x:c r="J42" t="str">
        <x:v>Merge p95</x:v>
      </x:c>
      <x:c r="K42" t="str">
        <x:v>1.103 ms</x:v>
      </x:c>
    </x:row>
    <x:row r="43" ht="39.599998474121094" hidden="0" customHeight="1">
      <x:c r="A43" s="108" t="str">
        <x:v>Adaptive campaign policy</x:v>
      </x:c>
      <x:c r="B43" s="108" t="str">
        <x:v>Action</x:v>
      </x:c>
      <x:c r="C43" s="108" t="str">
        <x:v>Reason</x:v>
      </x:c>
      <x:c r="D43" s="108"/>
      <x:c r="E43" s="108"/>
      <x:c r="F43" s="108"/>
      <x:c r="G43" s="108"/>
      <x:c r="H43" s="108"/>
      <x:c r="J43" t="str">
        <x:v>D-005</x:v>
      </x:c>
      <x:c r="K43" s="32" t="str">
        <x:v>CLOSED — PASS/GREEN</x:v>
      </x:c>
    </x:row>
    <x:row r="44" ht="66" hidden="0" customHeight="1">
      <x:c r="A44" s="32" t="str">
        <x:v>Large margin / low information</x:v>
      </x:c>
      <x:c r="B44" s="32" t="str">
        <x:v>Skip intermediate points</x:v>
      </x:c>
      <x:c r="C44" s="32" t="str">
        <x:v>Increase information per run</x:v>
      </x:c>
      <x:c r="D44"/>
      <x:c r="E44"/>
      <x:c r="F44"/>
      <x:c r="G44"/>
      <x:c r="H44"/>
      <x:c r="J44" t="str">
        <x:v>Authoritative run</x:v>
      </x:c>
      <x:c r="K44" s="32" t="str">
        <x:v>fa708376-dcb7-4fa4-b8af-ec09ea6bb5b5</x:v>
      </x:c>
    </x:row>
    <x:row r="45" ht="15" hidden="0" customHeight="1">
      <x:c r="A45" s="32" t="str">
        <x:v>Material degradation, still GREEN</x:v>
      </x:c>
      <x:c r="B45" s="32" t="str">
        <x:v>Change dimension</x:v>
      </x:c>
      <x:c r="C45" s="32" t="str">
        <x:v>Test skew / heterogeneity before profiling</x:v>
      </x:c>
      <x:c r="D45"/>
      <x:c r="E45"/>
      <x:c r="F45"/>
      <x:c r="G45"/>
      <x:c r="H45"/>
      <x:c r="J45" t="str">
        <x:v>Decision latency</x:v>
      </x:c>
      <x:c r="K45" s="32" t="str">
        <x:v>981.46 ms</x:v>
      </x:c>
    </x:row>
    <x:row r="46" ht="15" hidden="0" customHeight="1">
      <x:c r="A46" s="32" t="str">
        <x:v>Knee / integrity failure</x:v>
      </x:c>
      <x:c r="B46" s="32" t="str">
        <x:v>Narrow search or stop</x:v>
      </x:c>
      <x:c r="C46" s="32" t="str">
        <x:v>Localize boundary before continuing</x:v>
      </x:c>
      <x:c r="D46"/>
      <x:c r="E46"/>
      <x:c r="F46"/>
      <x:c r="G46"/>
      <x:c r="H46"/>
      <x:c r="J46" s="116" t="str">
        <x:v>B-008 gate closure</x:v>
      </x:c>
      <x:c r="K46" s="76" t="str">
        <x:v>Value</x:v>
      </x:c>
    </x:row>
    <x:row r="47" ht="26.399999618530273" hidden="0" customHeight="1">
      <x:c r="J47" t="str">
        <x:v>Raw B-008 result</x:v>
      </x:c>
      <x:c r="K47" s="32" t="str">
        <x:v>FAIL (audited)</x:v>
      </x:c>
    </x:row>
    <x:row r="48" ht="39.599998474121094" hidden="0" customHeight="1">
      <x:c r="J48" t="str">
        <x:v>Campaign adjudication</x:v>
      </x:c>
      <x:c r="K48" s="32" t="str">
        <x:v>PASS-WITH-FINDINGS</x:v>
      </x:c>
    </x:row>
    <x:row r="49" ht="15" hidden="0" customHeight="1">
      <x:c r="J49" t="str">
        <x:v>Gate smoke result</x:v>
      </x:c>
      <x:c r="K49" s="32" t="str">
        <x:v>PASS</x:v>
      </x:c>
    </x:row>
    <x:row r="50" ht="15" hidden="0" customHeight="1">
      <x:c r="J50" t="str">
        <x:v>Snapshot observed / expected</x:v>
      </x:c>
      <x:c r="K50" s="32" t="str">
        <x:v>880 / 880</x:v>
      </x:c>
    </x:row>
    <x:row r="51" ht="15" hidden="0" customHeight="1">
      <x:c r="J51" t="str">
        <x:v>Neutral INACTIVE alarms</x:v>
      </x:c>
      <x:c r="K51" s="32" t="str">
        <x:v>120</x:v>
      </x:c>
    </x:row>
    <x:row r="52" ht="52.79999923706055" hidden="0" customHeight="1">
      <x:c r="J52" t="str">
        <x:v>Window preserved</x:v>
      </x:c>
      <x:c r="K52" s="32" t="str">
        <x:v>300 s original / 270 s remaining</x:v>
      </x:c>
    </x:row>
    <x:row r="53" ht="39.599998474121094" hidden="0" customHeight="1">
      <x:c r="J53" t="str">
        <x:v>WAL / cursors</x:v>
      </x:c>
      <x:c r="K53" s="32" t="str">
        <x:v>102 records / 256 + 256</x:v>
      </x:c>
    </x:row>
    <x:row r="54" ht="66" hidden="0" customHeight="1">
      <x:c r="A54" s="126" t="str">
        <x:v>Adaptive stress discovery</x:v>
      </x:c>
      <x:c r="B54" s="126" t="str">
        <x:v>Trigger</x:v>
      </x:c>
      <x:c r="C54" s="126" t="str">
        <x:v>Next action</x:v>
      </x:c>
      <x:c r="D54" s="126"/>
      <x:c r="E54" s="126"/>
      <x:c r="F54" s="126"/>
      <x:c r="G54" s="126"/>
      <x:c r="H54" s="126"/>
      <x:c r="J54" t="str">
        <x:v>D-006</x:v>
      </x:c>
      <x:c r="K54" s="32" t="str">
        <x:v>DESIGN PROPOSED — two-phase 1/s</x:v>
      </x:c>
    </x:row>
    <x:row r="55">
      <x:c r="A55" s="32" t="str">
        <x:v>Clear large margin</x:v>
      </x:c>
      <x:c r="B55" s="32" t="str">
        <x:v>p95 materially &lt; 3 s</x:v>
      </x:c>
      <x:c r="C55" s="32" t="str">
        <x:v>Use another large jump</x:v>
      </x:c>
      <x:c r="D55"/>
      <x:c r="E55"/>
      <x:c r="F55"/>
      <x:c r="G55"/>
      <x:c r="H55"/>
    </x:row>
    <x:row r="56">
      <x:c r="A56" s="32" t="str">
        <x:v>Boundary band</x:v>
      </x:c>
      <x:c r="B56" s="32" t="str">
        <x:v>p95 ≈ 3–5 s</x:v>
      </x:c>
      <x:c r="C56" s="32" t="str">
        <x:v>Escalate one dimension only</x:v>
      </x:c>
      <x:c r="D56"/>
      <x:c r="E56"/>
      <x:c r="F56"/>
      <x:c r="G56"/>
      <x:c r="H56"/>
    </x:row>
    <x:row r="57">
      <x:c r="A57" s="32" t="str">
        <x:v>Operational boundary</x:v>
      </x:c>
      <x:c r="B57" s="32" t="str">
        <x:v>p95 ≥ 5 s or overruns</x:v>
      </x:c>
      <x:c r="C57" s="32" t="str">
        <x:v>Regress to intermediate point and isolate</x:v>
      </x:c>
      <x:c r="D57"/>
      <x:c r="E57"/>
      <x:c r="F57"/>
      <x:c r="G57"/>
      <x:c r="H57"/>
    </x:row>
    <x:row r="58">
      <x:c r="A58" s="32" t="str">
        <x:v>Integrity / OOM / unbounded memory</x:v>
      </x:c>
      <x:c r="B58" s="32" t="str">
        <x:v>Any</x:v>
      </x:c>
      <x:c r="C58" s="32" t="str">
        <x:v>Stop escalation; reproduce and diagnose</x:v>
      </x:c>
      <x:c r="D58"/>
      <x:c r="E58"/>
      <x:c r="F58"/>
      <x:c r="G58"/>
      <x:c r="H58"/>
    </x:row>
  </x:sheetData>
  <x:mergeCells>
    <x:mergeCell ref="A1:J2"/>
    <x:mergeCell ref="A14:J14"/>
  </x:mergeCells>
  <x:pageMargins left="0.7" right="0.7" top="0.75" bottom="0.75" header="0.3" footer="0.3"/>
  <x:drawing xmlns:r="http://schemas.openxmlformats.org/officeDocument/2006/relationships" r:id="R87ca59cbb24d4377"/>
</x:worksheet>
</file>

<file path=xl/worksheets/sheet7.xml><?xml version="1.0" encoding="utf-8"?>
<x:worksheet xmlns:x="http://schemas.openxmlformats.org/spreadsheetml/2006/main">
  <x:sheetFormatPr defaultRowHeight="15"/>
  <x:cols>
    <x:col min="1" max="1" width="24" hidden="0" customWidth="1"/>
    <x:col min="2" max="2" width="36" hidden="0" customWidth="1"/>
    <x:col min="3" max="3" width="34" hidden="0" customWidth="1"/>
    <x:col min="4" max="4" width="26" hidden="0" customWidth="1"/>
    <x:col min="5" max="5" width="24" hidden="0" customWidth="1"/>
    <x:col min="6" max="6" width="34" hidden="0" customWidth="1"/>
  </x:cols>
  <x:sheetData>
    <x:row r="1">
      <x:c r="A1" s="4" t="str">
        <x:v>Definiciones y criterios de interpretación</x:v>
      </x:c>
      <x:c r="B1" s="4"/>
      <x:c r="C1" s="4"/>
      <x:c r="D1" s="4"/>
      <x:c r="E1" s="4"/>
      <x:c r="F1" s="4"/>
    </x:row>
    <x:row r="2">
      <x:c r="A2" s="4"/>
      <x:c r="B2" s="4"/>
      <x:c r="C2" s="4"/>
      <x:c r="D2" s="4"/>
      <x:c r="E2" s="4"/>
      <x:c r="F2" s="4"/>
    </x:row>
    <x:row r="4">
      <x:c r="A4" s="12" t="str">
        <x:v>Term</x:v>
      </x:c>
      <x:c r="B4" s="12" t="str">
        <x:v>Definition</x:v>
      </x:c>
      <x:c r="C4" s="12" t="str">
        <x:v>Why it matters</x:v>
      </x:c>
      <x:c r="D4" s="12" t="str">
        <x:v>Initial rule</x:v>
      </x:c>
      <x:c r="E4" s="12" t="str">
        <x:v>Final owner</x:v>
      </x:c>
      <x:c r="F4" s="12" t="str">
        <x:v>Notes</x:v>
      </x:c>
    </x:row>
    <x:row r="5">
      <x:c r="A5" s="32" t="str">
        <x:v>Iteration period</x:v>
      </x:c>
      <x:c r="B5" s="32" t="str">
        <x:v>Periodo objetivo start-to-start entre inicios de iteración.</x:v>
      </x:c>
      <x:c r="C5" s="32" t="str">
        <x:v>Define capacidad de reacción.</x:v>
      </x:c>
      <x:c r="D5" s="32" t="str">
        <x:v>5 s candidate</x:v>
      </x:c>
      <x:c r="E5" s="32" t="str">
        <x:v>R3.5 Timing Closure</x:v>
      </x:c>
      <x:c r="F5" s="32" t="str">
        <x:v>No es sleep fijo post-cycle.</x:v>
      </x:c>
    </x:row>
    <x:row r="6">
      <x:c r="A6" s="32" t="str">
        <x:v>Data refresh</x:v>
      </x:c>
      <x:c r="B6" s="32" t="str">
        <x:v>Frecuencia sintética de nueva revisión de datos operacionales.</x:v>
      </x:c>
      <x:c r="C6" s="32" t="str">
        <x:v>Separa control-plane de refresh físico.</x:v>
      </x:c>
      <x:c r="D6" s="32" t="str">
        <x:v>10 s</x:v>
      </x:c>
      <x:c r="E6" s="32" t="str">
        <x:v>Data pipeline / runtime contract</x:v>
      </x:c>
      <x:c r="F6" s="32" t="str">
        <x:v>Iteraciones intermedias pueden usar la misma revisión de datos.</x:v>
      </x:c>
    </x:row>
    <x:row r="7">
      <x:c r="A7" s="32" t="str">
        <x:v>Overrun</x:v>
      </x:c>
      <x:c r="B7" s="32" t="str">
        <x:v>Duración de iteration &gt; iteration period.</x:v>
      </x:c>
      <x:c r="C7" s="32" t="str">
        <x:v>Mide presión sobre la cadencia.</x:v>
      </x:c>
      <x:c r="D7" s="32" t="str">
        <x:v>Observar; no FAIL automático</x:v>
      </x:c>
      <x:c r="E7" s="32" t="str">
        <x:v>R3.5 analysis</x:v>
      </x:c>
      <x:c r="F7" s="32" t="str">
        <x:v>Sin catch-up acumulativo.</x:v>
      </x:c>
    </x:row>
    <x:row r="8">
      <x:c r="A8" s="32" t="str">
        <x:v>Integrity failure</x:v>
      </x:c>
      <x:c r="B8" s="32" t="str">
        <x:v>Violación de durabilidad/correctness.</x:v>
      </x:c>
      <x:c r="C8" s="32" t="str">
        <x:v>Tiene prioridad sobre performance.</x:v>
      </x:c>
      <x:c r="D8" s="32" t="str">
        <x:v>Siempre FAIL</x:v>
      </x:c>
      <x:c r="E8" s="32" t="str">
        <x:v>Architecture</x:v>
      </x:c>
      <x:c r="F8" s="32" t="str">
        <x:v>Incluye duplicados, pérdidas, corrupción, stale writer.</x:v>
      </x:c>
    </x:row>
    <x:row r="9">
      <x:c r="A9" s="32" t="str">
        <x:v>Bounded memory</x:v>
      </x:c>
      <x:c r="B9" s="32" t="str">
        <x:v>Memoria alcanza meseta o tendencia estable bajo carga sostenida.</x:v>
      </x:c>
      <x:c r="C9" s="32" t="str">
        <x:v>Detecta fugas aunque no haya OOM.</x:v>
      </x:c>
      <x:c r="D9" s="32" t="str">
        <x:v>Caracterizar slope</x:v>
      </x:c>
      <x:c r="E9" s="32" t="str">
        <x:v>R3.5F</x:v>
      </x:c>
      <x:c r="F9" s="32" t="str">
        <x:v>No usar threshold absoluto al inicio.</x:v>
      </x:c>
    </x:row>
    <x:row r="10">
      <x:c r="A10" s="32" t="str">
        <x:v>Performance GREEN</x:v>
      </x:c>
      <x:c r="B10" s="32" t="str">
        <x:v>p95 ≤ 5 s.</x:v>
      </x:c>
      <x:c r="C10" s="32" t="str">
        <x:v>Periodo candidato aparentemente sostenible.</x:v>
      </x:c>
      <x:c r="D10" s="32" t="str">
        <x:v>GREEN</x:v>
      </x:c>
      <x:c r="E10" s="32" t="str">
        <x:v>R3.5 analysis</x:v>
      </x:c>
      <x:c r="F10" s="32" t="str">
        <x:v>No reemplaza integrity gate.</x:v>
      </x:c>
    </x:row>
    <x:row r="11">
      <x:c r="A11" s="32" t="str">
        <x:v>Performance REVIEW</x:v>
      </x:c>
      <x:c r="B11" s="32" t="str">
        <x:v>5 s &lt; p95 ≤ 10 s.</x:v>
      </x:c>
      <x:c r="C11" s="32" t="str">
        <x:v>Hay overruns pero puede ser operacionalmente aceptable.</x:v>
      </x:c>
      <x:c r="D11" s="32" t="str">
        <x:v>REVIEW</x:v>
      </x:c>
      <x:c r="E11" s="32" t="str">
        <x:v>R3.5 analysis</x:v>
      </x:c>
      <x:c r="F11" s="32" t="str">
        <x:v>Investigar tendencia y recursos.</x:v>
      </x:c>
    </x:row>
    <x:row r="12">
      <x:c r="A12" s="32" t="str">
        <x:v>Performance INVESTIGATE</x:v>
      </x:c>
      <x:c r="B12" s="32" t="str">
        <x:v>p95 &gt; 10 s.</x:v>
      </x:c>
      <x:c r="C12" s="32" t="str">
        <x:v>Probable cuello antes de timing closure.</x:v>
      </x:c>
      <x:c r="D12" s="32" t="str">
        <x:v>INVESTIGATE</x:v>
      </x:c>
      <x:c r="E12" s="32" t="str">
        <x:v>R3.5 analysis</x:v>
      </x:c>
      <x:c r="F12" s="32" t="str">
        <x:v>No implica corrupción.</x:v>
      </x:c>
    </x:row>
    <x:row r="13">
      <x:c r="A13" s="32" t="str">
        <x:v>Granular profiling</x:v>
      </x:c>
      <x:c r="B13" s="32" t="str">
        <x:v>Instrumentación por fronteras sólo cuando exista evidencia de cuello.</x:v>
      </x:c>
      <x:c r="C13" s="32" t="str">
        <x:v>Evita overhead y sobreingeniería.</x:v>
      </x:c>
      <x:c r="D13" s="32" t="str">
        <x:v>Conditional</x:v>
      </x:c>
      <x:c r="E13" s="32" t="str">
        <x:v>Harness</x:v>
      </x:c>
      <x:c r="F13" s="32" t="str">
        <x:v>Wall/CPU/RSS/bytes por etapa.</x:v>
      </x:c>
    </x:row>
    <x:row r="14">
      <x:c r="A14" t="str">
        <x:v>Granular iteration CPU %</x:v>
      </x:c>
      <x:c r="B14" t="str">
        <x:v>CPU-time del proceso consumido durante la ventana activa de una iteration dividido por su wall time.</x:v>
      </x:c>
      <x:c r="C14" t="str">
        <x:v>Permite saber cuán intensiva es la parte activa, pero no representa CPU sostenido durante sleeps.</x:v>
      </x:c>
      <x:c r="D14" t="str">
        <x:v>Puede superar 100% en un proceso multihilo/multicore; interpretar junto a duración y duty-cycle.</x:v>
      </x:c>
      <x:c r="E14" t="str">
        <x:v>Harness</x:v>
      </x:c>
      <x:c r="F14" t="str">
        <x:v>A-001: ~81.68% activo; ~1.71% de un core equivalente al promediar las muestras sobre 120.18 s.</x:v>
      </x:c>
    </x:row>
    <x:row r="15">
      <x:c r="A15" t="str">
        <x:v>Source frame bytes</x:v>
      </x:c>
      <x:c r="B15" t="str">
        <x:v>Tamaño reportado por el harness para los datos materializados de la vista sintética.</x:v>
      </x:c>
      <x:c r="C15" t="str">
        <x:v>Sirve para comparar perfiles dentro del mismo harness.</x:v>
      </x:c>
      <x:c r="D15" t="str">
        <x:v>Interpretar como métrica relativa; no representa necesariamente todo el overhead Python/Pandas de columnas, índice y objetos.</x:v>
      </x:c>
      <x:c r="E15" t="str">
        <x:v>Harness</x:v>
      </x:c>
      <x:c r="F15" t="str">
        <x:v>B-001: 8132 bytes para 1 row × 1000 FLOAT columns.</x:v>
      </x:c>
    </x:row>
    <x:row r="16">
      <x:c r="A16" t="str">
        <x:v>Physical partitions</x:v>
      </x:c>
      <x:c r="B16" t="str">
        <x:v>Chunks físicos sintéticos que componen una única vista lógica DataPartition.LATEST antes de entregarla al Runtime.</x:v>
      </x:c>
      <x:c r="C16" t="str">
        <x:v>Permiten caracterizar costo de particionado y merge sin inventar nuevos valores del contrato DataPartition.</x:v>
      </x:c>
      <x:c r="D16" t="str">
        <x:v>No confundir con múltiples valores lógicos de DataPartition ni con múltiples fuentes.</x:v>
      </x:c>
      <x:c r="E16" t="str">
        <x:v>Harness</x:v>
      </x:c>
      <x:c r="F16" t="str">
        <x:v>B-003: 4 chunks balanceados de 250 columnas; mergeados a 1 LoadedDataSourceView de 1000 columnas.</x:v>
      </x:c>
    </x:row>
    <x:row r="17">
      <x:c r="A17" t="str">
        <x:v>Adaptive campaign</x:v>
      </x:c>
      <x:c r="B17" t="str">
        <x:v>Estrategia que aumenta el salto experimental cuando existe margen amplio y evita ejecutar puntos intermedios de bajo valor.</x:v>
      </x:c>
      <x:c r="C17" t="str">
        <x:v>Reduce tiempo total sin perder capacidad de detectar rodillas, porque permite volver a puntos intermedios si aparece degradación material.</x:v>
      </x:c>
      <x:c r="D17" t="str">
        <x:v>Supersede intermediate tests; never count them as PASS.</x:v>
      </x:c>
      <x:c r="E17" t="str">
        <x:v>R3.5 analysis</x:v>
      </x:c>
      <x:c r="F17" t="str">
        <x:v>Desde B-004: 4→36 partitions; 8/16/32 quedan Superseded, no Completed.</x:v>
      </x:c>
    </x:row>
    <x:row r="18">
      <x:c r="A18" t="str">
        <x:v>Neutral snapshot semantics</x:v>
      </x:c>
      <x:c r="B18" t="str">
        <x:v>Alarmas configuradas que no tienen occurrence, management_effect ni deactivation_effect no ocupan hot-state en GroupRuntimeSnapshot.</x:v>
      </x:c>
      <x:c r="C18" t="str">
        <x:v>Evita confundir cardinal de configuración con cardinal de estado durable y previene falsos FAIL en escenarios con evaluación inicial INACTIVE.</x:v>
      </x:c>
      <x:c r="D18" t="str">
        <x:v>Integrity gate must compare snapshot_alarm_count with expected materialized hot-state count, not configured alarm_count.</x:v>
      </x:c>
      <x:c r="E18" t="str">
        <x:v>Alarm Core / Runtime snapshot contract</x:v>
      </x:c>
      <x:c r="F18" t="str">
        <x:v>B-008: 1000 configured, 120 null→INACTIVE neutral, expected/observed snapshot = 880.</x:v>
      </x:c>
    </x:row>
    <x:row r="19">
      <x:c r="A19" t="str">
        <x:v>Historical Stress Jump</x:v>
      </x:c>
      <x:c r="B19" t="str">
        <x:v>Escenario adaptativo que combina Latest con PI_INTERPOLATED/DAILY y TimeWindow real, usando suficiente densidad para buscar la primera frontera operacional.</x:v>
      </x:c>
      <x:c r="C19" t="str">
        <x:v>Evita múltiples corridas históricas pequeñas que aportan poca información cuando el motor conserva margen.</x:v>
      </x:c>
      <x:c r="D19" t="str">
        <x:v>B-009 target: 1000 alarms × 3 historical series × 360 points = 1,080,000 historical numeric values, plus 1000 Latest values.</x:v>
      </x:c>
      <x:c r="E19" t="str">
        <x:v>R3.5 analysis / ada.data contracts</x:v>
      </x:c>
      <x:c r="F19" t="str">
        <x:v>Si p95 cruza 5 s o aparece anomalía, no seguir escalando: regresar a un punto intermedio y aislar la dimensión responsable.</x:v>
      </x:c>
    </x:row>
    <x:row r="20">
      <x:c r="A20" s="32" t="str">
        <x:v>Functional lifecycle churn</x:v>
      </x:c>
      <x:c r="B20" s="32" t="str">
        <x:v>Cambio sintético determinístico del estado evaluado que obliga al Core a iniciar/cerrar continuidad operacional real.</x:v>
      </x:c>
      <x:c r="C20" s="32" t="str">
        <x:v>Mide state-machine + EngineCommit + WAL, no sólo costo de evaluación.</x:v>
      </x:c>
      <x:c r="D20" s="32" t="str">
        <x:v>C-001: 10% de alarmas por data generation.</x:v>
      </x:c>
      <x:c r="E20" s="32" t="str">
        <x:v>R3.5C</x:v>
      </x:c>
      <x:c r="F20" s="32" t="str">
        <x:v>Los contadores esperados se derivan de las generaciones realmente observadas.</x:v>
      </x:c>
    </x:row>
    <x:row r="21">
      <x:c r="A21" s="32" t="str">
        <x:v>Lifecycle commit</x:v>
      </x:c>
      <x:c r="B21" s="32" t="str">
        <x:v>EngineCommit que contiene cambios de Occurrence, Episode o Assignment asociados a una transición funcional.</x:v>
      </x:c>
      <x:c r="C21" s="32" t="str">
        <x:v>Permite distinguir churn semántico de evidence periódica sin cambio de continuidad.</x:v>
      </x:c>
      <x:c r="D21" s="32" t="str">
        <x:v>Debe coincidir con el número esperado y no duplicarse por group+generation.</x:v>
      </x:c>
      <x:c r="E21" s="32" t="str">
        <x:v>Harness / Alarm Core</x:v>
      </x:c>
      <x:c r="F21" s="32" t="str">
        <x:v>C-001: 700 observados = 700 esperados.</x:v>
      </x:c>
    </x:row>
    <x:row r="22">
      <x:c r="A22" s="32" t="str">
        <x:v>Evidence-only commit</x:v>
      </x:c>
      <x:c r="B22" s="32" t="str">
        <x:v>Commit durable que contiene evidence contractual sin cambio de Occurrence/Episode/Assignment.</x:v>
      </x:c>
      <x:c r="C22" s="32" t="str">
        <x:v>Evita falsos FAIL cuando vence una obligación de evidence en un estado estable.</x:v>
      </x:c>
      <x:c r="D22" s="32" t="str">
        <x:v>Permitido; se reporta separado del lifecycle churn.</x:v>
      </x:c>
      <x:c r="E22" s="32" t="str">
        <x:v>Alarm Core / Harness</x:v>
      </x:c>
      <x:c r="F22" s="32" t="str">
        <x:v>C-001 observó 0; el gate permanece preparado para escenarios que sí los produzcan.</x:v>
      </x:c>
    </x:row>
    <x:row r="23">
      <x:c r="A23" s="32" t="str">
        <x:v>Technical Hold recovery churn</x:v>
      </x:c>
      <x:c r="B23" s="32" t="str">
        <x:v>Escenario determinístico que convierte temporalmente una cohorte ACTIVE en ERROR y la recupera antes del vencimiento de TechnicalHold.</x:v>
      </x:c>
      <x:c r="C23" s="32" t="str">
        <x:v>Ejercita ERROR, TechnicalHold STARTED/CLEARED, Journey, Evidence, EngineCommit y WAL sin cerrar la Occurrence ni el Episode.</x:v>
      </x:c>
      <x:c r="D23" s="32" t="str">
        <x:v>C-002: 10% de alarmas por generación; hold observado ~10 s; grace productivo 300 s.</x:v>
      </x:c>
      <x:c r="E23" s="32" t="str">
        <x:v>R3.5C</x:v>
      </x:c>
      <x:c r="F23" s="32" t="str">
        <x:v>El gate exige occurrence_id estable, TechnicalHold EXPIRED=0 y ausencia de cierres de Occurrence/Episode.</x:v>
      </x:c>
    </x:row>
    <x:row r="24">
      <x:c r="A24" s="32" t="str">
        <x:v>Technical Hold expiry &amp; reappearance</x:v>
      </x:c>
      <x:c r="B24" s="32" t="str">
        <x:v>Escenario en que una Occurrence ACTIVE entra ERROR, permanece más allá del grace técnico real de 300 s y después recupera cuando la continuidad anterior ya fue cerrada.</x:v>
      </x:c>
      <x:c r="C24" s="32" t="str">
        <x:v>Valida TechnicalHold EXPIRED, OccurrenceClosureReason.TECHNICAL_HOLD_EXPIRED, EpisodeClosureReason.TECHNICAL_UNCERTAINTY y creación de nueva Occurrence/Episode al reaparecer.</x:v>
      </x:c>
      <x:c r="D24" s="32" t="str">
        <x:v>C-003: 10% por cohorte; stagger 30 s; ERROR 320 s; refresh 10 s; duración 600 s.</x:v>
      </x:c>
      <x:c r="E24" s="32" t="str">
        <x:v>R3.5C</x:v>
      </x:c>
      <x:c r="F24" s="32" t="str">
        <x:v>El harness no altera el grace. Tras expiry no se acepta technical_hold_recovered sobre la identidad antigua; ACTIVE debe iniciar una occurrence_id nueva. El cierre de Occurrence y Episode debe usar razones exactas.</x:v>
      </x:c>
    </x:row>
    <x:row r="25">
      <x:c r="A25" s="32" t="str">
        <x:v>Initial ERROR without continuity</x:v>
      </x:c>
      <x:c r="B25" s="32" t="str">
        <x:v>Estado ERROR para una alarma que todavía no posee Occurrence ni Episode abiertos, seguido por su primera activación.</x:v>
      </x:c>
      <x:c r="C25" s="32" t="str">
        <x:v>Distingue un fallo técnico previo al nacimiento de continuidad de TechnicalHold, que requiere una Occurrence previa.</x:v>
      </x:c>
      <x:c r="D25" s="32" t="str">
        <x:v>C-004: bootstrap 100% ERROR; hold 20 s; first activation 10% cada 20 s; refresh 10 s.</x:v>
      </x:c>
      <x:c r="E25" s="32" t="str">
        <x:v>R3.5C</x:v>
      </x:c>
      <x:c r="F25" s="32" t="str">
        <x:v>Antes de la primera activación: cero lifecycle commits, hot-state y TechnicalHold. Cada primera ACTIVE crea exactamente una primera occurrence_id; no es reappearance.</x:v>
      </x:c>
    </x:row>
    <x:row r="26">
      <x:c r="A26" s="32" t="str">
        <x:v>Mixed initial-ERROR hotspot</x:v>
      </x:c>
      <x:c r="B26" s="32" t="str">
        <x:v>Incremento de latencia observado cuando coexisten alarmas ACTIVE con continuidad y alarmas ERROR sin continuidad previa.</x:v>
      </x:c>
      <x:c r="C26" s="32" t="str">
        <x:v>C-004 mostró una curva no monótona con máximo cercano a 50/50, aun en iteraciones sin writes.</x:v>
      </x:c>
      <x:c r="D26" s="32" t="str">
        <x:v>Reproduce before attribution; fixed 50/50 steady state is the next isolation point.</x:v>
      </x:c>
      <x:c r="E26" s="32" t="str">
        <x:v>R3.5C</x:v>
      </x:c>
      <x:c r="F26" s="32" t="str">
        <x:v>No confundir con TechnicalHold: las alarmas ERROR de este caso nunca tuvieron Occurrence. No atribuir a recursos de deployment hasta aislar el comportamiento.</x:v>
      </x:c>
    </x:row>
    <x:row r="27">
      <x:c r="A27" s="32" t="str">
        <x:v>Fixed mixed initial-ERROR reproduction</x:v>
      </x:c>
      <x:c r="B27" s="32" t="str">
        <x:v>Composición inmutable con una población ACTIVE que posee continuidad y otra población ERROR que nunca tuvo Occurrence.</x:v>
      </x:c>
      <x:c r="C27" s="32" t="str">
        <x:v>Aísla el costo de composición de los costos de transición, stagger y persistencia lifecycle.</x:v>
      </x:c>
      <x:c r="D27" s="32" t="str">
        <x:v>C-004-R1: 50% ACTIVE / 50% ERROR; 100 grupos×10; 300 s; 0 transitions after bootstrap.</x:v>
      </x:c>
      <x:c r="E27" s="32" t="str">
        <x:v>R3.5C</x:v>
      </x:c>
      <x:c r="F27" s="32" t="str">
        <x:v>ERROR permanece neutral: no Occurrence, Episode, Assignment ni TechnicalHold. Sólo la mitad ACTIVE debe aparecer en hot-state.</x:v>
      </x:c>
    </x:row>
    <x:row r="28">
      <x:c r="A28" s="32" t="str">
        <x:v>Repeated durable-history lookup</x:v>
      </x:c>
      <x:c r="B28" s="32" t="str">
        <x:v>Patrón donde la ausencia de snapshot obliga a comprobar si el grupo tuvo historia durable, releyendo el journal durable completo para responder una pregunta de pertenencia.</x:v>
      </x:c>
      <x:c r="C28" s="32" t="str">
        <x:v>Puede transformar una verificación de integridad en trabajo repetido proporcional a durable_groups × missing_snapshot_groups.</x:v>
      </x:c>
      <x:c r="D28" s="32" t="str">
        <x:v>C-004/R1 root-cause candidate; C-004-R2 must confirm causality before product changes.</x:v>
      </x:c>
      <x:c r="E28" s="32" t="str">
        <x:v>R3.5C</x:v>
      </x:c>
      <x:c r="F28" s="32" t="str">
        <x:v>La garantía 'missing snapshot + durable history = corruption' debe conservarse. La optimización sólo puede cambiar cómo se obtiene la pertenencia, no relajar la validación.</x:v>
      </x:c>
    </x:row>
    <x:row r="29">
      <x:c r="A29" s="32" t="str">
        <x:v>Per-cycle durable history index POC</x:v>
      </x:c>
      <x:c r="B29" s="32" t="str">
        <x:v>Índice efímero de priority_groups con historia durable, construido desde el journal una sola vez en cada iteración cuando existe al menos un grupo sin snapshot.</x:v>
      </x:c>
      <x:c r="C29" s="32" t="str">
        <x:v>Reduce lecturas repetidas del mismo WAL sin cambiar la regla de integridad 'missing snapshot + durable history = corruption'.</x:v>
      </x:c>
      <x:c r="D29" s="32" t="str">
        <x:v>C-004-R2 harness only; baseline vs indexed A/B; index discarded at every iteration boundary.</x:v>
      </x:c>
      <x:c r="E29" s="32" t="str">
        <x:v>R3.5C</x:v>
      </x:c>
      <x:c r="F29" s="32" t="str">
        <x:v>No es todavía una optimización productiva. El resultado end-to-end debe confirmar la causalidad antes de modificar AlarmRuntimeComposition o Persistence.</x:v>
      </x:c>
    </x:row>
    <x:row r="30">
      <x:c r="A30" s="32" t="str">
        <x:v>Cycle-scoped durable history membership</x:v>
      </x:c>
      <x:c r="B30" s="32" t="str">
        <x:v>Vista efímera de los priority_groups presentes en la historia durable, compartida por todas las cargas de grupo dentro de una sola iteración y descartada al terminarla.</x:v>
      </x:c>
      <x:c r="C30" s="32" t="str">
        <x:v>Evita releer el mismo journal N veces en el ciclo manteniendo el chequeo de integridad para cada grupo.</x:v>
      </x:c>
      <x:c r="D30" s="32" t="str">
        <x:v>C-004-R2 confirmed; proposed product contract for C-004-R3.</x:v>
      </x:c>
      <x:c r="E30" s="32" t="str">
        <x:v>R3.5C</x:v>
      </x:c>
      <x:c r="F30" s="32" t="str">
        <x:v>No debe convertirse en cache global/persistente ni sobrevivir entre iteraciones sin validación explícita contra el durable head. Missing snapshot + membership durable continúa siendo corrupción.</x:v>
      </x:c>
    </x:row>
    <x:row r="31">
      <x:c r="A31" s="32" t="str">
        <x:v>Batch group hydration</x:v>
      </x:c>
      <x:c r="B31" s="32" t="str">
        <x:v>Carga productiva de todos los priority_groups de una iteración como un lote, usando snapshots por grupo y una única vista durable compartida sólo cuando existe algún snapshot faltante.</x:v>
      </x:c>
      <x:c r="C31" s="32" t="str">
        <x:v>Convierte la verificación repetida durable_groups × missing_groups en un scan durable por lote sin mantener cache entre iteraciones.</x:v>
      </x:c>
      <x:c r="D31" s="32" t="str">
        <x:v>Implemented candidate in ada-alarms-runtime-process 0.14.2; C-004-R3 validates product path.</x:v>
      </x:c>
      <x:c r="E31" s="32" t="str">
        <x:v>R3.5C</x:v>
      </x:c>
      <x:c r="F31" s="32" t="str">
        <x:v>La vista es local a load_groups(); no sobrevive al ciclo. Si no faltan snapshots no se lee el journal. Si un grupo faltante sí aparece en historia durable, continúa levantándose AlarmRuntimeCompositionError.</x:v>
      </x:c>
    </x:row>
    <x:row r="32">
      <x:c r="A32" s="32" t="str">
        <x:v>Validated product batch hydration</x:v>
      </x:c>
      <x:c r="B32" s="32" t="str">
        <x:v>Implementación productiva 0.14.2 que hidrata grupos como lote por ciclo y comparte una única vista de pertenencia durable cuando existen snapshots faltantes.</x:v>
      </x:c>
      <x:c r="C32" s="32" t="str">
        <x:v>C-004-R3 demuestra que elimina el hotspot de scans repetidos sin cache persistente y sin cambiar integridad.</x:v>
      </x:c>
      <x:c r="D32" s="32" t="str">
        <x:v>C-004-R3 PASS/GREEN: p95 0.988 s, 0 overruns, harness lookup mode baseline.</x:v>
      </x:c>
      <x:c r="E32" s="32" t="str">
        <x:v>R3.5C</x:v>
      </x:c>
      <x:c r="F32" s="32" t="str">
        <x:v>La telemetría durable_history_lookup del harness queda en baseline/zero porque el fix ya vive en producto; la prueba autoritativa es el tiempo recuperado más WAL/snapshot exactos.</x:v>
      </x:c>
    </x:row>
    <x:row r="33">
      <x:c r="A33" s="32" t="str">
        <x:v>C1 immediate routing fan-out</x:v>
      </x:c>
      <x:c r="B33" s="32" t="str">
        <x:v>Routing de Criticality.C1 donde una Occurrence abierta queda asignada en el mismo ciclo al Tool de origen y a todos sus RoutingDestination, sin pending timers.</x:v>
      </x:c>
      <x:c r="C33" s="32" t="str">
        <x:v>Presiona AssignmentChange, Journey, commit/WAL y snapshot aumentando Tools asignados por alarma sin introducir churn de evaluación.</x:v>
      </x:c>
      <x:c r="D33" s="32" t="str">
        <x:v>C-005: origin + 3 destinations = 4 immediate assignments/alarm; 1000 alarms =&gt; 4000 assignments.</x:v>
      </x:c>
      <x:c r="E33" s="32" t="str">
        <x:v>R3.5C</x:v>
      </x:c>
      <x:c r="F33" s="32" t="str">
        <x:v>Todos los cambios deben ser ASSIGNED. SCHEDULED/RESCHEDULED/REMOVED o cualquier pending assignment hacen fallar el gate funcional C1.</x:v>
      </x:c>
    </x:row>
    <x:row r="34">
      <x:c r="A34" s="32" t="str">
        <x:v>C2 delayed routing progression</x:v>
      </x:c>
      <x:c r="B34" s="32" t="str">
        <x:v>Routing Criticality.C2 donde origin se asigna al iniciar la Occurrence y cada RoutingDestination queda pending hasta un due_at absoluto derivado de occurrence.started_at.</x:v>
      </x:c>
      <x:c r="C34" s="32" t="str">
        <x:v>Ejercita SCHEDULED, pending_assignments y posteriores ASSIGNED por deadline sin cambios de evaluación/configuración.</x:v>
      </x:c>
      <x:c r="D34" s="32" t="str">
        <x:v>C-006: delays 60/120/180 s; 1000 alarms; pending 3000→2000→1000→0; 300 s.</x:v>
      </x:c>
      <x:c r="E34" s="32" t="str">
        <x:v>R3.5C</x:v>
      </x:c>
      <x:c r="F34" s="32" t="str">
        <x:v>El gate exige offsets due_at exactos y snapshots de cada ola. RESCHEDULED/REMOVED deben permanecer en cero. Los delays deben ser positivos, únicos, crecientes y alineados con data_refresh.</x:v>
      </x:c>
    </x:row>
    <x:row r="35">
      <x:c r="A35" s="32" t="str">
        <x:v>C2 reschedule across configuration window</x:v>
      </x:c>
      <x:c r="B35" s="32" t="str">
        <x:v>Prueba bifásica donde pending assignments creados bajo una revisión C2 se reconcilian contra una nueva revisión adoptada en otra ejecución que reutiliza el mismo estado durable.</x:v>
      </x:c>
      <x:c r="C35" s="32" t="str">
        <x:v>Ejercita RESCHEDULED real, preservación de occurrence_id, reemplazo de due_at y posteriores ASSIGNED sin violar el freeze de configuración intra-ventana.</x:v>
      </x:c>
      <x:c r="D35" s="32" t="str">
        <x:v>C-007: AC-1 +60/+120/+180 for 30 s; AC-2 +90/+150/+210 on same volume; 270 s total.</x:v>
      </x:c>
      <x:c r="E35" s="32" t="str">
        <x:v>R3.5C</x:v>
      </x:c>
      <x:c r="F35" s="32" t="str">
        <x:v>Los destinos no cambian, sólo sus delays. Se esperan 3000 RESCHEDULED y REMOVED=0. La adopción debe ocurrir antes de todos los due_at viejos y nuevos; Phase B conserva la Occurrence original.</x:v>
      </x:c>
    </x:row>
    <x:row r="36">
      <x:c r="A36" s="32" t="str">
        <x:v>C2 destination removal across configuration window</x:v>
      </x:c>
      <x:c r="B36" s="32" t="str">
        <x:v>Prueba bifásica donde una nueva revisión compatible conserva alarma, Criticality.C2, origin Tool y Occurrence, pero elimina todos los RoutingDestination existentes.</x:v>
      </x:c>
      <x:c r="C36" s="32" t="str">
        <x:v>Ejercita AssignmentChange REMOVED tanto desde Tool ya materializado como desde pending assignment sin mezclar disable, alarm removal, structural reset ni reschedule.</x:v>
      </x:c>
      <x:c r="D36" s="32" t="str">
        <x:v>C-008: AC-1 +60/+120/+180 for 90 s; AC-2 destinations=(); 210 s total; 1000 alarms.</x:v>
      </x:c>
      <x:c r="E36" s="32" t="str">
        <x:v>R3.5C</x:v>
      </x:c>
      <x:c r="F36" s="32" t="str">
        <x:v>A la adopción route-01 ya está assigned y route-02/03 siguen pending. Se esperan 3000 REMOVED: 1000 reached + 2000 pending, 100 commits de reconciliación, REMOVED sin due_at, mismo occurrence_id, origin preservado y final 1000 assignments/0 pending.</x:v>
      </x:c>
    </x:row>
    <x:row r="37">
      <x:c r="A37" s="32" t="str">
        <x:v>Validated C2 destination removal</x:v>
      </x:c>
      <x:c r="B37" s="32" t="str">
        <x:v>Adopción compatible C2 donde una nueva revisión elimina RoutingDestination y Core emite REMOVED para Tools ya assigned y pending sin cerrar la Occurrence.</x:v>
      </x:c>
      <x:c r="C37" s="32" t="str">
        <x:v>C-008 cierra la última semántica de routing pendiente y demuestra que no quedan timers residuales ni assignments tardíos tras la reconciliación.</x:v>
      </x:c>
      <x:c r="D37" s="32" t="str">
        <x:v>C-008 PASS/GREEN: 3000 REMOVED = 1000 reached + 2000 pending; final origin-only.</x:v>
      </x:c>
      <x:c r="E37" s="32" t="str">
        <x:v>R3.5C</x:v>
      </x:c>
      <x:c r="F37" s="32" t="str">
        <x:v>R3.5C queda cerrado 11/11. La continuidad se conserva: state_basis AC-2 y occurrence start revision AC-1; durable y materialized heads idénticos.</x:v>
      </x:c>
    </x:row>
    <x:row r="38">
      <x:c r="A38" s="32" t="str">
        <x:v>Durable single-management baseline</x:v>
      </x:c>
      <x:c r="B38" s="32" t="str">
        <x:v>Caracterización de una ManagementAction individual que entra por AlarmDurableInputConsumer, produce un efecto de management y un InputReceipt terminal durable antes de que el consumer avance su cursor.</x:v>
      </x:c>
      <x:c r="C38" s="32" t="str">
        <x:v>Aísla latencia y corrección del control-plane durable antes de continuous/burst management y antes de DeactivationDecision.</x:v>
      </x:c>
      <x:c r="D38" s="32" t="str">
        <x:v>D-001: PERF-M-000001 at +30 s on perf/alarm_00001; receipt EFFECTIVE + ManagementEffect STARTED.</x:v>
      </x:c>
      <x:c r="E38" s="32" t="str">
        <x:v>R3.5D</x:v>
      </x:c>
      <x:c r="F38" s="32" t="str">
        <x:v>No deactivation_intent, no cascades, no reappearance durante el run. El source_occurrence_id se toma del snapshot durable y la instrumentación valida receipt durable en el índice antes de persistir cursor=256.</x:v>
      </x:c>
    </x:row>
    <x:row r="39">
      <x:c r="A39" s="32" t="str">
        <x:v>Sustained management 1/s</x:v>
      </x:c>
      <x:c r="B39" s="32" t="str">
        <x:v>Carga R3.5D donde un source sintético durable expone ManagementAction a intervalo fijo y el Runtime las consume en batches naturales según su cadencia, manteniendo receipt-before-cursor.</x:v>
      </x:c>
      <x:c r="C39" s="32" t="str">
        <x:v>Mide throughput, distribución input→receipt, batching, cursor/backlog y durabilidad sin cambiar la semántica individual EFFECTIVE de management.</x:v>
      </x:c>
      <x:c r="D39" s="32" t="str">
        <x:v>D-002: 540 unique EFFECTIVE actions from +30 to +569 s in a 600 s run; interval 1 s.</x:v>
      </x:c>
      <x:c r="E39" s="32" t="str">
        <x:v>R3.5D</x:v>
      </x:c>
      <x:c r="F39" s="32" t="str">
        <x:v>Targets group-major round-robin: primero un alarm slot en los 100 priority groups, luego el siguiente slot. Esto evita ADDITIONAL y evita que un batch normal de ~5 acciones quede concentrado en el mismo grupo. reappearance_due_at permanece +1h y deactivation_intent ausente.</x:v>
      </x:c>
    </x:row>
    <x:row r="40">
      <x:c r="A40" s="32" t="str">
        <x:v>Lease heartbeat self-contention</x:v>
      </x:c>
      <x:c r="B40" s="32" t="str">
        <x:v>Condición donde el heartbeat del mismo ExecutionLease compite por PhysicalAuthorityFence con mutaciones autoritativas legítimas del owner y convierte una espera temporal de fence en LeaseRenewalError terminal.</x:v>
      </x:c>
      <x:c r="C40" s="32" t="str">
        <x:v>Puede abortar jobs con batches/materialización largos aunque no exista takeover ni expiración, dejando durable ahead of materialized y requiriendo recovery.</x:v>
      </x:c>
      <x:c r="D40" s="32" t="str">
        <x:v>F-D002-001 / proposed R20C.3.2; reproduced on atlanticus-job-runtime 0.7.0.</x:v>
      </x:c>
      <x:c r="E40" s="32" t="str">
        <x:v>Generic runtime / R3.5D blocker</x:v>
      </x:c>
      <x:c r="F40" s="32" t="str">
        <x:v>Fail-closed es correcto y debe preservarse. La corrección no es aumentar duración de D-002: renewal debe distinguir fence contention transitoria de pérdida real de authority. D-002 recovery esperado: 24 applied + 76 skipped.</x:v>
      </x:c>
    </x:row>
    <x:row r="41">
      <x:c r="A41" s="32" t="str">
        <x:v>Contention-safe lease heartbeat 0.7.1</x:v>
      </x:c>
      <x:c r="B41" s="32" t="str">
        <x:v>Heartbeat de ExecutionLease que reintenta adquirir el PhysicalAuthorityFence cuando la contención es transitoria, limitado estrictamente por la última expiración previamente confirmada bajo fence.</x:v>
      </x:c>
      <x:c r="C41" s="32" t="str">
        <x:v>Evita false LeaseRenewalError por self-starvation sin relajar physical fencing, owner/generation checks, expiration ni authority deadline.</x:v>
      </x:c>
      <x:c r="D41" s="32" t="str">
        <x:v>R20C.3.2: generic Job Runtime 0.7.1; 16 consumers coordinated; D-002 blocker mitigation candidate.</x:v>
      </x:c>
      <x:c r="E41" s="32" t="str">
        <x:v>Generic runtime / R3.5D blocker fix</x:v>
      </x:c>
      <x:c r="F41" s="32" t="str">
        <x:v>No renewal outside fence; no expired-owner revival. Heartbeat retry is interruptible by stop_renewal. Long/repeated contention retries while authority is known-safe; real takeover/expiry/deadline remains fail-closed.</x:v>
      </x:c>
    </x:row>
    <x:row r="42">
      <x:c r="A42" s="32" t="str">
        <x:v>R20C.3.2 closed</x:v>
      </x:c>
      <x:c r="B42" s="32" t="str">
        <x:v>Cierre técnico del fix contention-safe de ExecutionLease heartbeat en atlanticus-job-runtime 0.7.1, certificado con gate, authority regressions, consumer pins y recovery real del volumen D-002.</x:v>
      </x:c>
      <x:c r="C42" s="32" t="str">
        <x:v>El Runtime ya no convierte self-contention transitoria del PhysicalAuthorityFence en LeaseRenewalError terminal mientras la última autoridad confirmada siga vigente.</x:v>
      </x:c>
      <x:c r="D42" s="32" t="str">
        <x:v>142/142 runtime + 21/21 focal + 262/262 alarms-runtime + recovery 24 applied/76 skipped.</x:v>
      </x:c>
      <x:c r="E42" s="32" t="str">
        <x:v>Generic runtime / R3.5D</x:v>
      </x:c>
      <x:c r="F42" s="32" t="str">
        <x:v>R20C.3.2 queda CLOSED. F-D002-001 permanece open sólo hasta el clean 600 s rerun del escenario que descubrió el problema; después podrá cerrarse con evidencia end-to-end.</x:v>
      </x:c>
    </x:row>
    <x:row r="43">
      <x:c r="A43" s="32" t="str">
        <x:v>Validated sustained management 1/s</x:v>
      </x:c>
      <x:c r="B43" s="32" t="str">
        <x:v>Caracterización cerrada de 540 ManagementAction únicas expuestas a 1/s y consumidas en batches naturales por un Runtime de 5 s.</x:v>
      </x:c>
      <x:c r="C43" s="32" t="str">
        <x:v>Demuestra throughput estable sin backlog y confirma end-to-end el fix contention-safe de lease bajo las olas periódicas de evidencia.</x:v>
      </x:c>
      <x:c r="D43" s="32" t="str">
        <x:v>D-002 PASS/GREEN: 540 EFFECTIVE/STARTED; p95 input→receipt 5.212 s; p95 iteration 1.058 s; 0 overruns.</x:v>
      </x:c>
      <x:c r="E43" s="32" t="str">
        <x:v>R3.5D</x:v>
      </x:c>
      <x:c r="F43" s="32" t="str">
        <x:v>Runtime 0.7.1; 835 durable records / 8,025,617 bytes; heads aligned. F-D002-001 closed. Next dimension: simultaneous Management burst.</x:v>
      </x:c>
    </x:row>
    <x:row r="44">
      <x:c r="A44" s="32" t="str">
        <x:v>Management burst 50</x:v>
      </x:c>
      <x:c r="B44" s="32" t="str">
        <x:v>Carga R3.5D donde 50 ManagementAction independientes se vuelven visibles simultáneamente para medir capacidad de absorción inmediata del consumer durable.</x:v>
      </x:c>
      <x:c r="C44" s="32" t="str">
        <x:v>Aísla burst handling de arrival-rate sostenido: backlog transitorio, tamaño de batch, latencia receipt y durabilidad bajo una sola llegada concentrada.</x:v>
      </x:c>
      <x:c r="D44" s="32" t="str">
        <x:v>Proposed D-003: 50 unique EFFECTIVE actions at +30 s, one target in groups 001..050.</x:v>
      </x:c>
      <x:c r="E44" s="32" t="str">
        <x:v>R3.5D</x:v>
      </x:c>
      <x:c r="F44" s="32" t="str">
        <x:v>Recommended 120 s run to avoid +300 s evidence. No deactivation_intent; reappearance +1h. All actions should be consumed in the first eligible iteration if no internal cap exists.</x:v>
      </x:c>
    </x:row>
    <x:row r="45">
      <x:c r="A45" s="32" t="str">
        <x:v>Validated management burst gate</x:v>
      </x:c>
      <x:c r="B45" s="32" t="str">
        <x:v>Contrato de harness para ManagementAction simultáneas donde interval=0 hace visible todo el conjunto en la misma frontera temporal y el consumer debe absorberlo en la primera iteración elegible.</x:v>
      </x:c>
      <x:c r="C45" s="32" t="str">
        <x:v>Distingue capacidad instantánea de burst del throughput sostenido de D-002 y evita considerar PASS un backlog transitorio que sólo se drene en iteraciones posteriores.</x:v>
      </x:c>
      <x:c r="D45" s="32" t="str">
        <x:v>D-003: 50 unique actions at +30 s; first_nonempty_batch_size must equal 50.</x:v>
      </x:c>
      <x:c r="E45" s="32" t="str">
        <x:v>R3.5D</x:v>
      </x:c>
      <x:c r="F45" s="32" t="str">
        <x:v>Targets slot-1 of groups 001..050; all EFFECTIVE; cursor expected 12,800 bytes. No +300 s evidence wave in the recommended 120 s run.</x:v>
      </x:c>
    </x:row>
    <x:row r="46">
      <x:c r="A46" s="32" t="str">
        <x:v>Validated management burst 50</x:v>
      </x:c>
      <x:c r="B46" s="32" t="str">
        <x:v>Caracterización cerrada de 50 ManagementAction simultáneas distribuidas en 50 priority groups y absorbidas completamente en la primera iteración elegible.</x:v>
      </x:c>
      <x:c r="C46" s="32" t="str">
        <x:v>Establece un baseline de burst sin backlog antes de escalar a una acción simultánea por cada uno de los 100 grupos.</x:v>
      </x:c>
      <x:c r="D46" s="32" t="str">
        <x:v>D-003 PASS/GREEN: first batch 50/50; burst iteration 1.379 s; p95 global 1.295 s; 0 overruns.</x:v>
      </x:c>
      <x:c r="E46" s="32" t="str">
        <x:v>R3.5D</x:v>
      </x:c>
      <x:c r="F46" s="32" t="str">
        <x:v>150 durable records / 2,376,600 bytes; cursor=12800; durable==materialized. Next: burst 100.</x:v>
      </x:c>
    </x:row>
    <x:row r="47">
      <x:c r="A47" s="32" t="str">
        <x:v>Management burst 100</x:v>
      </x:c>
      <x:c r="B47" s="32" t="str">
        <x:v>Carga R3.5D de 100 ManagementAction simultáneas, una sobre slot-1 de cada priority group, reutilizando el mismo contrato de burst de D-003.</x:v>
      </x:c>
      <x:c r="C47" s="32" t="str">
        <x:v>Busca detectar un cap/backlog al duplicar el burst y cubrir todos los grupos en una sola iteración.</x:v>
      </x:c>
      <x:c r="D47" s="32" t="str">
        <x:v>D-004: count=100, interval=0, +30 s, duration=120 s.</x:v>
      </x:c>
      <x:c r="E47" s="32" t="str">
        <x:v>R3.5D</x:v>
      </x:c>
      <x:c r="F47" s="32" t="str">
        <x:v>Hard gate: first batch=100/100; expected cursor=25,600 bytes; expected WAL=200 records.</x:v>
      </x:c>
    </x:row>
    <x:row r="48">
      <x:c r="A48" s="32" t="str">
        <x:v>Validated management burst 100</x:v>
      </x:c>
      <x:c r="B48" s="32" t="str">
        <x:v>Caracterización cerrada de 100 ManagementAction simultáneas, una por cada priority group, absorbidas en una sola iteración elegible.</x:v>
      </x:c>
      <x:c r="C48" s="32" t="str">
        <x:v>Confirma ausencia de cap/backlog hasta 100 y cierra la dimensión de burst Management antes de cambiar a decisions.</x:v>
      </x:c>
      <x:c r="D48" s="32" t="str">
        <x:v>D-004 PASS/GREEN: first batch 100/100; burst iteration 1.717 s; global p95 1.564 s; 0 overruns.</x:v>
      </x:c>
      <x:c r="E48" s="32" t="str">
        <x:v>R3.5D</x:v>
      </x:c>
      <x:c r="F48" s="32" t="str">
        <x:v>200 durable records / 2,722,400 bytes; cursor=25600; durable==materialized. Next: D-005 decision baseline.</x:v>
      </x:c>
    </x:row>
    <x:row r="49">
      <x:c r="A49" s="32" t="str">
        <x:v>Single DeactivationDecision baseline</x:v>
      </x:c>
      <x:c r="B49" s="32" t="str">
        <x:v>Propuesta R3.5D para medir una decisión canónica contra un DeactivationRequest durable ya existente, sin usar un request externo independiente.</x:v>
      </x:c>
      <x:c r="C49" s="32" t="str">
        <x:v>Aísla causalidad request→decision, receipt-before-cursor y latencia de decision ingress antes de continuous/burst decisions.</x:v>
      </x:c>
      <x:c r="D49" s="32" t="str">
        <x:v>D-005 proposed: request setup +30 s; APPROVED decision +60 s; target approval_required=true.</x:v>
      </x:c>
      <x:c r="E49" s="32" t="str">
        <x:v>R3.5D</x:v>
      </x:c>
      <x:c r="F49" s="32" t="str">
        <x:v>Request must remain durable and occurrence-bound; decision cannot migrate to another occurrence; approval uses remaining original effective_until. Exact current enums/record counts to be read from baseline code/tests before implementation.</x:v>
      </x:c>
    </x:row>
    <x:row r="50">
      <x:c r="A50" s="32" t="str">
        <x:v>Validated D-005 decision harness contract</x:v>
      </x:c>
      <x:c r="B50" s="32" t="str">
        <x:v>Harness R3.5D que crea el prerequisito de desactivación por el camino real ManagementAction→DeactivationRequest y sólo después expone una DeactivationDecision APPROVED canónica.</x:v>
      </x:c>
      <x:c r="C50" s="32" t="str">
        <x:v>Mide decision visible→durable receipt y verifica causalidad, cursores independientes, pending correlation, visibilidad mientras espera aprobación y preservación de la ventana original.</x:v>
      </x:c>
      <x:c r="D50" s="32" t="str">
        <x:v>D-005 ready: +30 s request setup, +60 s APPROVED decision, 300 s original window, expected remaining=270 s.</x:v>
      </x:c>
      <x:c r="E50" s="32" t="str">
        <x:v>R3.5D</x:v>
      </x:c>
      <x:c r="F50" s="32" t="str">
        <x:v>Expected receipts: DEACTIVATION_REQUEST/PENDING_APPROVAL then DEACTIVATION_DECISION/APPLIED. Expected cursors=256/256; WAL=102; target group records=3; no product changes.</x:v>
      </x:c>
    </x:row>
    <x:row r="51">
      <x:c r="A51" t="str">
        <x:v>Validated D-005 Single DeactivationDecision</x:v>
      </x:c>
      <x:c r="B51" t="str">
        <x:v>Baseline autoritativo de una DeactivationDecision APPROVED contra un DeactivationRequest real y durable creado por ManagementAction.</x:v>
      </x:c>
      <x:c r="C51" t="str">
        <x:v>Cierra causalidad request→decision, visibilidad mientras pending, cursores independientes y preservación del effective_until original antes de escalar throughput.</x:v>
      </x:c>
      <x:c r="D51" t="str">
        <x:v>D-005 PASS/GREEN: decision input→receipt=981.46 ms; p95 iteration=1.170 s; remaining=270 s; 0 overruns.</x:v>
      </x:c>
      <x:c r="E51" t="str">
        <x:v>R3.5D</x:v>
      </x:c>
      <x:c r="F51" t="str">
        <x:v>102 durable records / 2,045,701 bytes; management/decision cursors=256/256; durable==materialized. Next: D-006 design.</x:v>
      </x:c>
    </x:row>
    <x:row r="52">
      <x:c r="A52" t="str">
        <x:v>D-006 two-phase continuous decision design</x:v>
      </x:c>
      <x:c r="B52" t="str">
        <x:v>Propuesta para medir 540 DeactivationDecision APPROVED a 1/s después de pre-provisionar 540 requests canónicos en una fase anterior sobre el mismo volumen.</x:v>
      </x:c>
      <x:c r="C52" t="str">
        <x:v>Separa el costo del decision consumer del costo de crear requests, sin inyectar DeactivationRequest por un contrato que producción no expone.</x:v>
      </x:c>
      <x:c r="D52" t="str">
        <x:v>Phase A: 540 request setups @1/s. Phase B: 540 APPROVED decisions @1/s. 1000 ACTIVE, cadence=5 s, refresh=10 s.</x:v>
      </x:c>
      <x:c r="E52" t="str">
        <x:v>R3.5D</x:v>
      </x:c>
      <x:c r="F52" t="str">
        <x:v>Proposed only; implementation requires agreement. Hard integrity target: 540 APPLIED, cursors=138240/138240, pending final=0, exact occurrence correlation and durable==materialized.</x:v>
      </x:c>
    </x:row>
    <x:row r="53">
      <x:c r="A53" t="str">
        <x:v>D-006 two-phase harness gate</x:v>
      </x:c>
      <x:c r="B53" t="str">
        <x:v>Contrato de harness que prepara requests canónicos en una fase y mide únicamente DeactivationDecision APPROVED en una segunda fase sobre el mismo estado durable.</x:v>
      </x:c>
      <x:c r="C53" t="str">
        <x:v>Aísla throughput de decisions y evita aceptar una Phase B apoyada en prerequisitos incompletos o artificiales.</x:v>
      </x:c>
      <x:c r="D53" t="str">
        <x:v>D-006 ready: 540 request setups @1/s + 540 decisions @1/s; Phase B requires the exact 540 approval_required requests durable and pending; preserve each request.effective_until.</x:v>
      </x:c>
      <x:c r="E53" t="str">
        <x:v>R3.5D</x:v>
      </x:c>
    </x:row>
    <x:row r="54">
      <x:c r="A54" t="str">
        <x:v>D-006 percentile helper correction</x:v>
      </x:c>
      <x:c r="B54" t="str">
        <x:v>Corrección de harness que reutiliza `_percentile_values` de performance.run para p50/p95/p99 de decision input→receipt.</x:v>
      </x:c>
      <x:c r="C54" t="str">
        <x:v>Elimina un NameError/F821 sin cambiar semántica, cálculo, contratos ni código productivo.</x:v>
      </x:c>
      <x:c r="D54" t="str">
        <x:v>D-006 harness 0.1.1; 6 name substitutions across production + commented mirror; existing regression test unchanged.</x:v>
      </x:c>
      <x:c r="E54" t="str">
        <x:v>R3.5D</x:v>
      </x:c>
    </x:row>
    <x:row r="55">
      <x:c r="A55" t="str">
        <x:v>D-006 logical-time decision visibility</x:v>
      </x:c>
      <x:c r="B55" t="str">
        <x:v>Regla de harness por la que una DeactivationDecision sostenida sólo puede entrar como fresh input si ya llegó según el reloj monotónico y su decided_at no supera el iteration.as_of del ciclo.</x:v>
      </x:c>
      <x:c r="C55" t="str">
        <x:v>Evita que el tiempo transcurrido durante la preparación de una iteración haga aparecer inputs futuros respecto del snapshot temporal que Core está reduciendo.</x:v>
      </x:c>
      <x:c r="D55" t="str">
        <x:v>D-006 harness 0.1.2: visible_count=min(monotonic arrived, decided_at&lt;=iteration.as_of); no artificial timestamp lag and no Core contract relaxation.</x:v>
      </x:c>
      <x:c r="E55" t="str">
        <x:v>R3.5D</x:v>
      </x:c>
    </x:row>
    <x:row r="56">
      <x:c r="A56" t="str">
        <x:v>Validated D-006 sustained DeactivationDecision 1/s</x:v>
      </x:c>
      <x:c r="B56" t="str">
        <x:v>Caracterización autoritativa two-phase de 540 requests canónicos seguidos por 540 decisions APPROVED a 1/s.</x:v>
      </x:c>
      <x:c r="C56" t="str">
        <x:v>Confirma throughput sostenido del decision consumer sin mezclar creación de prerequisitos durante la fase medida.</x:v>
      </x:c>
      <x:c r="D56" t="str">
        <x:v>D-006 PASS/GREEN: 540 APPLIED/STARTED; p95 decision receipt=6.107 s; global p95 iteration=1.060 s; 0 overruns.</x:v>
      </x:c>
      <x:c r="E56" t="str">
        <x:v>R3.5D</x:v>
      </x:c>
      <x:c r="F56" t="str">
        <x:v>WAL 1570 records / 15,160,690 bytes; 100 chains and materialized snapshots aligned; cursors=138240/138240; all pending=0; all 540 windows preserve effective_until with 1197 s remaining.</x:v>
      </x:c>
    </x:row>
    <x:row r="57">
      <x:c r="A57" t="str">
        <x:v>D-007 two-phase Decision burst 50 design</x:v>
      </x:c>
      <x:c r="B57" t="str">
        <x:v>Propuesta de burst simultáneo de 50 DeactivationDecision APPROVED sobre 50 requests canónicos ya durables.</x:v>
      </x:c>
      <x:c r="C57" t="str">
        <x:v>Aísla absorción instantánea del decision consumer y permite comparación directa con D-003 Management burst 50.</x:v>
      </x:c>
      <x:c r="D57" t="str">
        <x:v>Phase A 120 s: 50 request setups simultaneous at +30 s. Phase B 120 s: 50 APPROVED decisions simultaneous at +30 s. Targets in perf-group-001..050; window=600 s.</x:v>
      </x:c>
      <x:c r="E57" t="str">
        <x:v>R3.5D</x:v>
      </x:c>
      <x:c r="F57" t="str">
        <x:v>Design accepted for implementation. D-007 must reuse the D-006 two-phase boundary, keep one target in perf-group-001..050, preserve effective_until and require first decision receipt batch 50/50.</x:v>
      </x:c>
    </x:row>
    <x:row r="58">
      <x:c r="A58" t="str">
        <x:v>D-007 Decision burst 50 harness gate</x:v>
      </x:c>
      <x:c r="B58" t="str">
        <x:v>Contrato de harness two-phase donde 50 requests de setup y luego 50 DeactivationDecision APPROVED se hacen visibles simultáneamente sobre el mismo volumen durable.</x:v>
      </x:c>
      <x:c r="C58" t="str">
        <x:v>Mide absorción instantánea real del decision consumer sin mezclar la creación de requests en la fase medida y protege la causalidad temporal de ambas fases con iteration.as_of.</x:v>
      </x:c>
      <x:c r="D58" t="str">
        <x:v>D-007 ready: Phase A 50 setup burst + Phase B 50 decision burst; interval=0/0; first decision receipt batch=50; cursors=12800/12800; final pending=0.</x:v>
      </x:c>
      <x:c r="E58" t="str">
        <x:v>R3.5D</x:v>
      </x:c>
      <x:c r="F58" t="str">
        <x:v>Harness 0.1.0 only. Both two-phase sources require monotonic arrival AND logical timestamp &lt;= iteration.as_of. Preserve each request.effective_until; four new regressions; expected suite 278.</x:v>
      </x:c>
    </x:row>
    <x:row r="59">
      <x:c r="A59" t="str">
        <x:v>Validated D-007 DeactivationDecision burst 50</x:v>
      </x:c>
      <x:c r="B59" t="str">
        <x:v>Caracterización autoritativa two-phase de 50 requests burst seguidos por 50 decisions APPROVED burst.</x:v>
      </x:c>
      <x:c r="C59" t="str">
        <x:v>Confirma absorción instantánea del decision consumer con prerequisitos reales y sin mezclar setup en la fase medida.</x:v>
      </x:c>
      <x:c r="D59" t="str">
        <x:v>D-007 PASS/GREEN: first decision receipt batch=50/50, fully absorbed=true, input→receipt=1851.26 ms, global p95 iteration=1.248 s, 0 overruns.</x:v>
      </x:c>
      <x:c r="E59" t="str">
        <x:v>R3.5D</x:v>
      </x:c>
      <x:c r="F59" t="str">
        <x:v>WAL 200 records / 2,775,850 bytes; cursors=12800/12800; final pending=0/0/0; 50 windows preserved with 479 s remaining; 100 commit chains and materialized snapshots aligned.</x:v>
      </x:c>
    </x:row>
    <x:row r="60">
      <x:c r="A60" t="str">
        <x:v>D-008 inverted-delivery pending correlation design</x:v>
      </x:c>
      <x:c r="B60" t="str">
        <x:v>Propuesta donde DeactivationDecision llega por su stream antes de que exista el DeactivationRequest durable, aunque el request tenga timestamp lógico anterior a la decisión.</x:v>
      </x:c>
      <x:c r="C60" t="str">
        <x:v>Prueba que cursor advance + durable pending locator evita perder decisiones cuando streams distintos llegan fuera de orden.</x:v>
      </x:c>
      <x:c r="D60" t="str">
        <x:v>Candidate: 50 targets. request logical +30 s but delivered +60 s; decision decided_at/visible +45 s. At +45: decision cursor=12800, pending=50, receipts=0. At +60: 50 requests durable while decisions remain pending. Next eligible cycle: 50 APPLIED/STARTED and pending final=0.</x:v>
      </x:c>
      <x:c r="E60" t="str">
        <x:v>R3.5D</x:v>
      </x:c>
      <x:c r="F60" t="str">
        <x:v>Design accepted for implementation. Preserve request logical +30 s, decision +45 s and request delivery +60 s; cursor-before-receipt is intentional and must be protected by exact durable pending replay.</x:v>
      </x:c>
    </x:row>
    <x:row r="61">
      <x:c r="A61" t="str">
        <x:v>D-008 inverted-delivery harness gate</x:v>
      </x:c>
      <x:c r="B61" t="str">
        <x:v>Contrato de harness single-execution que entrega 50 decisions antes de los 50 ManagementAction que crean sus requests, manteniendo una línea temporal de dominio válida.</x:v>
      </x:c>
      <x:c r="C61" t="str">
        <x:v>Demuestra que state.decisions.pending conserva locators después del avance de cursor y permite replay exacto cuando el prerequisito durable aparece por el otro stream.</x:v>
      </x:c>
      <x:c r="D61" t="str">
        <x:v>D-008 ready: request logical +30 s; decision visible/decided +45 s; request delivery +60 s; count=50; decision cursor/pending milestone=12800/50 before requests; final APPLIED=50 and pending=0.</x:v>
      </x:c>
      <x:c r="E61" t="str">
        <x:v>R3.5D</x:v>
      </x:c>
      <x:c r="F61" t="str">
        <x:v>Harness 0.1.0 only. Fresh Decision records total exactly 50; pending read_at must be used later. Expected WAL=200 records; preserve occurrence and effective_until; four new regressions; expected suite 282.</x:v>
      </x:c>
    </x:row>
    <x:row r="62">
      <x:c r="A62" t="str">
        <x:v>Validated D-008 inverted-delivery pending correlation</x:v>
      </x:c>
      <x:c r="B62" t="str">
        <x:v>Prueba autoritativa donde 50 Decisions llegan primero, avanzan cursor y permanecen como locators pending hasta que sus requests se vuelven durables.</x:v>
      </x:c>
      <x:c r="C62" t="str">
        <x:v>Confirma que el durable pending state evita pérdida por cursor advance y que el replay usa read_at sin volver a entregar records fresh.</x:v>
      </x:c>
      <x:c r="D62" t="str">
        <x:v>D-008 PASS/GREEN: early cursor/pending/receipts=12800/50/0; post-request pending=50; final APPLIED=50, pending=0; fresh=50; read_at=200; p95 iteration=1.279 s; 0 overruns.</x:v>
      </x:c>
      <x:c r="E62" t="str">
        <x:v>R3.5D</x:v>
      </x:c>
      <x:c r="F62" t="str">
        <x:v>WAL 200 records / 2,775,850 bytes; request cycle +60 s, decision replay cycle +65 s; cursors=12800/12800; remaining=585 s; 100 chains and materialized snapshots aligned.</x:v>
      </x:c>
    </x:row>
    <x:row r="63">
      <x:c r="A63" t="str">
        <x:v>D-009 mixed Management + Decisions continuous design</x:v>
      </x:c>
      <x:c r="B63" t="str">
        <x:v>Propuesta de pipeline sostenido donde requests canónicos y sus Decisions matching fluyen simultáneamente durante la misma ejecución.</x:v>
      </x:c>
      <x:c r="C63" t="str">
        <x:v>Mide interferencia entre los dos consumers después de haber validado throughput individual y pending correlation.</x:v>
      </x:c>
      <x:c r="D63" t="str">
        <x:v>Candidate: 600 s, 480 ManagementAction @1/s from +30, 480 matching Decisions @1/s from +60, 30 s lag, 900 s deactivation window, 1000 ACTIVE/C3/36 balanced.</x:v>
      </x:c>
      <x:c r="E63" t="str">
        <x:v>R3.5D</x:v>
      </x:c>
      <x:c r="F63" t="str">
        <x:v>Design accepted for implementation. One shared 600 s execution with 480 requests @1/s from +30 and 480 matching Decisions @1/s from +60; pending high-water/read_at are characterization, final convergence is hard gate.</x:v>
      </x:c>
    </x:row>
    <x:row r="64">
      <x:c r="A64" t="str">
        <x:v>D-009 mixed Management + Decisions harness gate</x:v>
      </x:c>
      <x:c r="B64" t="str">
        <x:v>Contrato harness single-execution para dos streams sostenidos concurrentes: ManagementAction crea requests canónicos y DeactivationDecision matching circula 30 s detrás durante el mismo run.</x:v>
      </x:c>
      <x:c r="C64" t="str">
        <x:v>Mide interferencia entre consumers sin perder causalidad por input, y separa costo de procesamiento de pending transitorio legítimo.</x:v>
      </x:c>
      <x:c r="D64" t="str">
        <x:v>D-009 ready: 600 s; 480 requests @1/s +30..+509; 480 Decisions @1/s +60..+539; window=900 s; expected cursors=122880/122880; final pending=0/0/0.</x:v>
      </x:c>
      <x:c r="E64" t="str">
        <x:v>R3.5D</x:v>
      </x:c>
      <x:c r="F64" t="str">
        <x:v>Harness 0.1.0 only. Fresh visibility uses monotonic arrival AND iteration.as_of for both streams. Measure request/decision latencies, source/receipt batches, mixed cycles and pending read_at. Four new regressions; expected suite 286.</x:v>
      </x:c>
    </x:row>
    <x:row r="65">
      <x:c r="A65" t="str">
        <x:v>Validated D-009 mixed Management + Decisions continuous</x:v>
      </x:c>
      <x:c r="B65" t="str">
        <x:v>Caracterización autoritativa de 480 requests y 480 matching Decisions a 1/s circulando concurrentemente durante una única ejecución.</x:v>
      </x:c>
      <x:c r="C65" t="str">
        <x:v>Confirma que el overlap sostenido no crea pending de stream ni pérdida y permite comparar costo mixto contra los baselines aislados.</x:v>
      </x:c>
      <x:c r="D65" t="str">
        <x:v>D-009 PASS/GREEN: 91 mixed receipt cycles; request/decision p95=5190.44/5195.30 ms; mixed-cycle p95≈1101.77 ms; 0 overruns; pending stream HW=0/0; request pending HW=30.</x:v>
      </x:c>
      <x:c r="E65" t="str">
        <x:v>R3.5D</x:v>
      </x:c>
      <x:c r="F65" t="str">
        <x:v>WAL 1250 records / 11,894,761 bytes; 480 pairs preserve occurrence and 900 s window with 870 s remaining; cursors=122880/122880; final pending=0/0/0; 100 chains/snapshots aligned.</x:v>
      </x:c>
    </x:row>
    <x:row r="66">
      <x:c r="A66" t="str">
        <x:v>D-010 late Decision after configuration removal design</x:v>
      </x:c>
      <x:c r="B66" t="str">
        <x:v>Propuesta de corrección final R3.5D donde requests válidos quedan pendientes, la configuración elimina sus alarmas objetivo y Decisions APPROVED llegan después contra los occurrences originales.</x:v>
      </x:c>
      <x:c r="C66" t="str">
        <x:v>Valida STALE_TARGET bajo burst transversal a los 100 priority groups y demuestra que una decisión tardía no migra a otro occurrence ni crea un efecto sobre un target removido.</x:v>
      </x:c>
      <x:c r="D66" t="str">
        <x:v>Candidate: 180 s; +30 100 request burst; +60 target revision REMOVES one alarm per group; +90 100 APPROVED Decision burst; window=600 s.</x:v>
      </x:c>
      <x:c r="E66" t="str">
        <x:v>R3.5D</x:v>
      </x:c>
      <x:c r="F66" t="str">
        <x:v>Design accepted and implemented harness-only. Use real RuntimeRevisionResolver + adoption planner/executor; 100 CONFIGURATION_REMOVED closures and 100 ManagementEffect CLEARED are now explicit secondary gates.</x:v>
      </x:c>
    </x:row>
    <x:row r="67">
      <x:c r="A67" t="str">
        <x:v>D-010 late Decision STALE_TARGET harness gate</x:v>
      </x:c>
      <x:c r="B67" t="str">
        <x:v>Contrato harness single-execution que crea requests sobre occurrences reales, adopta una revisión que remueve esos targets y sólo después entrega las Decisions originales.</x:v>
      </x:c>
      <x:c r="C67" t="str">
        <x:v>Demuestra que configuration removal vuelve stale la identidad del request sin expirarlo, que adoption limpia el ManagementEffect fuera de scope y que una Decision tardía nunca migra ni crea DeactivationEffect.</x:v>
      </x:c>
      <x:c r="D67" t="str">
        <x:v>D-010 ready: 180 s; +30 request burst100; +60 real adoption to PERF-AC-2/900 alarms; +90 decision burst100; window=600 s; expected cursors=25600/25600; WAL=400.</x:v>
      </x:c>
      <x:c r="E67" t="str">
        <x:v>R3.5D</x:v>
      </x:c>
      <x:c r="F67" t="str">
        <x:v>Harness 0.1.0 only. Hard gate: 100 PENDING_APPROVAL, 100 CONFIGURATION_REMOVED closures, 100 ManagementEffect CLEARED, 100 STALE_TARGET, 0 APPLIED/DeactivationEffect, final pending=0/0/0, fresh=100/100 and removed targets absent. Four new regressions; expected suite 290.</x:v>
      </x:c>
    </x:row>
    <x:row r="68">
      <x:c r="A68" t="str">
        <x:v>D-010 harness package-path correction 0.1.1</x:v>
      </x:c>
      <x:c r="B68" t="str">
        <x:v>Corrección de distribución del patch D-010 sin cambios de código: los 7 payloads pasan de rutas raíz `performance/tests` a rutas stage-relative bajo `scopes/ada/processes/alarms-runtime`.</x:v>
      </x:c>
      <x:c r="C68" t="str">
        <x:v>Garantiza que el comando de aplicación estándar desde `atlanticus-stage` modifique realmente el scope objetivo.</x:v>
      </x:c>
      <x:c r="D68" t="str">
        <x:v>0.1.0 gate observed 286 tests because D-010 files were extracted outside the scope. 0.1.1 payload identical; expected rerun=290 tests.</x:v>
      </x:c>
      <x:c r="E68" t="str">
        <x:v>R3.5D</x:v>
      </x:c>
      <x:c r="F68" t="str">
        <x:v>Not a product/runtime finding. Remove stray root-level performance/ and tests/ created by 0.1.0, apply 0.1.1, then rerun Ruff/format/pytest.</x:v>
      </x:c>
    </x:row>
    <x:row r="69">
      <x:c r="A69" t="str">
        <x:v>D-010 harness iteration clock correction 0.1.2</x:v>
      </x:c>
      <x:c r="B69" t="str">
        <x:v>Corrección harness-only que incorpora StaleTargetDeactivationInputSource al prepare_iteration dispatch del PerformanceAlarmDurableInputConsumer antes de delegar al consumer durable base.</x:v>
      </x:c>
      <x:c r="C69" t="str">
        <x:v>Evita que el primer read_after de bootstrap ocurra sin iteration.as_of y cubre explícitamente la frontera temporal que ya usan Sustained, Inverted y Mixed.</x:v>
      </x:c>
      <x:c r="D69" t="str">
        <x:v>Failed attempt 93dc873a: RuntimeError before first completed iteration. 0.1.2 adds missing dispatch + one bootstrap regression; expected suite 291.</x:v>
      </x:c>
      <x:c r="E69" t="str">
        <x:v>R3.5D</x:v>
      </x:c>
      <x:c r="F69" t="str">
        <x:v>No product finding. Patch touches baseline.py + commented mirror + tests only. Re-run full gate before workload.</x:v>
      </x:c>
    </x:row>
    <x:row r="70">
      <x:c r="A70" t="str">
        <x:v>D-010 harness single-execution routing correction 0.1.3</x:v>
      </x:c>
      <x:c r="B70" t="str">
        <x:v>Corrección harness-only del selector de runner: un escenario multi-decision usa two-phase sólo si no es stale-target, inverted-delivery ni mixed.</x:v>
      </x:c>
      <x:c r="C70" t="str">
        <x:v>Evita ejecutar D-010 dos veces y asegura que sus requests, adoption y late Decisions se midan en la misma ejecución, preservando el objetivo STALE_TARGET.</x:v>
      </x:c>
      <x:c r="D70" t="str">
        <x:v>Second attempt reached real adoption but main routed into D-006/D-007 two-phase and failed in phase metrics. 0.1.3 adds stale-target exclusion + one routing regression; expected suite 292.</x:v>
      </x:c>
      <x:c r="E70" t="str">
        <x:v>R3.5D</x:v>
      </x:c>
      <x:c r="F70" t="str">
        <x:v>Patch touches run.py + commented mirror + tests only. D-007 remains two-phase; D-010 routes single-run. No product finding.</x:v>
      </x:c>
    </x:row>
    <x:row r="71">
      <x:c r="A71" t="str">
        <x:v>D-010 routing regression fixture correction 0.1.4</x:v>
      </x:c>
      <x:c r="B71" t="str">
        <x:v>Corrección test-only de los escenarios D-010 y D-007 usados para validar el selector single-run/two-phase.</x:v>
      </x:c>
      <x:c r="C71" t="str">
        <x:v>Permite que la regresión llegue al assertion de routing usando el mismo contrato válido de Management pressure que usa el workload real.</x:v>
      </x:c>
      <x:c r="D71" t="str">
        <x:v>0.1.3 gate: fixture rejected with `management pressure requires data_profile=latest-narrow`. 0.1.4 adds canonical latest-narrow/36-balanced settings to both fixtures; expected suite remains 292.</x:v>
      </x:c>
      <x:c r="E71" t="str">
        <x:v>R3.5D</x:v>
      </x:c>
      <x:c r="F71" t="str">
        <x:v>No production change and no product finding. Patch contains only tests/test_performance_harness.py.</x:v>
      </x:c>
    </x:row>
    <x:row r="72">
      <x:c r="A72" t="str">
        <x:v>D-010 cumulative regression coverage restoration 0.1.5</x:v>
      </x:c>
      <x:c r="B72" t="str">
        <x:v>Corrección test-only que vuelve a incluir la regresión de prepare_iteration/bootstrap de 0.1.2 junto con la regresión de routing single-run/two-phase introducida en 0.1.3 y corregida en 0.1.4.</x:v>
      </x:c>
      <x:c r="C72" t="str">
        <x:v>Asegura cobertura acumulativa de ambos defectos harness encontrados antes del workload autoritativo.</x:v>
      </x:c>
      <x:c r="D72" t="str">
        <x:v>0.1.4 gate=291/291 because routing test replaced the bootstrap regression in the test payload lineage. 0.1.5 has both and expected pytest=292.</x:v>
      </x:c>
      <x:c r="E72" t="str">
        <x:v>R3.5D</x:v>
      </x:c>
      <x:c r="F72" t="str">
        <x:v>No production change and no product finding. Patch contains only tests/test_performance_harness.py.</x:v>
      </x:c>
    </x:row>
    <x:row r="73">
      <x:c r="A73" t="str">
        <x:v>D-010 durable adjudication correction 0.1.6</x:v>
      </x:c>
      <x:c r="B73" t="str">
        <x:v>Corrección harness-only del metrics builder para usar la serialización real de configuration removal y la correlación durable real de stale Decisions.</x:v>
      </x:c>
      <x:c r="C73" t="str">
        <x:v>Elimina un falso negativo: closure_reason se normaliza a configuration_removed y Decision receipt se asocia al stale journey emitido en el mismo engine commit/priority group, validando después alarm y occurrence.</x:v>
      </x:c>
      <x:c r="D73" t="str">
        <x:v>Run 550948d8 independently audited product-GREEN: 100 removals, 100 STALE_TARGET, 0 APPLIED/effects, WAL=400, runtime=900, pending=0; raw harness falsely counted 0 removals and 100 wrong correlations.</x:v>
      </x:c>
      <x:c r="E73" t="str">
        <x:v>R3.5D</x:v>
      </x:c>
      <x:c r="F73" t="str">
        <x:v>Patch 0.1.6 touches run.py + commented mirror + existing metrics regression only. Suite count remains 292. D-010 stays open until corrected harness rerun returns PASS.</x:v>
      </x:c>
    </x:row>
    <x:row r="74">
      <x:c r="A74" t="str">
        <x:v>Validated D-010 late Decision after configuration removal</x:v>
      </x:c>
      <x:c r="B74" t="str">
        <x:v>Cierre autoritativo de STALE_TARGET burst 100 mediante una sola ejecución con request +30 s, configuration removal +60 s y late Decision +90 s.</x:v>
      </x:c>
      <x:c r="C74" t="str">
        <x:v>Valida que Decisions aprobadas contra occurrences removidos terminan STALE_TARGET sin migración de identidad, sin DeactivationEffect y con convergencia exacta de consumers, WAL y snapshots.</x:v>
      </x:c>
      <x:c r="D74" t="str">
        <x:v>PASS/GREEN run 24b97fa3...: 100 removals + 100 STALE_TARGET, 0 APPLIED/effects, 900 alarms, cursors=25600/25600, pending=0, WAL=400 / 4,037,700 B, durable==materialized. One adoption iteration=5499.03 ms accepted as Info.</x:v>
      </x:c>
      <x:c r="E74" t="str">
        <x:v>R3.5D</x:v>
      </x:c>
      <x:c r="F74" t="str">
        <x:v>Harness 0.1.6; suite 292/292. Independent audit: 100 groups × 4 records, 0 duplicate commits/chains/snapshot mismatches; exact request/decision occurrence identity and 540 s remaining window.</x:v>
      </x:c>
    </x:row>
    <x:row r="75">
      <x:c r="A75" t="str">
        <x:v>R3.5D Management / Decisions closure</x:v>
      </x:c>
      <x:c r="B75" t="str">
        <x:v>Cierre de la fase de presión funcional Management/Decisions después de D-001..D-010.</x:v>
      </x:c>
      <x:c r="C75" t="str">
        <x:v>Confirma single actions, sustained/burst Management, Decision lifecycle, pending replay, mixed ingress y late stale decisions bajo configuration removal con integridad durable exacta.</x:v>
      </x:c>
      <x:c r="D75" t="str">
        <x:v>R3.5D CLOSED 10/10. D-010 final PASS/GREEN; no open product findings. Configuration-adoption duration is carried as characterization into R3.5E.</x:v>
      </x:c>
      <x:c r="E75" t="str">
        <x:v>R3.5D</x:v>
      </x:c>
      <x:c r="F75" t="str">
        <x:v>Next: E-001 Parameter-only adoption. Preserve D-010 adoption iteration 5499.03 ms as a comparison point.</x:v>
      </x:c>
    </x:row>
    <x:row r="76">
      <x:c r="A76" t="str">
        <x:v>E-001 parameter-only compatible adoption harness 0.1.0</x:v>
      </x:c>
      <x:c r="B76" t="str">
        <x:v>Harness R3.5E que programa una revisión PERF-AC-2 cambiando únicamente threshold 0.50→0.75 para 1000 alarmas, preservando identidades, estructura y Tool revision.</x:v>
      </x:c>
      <x:c r="C76" t="str">
        <x:v>Demuestra que la adopción COMPATIBLE puede promover la revisión runtime efectiva sin fabricar commits durables ni reescribir snapshots cuando no existe una mutación de estado operacional.</x:v>
      </x:c>
      <x:c r="D76" t="str">
        <x:v>Expected: 1000 COMPATIBLE; one ADOPTED/cycle_executed=true iteration; cache PERF-AC-2; WAL=100 bootstrap PERF-AC-1 records, target records=0; 100 snapshots state_basis PERF-AC-1; 1000 open occurrences; full suite expected=296.</x:v>
      </x:c>
      <x:c r="E76" t="str">
        <x:v>R3.5E</x:v>
      </x:c>
      <x:c r="F76" t="str">
        <x:v>Patch SHA-256 6c121a973538562e6e9bee0d6e046107cacb7a588109576d4166aedd60d14d85. No Core/Runtime change. Adoption timing is characterized against D-010 5499.03 ms without hard performance fail.</x:v>
      </x:c>
    </x:row>
    <x:row r="77">
      <x:c r="A77" t="str">
        <x:v>E-001 RuntimeManifest regression fixture correction 0.1.1</x:v>
      </x:c>
      <x:c r="B77" t="str">
        <x:v>Corrección test-only del RuntimeManifest sintético usado por la regresión de cache promotion/WAL de E-001.</x:v>
      </x:c>
      <x:c r="C77" t="str">
        <x:v>Hace que el fixture respete el contrato real `schema_version: str` sin cambiar validación ni comportamiento productivo.</x:v>
      </x:c>
      <x:c r="D77" t="str">
        <x:v>0.1.0 gate: 295 passed / 1 failed because schema_version=1 was rejected before assertions. 0.1.1 uses schema_version='1'; test count remains 296.</x:v>
      </x:c>
      <x:c r="E77" t="str">
        <x:v>R3.5E</x:v>
      </x:c>
      <x:c r="F77" t="str">
        <x:v>Patch contains only tests/test_performance_harness.py. SHA-256 6efc874754b0624eed1225d0c8f88e4d764fbdbad691214d3b197b65cc3db3bd.</x:v>
      </x:c>
    </x:row>
    <x:row r="78">
      <x:c r="A78" t="str">
        <x:v>E-001 RuntimeManifest schema constant fixture correction 0.1.2</x:v>
      </x:c>
      <x:c r="B78" t="str">
        <x:v>Corrección test-only para construir el RuntimeManifest sintético con la constante pública `RUNTIME_MANIFEST_SCHEMA_VERSION`.</x:v>
      </x:c>
      <x:c r="C78" t="str">
        <x:v>Evita hardcodear una representación parcial del schema y hace que la regresión E-001 siga exactamente el contrato exportado por revision_resolution.</x:v>
      </x:c>
      <x:c r="D78" t="str">
        <x:v>0.1.1 gate: 295 passed / 1 failed because schema_version='1' is not the supported schema. 0.1.2 uses RUNTIME_MANIFEST_SCHEMA_VERSION (`alarm-runtime-manifest.v1`); test count remains 296.</x:v>
      </x:c>
      <x:c r="E78" t="str">
        <x:v>R3.5E</x:v>
      </x:c>
      <x:c r="F78" t="str">
        <x:v>Patch contains only tests/test_performance_harness.py. SHA-256 81ec7daa725fbec330f3639515552a6ce3326af661be782da0b6e25c34441c09.</x:v>
      </x:c>
    </x:row>
    <x:row r="79">
      <x:c r="A79" t="str">
        <x:v>Validated E-001 parameter-only compatible adoption</x:v>
      </x:c>
      <x:c r="B79" t="str">
        <x:v>Cierre autoritativo de una revisión PERF-AC-1→PERF-AC-2 que cambia únicamente threshold 0.50→0.75 sobre 1000 alarmas ACTIVE.</x:v>
      </x:c>
      <x:c r="C79" t="str">
        <x:v>Valida que 1000 cambios COMPATIBLE se adopten con cycle_executed=true y cache efectivo PERF-AC-2, sin materialization/commit artificial y sin reescritura del state_basis durable.</x:v>
      </x:c>
      <x:c r="D79" t="str">
        <x:v>PASS/GREEN run 29fdaf99...: adoption=1346.11 ms; 24 post-adoption cache-current iterations; WAL=100 / 2,030,800 B all PERF-AC-1; 0 target records; 100 source-basis snapshots; 1000 open occurrences; durable==materialized; 0 overruns.</x:v>
      </x:c>
      <x:c r="E79" t="str">
        <x:v>R3.5E</x:v>
      </x:c>
      <x:c r="F79" t="str">
        <x:v>Harness 0.1.2 gate 296/296. Adoption duration is ~75.5% below D-010 removal-adoption reference; next E-002 changes dimension to C2 routing adoption.</x:v>
      </x:c>
    </x:row>
  </x:sheetData>
  <x:mergeCells>
    <x:mergeCell ref="A1:F2"/>
  </x:mergeCells>
  <x:pageMargins left="0.7" right="0.7" top="0.75" bottom="0.75" header="0.3" footer="0.3"/>
</x:worksheet>
</file>