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90d05f0947438c" /></Relationships>
</file>

<file path=xl/workbook.xml><?xml version="1.0" encoding="utf-8"?>
<x:workbook xmlns:x="http://schemas.openxmlformats.org/spreadsheetml/2006/main">
  <x:sheets>
    <x:sheet xmlns:r="http://schemas.openxmlformats.org/officeDocument/2006/relationships" name="00_Control" sheetId="1" r:id="R59c94c7a115e4fb7"/>
    <x:sheet xmlns:r="http://schemas.openxmlformats.org/officeDocument/2006/relationships" name="01_Test_Plan" sheetId="2" r:id="R3dbaffe52cb64875"/>
    <x:sheet xmlns:r="http://schemas.openxmlformats.org/officeDocument/2006/relationships" name="02_Run_Results" sheetId="3" r:id="R9a526ca3cab14afb"/>
    <x:sheet xmlns:r="http://schemas.openxmlformats.org/officeDocument/2006/relationships" name="03_Findings" sheetId="4" r:id="Rc6513dbaddc1413d"/>
    <x:sheet xmlns:r="http://schemas.openxmlformats.org/officeDocument/2006/relationships" name="04_Decisions" sheetId="5" r:id="Ra203ec3c568c41a3"/>
    <x:sheet xmlns:r="http://schemas.openxmlformats.org/officeDocument/2006/relationships" name="05_Dashboard" sheetId="6" r:id="Ra175b8a9867c4399"/>
    <x:sheet xmlns:r="http://schemas.openxmlformats.org/officeDocument/2006/relationships" name="06_Definitions" sheetId="7" r:id="Rc30f28f15b8c498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8f06254e0741ab" /><Relationship Type="http://schemas.openxmlformats.org/officeDocument/2006/relationships/theme" Target="/xl/theme/theme1.xml" Id="Rddfceea08ab64d0d" /><Relationship Type="http://schemas.microsoft.com/office/2022/11/relationships/FeaturePropertyBag" Target="/xl/featurePropertyBag/featurePropertyBag.xml" Id="R00ce8d37652c4165" /><Relationship Type="http://schemas.openxmlformats.org/officeDocument/2006/relationships/sharedStrings" Target="/xl/sharedStrings.xml" Id="R2eb3d02d814f4404" /><Relationship Type="http://schemas.openxmlformats.org/officeDocument/2006/relationships/worksheet" Target="/xl/worksheets/sheet1.xml" Id="R59c94c7a115e4fb7" /><Relationship Type="http://schemas.openxmlformats.org/officeDocument/2006/relationships/worksheet" Target="/xl/worksheets/sheet2.xml" Id="R3dbaffe52cb64875" /><Relationship Type="http://schemas.openxmlformats.org/officeDocument/2006/relationships/worksheet" Target="/xl/worksheets/sheet3.xml" Id="R9a526ca3cab14afb" /><Relationship Type="http://schemas.openxmlformats.org/officeDocument/2006/relationships/worksheet" Target="/xl/worksheets/sheet4.xml" Id="Rc6513dbaddc1413d" /><Relationship Type="http://schemas.openxmlformats.org/officeDocument/2006/relationships/worksheet" Target="/xl/worksheets/sheet5.xml" Id="Ra203ec3c568c41a3" /><Relationship Type="http://schemas.openxmlformats.org/officeDocument/2006/relationships/worksheet" Target="/xl/worksheets/sheet6.xml" Id="Ra175b8a9867c4399" /><Relationship Type="http://schemas.openxmlformats.org/officeDocument/2006/relationships/worksheet" Target="/xl/worksheets/sheet7.xml" Id="Rc30f28f15b8c49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df039dd4c5442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df039dd4c54429"/>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2d1201440d4edc" /></Relationships>
</file>

<file path=xl/worksheets/_rels/sheet6.xml.rels>&#65279;<?xml version="1.0" encoding="utf-8"?><Relationships xmlns="http://schemas.openxmlformats.org/package/2006/relationships"><Relationship Type="http://schemas.openxmlformats.org/officeDocument/2006/relationships/drawing" Target="/xl/drawings/drawing1.xml" Id="R710bb9f77f3d4dff"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1.0.27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C-004-R1 FIXED 50/50 REPRODUCTION READY</x:v>
      </x:c>
    </x:row>
    <x:row r="27">
      <x:c r="A27" s="21" t="str">
        <x:v>Siguiente test sugerido</x:v>
      </x:c>
      <x:c r="B27" t="str">
        <x:v>C-004-R1 Fixed Mixed-State Reproduction — 50% ACTIVE / 50% initial ERROR</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 Reproduce or reject sustained ~6–8 s mixed-state cost.</x:v>
      </x:c>
      <x:c r="Q26" s="36" t="str">
        <x:v>Fixed composition for full 300 s. First 50 complete priority groups are ACTIVE; remaining 50 groups are explicit ERROR without prior continuity. No group changes state after bootstrap. Periodic evidence is allowed for the ACTIVE population and is reported separately from lifecycle commits.</x:v>
      </x:c>
      <x:c r="R26" s="36" t="str">
        <x:v>Ready</x:v>
      </x:c>
      <x:c r="S26" s="36" t="str">
        <x:v>C-004 + C-004-R1 harness patch 0.1.0</x:v>
      </x:c>
      <x:c r="T26" s="36" t="str">
        <x:v>Harness adds fixed_initial_error_percent as a mutually exclusive functional mode. For R1 use fixed_initial_error_percent=50 and initial_active_percent=50. The explicit ERROR evaluator path is preserved, but ERROR groups never receive an Occurrence and therefore must never create TechnicalHold. Expected bootstrap: 50 lifecycle commits, 500 Occurrence STARTED, 50 Episode STARTED, 500 assignments, 500 hot-state alarms; planned state transitions=0. Local adapted validation: 34/34 performance harness tests and 229/229 alarms-runtime tests. Real 100-alarm smoke: 5 lifecycle commits, 50 Occurrences, 5 Episodes, 50 assignments, 50 neutral ERROR, snapshot=50, 0 transitions and 0 TechnicalHold.</x:v>
      </x:c>
    </x:row>
    <x:row r="27">
      <x:c r="A27" s="36" t="str">
        <x:v>C-006</x:v>
      </x:c>
      <x:c r="B27" s="36" t="str">
        <x:v>R3.5C</x:v>
      </x:c>
      <x:c r="C27" s="36" t="n">
        <x:v>35</x:v>
      </x:c>
      <x:c r="D27" s="36" t="str">
        <x:v>25% state change</x:v>
      </x:c>
      <x:c r="E27" s="36" t="str">
        <x:v>Medir write churn medio</x:v>
      </x:c>
      <x:c r="F27" s="36" t="n">
        <x:v>1000</x:v>
      </x:c>
      <x:c r="G27" s="36" t="str">
        <x:v>Local FS</x:v>
      </x:c>
      <x:c r="H27" s="36" t="str">
        <x:v>25% change / refresh</x:v>
      </x:c>
      <x:c r="I27" s="36" t="str">
        <x:v>Balanced</x:v>
      </x:c>
      <x:c r="J27" s="36" t="str">
        <x:v>None</x:v>
      </x:c>
      <x:c r="K27" s="36" t="str">
        <x:v>Stable config</x:v>
      </x:c>
      <x:c r="L27" s="36" t="n">
        <x:v>10</x:v>
      </x:c>
      <x:c r="M27" s="36" t="n">
        <x:v>5</x:v>
      </x:c>
      <x:c r="N27" s="36" t="n">
        <x:v>10</x:v>
      </x:c>
      <x:c r="O27" s="36" t="str">
        <x:v>Write pressure</x:v>
      </x:c>
      <x:c r="P27" s="36" t="str">
        <x:v>0 integrity errors</x:v>
      </x:c>
      <x:c r="Q27" s="36" t="str">
        <x:v>WAL/snapshot trend</x:v>
      </x:c>
      <x:c r="R27" s="36" t="str">
        <x:v>Planned</x:v>
      </x:c>
      <x:c r="S27" s="36" t="str">
        <x:v>C-005</x:v>
      </x:c>
      <x:c r="T27" s="36" t="str"/>
    </x:row>
    <x:row r="28">
      <x:c r="A28" s="36" t="str">
        <x:v>C-007</x:v>
      </x:c>
      <x:c r="B28" s="36" t="str">
        <x:v>R3.5C</x:v>
      </x:c>
      <x:c r="C28" s="36" t="n">
        <x:v>36</x:v>
      </x:c>
      <x:c r="D28" s="36" t="str">
        <x:v>50% state change</x:v>
      </x:c>
      <x:c r="E28" s="36" t="str">
        <x:v>Medir write churn alto</x:v>
      </x:c>
      <x:c r="F28" s="36" t="n">
        <x:v>1000</x:v>
      </x:c>
      <x:c r="G28" s="36" t="str">
        <x:v>Local FS</x:v>
      </x:c>
      <x:c r="H28" s="36" t="str">
        <x:v>50% change / refresh</x:v>
      </x:c>
      <x:c r="I28" s="36" t="str">
        <x:v>Balanced</x:v>
      </x:c>
      <x:c r="J28" s="36" t="str">
        <x:v>None</x:v>
      </x:c>
      <x:c r="K28" s="36" t="str">
        <x:v>Stable config</x:v>
      </x:c>
      <x:c r="L28" s="36" t="n">
        <x:v>10</x:v>
      </x:c>
      <x:c r="M28" s="36" t="n">
        <x:v>5</x:v>
      </x:c>
      <x:c r="N28" s="36" t="n">
        <x:v>10</x:v>
      </x:c>
      <x:c r="O28" s="36" t="str">
        <x:v>Stress</x:v>
      </x:c>
      <x:c r="P28" s="36" t="str">
        <x:v>0 integrity errors</x:v>
      </x:c>
      <x:c r="Q28" s="36" t="str">
        <x:v>Buscar I/O bound</x:v>
      </x:c>
      <x:c r="R28" s="36" t="str">
        <x:v>Planned</x:v>
      </x:c>
      <x:c r="S28" s="36" t="str">
        <x:v>C-006</x:v>
      </x:c>
      <x:c r="T28" s="36" t="str"/>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a2d1201440d4edc"/>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row>
    <x:row r="26">
      <x:c r="A26" s="32"/>
      <x:c r="B26" s="32"/>
      <x:c r="C26" s="42"/>
      <x:c r="D26" s="32"/>
      <x:c r="E26" s="32"/>
      <x:c r="F26" s="32"/>
      <x:c r="G26" s="32"/>
      <x:c r="H26" s="32"/>
      <x:c r="I26" s="32"/>
      <x:c r="J26" s="32"/>
      <x:c r="K26" s="32"/>
      <x:c r="L26" s="32"/>
      <x:c r="M26" s="32"/>
      <x:c r="N26" s="32"/>
      <x:c r="O26" s="32"/>
      <x:c r="P26" s="32"/>
      <x:c r="Q26" s="32"/>
      <x:c r="R26" s="32"/>
      <x:c r="S26" s="32"/>
      <x:c r="T26" s="43" t="str">
        <x:f>IFERROR(S26/L26,"")</x:f>
      </x:c>
      <x:c r="U26" s="32"/>
      <x:c r="V26" s="32"/>
      <x:c r="W26" s="32"/>
      <x:c r="X26" s="32"/>
      <x:c r="Y26" s="32"/>
      <x:c r="Z26" s="32"/>
      <x:c r="AA26" s="32"/>
      <x:c r="AB26" s="32"/>
      <x:c r="AC26" s="32"/>
      <x:c r="AD26" s="32"/>
      <x:c r="AE26" s="32"/>
      <x:c r="AF26" s="32"/>
      <x:c r="AG26" s="32"/>
      <x:c r="AH26" s="32"/>
      <x:c r="AI26" s="32"/>
      <x:c r="AJ26" s="32"/>
      <x:c r="AK26" s="32"/>
      <x:c r="AL26" s="32"/>
      <x:c r="AM26" s="32"/>
      <x:c r="AN26" s="32"/>
      <x:c r="AO26" s="32"/>
      <x:c r="AP26" s="32"/>
      <x:c r="AQ26" s="32"/>
      <x:c r="AR26" s="32"/>
      <x:c r="AS26" s="32"/>
      <x:c r="AT26" s="32"/>
      <x:c r="AU26" s="32"/>
      <x:c r="AV26" s="32"/>
      <x:c r="AW26" s="32"/>
      <x:c r="AX26" s="32"/>
      <x:c r="AZ26" s="32"/>
      <x:c r="BA26" s="32"/>
      <x:c r="BB26" s="32"/>
      <x:c r="BC26" s="32"/>
      <x:c r="BD26" s="32"/>
      <x:c r="BE26" s="32"/>
      <x:c r="BF26" s="32"/>
      <x:c r="BG26" s="32"/>
      <x:c r="BH26" s="32"/>
      <x:c r="BI26" s="32"/>
      <x:c r="BJ26" s="32"/>
      <x:c r="BK26" s="32"/>
      <x:c r="BL26" s="32"/>
      <x:c r="BM26" s="32"/>
    </x:row>
    <x:row r="27">
      <x:c r="A27" s="32"/>
      <x:c r="B27" s="32"/>
      <x:c r="C27" s="42"/>
      <x:c r="D27" s="32"/>
      <x:c r="E27" s="32"/>
      <x:c r="F27" s="32"/>
      <x:c r="G27" s="32"/>
      <x:c r="H27" s="32"/>
      <x:c r="I27" s="32"/>
      <x:c r="J27" s="32"/>
      <x:c r="K27" s="32"/>
      <x:c r="L27" s="32"/>
      <x:c r="M27" s="32"/>
      <x:c r="N27" s="32"/>
      <x:c r="O27" s="32"/>
      <x:c r="P27" s="32"/>
      <x:c r="Q27" s="32"/>
      <x:c r="R27" s="32"/>
      <x:c r="S27" s="32"/>
      <x:c r="T27" s="43" t="str">
        <x:f>IFERROR(S27/L27,"")</x:f>
      </x:c>
      <x:c r="U27" s="32"/>
      <x:c r="V27" s="32"/>
      <x:c r="W27" s="32"/>
      <x:c r="X27" s="32"/>
      <x:c r="Y27" s="32"/>
      <x:c r="Z27" s="32"/>
      <x:c r="AA27" s="32"/>
      <x:c r="AB27" s="32"/>
      <x:c r="AC27" s="32"/>
      <x:c r="AD27" s="32"/>
      <x:c r="AE27" s="32"/>
      <x:c r="AF27" s="32"/>
      <x:c r="AG27" s="32"/>
      <x:c r="AH27" s="32"/>
      <x:c r="AI27" s="32"/>
      <x:c r="AJ27" s="32"/>
      <x:c r="AK27" s="32"/>
      <x:c r="AL27" s="32"/>
      <x:c r="AM27" s="32"/>
      <x:c r="AN27" s="32"/>
      <x:c r="AO27" s="32"/>
      <x:c r="AP27" s="32"/>
      <x:c r="AQ27" s="32"/>
      <x:c r="AR27" s="32"/>
      <x:c r="AS27" s="32"/>
      <x:c r="AT27" s="32"/>
      <x:c r="AU27" s="32"/>
      <x:c r="AV27" s="32"/>
      <x:c r="AW27" s="32"/>
      <x:c r="AX27" s="32"/>
      <x:c r="AZ27" s="32"/>
      <x:c r="BA27" s="32"/>
      <x:c r="BB27" s="32"/>
      <x:c r="BC27" s="32"/>
      <x:c r="BD27" s="32"/>
      <x:c r="BE27" s="32"/>
      <x:c r="BF27" s="32"/>
      <x:c r="BG27" s="32"/>
      <x:c r="BH27" s="32"/>
      <x:c r="BI27" s="32"/>
      <x:c r="BJ27" s="32"/>
      <x:c r="BK27" s="32"/>
      <x:c r="BL27" s="32"/>
      <x:c r="BM27" s="32"/>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con máximo alrededor de 50/50.</x:v>
      </x:c>
      <x:c r="H63" s="32" t="str">
        <x:v>Global p95=6627.98 ms, p99=7178.85 ms, max=7662.90 ms, 18 overruns/116 (15.52%). Mediana por población ACTIVE aproximada: 0=0.91 s; 100=2.97; 200=4.62; 300=5.74; 400=6.53; 500=7.08; 600=6.94; 700=6.10; 800=4.84; 900=3.28; 1000=0.97 s. Las iteraciones vacías siguen la misma curva que las de commit.</x:v>
      </x:c>
      <x:c r="I63" s="32" t="str">
        <x:v>El patrón es dependiente de composición y no se explica por WAL/snapshot. Source-load p95=10.12 ms y merge p95=0.430 ms, por lo que el costo aparece aguas abajo de materialización. No atribuirlo todavía a CPU del host ni a una causa interna específica sin reproducción aislada.</x:v>
      </x:c>
      <x:c r="J63" s="32" t="str">
        <x:v>Ejecutar C-004-R1 con mezcla fija 50/50 y cero transiciones después de bootstrap.</x:v>
      </x:c>
      <x:c r="K63" s="32" t="str">
        <x:v>Open</x:v>
      </x:c>
      <x:c r="L63" s="32" t="str">
        <x:v>DEC-R35-025</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x:c r="B65" s="32"/>
      <x:c r="C65" s="32"/>
      <x:c r="D65" s="32"/>
      <x:c r="E65" s="32"/>
      <x:c r="F65" s="32"/>
      <x:c r="G65" s="32"/>
      <x:c r="H65" s="32"/>
      <x:c r="I65" s="32"/>
      <x:c r="J65" s="32"/>
      <x:c r="K65" s="32"/>
      <x:c r="L65" s="32"/>
    </x:row>
    <x:row r="66">
      <x:c r="A66" s="32"/>
      <x:c r="B66" s="32"/>
      <x:c r="C66" s="32"/>
      <x:c r="D66" s="32"/>
      <x:c r="E66" s="32"/>
      <x:c r="F66" s="32"/>
      <x:c r="G66" s="32"/>
      <x:c r="H66" s="32"/>
      <x:c r="I66" s="32"/>
      <x:c r="J66" s="32"/>
      <x:c r="K66" s="32"/>
      <x:c r="L66" s="32"/>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x:c r="B31" s="32"/>
      <x:c r="C31" s="32"/>
      <x:c r="D31" s="32"/>
      <x:c r="E31" s="32"/>
      <x:c r="F31" s="32"/>
      <x:c r="G31" s="32"/>
      <x:c r="H31" s="32"/>
      <x:c r="I31" s="32"/>
    </x:row>
    <x:row r="32">
      <x:c r="A32" s="32"/>
      <x:c r="B32" s="32"/>
      <x:c r="C32" s="32"/>
      <x:c r="D32" s="32"/>
      <x:c r="E32" s="32"/>
      <x:c r="F32" s="32"/>
      <x:c r="G32" s="32"/>
      <x:c r="H32" s="32"/>
      <x:c r="I32" s="32"/>
    </x:row>
    <x:row r="33">
      <x:c r="A33" s="32"/>
      <x:c r="B33" s="32"/>
      <x:c r="C33" s="32"/>
      <x:c r="D33" s="32"/>
      <x:c r="E33" s="32"/>
      <x:c r="F33" s="32"/>
      <x:c r="G33" s="32"/>
      <x:c r="H33" s="32"/>
      <x:c r="I33" s="32"/>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18</x:v>
      </x:c>
      <x:c r="J5" t="str">
        <x:v>GREEN</x:v>
      </x:c>
    </x:row>
    <x:row r="6">
      <x:c r="A6" s="21" t="str">
        <x:v>Completed</x:v>
      </x:c>
      <x:c r="B6" t="n">
        <x:v>20</x:v>
      </x:c>
      <x:c r="D6" s="21" t="str">
        <x:v>R3.5B</x:v>
      </x:c>
      <x:c r="E6" t="n">
        <x:f>COUNTIF('01_Test_Plan'!B5:B200,D6)</x:f>
        <x:v>13</x:v>
      </x:c>
      <x:c r="F6" t="n">
        <x:f>COUNTIFS('01_Test_Plan'!B5:B200,D6,'01_Test_Plan'!R5:R200,"Completed")</x:f>
        <x:v>11</x:v>
      </x:c>
      <x:c r="H6" s="21" t="str">
        <x:v>PASS-WITH-FINDINGS</x:v>
      </x:c>
      <x:c r="I6" t="n">
        <x:v>3</x:v>
      </x:c>
      <x:c r="J6" t="str">
        <x:v>ACCEPTABLE/REVIEW</x:v>
      </x:c>
    </x:row>
    <x:row r="7">
      <x:c r="A7" s="21" t="str">
        <x:v>Ready / Running</x:v>
      </x:c>
      <x:c r="B7" t="n">
        <x:v>1</x:v>
      </x:c>
      <x:c r="D7" s="21" t="str">
        <x:v>R3.5C</x:v>
      </x:c>
      <x:c r="E7" t="n">
        <x:f>COUNTIF('01_Test_Plan'!B5:B200,D7)</x:f>
        <x:v>11</x:v>
      </x:c>
      <x:c r="F7" t="n">
        <x:v>4</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0.3225806451612903</x:v>
      </x:c>
      <x:c r="D9" s="21" t="str">
        <x:v>R3.5E</x:v>
      </x:c>
      <x:c r="E9" t="n">
        <x:f>COUNTIF('01_Test_Plan'!B5:B200,D9)</x:f>
        <x:v>12</x:v>
      </x:c>
      <x:c r="F9" t="n">
        <x:f>COUNTIFS('01_Test_Plan'!B5:B200,D9,'01_Test_Plan'!R5:R200,"Completed")</x:f>
        <x:v>0</x:v>
      </x:c>
    </x:row>
    <x:row r="10">
      <x:c r="A10" s="21" t="str">
        <x:v>Open findings</x:v>
      </x:c>
      <x:c r="B10" t="n">
        <x:f>COUNTIF('03_Findings'!K5:K500,"Open")+COUNTIF('03_Findings'!K5:K500,"Investigating")</x:f>
        <x:v>1</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C-004-R1 mode</x:v>
      </x:c>
      <x:c r="K43" t="str">
        <x:v>Fixed 50% ACTIVE / 50% ERROR</x:v>
      </x:c>
    </x:row>
    <x:row r="44">
      <x:c r="A44" s="32" t="str">
        <x:v>Large margin / low information</x:v>
      </x:c>
      <x:c r="B44" s="32" t="str">
        <x:v>Skip intermediate points</x:v>
      </x:c>
      <x:c r="C44" s="32" t="str">
        <x:v>Increase information per run</x:v>
      </x:c>
      <x:c r="D44"/>
      <x:c r="E44"/>
      <x:c r="F44"/>
      <x:c r="G44"/>
      <x:c r="H44"/>
      <x:c r="J44" t="str">
        <x:v>R1 purpose</x:v>
      </x:c>
      <x:c r="K44" t="str">
        <x:v>Separate composition cost from host/stagger</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C-004-R1 0.1.0 READY</x:v>
      </x:c>
    </x:row>
    <x:row r="53">
      <x:c r="J53" t="str">
        <x:v>Next</x:v>
      </x:c>
      <x:c r="K53" t="str">
        <x:v>300 s fixed 50/50 reproduction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710bb9f77f3d4dff"/>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sheetData>
  <x:mergeCells>
    <x:mergeCell ref="A1:F2"/>
  </x:mergeCells>
  <x:pageMargins left="0.7" right="0.7" top="0.75" bottom="0.75" header="0.3" footer="0.3"/>
</x:worksheet>
</file>