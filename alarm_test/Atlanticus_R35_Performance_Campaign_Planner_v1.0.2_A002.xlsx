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05d089771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a0f00b0f96ba4352"/>
    <x:sheet xmlns:r="http://schemas.openxmlformats.org/officeDocument/2006/relationships" name="01_Test_Plan" sheetId="2" r:id="Rd3aee5e441c34cea"/>
    <x:sheet xmlns:r="http://schemas.openxmlformats.org/officeDocument/2006/relationships" name="02_Run_Results" sheetId="3" r:id="Rb5d4d9f97022426d"/>
    <x:sheet xmlns:r="http://schemas.openxmlformats.org/officeDocument/2006/relationships" name="03_Findings" sheetId="4" r:id="Re504e65b9fa84e8a"/>
    <x:sheet xmlns:r="http://schemas.openxmlformats.org/officeDocument/2006/relationships" name="04_Decisions" sheetId="5" r:id="R7655cf5222994efd"/>
    <x:sheet xmlns:r="http://schemas.openxmlformats.org/officeDocument/2006/relationships" name="05_Dashboard" sheetId="6" r:id="R98d6433aba9e4ea5"/>
    <x:sheet xmlns:r="http://schemas.openxmlformats.org/officeDocument/2006/relationships" name="06_Definitions" sheetId="7" r:id="R16b234440769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%"/>
    <x:numFmt numFmtId="202" formatCode="yyyy-mm-dd hh:mm"/>
    <x:numFmt numFmtId="203" formatCode="0.000"/>
    <x:numFmt numFmtId="204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393ea6be6483c" /><Relationship Type="http://schemas.openxmlformats.org/officeDocument/2006/relationships/theme" Target="/xl/theme/theme1.xml" Id="R9a708dd7487a4fa7" /><Relationship Type="http://schemas.openxmlformats.org/officeDocument/2006/relationships/sharedStrings" Target="/xl/sharedStrings.xml" Id="Rba7d3dd6efec46d2" /><Relationship Type="http://schemas.openxmlformats.org/officeDocument/2006/relationships/worksheet" Target="/xl/worksheets/sheet1.xml" Id="Ra0f00b0f96ba4352" /><Relationship Type="http://schemas.openxmlformats.org/officeDocument/2006/relationships/worksheet" Target="/xl/worksheets/sheet2.xml" Id="Rd3aee5e441c34cea" /><Relationship Type="http://schemas.openxmlformats.org/officeDocument/2006/relationships/worksheet" Target="/xl/worksheets/sheet3.xml" Id="Rb5d4d9f97022426d" /><Relationship Type="http://schemas.openxmlformats.org/officeDocument/2006/relationships/worksheet" Target="/xl/worksheets/sheet4.xml" Id="Re504e65b9fa84e8a" /><Relationship Type="http://schemas.openxmlformats.org/officeDocument/2006/relationships/worksheet" Target="/xl/worksheets/sheet5.xml" Id="R7655cf5222994efd" /><Relationship Type="http://schemas.openxmlformats.org/officeDocument/2006/relationships/worksheet" Target="/xl/worksheets/sheet6.xml" Id="R98d6433aba9e4ea5" /><Relationship Type="http://schemas.openxmlformats.org/officeDocument/2006/relationships/worksheet" Target="/xl/worksheets/sheet7.xml" Id="R16b23444076942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04072af36343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04072af36343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9b54be332948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4df5c253c2214c8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1.0.2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R3.5A IN PROGRESS</x:v>
      </x:c>
    </x:row>
    <x:row r="27">
      <x:c r="A27" s="21" t="str">
        <x:v>Siguiente test sugerido</x:v>
      </x:c>
      <x:c r="B27" t="str">
        <x:v>A-003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Ready</x:v>
      </x:c>
      <x:c r="S7" s="36" t="str">
        <x:v>A-002</x:v>
      </x:c>
      <x:c r="T7" s="36" t="str"/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Planned</x:v>
      </x:c>
      <x:c r="S8" s="36" t="str">
        <x:v>A-003</x:v>
      </x:c>
      <x:c r="T8" s="36" t="str"/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Planned</x:v>
      </x:c>
      <x:c r="S9" s="36" t="str">
        <x:v>A-004</x:v>
      </x:c>
      <x:c r="T9" s="36" t="str"/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Planned</x:v>
      </x:c>
      <x:c r="S10" s="36" t="str">
        <x:v>A-005</x:v>
      </x:c>
      <x:c r="T10" s="36" t="str"/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Planned</x:v>
      </x:c>
      <x:c r="S11" s="36" t="str">
        <x:v>B-001</x:v>
      </x:c>
      <x:c r="T11" s="36" t="str"/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Planned</x:v>
      </x:c>
      <x:c r="S12" s="36" t="str">
        <x:v>B-002</x:v>
      </x:c>
      <x:c r="T12" s="36" t="str"/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8 partitions balanced</x:v>
      </x:c>
      <x:c r="E13" s="36" t="str">
        <x:v>Escalar merge balanceado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8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tendencia</x:v>
      </x:c>
      <x:c r="R13" s="36" t="str">
        <x:v>Planned</x:v>
      </x:c>
      <x:c r="S13" s="36" t="str">
        <x:v>B-003</x:v>
      </x:c>
      <x:c r="T13" s="36" t="str"/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</x:v>
      </x:c>
      <x:c r="E14" s="36" t="str">
        <x:v>Escalar merge balanceado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Data pressure</x:v>
      </x:c>
      <x:c r="P14" s="36" t="str">
        <x:v>0 integrity errors</x:v>
      </x:c>
      <x:c r="Q14" s="36" t="str">
        <x:v>Comparar tendencia</x:v>
      </x:c>
      <x:c r="R14" s="36" t="str">
        <x:v>Planned</x:v>
      </x:c>
      <x:c r="S14" s="36" t="str">
        <x:v>B-004</x:v>
      </x:c>
      <x:c r="T14" s="36" t="str"/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</x:v>
      </x:c>
      <x:c r="E15" s="36" t="str">
        <x:v>Buscar rodilla de particiones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Stress</x:v>
      </x:c>
      <x:c r="P15" s="36" t="str">
        <x:v>0 integrity errors</x:v>
      </x:c>
      <x:c r="Q15" s="36" t="str">
        <x:v>Observar CPU/RSS/data load</x:v>
      </x:c>
      <x:c r="R15" s="36" t="str">
        <x:v>Planned</x:v>
      </x:c>
      <x:c r="S15" s="36" t="str">
        <x:v>B-005</x:v>
      </x:c>
      <x:c r="T15" s="36" t="str"/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16 partitions skewed</x:v>
      </x:c>
      <x:c r="E16" s="36" t="str">
        <x:v>Comparar skew vs balanced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16 skewed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B-005</x:v>
      </x:c>
      <x:c r="R16" s="36" t="str">
        <x:v>Planned</x:v>
      </x:c>
      <x:c r="S16" s="36" t="str">
        <x:v>B-005</x:v>
      </x:c>
      <x:c r="T16" s="36" t="str"/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Empty/missing-column partitions</x:v>
      </x:c>
      <x:c r="E17" s="36" t="str">
        <x:v>Presionar síntesis de nulls y tolerancia a vacíos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16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Planned</x:v>
      </x:c>
      <x:c r="S17" s="36" t="str">
        <x:v>B-005</x:v>
      </x:c>
      <x:c r="T17" s="36" t="str"/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Planned</x:v>
      </x:c>
      <x:c r="S18" s="36" t="str">
        <x:v>B-008</x:v>
      </x:c>
      <x:c r="T18" s="36" t="str"/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9b54be332948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</x:row>
    <x:row r="7">
      <x:c r="A7" s="32"/>
      <x:c r="B7" s="32"/>
      <x:c r="C7" s="4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43" t="str">
        <x:f>IFERROR(S7/L7,"")</x:f>
      </x:c>
      <x:c r="U7" s="32"/>
      <x:c r="V7" s="32"/>
      <x:c r="W7" s="32"/>
      <x:c r="X7" s="32"/>
      <x:c r="Y7" s="32"/>
      <x:c r="Z7" s="32"/>
      <x:c r="AA7" s="32"/>
      <x:c r="AB7" s="32"/>
      <x:c r="AC7" s="32"/>
      <x:c r="AD7" s="32"/>
      <x:c r="AE7" s="32"/>
      <x:c r="AF7" s="32"/>
      <x:c r="AG7" s="32"/>
      <x:c r="AH7" s="32"/>
      <x:c r="AI7" s="32"/>
      <x:c r="AJ7" s="32"/>
    </x:row>
    <x:row r="8">
      <x:c r="A8" s="32"/>
      <x:c r="B8" s="32"/>
      <x:c r="C8" s="4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43" t="str">
        <x:f>IFERROR(S8/L8,"")</x:f>
      </x:c>
      <x:c r="U8" s="32"/>
      <x:c r="V8" s="32"/>
      <x:c r="W8" s="32"/>
      <x:c r="X8" s="32"/>
      <x:c r="Y8" s="32"/>
      <x:c r="Z8" s="32"/>
      <x:c r="AA8" s="32"/>
      <x:c r="AB8" s="32"/>
      <x:c r="AC8" s="32"/>
      <x:c r="AD8" s="32"/>
      <x:c r="AE8" s="32"/>
      <x:c r="AF8" s="32"/>
      <x:c r="AG8" s="32"/>
      <x:c r="AH8" s="32"/>
      <x:c r="AI8" s="32"/>
      <x:c r="AJ8" s="32"/>
    </x:row>
    <x:row r="9">
      <x:c r="A9" s="32"/>
      <x:c r="B9" s="32"/>
      <x:c r="C9" s="4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43" t="str">
        <x:f>IFERROR(S9/L9,"")</x:f>
      </x:c>
      <x:c r="U9" s="32"/>
      <x:c r="V9" s="32"/>
      <x:c r="W9" s="32"/>
      <x:c r="X9" s="32"/>
      <x:c r="Y9" s="32"/>
      <x:c r="Z9" s="32"/>
      <x:c r="AA9" s="32"/>
      <x:c r="AB9" s="32"/>
      <x:c r="AC9" s="32"/>
      <x:c r="AD9" s="32"/>
      <x:c r="AE9" s="32"/>
      <x:c r="AF9" s="32"/>
      <x:c r="AG9" s="32"/>
      <x:c r="AH9" s="32"/>
      <x:c r="AI9" s="32"/>
      <x:c r="AJ9" s="32"/>
    </x:row>
    <x:row r="10">
      <x:c r="A10" s="32"/>
      <x:c r="B10" s="32"/>
      <x:c r="C10" s="4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43" t="str">
        <x:f>IFERROR(S10/L10,"")</x:f>
      </x:c>
      <x:c r="U10" s="32"/>
      <x:c r="V10" s="32"/>
      <x:c r="W10" s="32"/>
      <x:c r="X10" s="32"/>
      <x:c r="Y10" s="32"/>
      <x:c r="Z10" s="32"/>
      <x:c r="AA10" s="32"/>
      <x:c r="AB10" s="32"/>
      <x:c r="AC10" s="32"/>
      <x:c r="AD10" s="32"/>
      <x:c r="AE10" s="32"/>
      <x:c r="AF10" s="32"/>
      <x:c r="AG10" s="32"/>
      <x:c r="AH10" s="32"/>
      <x:c r="AI10" s="32"/>
      <x:c r="AJ10" s="32"/>
    </x:row>
    <x:row r="11">
      <x:c r="A11" s="32"/>
      <x:c r="B11" s="32"/>
      <x:c r="C11" s="4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43" t="str">
        <x:f>IFERROR(S11/L11,"")</x:f>
      </x:c>
      <x:c r="U11" s="32"/>
      <x:c r="V11" s="32"/>
      <x:c r="W11" s="32"/>
      <x:c r="X11" s="32"/>
      <x:c r="Y11" s="32"/>
      <x:c r="Z11" s="32"/>
      <x:c r="AA11" s="32"/>
      <x:c r="AB11" s="32"/>
      <x:c r="AC11" s="32"/>
      <x:c r="AD11" s="32"/>
      <x:c r="AE11" s="32"/>
      <x:c r="AF11" s="32"/>
      <x:c r="AG11" s="32"/>
      <x:c r="AH11" s="32"/>
      <x:c r="AI11" s="32"/>
      <x:c r="AJ11" s="32"/>
    </x:row>
    <x:row r="12">
      <x:c r="A12" s="32"/>
      <x:c r="B12" s="32"/>
      <x:c r="C12" s="4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43" t="str">
        <x:f>IFERROR(S12/L12,"")</x:f>
      </x:c>
      <x:c r="U12" s="32"/>
      <x:c r="V12" s="32"/>
      <x:c r="W12" s="32"/>
      <x:c r="X12" s="32"/>
      <x:c r="Y12" s="32"/>
      <x:c r="Z12" s="32"/>
      <x:c r="AA12" s="32"/>
      <x:c r="AB12" s="32"/>
      <x:c r="AC12" s="32"/>
      <x:c r="AD12" s="32"/>
      <x:c r="AE12" s="32"/>
      <x:c r="AF12" s="32"/>
      <x:c r="AG12" s="32"/>
      <x:c r="AH12" s="32"/>
      <x:c r="AI12" s="32"/>
      <x:c r="AJ12" s="32"/>
    </x:row>
    <x:row r="13">
      <x:c r="A13" s="32"/>
      <x:c r="B13" s="32"/>
      <x:c r="C13" s="4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43" t="str">
        <x:f>IFERROR(S13/L13,"")</x:f>
      </x:c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/>
      <x:c r="AG13" s="32"/>
      <x:c r="AH13" s="32"/>
      <x:c r="AI13" s="32"/>
      <x:c r="AJ13" s="32"/>
    </x:row>
    <x:row r="14">
      <x:c r="A14" s="32"/>
      <x:c r="B14" s="32"/>
      <x:c r="C14" s="4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43" t="str">
        <x:f>IFERROR(S14/L14,"")</x:f>
      </x:c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/>
      <x:c r="AJ14" s="32"/>
    </x:row>
    <x:row r="15">
      <x:c r="A15" s="32"/>
      <x:c r="B15" s="32"/>
      <x:c r="C15" s="4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43" t="str">
        <x:f>IFERROR(S15/L15,"")</x:f>
      </x:c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/>
      <x:c r="AJ15" s="32"/>
    </x:row>
    <x:row r="16">
      <x:c r="A16" s="32"/>
      <x:c r="B16" s="32"/>
      <x:c r="C16" s="4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43" t="str">
        <x:f>IFERROR(S16/L16,"")</x:f>
      </x:c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2</x:v>
      </x:c>
      <x:c r="H5" s="21" t="str">
        <x:v>PASS</x:v>
      </x:c>
      <x:c r="I5" t="n">
        <x:f>COUNTIF('02_Run_Results'!AI5:AI500,"PASS")</x:f>
        <x:v>2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2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0</x:v>
      </x:c>
      <x:c r="H6" s="21" t="str">
        <x:v>PASS-WITH-FINDINGS</x:v>
      </x:c>
      <x:c r="I6" t="n">
        <x:f>COUNTIF('02_Run_Results'!AI5:AI500,"PASS-WITH-FINDINGS")</x:f>
        <x:v>0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0.03278688524590164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4df5c253c2214c8a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</x:sheetData>
  <x:mergeCells>
    <x:mergeCell ref="A1:F2"/>
  </x:mergeCells>
  <x:pageMargins left="0.7" right="0.7" top="0.75" bottom="0.75" header="0.3" footer="0.3"/>
</x:worksheet>
</file>