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46da0114b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51b5fa4a5571411a"/>
    <x:sheet xmlns:r="http://schemas.openxmlformats.org/officeDocument/2006/relationships" name="01_Test_Plan" sheetId="2" r:id="R2605599a8a8f428d"/>
    <x:sheet xmlns:r="http://schemas.openxmlformats.org/officeDocument/2006/relationships" name="02_Run_Results" sheetId="3" r:id="Ra4e8ec2a14064dbf"/>
    <x:sheet xmlns:r="http://schemas.openxmlformats.org/officeDocument/2006/relationships" name="03_Findings" sheetId="4" r:id="R05e291034e7b40c4"/>
    <x:sheet xmlns:r="http://schemas.openxmlformats.org/officeDocument/2006/relationships" name="04_Decisions" sheetId="5" r:id="Rd6d1277804ad4989"/>
    <x:sheet xmlns:r="http://schemas.openxmlformats.org/officeDocument/2006/relationships" name="05_Dashboard" sheetId="6" r:id="Rc401ea8bbb11438a"/>
    <x:sheet xmlns:r="http://schemas.openxmlformats.org/officeDocument/2006/relationships" name="06_Definitions" sheetId="7" r:id="R27cc963c666249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%"/>
    <x:numFmt numFmtId="202" formatCode="yyyy-mm-dd hh:mm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6">
    <x:dxf>
      <x:fill>
        <x:patternFill patternType="solid">
          <x:bgColor rgb="FFE9F6EC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8F3F1"/>
        </x:patternFill>
      </x:fill>
    </x:dxf>
    <x:dxf>
      <x:fill>
        <x:patternFill patternType="solid">
          <x:bgColor rgb="FFE9F6EC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9F6EC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E9F6EC"/>
        </x:patternFill>
      </x:fill>
    </x:dxf>
    <x:dxf>
      <x:fill>
        <x:patternFill patternType="solid">
          <x:bgColor rgb="FFE9F6EC"/>
        </x:patternFill>
      </x:fill>
    </x:dxf>
    <x:dxf>
      <x:fill>
        <x:patternFill patternType="solid">
          <x:bgColor rgb="FFE9F6EC"/>
        </x:patternFill>
      </x:fill>
    </x:dxf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4246b5f2b54a86" /><Relationship Type="http://schemas.openxmlformats.org/officeDocument/2006/relationships/theme" Target="/xl/theme/theme1.xml" Id="Rdadf676f5e084990" /><Relationship Type="http://schemas.openxmlformats.org/officeDocument/2006/relationships/sharedStrings" Target="/xl/sharedStrings.xml" Id="R8f5c4d1c7121497d" /><Relationship Type="http://schemas.openxmlformats.org/officeDocument/2006/relationships/worksheet" Target="/xl/worksheets/sheet1.xml" Id="R51b5fa4a5571411a" /><Relationship Type="http://schemas.openxmlformats.org/officeDocument/2006/relationships/worksheet" Target="/xl/worksheets/sheet2.xml" Id="R2605599a8a8f428d" /><Relationship Type="http://schemas.openxmlformats.org/officeDocument/2006/relationships/worksheet" Target="/xl/worksheets/sheet3.xml" Id="Ra4e8ec2a14064dbf" /><Relationship Type="http://schemas.openxmlformats.org/officeDocument/2006/relationships/worksheet" Target="/xl/worksheets/sheet4.xml" Id="R05e291034e7b40c4" /><Relationship Type="http://schemas.openxmlformats.org/officeDocument/2006/relationships/worksheet" Target="/xl/worksheets/sheet5.xml" Id="Rd6d1277804ad4989" /><Relationship Type="http://schemas.openxmlformats.org/officeDocument/2006/relationships/worksheet" Target="/xl/worksheets/sheet6.xml" Id="Rc401ea8bbb11438a" /><Relationship Type="http://schemas.openxmlformats.org/officeDocument/2006/relationships/worksheet" Target="/xl/worksheets/sheet7.xml" Id="R27cc963c666249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ce0881d05b4f3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ce0881d05b4f3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61ad4c09e049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de9195a9b1574b0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1.0.0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0.14.0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PLANNING COMPLETE</x:v>
      </x:c>
    </x:row>
    <x:row r="27">
      <x:c r="A27" s="21" t="str">
        <x:v>Siguiente test sugerido</x:v>
      </x:c>
      <x:c r="B27" t="str">
        <x:v>A-001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Ready</x:v>
      </x:c>
      <x:c r="S5" s="36" t="str">
        <x:v>Harness foundation</x:v>
      </x:c>
      <x:c r="T5" s="36" t="str"/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Planned</x:v>
      </x:c>
      <x:c r="S6" s="36" t="str">
        <x:v>A-001</x:v>
      </x:c>
      <x:c r="T6" s="36" t="str"/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Planned</x:v>
      </x:c>
      <x:c r="S7" s="36" t="str">
        <x:v>A-002</x:v>
      </x:c>
      <x:c r="T7" s="36" t="str"/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Planned</x:v>
      </x:c>
      <x:c r="S8" s="36" t="str">
        <x:v>A-003</x:v>
      </x:c>
      <x:c r="T8" s="36" t="str"/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Planned</x:v>
      </x:c>
      <x:c r="S9" s="36" t="str">
        <x:v>A-004</x:v>
      </x:c>
      <x:c r="T9" s="36" t="str"/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Planned</x:v>
      </x:c>
      <x:c r="S10" s="36" t="str">
        <x:v>A-005</x:v>
      </x:c>
      <x:c r="T10" s="36" t="str"/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Planned</x:v>
      </x:c>
      <x:c r="S11" s="36" t="str">
        <x:v>B-001</x:v>
      </x:c>
      <x:c r="T11" s="36" t="str"/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Planned</x:v>
      </x:c>
      <x:c r="S12" s="36" t="str">
        <x:v>B-002</x:v>
      </x:c>
      <x:c r="T12" s="36" t="str"/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8 partitions balanced</x:v>
      </x:c>
      <x:c r="E13" s="36" t="str">
        <x:v>Escalar merge balanceado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8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tendencia</x:v>
      </x:c>
      <x:c r="R13" s="36" t="str">
        <x:v>Planned</x:v>
      </x:c>
      <x:c r="S13" s="36" t="str">
        <x:v>B-003</x:v>
      </x:c>
      <x:c r="T13" s="36" t="str"/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</x:v>
      </x:c>
      <x:c r="E14" s="36" t="str">
        <x:v>Escalar merge balanceado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Data pressure</x:v>
      </x:c>
      <x:c r="P14" s="36" t="str">
        <x:v>0 integrity errors</x:v>
      </x:c>
      <x:c r="Q14" s="36" t="str">
        <x:v>Comparar tendencia</x:v>
      </x:c>
      <x:c r="R14" s="36" t="str">
        <x:v>Planned</x:v>
      </x:c>
      <x:c r="S14" s="36" t="str">
        <x:v>B-004</x:v>
      </x:c>
      <x:c r="T14" s="36" t="str"/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</x:v>
      </x:c>
      <x:c r="E15" s="36" t="str">
        <x:v>Buscar rodilla de particiones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Stress</x:v>
      </x:c>
      <x:c r="P15" s="36" t="str">
        <x:v>0 integrity errors</x:v>
      </x:c>
      <x:c r="Q15" s="36" t="str">
        <x:v>Observar CPU/RSS/data load</x:v>
      </x:c>
      <x:c r="R15" s="36" t="str">
        <x:v>Planned</x:v>
      </x:c>
      <x:c r="S15" s="36" t="str">
        <x:v>B-005</x:v>
      </x:c>
      <x:c r="T15" s="36" t="str"/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16 partitions skewed</x:v>
      </x:c>
      <x:c r="E16" s="36" t="str">
        <x:v>Comparar skew vs balanced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16 skewed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B-005</x:v>
      </x:c>
      <x:c r="R16" s="36" t="str">
        <x:v>Planned</x:v>
      </x:c>
      <x:c r="S16" s="36" t="str">
        <x:v>B-005</x:v>
      </x:c>
      <x:c r="T16" s="36" t="str"/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Empty/missing-column partitions</x:v>
      </x:c>
      <x:c r="E17" s="36" t="str">
        <x:v>Presionar síntesis de nulls y tolerancia a vacíos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16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Planned</x:v>
      </x:c>
      <x:c r="S17" s="36" t="str">
        <x:v>B-005</x:v>
      </x:c>
      <x:c r="T17" s="36" t="str"/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window short</x:v>
      </x:c>
      <x:c r="E18" s="36" t="str">
        <x:v>Medir costo de requerimiento histórico corto</x:v>
      </x:c>
      <x:c r="F18" s="36" t="n">
        <x:v>1000</x:v>
      </x:c>
      <x:c r="G18" s="36" t="str">
        <x:v>Local FS</x:v>
      </x:c>
      <x:c r="H18" s="36" t="str">
        <x:v>Historical short window</x:v>
      </x:c>
      <x:c r="I18" s="36" t="str">
        <x:v>Múltiples particiones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Data pressure</x:v>
      </x:c>
      <x:c r="P18" s="36" t="str">
        <x:v>0 integrity errors</x:v>
      </x:c>
      <x:c r="Q18" s="36" t="str">
        <x:v>Comparar con Latest</x:v>
      </x:c>
      <x:c r="R18" s="36" t="str">
        <x:v>Planned</x:v>
      </x:c>
      <x:c r="S18" s="36" t="str">
        <x:v>B-008</x:v>
      </x:c>
      <x:c r="T18" s="36" t="str"/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Multi-requirement historical</x:v>
      </x:c>
      <x:c r="E19" s="36" t="str">
        <x:v>Combinar varios requerimientos por alarma</x:v>
      </x:c>
      <x:c r="F19" s="36" t="n">
        <x:v>1000</x:v>
      </x:c>
      <x:c r="G19" s="36" t="str">
        <x:v>Local FS</x:v>
      </x:c>
      <x:c r="H19" s="36" t="str">
        <x:v>Latest + historical</x:v>
      </x:c>
      <x:c r="I19" s="36" t="str">
        <x:v>Múltiples particiones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Stress</x:v>
      </x:c>
      <x:c r="P19" s="36" t="str">
        <x:v>0 integrity errors</x:v>
      </x:c>
      <x:c r="Q19" s="36" t="str">
        <x:v>Observar crecimiento de RSS</x:v>
      </x:c>
      <x:c r="R19" s="36" t="str">
        <x:v>Planned</x:v>
      </x:c>
      <x:c r="S19" s="36" t="str">
        <x:v>B-009</x:v>
      </x:c>
      <x:c r="T19" s="36" t="str"/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Each available source isolated</x:v>
      </x:c>
      <x:c r="E20" s="36" t="str">
        <x:v>Caracterizar cada source adapter por separado</x:v>
      </x:c>
      <x:c r="F20" s="36" t="n">
        <x:v>1000</x:v>
      </x:c>
      <x:c r="G20" s="36" t="str">
        <x:v>Local FS</x:v>
      </x:c>
      <x:c r="H20" s="36" t="str">
        <x:v>Fuente aislada</x:v>
      </x:c>
      <x:c r="I20" s="36" t="str">
        <x:v>Todas las fuentes, una por corrida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Source characterization</x:v>
      </x:c>
      <x:c r="P20" s="36" t="str">
        <x:v>0 integrity errors</x:v>
      </x:c>
      <x:c r="Q20" s="36" t="str">
        <x:v>Registrar una corrida por fuente</x:v>
      </x:c>
      <x:c r="R20" s="36" t="str">
        <x:v>Conditional</x:v>
      </x:c>
      <x:c r="S20" s="36" t="str">
        <x:v>B-010</x:v>
      </x:c>
      <x:c r="T20" s="36" t="str"/>
    </x:row>
    <x:row r="21">
      <x:c r="A21" s="36" t="str">
        <x:v>B-012</x:v>
      </x:c>
      <x:c r="B21" s="36" t="str">
        <x:v>R3.5B</x:v>
      </x:c>
      <x:c r="C21" s="36" t="n">
        <x:v>21</x:v>
      </x:c>
      <x:c r="D21" s="36" t="str">
        <x:v>All available sources combined</x:v>
      </x:c>
      <x:c r="E21" s="36" t="str">
        <x:v>Medir carga de lectura combinada</x:v>
      </x:c>
      <x:c r="F21" s="36" t="n">
        <x:v>1000</x:v>
      </x:c>
      <x:c r="G21" s="36" t="str">
        <x:v>Local FS</x:v>
      </x:c>
      <x:c r="H21" s="36" t="str">
        <x:v>Latest + historical</x:v>
      </x:c>
      <x:c r="I21" s="36" t="str">
        <x:v>Todas las fuentes habilitadas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Stress</x:v>
      </x:c>
      <x:c r="P21" s="36" t="str">
        <x:v>0 integrity errors</x:v>
      </x:c>
      <x:c r="Q21" s="36" t="str">
        <x:v>Buscar cuello de preparación de datos</x:v>
      </x:c>
      <x:c r="R21" s="36" t="str">
        <x:v>Conditional</x:v>
      </x:c>
      <x:c r="S21" s="36" t="str">
        <x:v>B-011</x:v>
      </x:c>
      <x:c r="T21" s="36" t="str"/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Mixed lifecycle balanced</x:v>
      </x:c>
      <x:c r="E22" s="36" t="str">
        <x:v>Ejercitar estados variados con 1000 alarmas</x:v>
      </x:c>
      <x:c r="F22" s="36" t="n">
        <x:v>1000</x:v>
      </x:c>
      <x:c r="G22" s="36" t="str">
        <x:v>Local FS</x:v>
      </x:c>
      <x:c r="H22" s="36" t="str">
        <x:v>Operational churn 10%</x:v>
      </x:c>
      <x:c r="I22" s="36" t="str">
        <x:v>Balanced</x:v>
      </x:c>
      <x:c r="J22" s="36" t="str">
        <x:v>None</x:v>
      </x:c>
      <x:c r="K22" s="36" t="str">
        <x:v>Stable config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</x:v>
      </x:c>
      <x:c r="Q22" s="36" t="str">
        <x:v>Comparar con A-005</x:v>
      </x:c>
      <x:c r="R22" s="36" t="str">
        <x:v>Planned</x:v>
      </x:c>
      <x:c r="S22" s="36" t="str">
        <x:v>B-012 o baseline suficiente</x:v>
      </x:c>
      <x:c r="T22" s="36" t="str"/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C1-heavy</x:v>
      </x:c>
      <x:c r="E23" s="36" t="str">
        <x:v>Caracterizar routing C1</x:v>
      </x:c>
      <x:c r="F23" s="36" t="n">
        <x:v>1000</x:v>
      </x:c>
      <x:c r="G23" s="36" t="str">
        <x:v>Local FS</x:v>
      </x:c>
      <x:c r="H23" s="36" t="str">
        <x:v>Operational churn</x:v>
      </x:c>
      <x:c r="I23" s="36" t="str">
        <x:v>Balanced</x:v>
      </x:c>
      <x:c r="J23" s="36" t="str">
        <x:v>None</x:v>
      </x:c>
      <x:c r="K23" s="36" t="str">
        <x:v>Stable config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</x:v>
      </x:c>
      <x:c r="P23" s="36" t="str">
        <x:v>0 integrity errors</x:v>
      </x:c>
      <x:c r="Q23" s="36" t="str">
        <x:v>Comparar Core execution</x:v>
      </x:c>
      <x:c r="R23" s="36" t="str">
        <x:v>Planned</x:v>
      </x:c>
      <x:c r="S23" s="36" t="str">
        <x:v>C-001</x:v>
      </x:c>
      <x:c r="T23" s="36" t="str"/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C2-heavy</x:v>
      </x:c>
      <x:c r="E24" s="36" t="str">
        <x:v>Presionar assignments/timers C2</x:v>
      </x:c>
      <x:c r="F24" s="36" t="n">
        <x:v>1000</x:v>
      </x:c>
      <x:c r="G24" s="36" t="str">
        <x:v>Local FS</x:v>
      </x:c>
      <x:c r="H24" s="36" t="str">
        <x:v>Operational churn</x:v>
      </x:c>
      <x:c r="I24" s="36" t="str">
        <x:v>Balanced</x:v>
      </x:c>
      <x:c r="J24" s="36" t="str">
        <x:v>None</x:v>
      </x:c>
      <x:c r="K24" s="36" t="str">
        <x:v>Stable config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</x:v>
      </x:c>
      <x:c r="P24" s="36" t="str">
        <x:v>0 integrity errors</x:v>
      </x:c>
      <x:c r="Q24" s="36" t="str">
        <x:v>Caso caro esperado</x:v>
      </x:c>
      <x:c r="R24" s="36" t="str">
        <x:v>Planned</x:v>
      </x:c>
      <x:c r="S24" s="36" t="str">
        <x:v>C-001</x:v>
      </x:c>
      <x:c r="T24" s="36" t="str"/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61ad4c09e0494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</x:row>
    <x:row r="5">
      <x:c r="A5" s="32"/>
      <x:c r="B5" s="32"/>
      <x:c r="C5" s="4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  <x:c r="S5" s="32"/>
      <x:c r="T5" s="43" t="str">
        <x:f>IFERROR(S5/L5,"")</x:f>
      </x:c>
      <x:c r="U5" s="32"/>
      <x:c r="V5" s="32"/>
      <x:c r="W5" s="32"/>
      <x:c r="X5" s="32"/>
      <x:c r="Y5" s="32"/>
      <x:c r="Z5" s="32"/>
      <x:c r="AA5" s="32"/>
      <x:c r="AB5" s="32"/>
      <x:c r="AC5" s="32"/>
      <x:c r="AD5" s="32"/>
      <x:c r="AE5" s="32"/>
      <x:c r="AF5" s="32"/>
      <x:c r="AG5" s="32"/>
      <x:c r="AH5" s="32"/>
      <x:c r="AI5" s="32"/>
      <x:c r="AJ5" s="32"/>
    </x:row>
    <x:row r="6">
      <x:c r="A6" s="32"/>
      <x:c r="B6" s="32"/>
      <x:c r="C6" s="4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  <x:c r="S6" s="32"/>
      <x:c r="T6" s="43" t="str">
        <x:f>IFERROR(S6/L6,"")</x:f>
      </x:c>
      <x:c r="U6" s="32"/>
      <x:c r="V6" s="32"/>
      <x:c r="W6" s="32"/>
      <x:c r="X6" s="32"/>
      <x:c r="Y6" s="32"/>
      <x:c r="Z6" s="32"/>
      <x:c r="AA6" s="32"/>
      <x:c r="AB6" s="32"/>
      <x:c r="AC6" s="32"/>
      <x:c r="AD6" s="32"/>
      <x:c r="AE6" s="32"/>
      <x:c r="AF6" s="32"/>
      <x:c r="AG6" s="32"/>
      <x:c r="AH6" s="32"/>
      <x:c r="AI6" s="32"/>
      <x:c r="AJ6" s="32"/>
    </x:row>
    <x:row r="7">
      <x:c r="A7" s="32"/>
      <x:c r="B7" s="32"/>
      <x:c r="C7" s="4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  <x:c r="S7" s="32"/>
      <x:c r="T7" s="43" t="str">
        <x:f>IFERROR(S7/L7,"")</x:f>
      </x:c>
      <x:c r="U7" s="32"/>
      <x:c r="V7" s="32"/>
      <x:c r="W7" s="32"/>
      <x:c r="X7" s="32"/>
      <x:c r="Y7" s="32"/>
      <x:c r="Z7" s="32"/>
      <x:c r="AA7" s="32"/>
      <x:c r="AB7" s="32"/>
      <x:c r="AC7" s="32"/>
      <x:c r="AD7" s="32"/>
      <x:c r="AE7" s="32"/>
      <x:c r="AF7" s="32"/>
      <x:c r="AG7" s="32"/>
      <x:c r="AH7" s="32"/>
      <x:c r="AI7" s="32"/>
      <x:c r="AJ7" s="32"/>
    </x:row>
    <x:row r="8">
      <x:c r="A8" s="32"/>
      <x:c r="B8" s="32"/>
      <x:c r="C8" s="4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  <x:c r="S8" s="32"/>
      <x:c r="T8" s="43" t="str">
        <x:f>IFERROR(S8/L8,"")</x:f>
      </x:c>
      <x:c r="U8" s="32"/>
      <x:c r="V8" s="32"/>
      <x:c r="W8" s="32"/>
      <x:c r="X8" s="32"/>
      <x:c r="Y8" s="32"/>
      <x:c r="Z8" s="32"/>
      <x:c r="AA8" s="32"/>
      <x:c r="AB8" s="32"/>
      <x:c r="AC8" s="32"/>
      <x:c r="AD8" s="32"/>
      <x:c r="AE8" s="32"/>
      <x:c r="AF8" s="32"/>
      <x:c r="AG8" s="32"/>
      <x:c r="AH8" s="32"/>
      <x:c r="AI8" s="32"/>
      <x:c r="AJ8" s="32"/>
    </x:row>
    <x:row r="9">
      <x:c r="A9" s="32"/>
      <x:c r="B9" s="32"/>
      <x:c r="C9" s="4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  <x:c r="S9" s="32"/>
      <x:c r="T9" s="43" t="str">
        <x:f>IFERROR(S9/L9,"")</x:f>
      </x:c>
      <x:c r="U9" s="32"/>
      <x:c r="V9" s="32"/>
      <x:c r="W9" s="32"/>
      <x:c r="X9" s="32"/>
      <x:c r="Y9" s="32"/>
      <x:c r="Z9" s="32"/>
      <x:c r="AA9" s="32"/>
      <x:c r="AB9" s="32"/>
      <x:c r="AC9" s="32"/>
      <x:c r="AD9" s="32"/>
      <x:c r="AE9" s="32"/>
      <x:c r="AF9" s="32"/>
      <x:c r="AG9" s="32"/>
      <x:c r="AH9" s="32"/>
      <x:c r="AI9" s="32"/>
      <x:c r="AJ9" s="32"/>
    </x:row>
    <x:row r="10">
      <x:c r="A10" s="32"/>
      <x:c r="B10" s="32"/>
      <x:c r="C10" s="4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43" t="str">
        <x:f>IFERROR(S10/L10,"")</x:f>
      </x:c>
      <x:c r="U10" s="32"/>
      <x:c r="V10" s="32"/>
      <x:c r="W10" s="32"/>
      <x:c r="X10" s="32"/>
      <x:c r="Y10" s="32"/>
      <x:c r="Z10" s="32"/>
      <x:c r="AA10" s="32"/>
      <x:c r="AB10" s="32"/>
      <x:c r="AC10" s="32"/>
      <x:c r="AD10" s="32"/>
      <x:c r="AE10" s="32"/>
      <x:c r="AF10" s="32"/>
      <x:c r="AG10" s="32"/>
      <x:c r="AH10" s="32"/>
      <x:c r="AI10" s="32"/>
      <x:c r="AJ10" s="32"/>
    </x:row>
    <x:row r="11">
      <x:c r="A11" s="32"/>
      <x:c r="B11" s="32"/>
      <x:c r="C11" s="4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43" t="str">
        <x:f>IFERROR(S11/L11,"")</x:f>
      </x:c>
      <x:c r="U11" s="32"/>
      <x:c r="V11" s="32"/>
      <x:c r="W11" s="32"/>
      <x:c r="X11" s="32"/>
      <x:c r="Y11" s="32"/>
      <x:c r="Z11" s="32"/>
      <x:c r="AA11" s="32"/>
      <x:c r="AB11" s="32"/>
      <x:c r="AC11" s="32"/>
      <x:c r="AD11" s="32"/>
      <x:c r="AE11" s="32"/>
      <x:c r="AF11" s="32"/>
      <x:c r="AG11" s="32"/>
      <x:c r="AH11" s="32"/>
      <x:c r="AI11" s="32"/>
      <x:c r="AJ11" s="32"/>
    </x:row>
    <x:row r="12">
      <x:c r="A12" s="32"/>
      <x:c r="B12" s="32"/>
      <x:c r="C12" s="4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43" t="str">
        <x:f>IFERROR(S12/L12,"")</x:f>
      </x:c>
      <x:c r="U12" s="32"/>
      <x:c r="V12" s="32"/>
      <x:c r="W12" s="32"/>
      <x:c r="X12" s="32"/>
      <x:c r="Y12" s="32"/>
      <x:c r="Z12" s="32"/>
      <x:c r="AA12" s="32"/>
      <x:c r="AB12" s="32"/>
      <x:c r="AC12" s="32"/>
      <x:c r="AD12" s="32"/>
      <x:c r="AE12" s="32"/>
      <x:c r="AF12" s="32"/>
      <x:c r="AG12" s="32"/>
      <x:c r="AH12" s="32"/>
      <x:c r="AI12" s="32"/>
      <x:c r="AJ12" s="32"/>
    </x:row>
    <x:row r="13">
      <x:c r="A13" s="32"/>
      <x:c r="B13" s="32"/>
      <x:c r="C13" s="4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43" t="str">
        <x:f>IFERROR(S13/L13,"")</x:f>
      </x:c>
      <x:c r="U13" s="32"/>
      <x:c r="V13" s="32"/>
      <x:c r="W13" s="32"/>
      <x:c r="X13" s="32"/>
      <x:c r="Y13" s="32"/>
      <x:c r="Z13" s="32"/>
      <x:c r="AA13" s="32"/>
      <x:c r="AB13" s="32"/>
      <x:c r="AC13" s="32"/>
      <x:c r="AD13" s="32"/>
      <x:c r="AE13" s="32"/>
      <x:c r="AF13" s="32"/>
      <x:c r="AG13" s="32"/>
      <x:c r="AH13" s="32"/>
      <x:c r="AI13" s="32"/>
      <x:c r="AJ13" s="32"/>
    </x:row>
    <x:row r="14">
      <x:c r="A14" s="32"/>
      <x:c r="B14" s="32"/>
      <x:c r="C14" s="4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43" t="str">
        <x:f>IFERROR(S14/L14,"")</x:f>
      </x:c>
      <x:c r="U14" s="32"/>
      <x:c r="V14" s="32"/>
      <x:c r="W14" s="32"/>
      <x:c r="X14" s="32"/>
      <x:c r="Y14" s="32"/>
      <x:c r="Z14" s="32"/>
      <x:c r="AA14" s="32"/>
      <x:c r="AB14" s="32"/>
      <x:c r="AC14" s="32"/>
      <x:c r="AD14" s="32"/>
      <x:c r="AE14" s="32"/>
      <x:c r="AF14" s="32"/>
      <x:c r="AG14" s="32"/>
      <x:c r="AH14" s="32"/>
      <x:c r="AI14" s="32"/>
      <x:c r="AJ14" s="32"/>
    </x:row>
    <x:row r="15">
      <x:c r="A15" s="32"/>
      <x:c r="B15" s="32"/>
      <x:c r="C15" s="4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43" t="str">
        <x:f>IFERROR(S15/L15,"")</x:f>
      </x:c>
      <x:c r="U15" s="32"/>
      <x:c r="V15" s="32"/>
      <x:c r="W15" s="32"/>
      <x:c r="X15" s="32"/>
      <x:c r="Y15" s="32"/>
      <x:c r="Z15" s="32"/>
      <x:c r="AA15" s="32"/>
      <x:c r="AB15" s="32"/>
      <x:c r="AC15" s="32"/>
      <x:c r="AD15" s="32"/>
      <x:c r="AE15" s="32"/>
      <x:c r="AF15" s="32"/>
      <x:c r="AG15" s="32"/>
      <x:c r="AH15" s="32"/>
      <x:c r="AI15" s="32"/>
      <x:c r="AJ15" s="32"/>
    </x:row>
    <x:row r="16">
      <x:c r="A16" s="32"/>
      <x:c r="B16" s="32"/>
      <x:c r="C16" s="4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43" t="str">
        <x:f>IFERROR(S16/L16,"")</x:f>
      </x:c>
      <x:c r="U16" s="32"/>
      <x:c r="V16" s="32"/>
      <x:c r="W16" s="32"/>
      <x:c r="X16" s="32"/>
      <x:c r="Y16" s="32"/>
      <x:c r="Z16" s="32"/>
      <x:c r="AA16" s="32"/>
      <x:c r="AB16" s="32"/>
      <x:c r="AC16" s="32"/>
      <x:c r="AD16" s="32"/>
      <x:c r="AE16" s="32"/>
      <x:c r="AF16" s="32"/>
      <x:c r="AG16" s="32"/>
      <x:c r="AH16" s="32"/>
      <x:c r="AI16" s="32"/>
      <x:c r="AJ16" s="32"/>
    </x:row>
    <x:row r="17">
      <x:c r="A17" s="32"/>
      <x:c r="B17" s="32"/>
      <x:c r="C17" s="4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43" t="str">
        <x:f>IFERROR(S17/L17,"")</x:f>
      </x:c>
      <x:c r="U17" s="32"/>
      <x:c r="V17" s="32"/>
      <x:c r="W17" s="32"/>
      <x:c r="X17" s="32"/>
      <x:c r="Y17" s="32"/>
      <x:c r="Z17" s="32"/>
      <x:c r="AA17" s="32"/>
      <x:c r="AB17" s="32"/>
      <x:c r="AC17" s="32"/>
      <x:c r="AD17" s="32"/>
      <x:c r="AE17" s="32"/>
      <x:c r="AF17" s="32"/>
      <x:c r="AG17" s="32"/>
      <x:c r="AH17" s="32"/>
      <x:c r="AI17" s="32"/>
      <x:c r="AJ17" s="32"/>
    </x:row>
    <x:row r="18">
      <x:c r="A18" s="32"/>
      <x:c r="B18" s="32"/>
      <x:c r="C18" s="4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43" t="str">
        <x:f>IFERROR(S18/L18,"")</x:f>
      </x:c>
      <x:c r="U18" s="32"/>
      <x:c r="V18" s="32"/>
      <x:c r="W18" s="32"/>
      <x:c r="X18" s="32"/>
      <x:c r="Y18" s="32"/>
      <x:c r="Z18" s="32"/>
      <x:c r="AA18" s="32"/>
      <x:c r="AB18" s="32"/>
      <x:c r="AC18" s="32"/>
      <x:c r="AD18" s="32"/>
      <x:c r="AE18" s="32"/>
      <x:c r="AF18" s="32"/>
      <x:c r="AG18" s="32"/>
      <x:c r="AH18" s="32"/>
      <x:c r="AI18" s="32"/>
      <x:c r="AJ18" s="32"/>
    </x:row>
    <x:row r="19">
      <x:c r="A19" s="32"/>
      <x:c r="B19" s="32"/>
      <x:c r="C19" s="4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43" t="str">
        <x:f>IFERROR(S19/L19,"")</x:f>
      </x:c>
      <x:c r="U19" s="32"/>
      <x:c r="V19" s="32"/>
      <x:c r="W19" s="32"/>
      <x:c r="X19" s="32"/>
      <x:c r="Y19" s="32"/>
      <x:c r="Z19" s="32"/>
      <x:c r="AA19" s="32"/>
      <x:c r="AB19" s="32"/>
      <x:c r="AC19" s="32"/>
      <x:c r="AD19" s="32"/>
      <x:c r="AE19" s="32"/>
      <x:c r="AF19" s="32"/>
      <x:c r="AG19" s="32"/>
      <x:c r="AH19" s="32"/>
      <x:c r="AI19" s="32"/>
      <x:c r="AJ19" s="32"/>
    </x:row>
    <x:row r="20">
      <x:c r="A20" s="32"/>
      <x:c r="B20" s="32"/>
      <x:c r="C20" s="4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43" t="str">
        <x:f>IFERROR(S20/L20,"")</x:f>
      </x:c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/>
      <x:c r="AG20" s="32"/>
      <x:c r="AH20" s="32"/>
      <x:c r="AI20" s="32"/>
      <x:c r="AJ20" s="32"/>
    </x:row>
    <x:row r="21">
      <x:c r="A21" s="32"/>
      <x:c r="B21" s="32"/>
      <x:c r="C21" s="4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43" t="str">
        <x:f>IFERROR(S21/L21,"")</x:f>
      </x:c>
      <x:c r="U21" s="32"/>
      <x:c r="V21" s="32"/>
      <x:c r="W21" s="32"/>
      <x:c r="X21" s="32"/>
      <x:c r="Y21" s="32"/>
      <x:c r="Z21" s="32"/>
      <x:c r="AA21" s="32"/>
      <x:c r="AB21" s="32"/>
      <x:c r="AC21" s="32"/>
      <x:c r="AD21" s="32"/>
      <x:c r="AE21" s="32"/>
      <x:c r="AF21" s="32"/>
      <x:c r="AG21" s="32"/>
      <x:c r="AH21" s="32"/>
      <x:c r="AI21" s="32"/>
      <x:c r="AJ21" s="32"/>
    </x:row>
    <x:row r="22">
      <x:c r="A22" s="32"/>
      <x:c r="B22" s="32"/>
      <x:c r="C22" s="4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43" t="str">
        <x:f>IFERROR(S22/L22,"")</x:f>
      </x:c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/>
      <x:c r="AG22" s="32"/>
      <x:c r="AH22" s="32"/>
      <x:c r="AI22" s="32"/>
      <x:c r="AJ22" s="32"/>
    </x:row>
    <x:row r="23">
      <x:c r="A23" s="32"/>
      <x:c r="B23" s="32"/>
      <x:c r="C23" s="4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43" t="str">
        <x:f>IFERROR(S23/L23,"")</x:f>
      </x:c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  <x:c r="L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  <x:c r="L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61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0</x:v>
      </x:c>
      <x:c r="H5" s="21" t="str">
        <x:v>PASS</x:v>
      </x:c>
      <x:c r="I5" t="n">
        <x:f>COUNTIF('02_Run_Results'!AI5:AI500,"PASS")</x:f>
        <x:v>0</x:v>
      </x:c>
      <x:c r="J5" t="str">
        <x:v>GREEN</x:v>
      </x:c>
    </x:row>
    <x:row r="6">
      <x:c r="A6" s="21" t="str">
        <x:v>Completed</x:v>
      </x:c>
      <x:c r="B6" t="n">
        <x:f>COUNTIF('01_Test_Plan'!R5:R200,"Completed")</x:f>
        <x:v>0</x:v>
      </x:c>
      <x:c r="D6" s="21" t="str">
        <x:v>R3.5B</x:v>
      </x:c>
      <x:c r="E6" t="n">
        <x:f>COUNTIF('01_Test_Plan'!B5:B200,D6)</x:f>
        <x:v>12</x:v>
      </x:c>
      <x:c r="F6" t="n">
        <x:f>COUNTIFS('01_Test_Plan'!B5:B200,D6,'01_Test_Plan'!R5:R200,"Completed")</x:f>
        <x:v>0</x:v>
      </x:c>
      <x:c r="H6" s="21" t="str">
        <x:v>PASS-WITH-FINDINGS</x:v>
      </x:c>
      <x:c r="I6" t="n">
        <x:f>COUNTIF('02_Run_Results'!AI5:AI500,"PASS-WITH-FINDINGS")</x:f>
        <x:v>0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1</x:v>
      </x:c>
      <x:c r="D7" s="21" t="str">
        <x:v>R3.5C</x:v>
      </x:c>
      <x:c r="E7" t="n">
        <x:f>COUNTIF('01_Test_Plan'!B5:B200,D7)</x:f>
        <x:v>11</x:v>
      </x:c>
      <x:c r="F7" t="n">
        <x:f>COUNTIFS('01_Test_Plan'!B5:B200,D7,'01_Test_Plan'!R5:R200,"Completed")</x:f>
        <x:v>0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f>IFERROR(B6/B5,0)</x:f>
        <x:v>0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COUNTIF('03_Findings'!F5:F500,"High")+COUNTIF('03_Findings'!F5:F500,"Critical")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de9195a9b1574b04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</x:sheetData>
  <x:mergeCells>
    <x:mergeCell ref="A1:F2"/>
  </x:mergeCells>
  <x:pageMargins left="0.7" right="0.7" top="0.75" bottom="0.75" header="0.3" footer="0.3"/>
</x:worksheet>
</file>