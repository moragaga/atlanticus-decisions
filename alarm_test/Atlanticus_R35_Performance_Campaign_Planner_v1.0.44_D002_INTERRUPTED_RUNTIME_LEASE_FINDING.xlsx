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b23e4914354b5a" /></Relationships>
</file>

<file path=xl/workbook.xml><?xml version="1.0" encoding="utf-8"?>
<x:workbook xmlns:x="http://schemas.openxmlformats.org/spreadsheetml/2006/main">
  <x:sheets>
    <x:sheet xmlns:r="http://schemas.openxmlformats.org/officeDocument/2006/relationships" name="00_Control" sheetId="1" r:id="Rdb347c8704f64f15"/>
    <x:sheet xmlns:r="http://schemas.openxmlformats.org/officeDocument/2006/relationships" name="01_Test_Plan" sheetId="2" r:id="R4d4281ea41084044"/>
    <x:sheet xmlns:r="http://schemas.openxmlformats.org/officeDocument/2006/relationships" name="02_Run_Results" sheetId="3" r:id="Rae4d7af75e1c426b"/>
    <x:sheet xmlns:r="http://schemas.openxmlformats.org/officeDocument/2006/relationships" name="03_Findings" sheetId="4" r:id="R7d8c0dadeb984996"/>
    <x:sheet xmlns:r="http://schemas.openxmlformats.org/officeDocument/2006/relationships" name="04_Decisions" sheetId="5" r:id="R601d160d3a8745c4"/>
    <x:sheet xmlns:r="http://schemas.openxmlformats.org/officeDocument/2006/relationships" name="05_Dashboard" sheetId="6" r:id="Ra4f1269a74674157"/>
    <x:sheet xmlns:r="http://schemas.openxmlformats.org/officeDocument/2006/relationships" name="06_Definitions" sheetId="7" r:id="R969fc87e357c4ff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cffc6103bb49d7" /><Relationship Type="http://schemas.openxmlformats.org/officeDocument/2006/relationships/theme" Target="/xl/theme/theme1.xml" Id="R902f3741e6f447ba" /><Relationship Type="http://schemas.microsoft.com/office/2022/11/relationships/FeaturePropertyBag" Target="/xl/featurePropertyBag/featurePropertyBag.xml" Id="R13f923b39a424640" /><Relationship Type="http://schemas.openxmlformats.org/officeDocument/2006/relationships/sharedStrings" Target="/xl/sharedStrings.xml" Id="R38896e40c87c4d03" /><Relationship Type="http://schemas.openxmlformats.org/officeDocument/2006/relationships/worksheet" Target="/xl/worksheets/sheet1.xml" Id="Rdb347c8704f64f15" /><Relationship Type="http://schemas.openxmlformats.org/officeDocument/2006/relationships/worksheet" Target="/xl/worksheets/sheet2.xml" Id="R4d4281ea41084044" /><Relationship Type="http://schemas.openxmlformats.org/officeDocument/2006/relationships/worksheet" Target="/xl/worksheets/sheet3.xml" Id="Rae4d7af75e1c426b" /><Relationship Type="http://schemas.openxmlformats.org/officeDocument/2006/relationships/worksheet" Target="/xl/worksheets/sheet4.xml" Id="R7d8c0dadeb984996" /><Relationship Type="http://schemas.openxmlformats.org/officeDocument/2006/relationships/worksheet" Target="/xl/worksheets/sheet5.xml" Id="R601d160d3a8745c4" /><Relationship Type="http://schemas.openxmlformats.org/officeDocument/2006/relationships/worksheet" Target="/xl/worksheets/sheet6.xml" Id="Ra4f1269a74674157" /><Relationship Type="http://schemas.openxmlformats.org/officeDocument/2006/relationships/worksheet" Target="/xl/worksheets/sheet7.xml" Id="R969fc87e357c4ff2" /></Relationships>
</file>

<file path=xl/drawings/_rels/drawing1.xml.rels>&#65279;<?xml version="1.0" encoding="utf-8"?><Relationships xmlns="http://schemas.openxmlformats.org/package/2006/relationships"><Relationship Type="http://schemas.openxmlformats.org/officeDocument/2006/relationships/chart" Target="/xl/drawings/charts/chart1.xml" Id="R6298caeb35084da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98caeb35084da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c7da7015fe4888" /></Relationships>
</file>

<file path=xl/worksheets/_rels/sheet6.xml.rels>&#65279;<?xml version="1.0" encoding="utf-8"?><Relationships xmlns="http://schemas.openxmlformats.org/package/2006/relationships"><Relationship Type="http://schemas.openxmlformats.org/officeDocument/2006/relationships/drawing" Target="/xl/drawings/drawing1.xml" Id="R8b94add850b84ec8"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1.0.44</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BLOCKED — D-002 INTERRUPTED BY GENERIC JOB RUNTIME LEASE SELF-CONTENTION</x:v>
      </x:c>
    </x:row>
    <x:row r="27">
      <x:c r="A27" s="21" t="str">
        <x:v>Siguiente test sugerido</x:v>
      </x:c>
      <x:c r="B27" t="str">
        <x:v>R20C.3.2 Lease Heartbeat / Fenced Mutation Starvation — fix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deben quedar MANAGEMENT/EFFECTIVE, sin pérdida/duplicados, con targets únicos distribuidos por priority group y pending final=0.</x:v>
      </x:c>
      <x:c r="Q34" s="36" t="str">
        <x:v>INTERRUPTED — no adjudicar como FAIL funcional de Management. Las 540 acciones quedaron durablemente recibidas y materializadas antes del fallo: 540 InputReceipt EFFECTIVE, 540 ManagementEffect STARTED, cursor=138240=540×256, pending=0, 540 targets/effects finales. A +600 s coincidió una ola periódica de evidencia de 100 grupos. Persistence publicó los 100 records como durable y materializó 76 snapshots; durante la secuencia de fenced mutations el heartbeat no obtuvo el mismo PhysicalAuthorityFence dentro de su espera de 5 s y marcó LeaseRenewalError. El siguiente fenced_mutation hizo fail-closed, dejando 24 materializaciones pendientes para recovery.</x:v>
      </x:c>
      <x:c r="R34" s="36" t="str">
        <x:v>Blocked</x:v>
      </x:c>
      <x:c r="S34" s="36" t="str">
        <x:v>D-002 harness 0.1.0 + generic Job Runtime 0.7.0 finding</x:v>
      </x:c>
      <x:c r="T34" s="36" t="str">
        <x:v>Authoritative interrupted run b318a6a4-d160-4b05-a5eb-300d7110040c. Execution failed at iteration 121 after 606.493 s; 120 iterations completed, 110 work + 10 empty. Runtime reported LeaseRenewalError, generation=1, execution_deadline_utc=2026-08-27T02:09:55.294814Z, CPU peak=19.035% of 8 cores and memory peak=0.874% of 15.8 GiB, so resource pressure is excluded. Independent journal audit: 835 total durable EngineCommitRecord (100 sealed bootstrap + 735 open-hour records), runtime artifact 0.14.2. Management contract before failure is exact: 540 unique MANAGEMENT/EFFECTIVE receipts, 540 unique ManagementEffect STARTED, 0 deactivation, consumer cursor hour=2026-08-27T02Z/byte_offset=138240, pending=[], final snapshots contain 540 management effects. Management batching by durable receipt cycle is 109 non-empty batches: sizes 1×1, 5×107, 4×1 = 540. At 02:09:40Z the second periodic evidence wave emitted 100 durable records. journal-head after failure: durable=20260827T020940000000Z__perf-group-100 / byte_offset=5,994,817; materialized=20260827T020910000000Z__perf-group-040 / byte_offset=4,933,437. Group snapshot audit shows exactly groups 001..076 already materialized at 02:09:40 and groups 077..100 still on their previous commits. Therefore standard recovery should read the 100 evidence records, skip 76 already applied and apply exactly 24, then realign materialized==durable. No evidence of durable loss or stale writer. Lease file absence in preserved workdir is expected cleanup behavior: _release_lease removes the still-owned lease but returns the pre-existing lease.failure for warning observability; authority remains generation=1 with no completed slot. Root cause independently reproduced against atlanticus-job-runtime 0.7.0: a legitimate fenced_mutation held longer than the heartbeat fence-acquire window causes the renewal thread to mark LeaseRenewalError while the lease file is still unexpired and owned by the same generation. Real D-002 amplifies the same race through repeated per-entry snapshot materialization fences. D-002 must not be rerun or shortened to hide this; generic runtime coordination requires a fix.</x:v>
      </x:c>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5c7da7015fe4888"/>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Abrir R20C.3.2: tratar contención temporal del physical fence por el owner actual como condición reintentable hasta el límite seguro del lease/authority, sin renovar sin fence y preservando fail-closed ante expiración, takeover o generation mismatch. Añadir POC de long/repeated self-fenced mutation y regresión de recovery parcial. Después rerun D-002 desde volumen limpio.</x:v>
      </x:c>
      <x:c r="K76" s="32" t="str">
        <x:v>Open</x:v>
      </x:c>
      <x:c r="L76" s="32" t="str">
        <x:v>DEC-R35-043</x:v>
      </x:c>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25</x:v>
      </x:c>
      <x:c r="J5" t="str">
        <x:v>GREEN</x:v>
      </x:c>
    </x:row>
    <x:row r="6">
      <x:c r="A6" s="21" t="str">
        <x:v>Completed</x:v>
      </x:c>
      <x:c r="B6" t="n">
        <x:v>28</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1</x:v>
      </x:c>
      <x:c r="D8" s="21" t="str">
        <x:v>R3.5D</x:v>
      </x:c>
      <x:c r="E8" t="n">
        <x:f>COUNTIF('01_Test_Plan'!B5:B200,D8)</x:f>
        <x:v>10</x:v>
      </x:c>
      <x:c r="F8" t="n">
        <x:v>1</x:v>
      </x:c>
      <x:c r="H8" s="21" t="str">
        <x:v>OBSERVED</x:v>
      </x:c>
      <x:c r="I8" t="n">
        <x:v>1</x:v>
      </x:c>
      <x:c r="J8" t="str">
        <x:v>N/A</x:v>
      </x:c>
    </x:row>
    <x:row r="9">
      <x:c r="A9" s="21" t="str">
        <x:v>Completion %</x:v>
      </x:c>
      <x:c r="B9" s="38" t="n">
        <x:v>0.45161290322580644</x:v>
      </x:c>
      <x:c r="D9" s="21" t="str">
        <x:v>R3.5E</x:v>
      </x:c>
      <x:c r="E9" t="n">
        <x:f>COUNTIF('01_Test_Plan'!B5:B200,D9)</x:f>
        <x:v>12</x:v>
      </x:c>
      <x:c r="F9" t="n">
        <x:f>COUNTIFS('01_Test_Plan'!B5:B200,D9,'01_Test_Plan'!R5:R200,"Completed")</x:f>
        <x:v>0</x:v>
      </x:c>
    </x:row>
    <x:row r="10">
      <x:c r="A10" s="21" t="str">
        <x:v>Open findings</x:v>
      </x:c>
      <x:c r="B10" t="n">
        <x:v>1</x:v>
      </x:c>
      <x:c r="D10" s="21" t="str">
        <x:v>R3.5F</x:v>
      </x:c>
      <x:c r="E10" t="n">
        <x:f>COUNTIF('01_Test_Plan'!B5:B200,D10)</x:f>
        <x:v>11</x:v>
      </x:c>
      <x:c r="F10" t="n">
        <x:f>COUNTIFS('01_Test_Plan'!B5:B200,D10,'01_Test_Plan'!R5:R200,"Completed")</x:f>
        <x:v>0</x:v>
      </x:c>
    </x:row>
    <x:row r="11">
      <x:c r="A11" s="21" t="str">
        <x:v>High/Critical findings</x:v>
      </x:c>
      <x:c r="B11" t="n">
        <x:v>1</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D-002</x:v>
      </x:c>
      <x:c r="K43" t="str">
        <x:v>INTERRUPTED — Management 540/540 durable</x:v>
      </x:c>
    </x:row>
    <x:row r="44">
      <x:c r="A44" s="32" t="str">
        <x:v>Large margin / low information</x:v>
      </x:c>
      <x:c r="B44" s="32" t="str">
        <x:v>Skip intermediate points</x:v>
      </x:c>
      <x:c r="C44" s="32" t="str">
        <x:v>Increase information per run</x:v>
      </x:c>
      <x:c r="D44"/>
      <x:c r="E44"/>
      <x:c r="F44"/>
      <x:c r="G44"/>
      <x:c r="H44"/>
      <x:c r="J44" t="str">
        <x:v>Runtime finding</x:v>
      </x:c>
      <x:c r="K44" t="str">
        <x:v>Lease heartbeat self-contention / 24 recovery</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Blocker</x:v>
      </x:c>
      <x:c r="K52" t="str">
        <x:v>F-D002-001 High / Job Runtime 0.7.0</x:v>
      </x:c>
    </x:row>
    <x:row r="53">
      <x:c r="J53" t="str">
        <x:v>Next</x:v>
      </x:c>
      <x:c r="K53" t="str">
        <x:v>R20C.3.2 fix design; then rerun D-002</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8b94add850b84ec8"/>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sheetData>
  <x:mergeCells>
    <x:mergeCell ref="A1:F2"/>
  </x:mergeCells>
  <x:pageMargins left="0.7" right="0.7" top="0.75" bottom="0.75" header="0.3" footer="0.3"/>
</x:worksheet>
</file>