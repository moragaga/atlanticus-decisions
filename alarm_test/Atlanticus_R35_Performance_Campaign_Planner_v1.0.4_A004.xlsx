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752a38cf1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e4978a03ec4b4e2b"/>
    <x:sheet xmlns:r="http://schemas.openxmlformats.org/officeDocument/2006/relationships" name="01_Test_Plan" sheetId="2" r:id="R0d880d97195042c6"/>
    <x:sheet xmlns:r="http://schemas.openxmlformats.org/officeDocument/2006/relationships" name="02_Run_Results" sheetId="3" r:id="Rdd08b5f5b11b4696"/>
    <x:sheet xmlns:r="http://schemas.openxmlformats.org/officeDocument/2006/relationships" name="03_Findings" sheetId="4" r:id="Rd38d72f65fbd4500"/>
    <x:sheet xmlns:r="http://schemas.openxmlformats.org/officeDocument/2006/relationships" name="04_Decisions" sheetId="5" r:id="R2338e1ff77484b6b"/>
    <x:sheet xmlns:r="http://schemas.openxmlformats.org/officeDocument/2006/relationships" name="05_Dashboard" sheetId="6" r:id="R7aa73254855f4425"/>
    <x:sheet xmlns:r="http://schemas.openxmlformats.org/officeDocument/2006/relationships" name="06_Definitions" sheetId="7" r:id="R06670ddb2636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yyyy-mm-dd hh:mm"/>
    <x:numFmt numFmtId="203" formatCode="0.000"/>
    <x:numFmt numFmtId="204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c917ffeaa4989" /><Relationship Type="http://schemas.openxmlformats.org/officeDocument/2006/relationships/theme" Target="/xl/theme/theme1.xml" Id="R1231447ff20249f0" /><Relationship Type="http://schemas.openxmlformats.org/officeDocument/2006/relationships/sharedStrings" Target="/xl/sharedStrings.xml" Id="Rbf02586a684a41b5" /><Relationship Type="http://schemas.openxmlformats.org/officeDocument/2006/relationships/worksheet" Target="/xl/worksheets/sheet1.xml" Id="Re4978a03ec4b4e2b" /><Relationship Type="http://schemas.openxmlformats.org/officeDocument/2006/relationships/worksheet" Target="/xl/worksheets/sheet2.xml" Id="R0d880d97195042c6" /><Relationship Type="http://schemas.openxmlformats.org/officeDocument/2006/relationships/worksheet" Target="/xl/worksheets/sheet3.xml" Id="Rdd08b5f5b11b4696" /><Relationship Type="http://schemas.openxmlformats.org/officeDocument/2006/relationships/worksheet" Target="/xl/worksheets/sheet4.xml" Id="Rd38d72f65fbd4500" /><Relationship Type="http://schemas.openxmlformats.org/officeDocument/2006/relationships/worksheet" Target="/xl/worksheets/sheet5.xml" Id="R2338e1ff77484b6b" /><Relationship Type="http://schemas.openxmlformats.org/officeDocument/2006/relationships/worksheet" Target="/xl/worksheets/sheet6.xml" Id="R7aa73254855f4425" /><Relationship Type="http://schemas.openxmlformats.org/officeDocument/2006/relationships/worksheet" Target="/xl/worksheets/sheet7.xml" Id="R06670ddb263645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b4f39d29d14a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b4f39d29d14a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2640ff968341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536399d60638424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1.0.4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R3.5A IN PROGRESS</x:v>
      </x:c>
    </x:row>
    <x:row r="27">
      <x:c r="A27" s="21" t="str">
        <x:v>Siguiente test sugerido</x:v>
      </x:c>
      <x:c r="B27" t="str">
        <x:v>A-005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Ready</x:v>
      </x:c>
      <x:c r="S9" s="36" t="str">
        <x:v>A-004</x:v>
      </x:c>
      <x:c r="T9" s="36" t="str"/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Planned</x:v>
      </x:c>
      <x:c r="S10" s="36" t="str">
        <x:v>A-005</x:v>
      </x:c>
      <x:c r="T10" s="36" t="str"/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Planned</x:v>
      </x:c>
      <x:c r="S11" s="36" t="str">
        <x:v>B-001</x:v>
      </x:c>
      <x:c r="T11" s="36" t="str"/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Planned</x:v>
      </x:c>
      <x:c r="S12" s="36" t="str">
        <x:v>B-002</x:v>
      </x:c>
      <x:c r="T12" s="36" t="str"/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8 partitions balanced</x:v>
      </x:c>
      <x:c r="E13" s="36" t="str">
        <x:v>Escalar merge balanceado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8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tendencia</x:v>
      </x:c>
      <x:c r="R13" s="36" t="str">
        <x:v>Planned</x:v>
      </x:c>
      <x:c r="S13" s="36" t="str">
        <x:v>B-003</x:v>
      </x:c>
      <x:c r="T13" s="36" t="str"/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</x:v>
      </x:c>
      <x:c r="E14" s="36" t="str">
        <x:v>Escalar merge balanceado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Data pressure</x:v>
      </x:c>
      <x:c r="P14" s="36" t="str">
        <x:v>0 integrity errors</x:v>
      </x:c>
      <x:c r="Q14" s="36" t="str">
        <x:v>Comparar tendencia</x:v>
      </x:c>
      <x:c r="R14" s="36" t="str">
        <x:v>Planned</x:v>
      </x:c>
      <x:c r="S14" s="36" t="str">
        <x:v>B-004</x:v>
      </x:c>
      <x:c r="T14" s="36" t="str"/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</x:v>
      </x:c>
      <x:c r="E15" s="36" t="str">
        <x:v>Buscar rodilla de particiones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Stress</x:v>
      </x:c>
      <x:c r="P15" s="36" t="str">
        <x:v>0 integrity errors</x:v>
      </x:c>
      <x:c r="Q15" s="36" t="str">
        <x:v>Observar CPU/RSS/data load</x:v>
      </x:c>
      <x:c r="R15" s="36" t="str">
        <x:v>Planned</x:v>
      </x:c>
      <x:c r="S15" s="36" t="str">
        <x:v>B-005</x:v>
      </x:c>
      <x:c r="T15" s="36" t="str"/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16 partitions skewed</x:v>
      </x:c>
      <x:c r="E16" s="36" t="str">
        <x:v>Comparar skew vs balanced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16 skewed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B-005</x:v>
      </x:c>
      <x:c r="R16" s="36" t="str">
        <x:v>Planned</x:v>
      </x:c>
      <x:c r="S16" s="36" t="str">
        <x:v>B-005</x:v>
      </x:c>
      <x:c r="T16" s="36" t="str"/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Empty/missing-column partitions</x:v>
      </x:c>
      <x:c r="E17" s="36" t="str">
        <x:v>Presionar síntesis de nulls y tolerancia a vacíos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16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Planned</x:v>
      </x:c>
      <x:c r="S17" s="36" t="str">
        <x:v>B-005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2640ff968341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</x:row>
    <x:row r="9">
      <x:c r="A9" s="32"/>
      <x:c r="B9" s="32"/>
      <x:c r="C9" s="4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43" t="str">
        <x:f>IFERROR(S9/L9,"")</x:f>
      </x:c>
      <x:c r="U9" s="32"/>
      <x:c r="V9" s="32"/>
      <x:c r="W9" s="32"/>
      <x:c r="X9" s="32"/>
      <x:c r="Y9" s="32"/>
      <x:c r="Z9" s="32"/>
      <x:c r="AA9" s="32"/>
      <x:c r="AB9" s="32"/>
      <x:c r="AC9" s="32"/>
      <x:c r="AD9" s="32"/>
      <x:c r="AE9" s="32"/>
      <x:c r="AF9" s="32"/>
      <x:c r="AG9" s="32"/>
      <x:c r="AH9" s="32"/>
      <x:c r="AI9" s="32"/>
      <x:c r="AJ9" s="32"/>
    </x:row>
    <x:row r="10">
      <x:c r="A10" s="32"/>
      <x:c r="B10" s="32"/>
      <x:c r="C10" s="4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43" t="str">
        <x:f>IFERROR(S10/L10,"")</x:f>
      </x:c>
      <x:c r="U10" s="32"/>
      <x:c r="V10" s="32"/>
      <x:c r="W10" s="32"/>
      <x:c r="X10" s="32"/>
      <x:c r="Y10" s="32"/>
      <x:c r="Z10" s="32"/>
      <x:c r="AA10" s="32"/>
      <x:c r="AB10" s="32"/>
      <x:c r="AC10" s="32"/>
      <x:c r="AD10" s="32"/>
      <x:c r="AE10" s="32"/>
      <x:c r="AF10" s="32"/>
      <x:c r="AG10" s="32"/>
      <x:c r="AH10" s="32"/>
      <x:c r="AI10" s="32"/>
      <x:c r="AJ10" s="32"/>
    </x:row>
    <x:row r="11">
      <x:c r="A11" s="32"/>
      <x:c r="B11" s="32"/>
      <x:c r="C11" s="4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43" t="str">
        <x:f>IFERROR(S11/L11,"")</x:f>
      </x:c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2"/>
      <x:c r="AH11" s="32"/>
      <x:c r="AI11" s="32"/>
      <x:c r="AJ11" s="32"/>
    </x:row>
    <x:row r="12">
      <x:c r="A12" s="32"/>
      <x:c r="B12" s="32"/>
      <x:c r="C12" s="4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43" t="str">
        <x:f>IFERROR(S12/L12,"")</x:f>
      </x:c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/>
      <x:c r="AJ12" s="32"/>
    </x:row>
    <x:row r="13">
      <x:c r="A13" s="32"/>
      <x:c r="B13" s="32"/>
      <x:c r="C13" s="4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43" t="str">
        <x:f>IFERROR(S13/L13,"")</x:f>
      </x:c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/>
      <x:c r="AJ13" s="32"/>
    </x:row>
    <x:row r="14">
      <x:c r="A14" s="32"/>
      <x:c r="B14" s="32"/>
      <x:c r="C14" s="4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43" t="str">
        <x:f>IFERROR(S14/L14,"")</x:f>
      </x:c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4</x:v>
      </x:c>
      <x:c r="H5" s="21" t="str">
        <x:v>PASS</x:v>
      </x:c>
      <x:c r="I5" t="n">
        <x:f>COUNTIF('02_Run_Results'!AI5:AI500,"PASS")</x:f>
        <x:v>4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4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0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0.06557377049180328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A-003→A-004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1.50×</x:v>
      </x:c>
      <x:c r="J22" t="str">
        <x:v>500 → 750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1.47×</x:v>
      </x:c>
      <x:c r="J23" t="str">
        <x:v>437.59 → 645.03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1.44×</x:v>
      </x:c>
      <x:c r="J24" t="str">
        <x:v>618.82 → 888.15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536399d606384241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</x:sheetData>
  <x:mergeCells>
    <x:mergeCell ref="A1:F2"/>
  </x:mergeCells>
  <x:pageMargins left="0.7" right="0.7" top="0.75" bottom="0.75" header="0.3" footer="0.3"/>
</x:worksheet>
</file>