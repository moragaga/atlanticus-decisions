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5bc155567b24c4b" /></Relationships>
</file>

<file path=xl/workbook.xml><?xml version="1.0" encoding="utf-8"?>
<x:workbook xmlns:x="http://schemas.openxmlformats.org/spreadsheetml/2006/main">
  <x:sheets>
    <x:sheet xmlns:r="http://schemas.openxmlformats.org/officeDocument/2006/relationships" name="00_Control" sheetId="1" r:id="R7521de6d5ecd4020"/>
    <x:sheet xmlns:r="http://schemas.openxmlformats.org/officeDocument/2006/relationships" name="01_Test_Plan" sheetId="2" r:id="Ra16f552ee9314081"/>
    <x:sheet xmlns:r="http://schemas.openxmlformats.org/officeDocument/2006/relationships" name="02_Run_Results" sheetId="3" r:id="R5a6e067075374110"/>
    <x:sheet xmlns:r="http://schemas.openxmlformats.org/officeDocument/2006/relationships" name="03_Findings" sheetId="4" r:id="Rc4502e2dcece403b"/>
    <x:sheet xmlns:r="http://schemas.openxmlformats.org/officeDocument/2006/relationships" name="04_Decisions" sheetId="5" r:id="R8bbed1c8c9d345a9"/>
    <x:sheet xmlns:r="http://schemas.openxmlformats.org/officeDocument/2006/relationships" name="05_Dashboard" sheetId="6" r:id="R2b523954fd9b4dd5"/>
    <x:sheet xmlns:r="http://schemas.openxmlformats.org/officeDocument/2006/relationships" name="06_Definitions" sheetId="7" r:id="Rc7ce029e78464872"/>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a787c4afada4538" /><Relationship Type="http://schemas.openxmlformats.org/officeDocument/2006/relationships/theme" Target="/xl/theme/theme1.xml" Id="R29655a06fcbd4248" /><Relationship Type="http://schemas.microsoft.com/office/2022/11/relationships/FeaturePropertyBag" Target="/xl/featurePropertyBag/featurePropertyBag.xml" Id="R5147fb7832344b88" /><Relationship Type="http://schemas.openxmlformats.org/officeDocument/2006/relationships/sharedStrings" Target="/xl/sharedStrings.xml" Id="R065a7715224e463f" /><Relationship Type="http://schemas.openxmlformats.org/officeDocument/2006/relationships/worksheet" Target="/xl/worksheets/sheet1.xml" Id="R7521de6d5ecd4020" /><Relationship Type="http://schemas.openxmlformats.org/officeDocument/2006/relationships/worksheet" Target="/xl/worksheets/sheet2.xml" Id="Ra16f552ee9314081" /><Relationship Type="http://schemas.openxmlformats.org/officeDocument/2006/relationships/worksheet" Target="/xl/worksheets/sheet3.xml" Id="R5a6e067075374110" /><Relationship Type="http://schemas.openxmlformats.org/officeDocument/2006/relationships/worksheet" Target="/xl/worksheets/sheet4.xml" Id="Rc4502e2dcece403b" /><Relationship Type="http://schemas.openxmlformats.org/officeDocument/2006/relationships/worksheet" Target="/xl/worksheets/sheet5.xml" Id="R8bbed1c8c9d345a9" /><Relationship Type="http://schemas.openxmlformats.org/officeDocument/2006/relationships/worksheet" Target="/xl/worksheets/sheet6.xml" Id="R2b523954fd9b4dd5" /><Relationship Type="http://schemas.openxmlformats.org/officeDocument/2006/relationships/worksheet" Target="/xl/worksheets/sheet7.xml" Id="Rc7ce029e78464872" /></Relationships>
</file>

<file path=xl/drawings/_rels/drawing1.xml.rels>&#65279;<?xml version="1.0" encoding="utf-8"?><Relationships xmlns="http://schemas.openxmlformats.org/package/2006/relationships"><Relationship Type="http://schemas.openxmlformats.org/officeDocument/2006/relationships/chart" Target="/xl/drawings/charts/chart1.xml" Id="R204b2c63ee9c4dcf"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04b2c63ee9c4dcf"/>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3bb5c50c28449d9" /></Relationships>
</file>

<file path=xl/worksheets/_rels/sheet6.xml.rels>&#65279;<?xml version="1.0" encoding="utf-8"?><Relationships xmlns="http://schemas.openxmlformats.org/package/2006/relationships"><Relationship Type="http://schemas.openxmlformats.org/officeDocument/2006/relationships/drawing" Target="/xl/drawings/drawing1.xml" Id="Rb2e510d566254c04" /></Relationships>
</file>

<file path=xl/worksheets/sheet1.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1.0.70</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x:c r="A26" s="21" t="str">
        <x:v>Estado campaña</x:v>
      </x:c>
      <x:c r="B26" t="str">
        <x:v>R3.5D CLOSED 10/10 — D-010 PASS/GREEN; no open product findings</x:v>
      </x:c>
    </x:row>
    <x:row r="27">
      <x:c r="A27" s="21" t="str">
        <x:v>Siguiente test sugerido</x:v>
      </x:c>
      <x:c r="B27" t="str">
        <x:v>R3.5E next — E-001 Parameter-only adoption design</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HARNESS READY 0.1.0. D-010 remains a single 180 s execution and uses the real revision/adoption path rather than mutating snapshots. At +30 s StaleTargetDeactivationInputSource exposes one canonical ManagementAction+deactivation_intent per perf-group-001..100, creating exactly 100 approval_required PENDING_APPROVAL requests against their original occurrences. A ScheduledRevisionSource makes PERF-AC-2 visible at +60 s; RuntimeRevisionResolver then resolves the registered 900-alarm target revision and the normal plan_configuration_adoption + AlarmConfigurationAdoptionExecutor path REMOVES those 100 identities. The adoption contract must close exactly 100 original occurrences with CONFIGURATION_REMOVED and clear exactly 100 ManagementEffects that are now outside scope. At +90 s the source exposes the matching 100 APPROVED Decisions against the original requests. Hard outcome: 100 STALE_TARGET, 0 APPLIED, 0 DeactivationEffect STARTED/CLEARED. Exact final cursors=25600/25600; pending management/decision/request=0/0/0; removed targets absent from snapshots; target execution session=900 alarms; fresh records=100/100; pending read_at=0/0; request and decision receipt batches each exactly 100. Request window remains open at decision time (600 s original, 540 s remaining), so EXPIRED is not an acceptable substitute. Expected WAL is exactly 400 records: 100 bootstrap + 100 request + 100 adoption + 100 stale-decision. No assignment-count gate is invented for removal adoption. Four focused regressions added; expected full suite is 290 tests. PACKAGE FIX 0.1.1: the 0.1.0 ZIP payload was correct but its internal paths were rooted at `performance/...` and `tests/...`; when unzipped from `atlanticus-stage` it created stray root-level directories and did not overwrite `scopes/ada/processes/alarms-runtime`. Therefore the observed 286-test gate was the unchanged D-009 suite and is not a D-010 functional result. Version 0.1.1 contains byte-identical payload files under the correct stage-relative `scopes/ada/processes/alarms-runtime/...` paths. CLOCK FIX 0.1.2: the first authoritative workload attempt failed in bootstrap before any iteration completed because PerformanceAlarmDurableInputConsumer.execute() prepared iteration.as_of for Sustained/Inverted/Mixed sources but omitted StaleTargetDeactivationInputSource from that dispatch tuple. The source itself already had the correct prepare_iteration contract. Version 0.1.2 adds only that missing dispatch and a bootstrap regression proving iteration.as_of is injected before the base consumer performs read_after(). ROUTING FIX 0.1.3: after the 0.1.2 clock fix, the authoritative run progressed through real request creation and PERF-AC-2 adoption, but `main()` still selected the generic two-phase runner because D-010 has 100 Decisions and the dispatch condition excluded inverted/mixed scenarios but not stale-target. This caused two executions and then failed while building D-006/D-007 phase metrics. Version 0.1.3 makes the runner contract explicit: multi-decision uses two-phase only when it is not stale-target, not inverted and not mixed. D-010 therefore stays single-execution; D-007 remains two-phase. One routing regression is added. ROUTING TEST FIX 0.1.4: the 0.1.3 routing implementation was not reached by its new regression. The regression constructed D-010 and D-007 BaselineScenario fixtures with Management pressure but omitted `data_profile='latest-narrow'`, so BaselineScenario.__post_init__ correctly rejected the fixture before the routing assertions. Both fixtures are now made canonical with data_refresh=10, latest-narrow, physical_partition_count=36 and balanced layout. No production harness code changes. COVERAGE RESTORE 0.1.5: audit of the actual 0.1.2/0.1.3/0.1.4 test payloads showed why the 0.1.4 gate completed at 291 rather than 292. Version 0.1.2 contained the bootstrap regression `test_stale_target_consumer_prepares_iteration_as_of_before_bootstrap_read`; when 0.1.3 added the new single-run/two-phase routing regression it was built from a stale test-file base and accidentally dropped that bootstrap regression. 0.1.4 correctly fixed the routing fixture and all 291 tests passed, thereby validating the production routing fix, but the suite still lacked the bootstrap coverage from 0.1.2. Version 0.1.5 restores that exact regression on top of 0.1.4. Both tests are now present simultaneously; no production code changes. ADJUDICATION FIX 0.1.6: the first successful single-execution D-010 workload completed its product path with 400 commits and 100 STALE_TARGET receipts but result.json reported FAIL because the metrics builder encoded two assumptions that do not match the durable contract. First, it compared OccurrenceChange.closure_reason to uppercase `CONFIGURATION_REMOVED`, while `as_document()` persisted `configuration_removed`. Second, it attempted to map stale journey events by a serialized `discriminator` field that does not exist; the durable correlation is the DEACTIVATION_DECISION receipt and `deactivation_decision_stale_target` journey emitted in the same engine commit/priority group, then checked against the request's original alarm/occurrence. Version 0.1.6 normalizes the closure value and correlates receipt↔journey by commit. The synthetic metrics regression is updated to the actual durable representation. FINAL CLOSURE: harness 0.1.6 gate passed 292/292. Authoritative clean run 24b97fa3-80b4-4f25-bab1-ca074d05590c returned PASS/GREEN with functional_integrity_ok=true. Independent durable audit matched the adjudicator: exact 400-record WAL geometry, 100 configuration removals, 100 STALE_TARGET, zero APPLIED/DeactivationEffect, exact cursors/pending state and durable==materialized. One 5.499 s overrun occurred on the isolated PERF-AC-2 adoption iteration; performance remains GREEN and the observation is carried into R3.5E configuration-adoption tests.</x:v>
      </x:c>
      <x:c r="R42" s="36" t="str">
        <x:v>Completed</x:v>
      </x:c>
      <x:c r="S42" s="36" t="str">
        <x:v>D-009 PASS/GREEN; D-010 harness 0.1.6 gate 292/292</x:v>
      </x:c>
      <x:c r="T42" s="36" t="str">
        <x:v>PASS / GREEN — run 24b97fa3-80b4-4f25-bab1-ca074d05590c. 100 PENDING_APPROVAL; 100 CLOSED/configuration_removed; 100 ManagementEffect STARTED + 100 CLEARED; 100 STALE_TARGET; 0 APPLIED; 0 DeactivationEffect; cursors=25600/25600; pending=0/0/0; 900 final alarms; request/decision input→receipt=1748.08/2165.09 ms; p95 iteration=1670.58 ms; 1 adoption overrun (5499.03 ms) accepted as secondary characterization; WAL=400 / 4,037,700 B; 0 duplicate commits/chains/snapshot mismatches; durable==materialized. R3.5D CLOSED 10/10.</x:v>
      </x:c>
      <x:c r="U42"/>
    </x:row>
    <x:row r="43">
      <x:c r="A43" s="36" t="str">
        <x:v>E-001</x:v>
      </x:c>
      <x:c r="B43" s="36" t="str">
        <x:v>R3.5E</x:v>
      </x:c>
      <x:c r="C43" s="36" t="n">
        <x:v>70</x:v>
      </x:c>
      <x:c r="D43" s="36" t="str">
        <x:v>Parameter-only adoption</x:v>
      </x:c>
      <x:c r="E43" s="36" t="str">
        <x:v>Medir adopción compatible sin commit artificial</x:v>
      </x:c>
      <x:c r="F43" s="36" t="n">
        <x:v>1000</x:v>
      </x:c>
      <x:c r="G43" s="36" t="str">
        <x:v>Local FS</x:v>
      </x:c>
      <x:c r="H43" s="36" t="str">
        <x:v>Operational churn</x:v>
      </x:c>
      <x:c r="I43" s="36" t="str">
        <x:v>Baseline</x:v>
      </x:c>
      <x:c r="J43" s="36" t="str">
        <x:v>None</x:v>
      </x:c>
      <x:c r="K43" s="36" t="str">
        <x:v>Parameter change</x:v>
      </x:c>
      <x:c r="L43" s="36" t="n">
        <x:v>10</x:v>
      </x:c>
      <x:c r="M43" s="36" t="n">
        <x:v>5</x:v>
      </x:c>
      <x:c r="N43" s="36" t="n">
        <x:v>10</x:v>
      </x:c>
      <x:c r="O43" s="36" t="str">
        <x:v>Config adoption</x:v>
      </x:c>
      <x:c r="P43" s="36" t="str">
        <x:v>0 duplicate durable effects</x:v>
      </x:c>
      <x:c r="Q43" s="36" t="str">
        <x:v>Resolution+planner+promotion</x:v>
      </x:c>
      <x:c r="R43" s="36" t="str">
        <x:v>Planned</x:v>
      </x:c>
      <x:c r="S43" s="36" t="str">
        <x:v>C-001</x:v>
      </x:c>
      <x:c r="T43" s="36" t="str"/>
    </x:row>
    <x:row r="44">
      <x:c r="A44" s="36" t="str">
        <x:v>E-002</x:v>
      </x:c>
      <x:c r="B44" s="36" t="str">
        <x:v>R3.5E</x:v>
      </x:c>
      <x:c r="C44" s="36" t="n">
        <x:v>71</x:v>
      </x:c>
      <x:c r="D44" s="36" t="str">
        <x:v>C2 routing adoption</x:v>
      </x:c>
      <x:c r="E44" s="36" t="str">
        <x:v>Medir reconciliación C2</x:v>
      </x:c>
      <x:c r="F44" s="36" t="n">
        <x:v>1000</x:v>
      </x:c>
      <x:c r="G44" s="36" t="str">
        <x:v>Local FS</x:v>
      </x:c>
      <x:c r="H44" s="36" t="str">
        <x:v>Operational churn</x:v>
      </x:c>
      <x:c r="I44" s="36" t="str">
        <x:v>C2-heavy</x:v>
      </x:c>
      <x:c r="J44" s="36" t="str">
        <x:v>None</x:v>
      </x:c>
      <x:c r="K44" s="36" t="str">
        <x:v>C2 routing change</x:v>
      </x:c>
      <x:c r="L44" s="36" t="n">
        <x:v>10</x:v>
      </x:c>
      <x:c r="M44" s="36" t="n">
        <x:v>5</x:v>
      </x:c>
      <x:c r="N44" s="36" t="n">
        <x:v>10</x:v>
      </x:c>
      <x:c r="O44" s="36" t="str">
        <x:v>Config adoption</x:v>
      </x:c>
      <x:c r="P44" s="36" t="str">
        <x:v>0 routing corruption</x:v>
      </x:c>
      <x:c r="Q44" s="36" t="str">
        <x:v>Adoption duration</x:v>
      </x:c>
      <x:c r="R44" s="36" t="str">
        <x:v>Planned</x:v>
      </x:c>
      <x:c r="S44" s="36" t="str">
        <x:v>E-001</x:v>
      </x:c>
      <x:c r="T44" s="36" t="str"/>
    </x:row>
    <x:row r="45">
      <x:c r="A45" s="36" t="str">
        <x:v>E-003</x:v>
      </x:c>
      <x:c r="B45" s="36" t="str">
        <x:v>R3.5E</x:v>
      </x:c>
      <x:c r="C45" s="36" t="n">
        <x:v>72</x:v>
      </x:c>
      <x:c r="D45" s="36" t="str">
        <x:v>Disabled 10%</x:v>
      </x:c>
      <x:c r="E45" s="36" t="str">
        <x:v>Medir cierres por config</x:v>
      </x:c>
      <x:c r="F45" s="36" t="n">
        <x:v>1000</x:v>
      </x:c>
      <x:c r="G45" s="36" t="str">
        <x:v>Local FS</x:v>
      </x:c>
      <x:c r="H45" s="36" t="str">
        <x:v>Operational churn</x:v>
      </x:c>
      <x:c r="I45" s="36" t="str">
        <x:v>Balanced</x:v>
      </x:c>
      <x:c r="J45" s="36" t="str">
        <x:v>None</x:v>
      </x:c>
      <x:c r="K45" s="36" t="str">
        <x:v>10% disabled</x:v>
      </x:c>
      <x:c r="L45" s="36" t="n">
        <x:v>10</x:v>
      </x:c>
      <x:c r="M45" s="36" t="n">
        <x:v>5</x:v>
      </x:c>
      <x:c r="N45" s="36" t="n">
        <x:v>10</x:v>
      </x:c>
      <x:c r="O45" s="36" t="str">
        <x:v>Config adoption</x:v>
      </x:c>
      <x:c r="P45" s="36" t="str">
        <x:v>correct closures</x:v>
      </x:c>
      <x:c r="Q45" s="36" t="str">
        <x:v>WAL/snapshot spike</x:v>
      </x:c>
      <x:c r="R45" s="36" t="str">
        <x:v>Planned</x:v>
      </x:c>
      <x:c r="S45" s="36" t="str">
        <x:v>E-001</x:v>
      </x:c>
      <x:c r="T45" s="36" t="str"/>
    </x:row>
    <x:row r="46">
      <x:c r="A46" s="36" t="str">
        <x:v>E-004</x:v>
      </x:c>
      <x:c r="B46" s="36" t="str">
        <x:v>R3.5E</x:v>
      </x:c>
      <x:c r="C46" s="36" t="n">
        <x:v>73</x:v>
      </x:c>
      <x:c r="D46" s="36" t="str">
        <x:v>Removed 10%</x:v>
      </x:c>
      <x:c r="E46" s="36" t="str">
        <x:v>Medir removal + orphan deactivation handling</x:v>
      </x:c>
      <x:c r="F46" s="36" t="n">
        <x:v>1000</x:v>
      </x:c>
      <x:c r="G46" s="36" t="str">
        <x:v>Local FS</x:v>
      </x:c>
      <x:c r="H46" s="36" t="str">
        <x:v>Operational churn</x:v>
      </x:c>
      <x:c r="I46" s="36" t="str">
        <x:v>Balanced</x:v>
      </x:c>
      <x:c r="J46" s="36" t="str">
        <x:v>None</x:v>
      </x:c>
      <x:c r="K46" s="36" t="str">
        <x:v>10% removed</x:v>
      </x:c>
      <x:c r="L46" s="36" t="n">
        <x:v>10</x:v>
      </x:c>
      <x:c r="M46" s="36" t="n">
        <x:v>5</x:v>
      </x:c>
      <x:c r="N46" s="36" t="n">
        <x:v>10</x:v>
      </x:c>
      <x:c r="O46" s="36" t="str">
        <x:v>Config adoption</x:v>
      </x:c>
      <x:c r="P46" s="36" t="str">
        <x:v>correct closures / preserved effects</x:v>
      </x:c>
      <x:c r="Q46" s="36" t="str">
        <x:v>Adoption duration</x:v>
      </x:c>
      <x:c r="R46" s="36" t="str">
        <x:v>Planned</x:v>
      </x:c>
      <x:c r="S46" s="36" t="str">
        <x:v>E-003</x:v>
      </x:c>
      <x:c r="T46" s="36" t="str"/>
    </x:row>
    <x:row r="47">
      <x:c r="A47" s="36" t="str">
        <x:v>E-005</x:v>
      </x:c>
      <x:c r="B47" s="36" t="str">
        <x:v>R3.5E</x:v>
      </x:c>
      <x:c r="C47" s="36" t="n">
        <x:v>74</x:v>
      </x:c>
      <x:c r="D47" s="36" t="str">
        <x:v>Structural reset 5%</x:v>
      </x:c>
      <x:c r="E47" s="36" t="str">
        <x:v>Medir resets y siguiente iteración inmediata</x:v>
      </x:c>
      <x:c r="F47" s="36" t="n">
        <x:v>1000</x:v>
      </x:c>
      <x:c r="G47" s="36" t="str">
        <x:v>Local FS</x:v>
      </x:c>
      <x:c r="H47" s="36" t="str">
        <x:v>Operational churn</x:v>
      </x:c>
      <x:c r="I47" s="36" t="str">
        <x:v>Mixed</x:v>
      </x:c>
      <x:c r="J47" s="36" t="str">
        <x:v>None</x:v>
      </x:c>
      <x:c r="K47" s="36" t="str">
        <x:v>5% structural reset</x:v>
      </x:c>
      <x:c r="L47" s="36" t="n">
        <x:v>10</x:v>
      </x:c>
      <x:c r="M47" s="36" t="n">
        <x:v>5</x:v>
      </x:c>
      <x:c r="N47" s="36" t="n">
        <x:v>10</x:v>
      </x:c>
      <x:c r="O47" s="36" t="str">
        <x:v>Config adoption</x:v>
      </x:c>
      <x:c r="P47" s="36" t="str">
        <x:v>1 durable unit/iteration</x:v>
      </x:c>
      <x:c r="Q47" s="36" t="str">
        <x:v>Bypass 0 delay</x:v>
      </x:c>
      <x:c r="R47" s="36" t="str">
        <x:v>Planned</x:v>
      </x:c>
      <x:c r="S47" s="36" t="str">
        <x:v>E-002</x:v>
      </x:c>
      <x:c r="T47" s="36" t="str"/>
    </x:row>
    <x:row r="48">
      <x:c r="A48" s="36" t="str">
        <x:v>E-006</x:v>
      </x:c>
      <x:c r="B48" s="36" t="str">
        <x:v>R3.5E</x:v>
      </x:c>
      <x:c r="C48" s="36" t="n">
        <x:v>75</x:v>
      </x:c>
      <x:c r="D48" s="36" t="str">
        <x:v>Large mixed revision</x:v>
      </x:c>
      <x:c r="E48" s="36" t="str">
        <x:v>Combinar compatible/disabled/removed/reset</x:v>
      </x:c>
      <x:c r="F48" s="36" t="n">
        <x:v>1000</x:v>
      </x:c>
      <x:c r="G48" s="36" t="str">
        <x:v>Local FS</x:v>
      </x:c>
      <x:c r="H48" s="36" t="str">
        <x:v>Operational churn</x:v>
      </x:c>
      <x:c r="I48" s="36" t="str">
        <x:v>Mixed</x:v>
      </x:c>
      <x:c r="J48" s="36" t="str">
        <x:v>None</x:v>
      </x:c>
      <x:c r="K48" s="36" t="str">
        <x:v>Large mixed revision</x:v>
      </x:c>
      <x:c r="L48" s="36" t="n">
        <x:v>10</x:v>
      </x:c>
      <x:c r="M48" s="36" t="n">
        <x:v>5</x:v>
      </x:c>
      <x:c r="N48" s="36" t="n">
        <x:v>10</x:v>
      </x:c>
      <x:c r="O48" s="36" t="str">
        <x:v>Stress</x:v>
      </x:c>
      <x:c r="P48" s="36" t="str">
        <x:v>0 durable errors</x:v>
      </x:c>
      <x:c r="Q48" s="36" t="str">
        <x:v>Caracterizar adoption peak</x:v>
      </x:c>
      <x:c r="R48" s="36" t="str">
        <x:v>Planned</x:v>
      </x:c>
      <x:c r="S48" s="36" t="str">
        <x:v>E-005</x:v>
      </x:c>
      <x:c r="T48" s="36" t="str"/>
    </x:row>
    <x:row r="49">
      <x:c r="A49" s="36" t="str">
        <x:v>E-007</x:v>
      </x:c>
      <x:c r="B49" s="36" t="str">
        <x:v>R3.5E</x:v>
      </x:c>
      <x:c r="C49" s="36" t="n">
        <x:v>76</x:v>
      </x:c>
      <x:c r="D49" s="36" t="str">
        <x:v>Rejected target</x:v>
      </x:c>
      <x:c r="E49" s="36" t="str">
        <x:v>Validar last-known-good bajo rechazo</x:v>
      </x:c>
      <x:c r="F49" s="36" t="n">
        <x:v>1000</x:v>
      </x:c>
      <x:c r="G49" s="36" t="str">
        <x:v>Local FS</x:v>
      </x:c>
      <x:c r="H49" s="36" t="str">
        <x:v>Steady-state</x:v>
      </x:c>
      <x:c r="I49" s="36" t="str">
        <x:v>Baseline</x:v>
      </x:c>
      <x:c r="J49" s="36" t="str">
        <x:v>None</x:v>
      </x:c>
      <x:c r="K49" s="36" t="str">
        <x:v>Rejected revision</x:v>
      </x:c>
      <x:c r="L49" s="36" t="n">
        <x:v>10</x:v>
      </x:c>
      <x:c r="M49" s="36" t="n">
        <x:v>5</x:v>
      </x:c>
      <x:c r="N49" s="36" t="n">
        <x:v>10</x:v>
      </x:c>
      <x:c r="O49" s="36" t="str">
        <x:v>Failure</x:v>
      </x:c>
      <x:c r="P49" s="36" t="str">
        <x:v>LKG preserved</x:v>
      </x:c>
      <x:c r="Q49" s="36" t="str">
        <x:v>Debe continuar degradado</x:v>
      </x:c>
      <x:c r="R49" s="36" t="str">
        <x:v>Planned</x:v>
      </x:c>
      <x:c r="S49" s="36" t="str">
        <x:v>E-001</x:v>
      </x:c>
      <x:c r="T49" s="36" t="str"/>
    </x:row>
    <x:row r="50">
      <x:c r="A50" s="36" t="str">
        <x:v>E-008</x:v>
      </x:c>
      <x:c r="B50" s="36" t="str">
        <x:v>R3.5E</x:v>
      </x:c>
      <x:c r="C50" s="36" t="n">
        <x:v>77</x:v>
      </x:c>
      <x:c r="D50" s="36" t="str">
        <x:v>Source unavailable</x:v>
      </x:c>
      <x:c r="E50" s="36" t="str">
        <x:v>Validar CACHE_FALLBACK bajo carga</x:v>
      </x:c>
      <x:c r="F50" s="36" t="n">
        <x:v>1000</x:v>
      </x:c>
      <x:c r="G50" s="36" t="str">
        <x:v>Local FS</x:v>
      </x:c>
      <x:c r="H50" s="36" t="str">
        <x:v>Operational churn</x:v>
      </x:c>
      <x:c r="I50" s="36" t="str">
        <x:v>Baseline</x:v>
      </x:c>
      <x:c r="J50" s="36" t="str">
        <x:v>None</x:v>
      </x:c>
      <x:c r="K50" s="36" t="str">
        <x:v>Source unavailable</x:v>
      </x:c>
      <x:c r="L50" s="36" t="n">
        <x:v>10</x:v>
      </x:c>
      <x:c r="M50" s="36" t="n">
        <x:v>5</x:v>
      </x:c>
      <x:c r="N50" s="36" t="n">
        <x:v>10</x:v>
      </x:c>
      <x:c r="O50" s="36" t="str">
        <x:v>Failure</x:v>
      </x:c>
      <x:c r="P50" s="36" t="str">
        <x:v>LKG preserved</x:v>
      </x:c>
      <x:c r="Q50" s="36" t="str">
        <x:v>Continuidad degradada</x:v>
      </x:c>
      <x:c r="R50" s="36" t="str">
        <x:v>Planned</x:v>
      </x:c>
      <x:c r="S50" s="36" t="str">
        <x:v>E-007</x:v>
      </x:c>
      <x:c r="T50" s="36" t="str"/>
    </x:row>
    <x:row r="51">
      <x:c r="A51" s="36" t="str">
        <x:v>E-009</x:v>
      </x:c>
      <x:c r="B51" s="36" t="str">
        <x:v>R3.5E</x:v>
      </x:c>
      <x:c r="C51" s="36" t="n">
        <x:v>78</x:v>
      </x:c>
      <x:c r="D51" s="36" t="str">
        <x:v>Invalid source candidate</x:v>
      </x:c>
      <x:c r="E51" s="36" t="str">
        <x:v>Validar candidate inválido sin reemplazar cache</x:v>
      </x:c>
      <x:c r="F51" s="36" t="n">
        <x:v>1000</x:v>
      </x:c>
      <x:c r="G51" s="36" t="str">
        <x:v>Local FS</x:v>
      </x:c>
      <x:c r="H51" s="36" t="str">
        <x:v>Operational churn</x:v>
      </x:c>
      <x:c r="I51" s="36" t="str">
        <x:v>Baseline</x:v>
      </x:c>
      <x:c r="J51" s="36" t="str">
        <x:v>None</x:v>
      </x:c>
      <x:c r="K51" s="36" t="str">
        <x:v>Invalid candidate</x:v>
      </x:c>
      <x:c r="L51" s="36" t="n">
        <x:v>10</x:v>
      </x:c>
      <x:c r="M51" s="36" t="n">
        <x:v>5</x:v>
      </x:c>
      <x:c r="N51" s="36" t="n">
        <x:v>10</x:v>
      </x:c>
      <x:c r="O51" s="36" t="str">
        <x:v>Failure</x:v>
      </x:c>
      <x:c r="P51" s="36" t="str">
        <x:v>cache unchanged</x:v>
      </x:c>
      <x:c r="Q51" s="36" t="str">
        <x:v>Continuidad degradada</x:v>
      </x:c>
      <x:c r="R51" s="36" t="str">
        <x:v>Planned</x:v>
      </x:c>
      <x:c r="S51" s="36" t="str">
        <x:v>E-008</x:v>
      </x:c>
      <x:c r="T51" s="36" t="str"/>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83bb5c50c28449d9"/>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c r="LT4" t="str">
        <x:v>D010 STALE_TARGET Receipts</x:v>
      </x:c>
      <x:c r="LU4" t="str">
        <x:v>D010 Harness Config Removed Count</x:v>
      </x:c>
      <x:c r="LV4" t="str">
        <x:v>D010 Durable Config Removed Count</x:v>
      </x:c>
      <x:c r="LW4" t="str">
        <x:v>D010 Harness Wrong Correlation Count</x:v>
      </x:c>
      <x:c r="LX4" t="str">
        <x:v>D010 Durable Wrong Correlation Count</x:v>
      </x:c>
      <x:c r="LY4" t="str">
        <x:v>D010 ManagementEffect CLEARED</x:v>
      </x:c>
      <x:c r="LZ4" t="str">
        <x:v>D010 Runtime Alarm Count</x:v>
      </x:c>
      <x:c r="MA4" t="str">
        <x:v>D010 Removed Targets Present</x:v>
      </x:c>
      <x:c r="MB4" t="str">
        <x:v>D010 Fresh Management</x:v>
      </x:c>
      <x:c r="MC4" t="str">
        <x:v>D010 Fresh Decisions</x:v>
      </x:c>
      <x:c r="MD4" t="str">
        <x:v>D010 Management pending read_at</x:v>
      </x:c>
      <x:c r="ME4" t="str">
        <x:v>D010 Decision pending read_at</x:v>
      </x:c>
      <x:c r="MF4" t="str">
        <x:v>D010 Request Batch</x:v>
      </x:c>
      <x:c r="MG4" t="str">
        <x:v>D010 Decision Batch</x:v>
      </x:c>
      <x:c r="MH4" t="str">
        <x:v>D010 WAL Expected</x:v>
      </x:c>
      <x:c r="MI4" t="str">
        <x:v>D010 WAL Actual</x:v>
      </x:c>
      <x:c r="MJ4" t="str">
        <x:v>D010 Single Execution</x:v>
      </x:c>
      <x:c r="MK4" t="str">
        <x:v>D010 False Negative Cause</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row>
    <x:row r="43">
      <x:c r="A43" s="32" t="str">
        <x:v>550948d8-3846-4cce-9f7b-29ed40bef027</x:v>
      </x:c>
      <x:c r="B43" s="32" t="str">
        <x:v>D-010</x:v>
      </x:c>
      <x:c r="C43" s="42" t="n">
        <x:v>46261.8564</x:v>
      </x:c>
      <x:c r="D43" s="32" t="str">
        <x:v>489b7424f5051f7a276dafe8d5f318ccf1368d87</x:v>
      </x:c>
      <x:c r="E43" s="32" t="str">
        <x:v>GLONBW11</x:v>
      </x:c>
      <x:c r="F43" s="32" t="str">
        <x:v>local-filesystem</x:v>
      </x:c>
      <x:c r="G43" s="32" t="str">
        <x:v>3.14.2</x:v>
      </x:c>
      <x:c r="H43" s="32" t="str">
        <x:v>deterministic</x:v>
      </x:c>
      <x:c r="I43" s="32" t="n">
        <x:v>1000</x:v>
      </x:c>
      <x:c r="J43" s="32" t="n">
        <x:v>3</x:v>
      </x:c>
      <x:c r="K43" s="32" t="n">
        <x:v>3.040438</x:v>
      </x:c>
      <x:c r="L43" s="32" t="n">
        <x:v>38</x:v>
      </x:c>
      <x:c r="M43" s="32" t="n">
        <x:v>5</x:v>
      </x:c>
      <x:c r="N43" s="32" t="n">
        <x:v>10</x:v>
      </x:c>
      <x:c r="O43" s="32" t="n">
        <x:v>824.8077650059713</x:v>
      </x:c>
      <x:c r="P43" s="32" t="n">
        <x:v>1601.4660848544734</x:v>
      </x:c>
      <x:c r="Q43" s="32" t="n">
        <x:v>1748.3754675442472</x:v>
      </x:c>
      <x:c r="R43" s="32" t="n">
        <x:v>1774.9305739998817</x:v>
      </x:c>
      <x:c r="S43" s="32" t="n">
        <x:v>0</x:v>
      </x:c>
      <x:c r="T43" s="43" t="n">
        <x:v>0</x:v>
      </x:c>
      <x:c r="U43" s="32" t="n">
        <x:v>95.02286449317245</x:v>
      </x:c>
      <x:c r="V43" s="32" t="n">
        <x:v>100.1059333225341</x:v>
      </x:c>
      <x:c r="W43" s="32" t="n">
        <x:v>139.21170847039474</x:v>
      </x:c>
      <x:c r="X43" s="32" t="n">
        <x:v>139.55859375</x:v>
      </x:c>
      <x:c r="Y43" s="32"/>
      <x:c r="Z43" s="32"/>
      <x:c r="AA43" s="32"/>
      <x:c r="AB43" s="32" t="n">
        <x:v>2696.0329370049294</x:v>
      </x:c>
      <x:c r="AC43" s="32" t="n">
        <x:v>0</x:v>
      </x:c>
      <x:c r="AD43" s="32" t="n">
        <x:v>0</x:v>
      </x:c>
      <x:c r="AE43" s="32" t="n">
        <x:v>0</x:v>
      </x:c>
      <x:c r="AF43" s="32" t="n">
        <x:v>0</x:v>
      </x:c>
      <x:c r="AG43" s="32" t="n">
        <x:v>0</x:v>
      </x:c>
      <x:c r="AH43" s="32" t="n">
        <x:v>473.1305110035464</x:v>
      </x:c>
      <x:c r="AI43" s="32" t="str">
        <x:v>NOT ADJUDICATED</x:v>
      </x:c>
      <x:c r="AJ43" s="32" t="str">
        <x:v>GREEN</x:v>
      </x:c>
      <x:c r="AK43" s="32" t="str">
        <x:v>latest-narrow</x:v>
      </x:c>
      <x:c r="AL43" s="32" t="n">
        <x:v>1</x:v>
      </x:c>
      <x:c r="AM43" s="32" t="n">
        <x:v>1</x:v>
      </x:c>
      <x:c r="AN43" s="32" t="n">
        <x:v>1000</x:v>
      </x:c>
      <x:c r="AO43" s="32" t="n">
        <x:v>1</x:v>
      </x:c>
      <x:c r="AP43" s="32" t="n">
        <x:v>8132</x:v>
      </x:c>
      <x:c r="AQ43" s="32" t="n">
        <x:v>4.342575994087383</x:v>
      </x:c>
      <x:c r="AR43" s="32" t="n">
        <x:v>6.532271203468555</x:v>
      </x:c>
      <x:c r="AS43" s="32" t="n">
        <x:v>6.942354712518863</x:v>
      </x:c>
      <x:c r="AT43" s="32" t="n">
        <x:v>36</x:v>
      </x:c>
      <x:c r="AU43" s="32" t="str">
        <x:v>28×28 + 8×27</x:v>
      </x:c>
      <x:c r="AV43" s="32" t="n">
        <x:v>0.40421501034870744</x:v>
      </x:c>
      <x:c r="AW43" s="32" t="n">
        <x:v>0.5260234058368952</x:v>
      </x:c>
      <x:c r="AX43" s="32" t="n">
        <x:v>0.5783744377549738</x:v>
      </x:c>
      <x:c r="AY43" t="str">
        <x:v>balanced</x:v>
      </x:c>
      <x:c r="AZ43" s="32" t="str">
        <x:v>FAIL</x:v>
      </x:c>
      <x:c r="BA43" s="32" t="n">
        <x:v>900</x:v>
      </x:c>
      <x:c r="BB43" s="32" t="n">
        <x:v>100</x:v>
      </x:c>
      <x:c r="BC43" s="115" t="b">
        <x:v>1</x:v>
      </x:c>
      <x:c r="BD43" s="32" t="str">
        <x:v>NOT CLOSED. Independent durable audit validates product behavior: 100 PENDING_APPROVAL, 100 CLOSED/configuration_removed, 100 ManagementEffect CLEARED, 100 STALE_TARGET, 0 APPLIED/DeactivationEffect, exact cursors and pending=0, WAL=400 and durable==materialized. Raw harness FAIL is false negative caused by closure_reason case assumption and nonexistent journey discriminator. Rerun required after 0.1.6.</x:v>
      </x:c>
      <x:c r="BE43" s="32"/>
      <x:c r="BF43" s="32"/>
      <x:c r="BG43" s="32"/>
      <x:c r="BH43" s="32"/>
      <x:c r="BI43" s="32"/>
      <x:c r="BJ43" s="32" t="n">
        <x:v>1000</x:v>
      </x:c>
      <x:c r="BK43" s="32" t="n">
        <x:v>1000</x:v>
      </x:c>
      <x:c r="BL43" s="32"/>
      <x:c r="BM43" s="32"/>
      <x:c r="BN43" t="n">
        <x:v>100</x:v>
      </x:c>
      <x:c r="BO43" t="n">
        <x:v>10</x:v>
      </x:c>
      <x:c r="BP43"/>
      <x:c r="BQ43" t="n">
        <x:v>100</x:v>
      </x:c>
      <x:c r="BR43"/>
      <x:c r="BS43"/>
      <x:c r="BT43"/>
      <x:c r="BU43"/>
      <x:c r="BV43"/>
      <x:c r="BW43"/>
      <x:c r="BX43"/>
      <x:c r="BY43"/>
      <x:c r="BZ43"/>
      <x:c r="CA43"/>
      <x:c r="CB43"/>
      <x:c r="CC43"/>
      <x:c r="CD43"/>
      <x:c r="CE43"/>
      <x:c r="CF43"/>
      <x:c r="CG43"/>
      <x:c r="CH43"/>
      <x:c r="CI43" s="127" t="b">
        <x:v>1</x:v>
      </x:c>
      <x:c r="CJ43"/>
      <x:c r="CK43"/>
      <x:c r="CL43"/>
      <x:c r="CM43"/>
      <x:c r="CN43"/>
      <x:c r="CO43"/>
      <x:c r="CP43"/>
      <x:c r="CQ43" t="n">
        <x:v>0</x:v>
      </x:c>
      <x:c r="CR43"/>
      <x:c r="CS43"/>
      <x:c r="CT43"/>
      <x:c r="CU43"/>
      <x:c r="CV43"/>
      <x:c r="CW43"/>
      <x:c r="CX43"/>
      <x:c r="CY43"/>
      <x:c r="CZ43"/>
      <x:c r="DA43"/>
      <x:c r="DB43"/>
      <x:c r="DC43"/>
      <x:c r="DD43"/>
      <x:c r="DE43"/>
      <x:c r="DF43"/>
      <x:c r="DG43"/>
      <x:c r="DH43" t="str">
        <x:v>baseline</x:v>
      </x:c>
      <x:c r="DI43" t="n">
        <x:v>38</x:v>
      </x:c>
      <x:c r="DJ43"/>
      <x:c r="DK43"/>
      <x:c r="DL43"/>
      <x:c r="DM43"/>
      <x:c r="DN43"/>
      <x:c r="DO43"/>
      <x:c r="DP43"/>
      <x:c r="DQ43" t="str">
        <x:v>C3</x:v>
      </x:c>
      <x:c r="DR43"/>
      <x:c r="DS43"/>
      <x:c r="DT43"/>
      <x:c r="DU43"/>
      <x:c r="DV43"/>
      <x:c r="DW43"/>
      <x:c r="DX43"/>
      <x:c r="DY43"/>
      <x:c r="DZ43"/>
      <x:c r="EA43"/>
      <x:c r="EB43"/>
      <x:c r="EC43"/>
      <x:c r="ED43"/>
      <x:c r="EE43"/>
      <x:c r="EF43"/>
      <x:c r="EG43"/>
      <x:c r="EH43"/>
      <x:c r="EI43"/>
      <x:c r="EJ43"/>
      <x:c r="EK43"/>
      <x:c r="EL43"/>
      <x:c r="EM43"/>
      <x:c r="EN43"/>
      <x:c r="EO43"/>
      <x:c r="EP43"/>
      <x:c r="EQ43"/>
      <x:c r="ER43"/>
      <x:c r="ES43"/>
      <x:c r="ET43"/>
      <x:c r="EU43"/>
      <x:c r="EV43"/>
      <x:c r="EW43"/>
      <x:c r="EX43"/>
      <x:c r="EY43"/>
      <x:c r="EZ43"/>
      <x:c r="FA43"/>
      <x:c r="FB43"/>
      <x:c r="FC43"/>
      <x:c r="FD43"/>
      <x:c r="FE43"/>
      <x:c r="FF43" t="n">
        <x:v>30</x:v>
      </x:c>
      <x:c r="FG43" t="str">
        <x:v>PERF-M-000001..PERF-M-000100</x:v>
      </x:c>
      <x:c r="FH43" t="n">
        <x:v>100</x:v>
      </x:c>
      <x:c r="FI43" t="n">
        <x:v>100</x:v>
      </x:c>
      <x:c r="FJ43"/>
      <x:c r="FK43" t="n">
        <x:v>100</x:v>
      </x:c>
      <x:c r="FL43" t="n">
        <x:v>100</x:v>
      </x:c>
      <x:c r="FM43" t="n">
        <x:v>100</x:v>
      </x:c>
      <x:c r="FN43" t="n">
        <x:v>100</x:v>
      </x:c>
      <x:c r="FO43"/>
      <x:c r="FP43" t="n">
        <x:v>400</x:v>
      </x:c>
      <x:c r="FQ43" t="n">
        <x:v>25600</x:v>
      </x:c>
      <x:c r="FR43" t="n">
        <x:v>0</x:v>
      </x:c>
      <x:c r="FS43"/>
      <x:c r="FT43"/>
      <x:c r="FU43"/>
      <x:c r="FV43"/>
      <x:c r="FW43"/>
      <x:c r="FX43" t="n">
        <x:v>100</x:v>
      </x:c>
      <x:c r="FY43" t="n">
        <x:v>0</x:v>
      </x:c>
      <x:c r="FZ43" t="n">
        <x:v>0</x:v>
      </x:c>
      <x:c r="GA43" t="n">
        <x:v>0</x:v>
      </x:c>
      <x:c r="GB43" t="n">
        <x:v>100</x:v>
      </x:c>
      <x:c r="GC43" t="n">
        <x:v>100</x:v>
      </x:c>
      <x:c r="GD43" t="n">
        <x:v>0</x:v>
      </x:c>
      <x:c r="GE43" t="n">
        <x:v>100</x:v>
      </x:c>
      <x:c r="GF43"/>
      <x:c r="GG43" t="str">
        <x:v>100</x:v>
      </x:c>
      <x:c r="GH43"/>
      <x:c r="GI43" t="n">
        <x:v>1826.3841970037902</x:v>
      </x:c>
      <x:c r="GJ43" t="n">
        <x:v>1826.3841970037902</x:v>
      </x:c>
      <x:c r="GK43" t="n">
        <x:v>1826.3841970037902</x:v>
      </x:c>
      <x:c r="GL43" t="n">
        <x:v>1826.3841970037902</x:v>
      </x:c>
      <x:c r="GM43" t="str">
        <x:v>burst</x:v>
      </x:c>
      <x:c r="GN43" t="n">
        <x:v>100</x:v>
      </x:c>
      <x:c r="GO43"/>
      <x:c r="GP43"/>
      <x:c r="GQ43" t="n">
        <x:v>30</x:v>
      </x:c>
      <x:c r="GR43" t="n">
        <x:v>90</x:v>
      </x:c>
      <x:c r="GS43" t="n">
        <x:v>600</x:v>
      </x:c>
      <x:c r="GT43" t="str">
        <x:v>PERF-DR-PERF-M-000001..000100</x:v>
      </x:c>
      <x:c r="GU43" t="str">
        <x:v>PERF-D-000001..PERF-D-000100</x:v>
      </x:c>
      <x:c r="GV43" t="str">
        <x:v>100 unique targets, one per perf-group-001..100</x:v>
      </x:c>
      <x:c r="GW43" t="str">
        <x:v>100 preserved original occurrences</x:v>
      </x:c>
      <x:c r="GX43" t="n">
        <x:v>100</x:v>
      </x:c>
      <x:c r="GY43" t="n">
        <x:v>100</x:v>
      </x:c>
      <x:c r="GZ43" t="n">
        <x:v>100</x:v>
      </x:c>
      <x:c r="HA43" t="n">
        <x:v>100</x:v>
      </x:c>
      <x:c r="HB43" t="n">
        <x:v>100</x:v>
      </x:c>
      <x:c r="HC43" t="n">
        <x:v>0</x:v>
      </x:c>
      <x:c r="HD43" t="n">
        <x:v>100</x:v>
      </x:c>
      <x:c r="HE43" t="n">
        <x:v>0</x:v>
      </x:c>
      <x:c r="HF43" t="n">
        <x:v>0</x:v>
      </x:c>
      <x:c r="HG43" t="n">
        <x:v>25600</x:v>
      </x:c>
      <x:c r="HH43" t="n">
        <x:v>25600</x:v>
      </x:c>
      <x:c r="HI43" t="n">
        <x:v>0</x:v>
      </x:c>
      <x:c r="HJ43" t="n">
        <x:v>0</x:v>
      </x:c>
      <x:c r="HK43" t="n">
        <x:v>0</x:v>
      </x:c>
      <x:c r="HL43" t="n">
        <x:v>100</x:v>
      </x:c>
      <x:c r="HM43" t="n">
        <x:v>0</x:v>
      </x:c>
      <x:c r="HN43" s="127" t="b">
        <x:v>1</x:v>
      </x:c>
      <x:c r="HO43"/>
      <x:c r="HP43"/>
      <x:c r="HQ43"/>
      <x:c r="HR43" s="127" t="b">
        <x:v>1</x:v>
      </x:c>
      <x:c r="HS43" t="n">
        <x:v>540</x:v>
      </x:c>
      <x:c r="HT43"/>
      <x:c r="HU43"/>
      <x:c r="HV43"/>
      <x:c r="HW43"/>
      <x:c r="HX43"/>
      <x:c r="HY43"/>
      <x:c r="HZ43"/>
      <x:c r="IA43"/>
      <x:c r="IB43"/>
      <x:c r="IC43"/>
      <x:c r="ID43"/>
      <x:c r="IE43"/>
      <x:c r="IF43"/>
      <x:c r="IG43"/>
      <x:c r="IH43"/>
      <x:c r="II43"/>
      <x:c r="IJ43"/>
      <x:c r="IK43"/>
      <x:c r="IL43"/>
      <x:c r="IM43"/>
      <x:c r="IN43"/>
      <x:c r="IO43"/>
      <x:c r="IP43"/>
      <x:c r="IQ43"/>
      <x:c r="IR43"/>
      <x:c r="IS43"/>
      <x:c r="IT43"/>
      <x:c r="IU43"/>
      <x:c r="IV43"/>
      <x:c r="IW43"/>
      <x:c r="IX43"/>
      <x:c r="IY43"/>
      <x:c r="IZ43"/>
      <x:c r="JA43"/>
      <x:c r="JB43"/>
      <x:c r="JC43"/>
      <x:c r="JD43"/>
      <x:c r="JE43"/>
      <x:c r="JF43"/>
      <x:c r="JG43"/>
      <x:c r="JH43"/>
      <x:c r="JI43"/>
      <x:c r="JJ43"/>
      <x:c r="JK43"/>
      <x:c r="JL43"/>
      <x:c r="JM43"/>
      <x:c r="JN43"/>
      <x:c r="JO43"/>
      <x:c r="JP43"/>
      <x:c r="JQ43"/>
      <x:c r="JR43" t="n">
        <x:v>2696.0329370049294</x:v>
      </x:c>
      <x:c r="JS43" t="n">
        <x:v>2696.0329370049294</x:v>
      </x:c>
      <x:c r="JT43" t="n">
        <x:v>2696.0329370049294</x:v>
      </x:c>
      <x:c r="JU43" t="n">
        <x:v>2696.0329370049294</x:v>
      </x:c>
      <x:c r="JV43" t="n">
        <x:v>540</x:v>
      </x:c>
      <x:c r="JW43" t="n">
        <x:v>540</x:v>
      </x:c>
      <x:c r="JX43"/>
      <x:c r="JY43"/>
      <x:c r="JZ43"/>
      <x:c r="KA43" t="n">
        <x:v>400</x:v>
      </x:c>
      <x:c r="KB43" t="n">
        <x:v>4037700</x:v>
      </x:c>
      <x:c r="KC43" t="n">
        <x:v>0</x:v>
      </x:c>
      <x:c r="KD43" t="n">
        <x:v>0</x:v>
      </x:c>
      <x:c r="KE43" t="n">
        <x:v>0</x:v>
      </x:c>
      <x:c r="KF43" s="127" t="b">
        <x:v>1</x:v>
      </x:c>
      <x:c r="KG43"/>
      <x:c r="KH43"/>
      <x:c r="KI43" t="n">
        <x:v>100</x:v>
      </x:c>
      <x:c r="KJ43" t="str">
        <x:v>1×100</x:v>
      </x:c>
      <x:c r="KK43" t="str">
        <x:v>burst</x:v>
      </x:c>
      <x:c r="KL43"/>
      <x:c r="KM43"/>
      <x:c r="KN43"/>
      <x:c r="KO43"/>
      <x:c r="KP43"/>
      <x:c r="KQ43"/>
      <x:c r="KR43"/>
      <x:c r="KS43"/>
      <x:c r="KT43"/>
      <x:c r="KU43"/>
      <x:c r="KV43"/>
      <x:c r="KW43"/>
      <x:c r="KX43"/>
      <x:c r="KY43"/>
      <x:c r="KZ43"/>
      <x:c r="LA43"/>
      <x:c r="LB43"/>
      <x:c r="LC43"/>
      <x:c r="LD43"/>
      <x:c r="LE43"/>
      <x:c r="LF43"/>
      <x:c r="LG43"/>
      <x:c r="LH43"/>
      <x:c r="LI43"/>
      <x:c r="LJ43"/>
      <x:c r="LK43"/>
      <x:c r="LL43"/>
      <x:c r="LM43"/>
      <x:c r="LN43"/>
      <x:c r="LO43"/>
      <x:c r="LP43"/>
      <x:c r="LQ43"/>
      <x:c r="LR43"/>
      <x:c r="LS43"/>
      <x:c r="LT43" t="n">
        <x:v>100</x:v>
      </x:c>
      <x:c r="LU43" t="n">
        <x:v>0</x:v>
      </x:c>
      <x:c r="LV43" t="n">
        <x:v>100</x:v>
      </x:c>
      <x:c r="LW43" t="n">
        <x:v>100</x:v>
      </x:c>
      <x:c r="LX43" t="n">
        <x:v>0</x:v>
      </x:c>
      <x:c r="LY43" t="n">
        <x:v>100</x:v>
      </x:c>
      <x:c r="LZ43" t="n">
        <x:v>900</x:v>
      </x:c>
      <x:c r="MA43" t="n">
        <x:v>0</x:v>
      </x:c>
      <x:c r="MB43" t="n">
        <x:v>100</x:v>
      </x:c>
      <x:c r="MC43" t="n">
        <x:v>100</x:v>
      </x:c>
      <x:c r="MD43" t="n">
        <x:v>0</x:v>
      </x:c>
      <x:c r="ME43" t="n">
        <x:v>0</x:v>
      </x:c>
      <x:c r="MF43" t="n">
        <x:v>100</x:v>
      </x:c>
      <x:c r="MG43" t="n">
        <x:v>100</x:v>
      </x:c>
      <x:c r="MH43" t="n">
        <x:v>400</x:v>
      </x:c>
      <x:c r="MI43" t="n">
        <x:v>400</x:v>
      </x:c>
      <x:c r="MJ43" s="127" t="b">
        <x:v>1</x:v>
      </x:c>
      <x:c r="MK43" t="str">
        <x:v>Harness assumed uppercase closure_reason and serialized journey discriminator; durable contract uses lowercase configuration_removed and receipt+journey co-location in the same commit.</x:v>
      </x:c>
    </x:row>
    <x:row r="44">
      <x:c r="A44" s="32" t="str">
        <x:v>24b97fa3-80b4-4f25-bab1-ca074d05590c</x:v>
      </x:c>
      <x:c r="B44" s="32" t="str">
        <x:v>D-010</x:v>
      </x:c>
      <x:c r="C44" s="42" t="n">
        <x:v>46261.874925032236</x:v>
      </x:c>
      <x:c r="D44" s="32" t="str">
        <x:v>489b7424f5051f7a276dafe8d5f318ccf1368d87</x:v>
      </x:c>
      <x:c r="E44" s="32" t="str">
        <x:v>GLONBW11</x:v>
      </x:c>
      <x:c r="F44" s="32" t="str">
        <x:v>local-filesystem</x:v>
      </x:c>
      <x:c r="G44" s="32" t="str">
        <x:v>3.14.2</x:v>
      </x:c>
      <x:c r="H44" s="32" t="str">
        <x:v>deterministic</x:v>
      </x:c>
      <x:c r="I44" s="32" t="n">
        <x:v>1000</x:v>
      </x:c>
      <x:c r="J44" s="32" t="n">
        <x:v>3</x:v>
      </x:c>
      <x:c r="K44" s="32" t="n">
        <x:v>3.03113975</x:v>
      </x:c>
      <x:c r="L44" s="32" t="n">
        <x:v>37</x:v>
      </x:c>
      <x:c r="M44" s="32" t="n">
        <x:v>5</x:v>
      </x:c>
      <x:c r="N44" s="32" t="n">
        <x:v>10</x:v>
      </x:c>
      <x:c r="O44" s="32" t="n">
        <x:v>834.001327995793</x:v>
      </x:c>
      <x:c r="P44" s="32" t="n">
        <x:v>1670.5829564045418</x:v>
      </x:c>
      <x:c r="Q44" s="32" t="n">
        <x:v>4135.257738961956</x:v>
      </x:c>
      <x:c r="R44" s="32" t="n">
        <x:v>5499.026033998234</x:v>
      </x:c>
      <x:c r="S44" s="32" t="n">
        <x:v>1</x:v>
      </x:c>
      <x:c r="T44" s="43" t="n">
        <x:v>0.02702702702702703</x:v>
      </x:c>
      <x:c r="U44" s="32" t="n">
        <x:v>93.22204861209778</x:v>
      </x:c>
      <x:c r="V44" s="32" t="n">
        <x:v>100.21419474622274</x:v>
      </x:c>
      <x:c r="W44" s="32" t="n">
        <x:v>139.34660050675674</x:v>
      </x:c>
      <x:c r="X44" s="32" t="n">
        <x:v>139.6796875</x:v>
      </x:c>
      <x:c r="Y44" s="32"/>
      <x:c r="Z44" s="32"/>
      <x:c r="AA44" s="32"/>
      <x:c r="AB44" s="32" t="n">
        <x:v>2165.0932260090485</x:v>
      </x:c>
      <x:c r="AC44" s="32" t="n">
        <x:v>0</x:v>
      </x:c>
      <x:c r="AD44" s="32" t="n">
        <x:v>0</x:v>
      </x:c>
      <x:c r="AE44" s="32" t="n">
        <x:v>0</x:v>
      </x:c>
      <x:c r="AF44" s="32" t="n">
        <x:v>0</x:v>
      </x:c>
      <x:c r="AG44" s="32" t="n">
        <x:v>0</x:v>
      </x:c>
      <x:c r="AH44" s="32" t="n">
        <x:v>458.0179600015981</x:v>
      </x:c>
      <x:c r="AI44" s="32" t="str">
        <x:v>PASS</x:v>
      </x:c>
      <x:c r="AJ44" s="32" t="str">
        <x:v>GREEN</x:v>
      </x:c>
      <x:c r="AK44" s="32" t="str">
        <x:v>latest-narrow</x:v>
      </x:c>
      <x:c r="AL44" s="32" t="n">
        <x:v>1</x:v>
      </x:c>
      <x:c r="AM44" s="32" t="n">
        <x:v>1</x:v>
      </x:c>
      <x:c r="AN44" s="32" t="n">
        <x:v>1000</x:v>
      </x:c>
      <x:c r="AO44" s="32" t="n">
        <x:v>1</x:v>
      </x:c>
      <x:c r="AP44" s="32" t="n">
        <x:v>8132</x:v>
      </x:c>
      <x:c r="AQ44" s="32" t="n">
        <x:v>3.848104504868388</x:v>
      </x:c>
      <x:c r="AR44" s="32" t="n">
        <x:v>5.31649199911044</x:v>
      </x:c>
      <x:c r="AS44" s="32" t="n">
        <x:v>5.82718144141836</x:v>
      </x:c>
      <x:c r="AT44" s="32" t="n">
        <x:v>36</x:v>
      </x:c>
      <x:c r="AU44" s="32" t="str">
        <x:v>28×28 + 8×27</x:v>
      </x:c>
      <x:c r="AV44" s="32" t="n">
        <x:v>0.36317899503046647</x:v>
      </x:c>
      <x:c r="AW44" s="32" t="n">
        <x:v>0.522391503182007</x:v>
      </x:c>
      <x:c r="AX44" s="32" t="n">
        <x:v>0.5520002952835057</x:v>
      </x:c>
      <x:c r="AY44" t="str">
        <x:v>balanced</x:v>
      </x:c>
      <x:c r="AZ44" s="32" t="str">
        <x:v>PASS</x:v>
      </x:c>
      <x:c r="BA44" s="32" t="n">
        <x:v>900</x:v>
      </x:c>
      <x:c r="BB44" s="32" t="n">
        <x:v>100</x:v>
      </x:c>
      <x:c r="BC44" s="115" t="b">
        <x:v>1</x:v>
      </x:c>
      <x:c r="BD44" s="32" t="str">
        <x:v>PASS/GREEN authoritative closure. Independent audit confirms 100 groups × 4 records (bootstrap/request/adoption/stale-decision), exact target/occurrence identity, 0 duplicate commits or chain errors, 100/100 materialized snapshots equal latest snapshot_after, final state_basis=PERF-AC-2, journal head durable==materialized at byte_offset 4,037,700. One isolated adoption iteration overrun (iteration 13, 5499.03 ms, cycle_executed=false) is secondary characterization for R3.5E.</x:v>
      </x:c>
      <x:c r="BE44" s="32"/>
      <x:c r="BF44" s="32"/>
      <x:c r="BG44" s="32"/>
      <x:c r="BH44" s="32"/>
      <x:c r="BI44" s="32"/>
      <x:c r="BJ44" s="32" t="n">
        <x:v>1000</x:v>
      </x:c>
      <x:c r="BK44" s="32" t="n">
        <x:v>1000</x:v>
      </x:c>
      <x:c r="BL44" s="32"/>
      <x:c r="BM44" s="32"/>
      <x:c r="BN44" t="n">
        <x:v>100</x:v>
      </x:c>
      <x:c r="BO44" t="n">
        <x:v>10</x:v>
      </x:c>
      <x:c r="BP44"/>
      <x:c r="BQ44" t="n">
        <x:v>100</x:v>
      </x:c>
      <x:c r="BR44"/>
      <x:c r="BS44"/>
      <x:c r="BT44"/>
      <x:c r="BU44"/>
      <x:c r="BV44"/>
      <x:c r="BW44" t="n">
        <x:v>1000</x:v>
      </x:c>
      <x:c r="BX44"/>
      <x:c r="BY44" t="n">
        <x:v>100</x:v>
      </x:c>
      <x:c r="BZ44" t="n">
        <x:v>100</x:v>
      </x:c>
      <x:c r="CA44"/>
      <x:c r="CB44"/>
      <x:c r="CC44"/>
      <x:c r="CD44"/>
      <x:c r="CE44" t="n">
        <x:v>1000</x:v>
      </x:c>
      <x:c r="CF44" t="n">
        <x:v>2500</x:v>
      </x:c>
      <x:c r="CG44" t="n">
        <x:v>1000</x:v>
      </x:c>
      <x:c r="CH44"/>
      <x:c r="CI44" s="127" t="b">
        <x:v>1</x:v>
      </x:c>
      <x:c r="CJ44"/>
      <x:c r="CK44"/>
      <x:c r="CL44"/>
      <x:c r="CM44"/>
      <x:c r="CN44"/>
      <x:c r="CO44"/>
      <x:c r="CP44"/>
      <x:c r="CQ44" t="n">
        <x:v>0</x:v>
      </x:c>
      <x:c r="CR44"/>
      <x:c r="CS44"/>
      <x:c r="CT44"/>
      <x:c r="CU44"/>
      <x:c r="CV44"/>
      <x:c r="CW44"/>
      <x:c r="CX44"/>
      <x:c r="CY44"/>
      <x:c r="CZ44"/>
      <x:c r="DA44"/>
      <x:c r="DB44"/>
      <x:c r="DC44"/>
      <x:c r="DD44"/>
      <x:c r="DE44"/>
      <x:c r="DF44"/>
      <x:c r="DG44"/>
      <x:c r="DH44" t="str">
        <x:v>baseline</x:v>
      </x:c>
      <x:c r="DI44" t="n">
        <x:v>37</x:v>
      </x:c>
      <x:c r="DJ44" t="n">
        <x:v>0</x:v>
      </x:c>
      <x:c r="DK44" t="n">
        <x:v>0</x:v>
      </x:c>
      <x:c r="DL44" t="n">
        <x:v>0</x:v>
      </x:c>
      <x:c r="DM44" t="n">
        <x:v>0</x:v>
      </x:c>
      <x:c r="DN44" t="n">
        <x:v>0</x:v>
      </x:c>
      <x:c r="DO44" t="n">
        <x:v>0</x:v>
      </x:c>
      <x:c r="DP44" t="n">
        <x:v>0</x:v>
      </x:c>
      <x:c r="DQ44" t="str">
        <x:v>C3</x:v>
      </x:c>
      <x:c r="DR44"/>
      <x:c r="DS44"/>
      <x:c r="DT44"/>
      <x:c r="DU44"/>
      <x:c r="DV44"/>
      <x:c r="DW44"/>
      <x:c r="DX44"/>
      <x:c r="DY44"/>
      <x:c r="DZ44"/>
      <x:c r="EA44"/>
      <x:c r="EB44"/>
      <x:c r="EC44"/>
      <x:c r="ED44"/>
      <x:c r="EE44"/>
      <x:c r="EF44"/>
      <x:c r="EG44"/>
      <x:c r="EH44"/>
      <x:c r="EI44"/>
      <x:c r="EJ44"/>
      <x:c r="EK44"/>
      <x:c r="EL44"/>
      <x:c r="EM44"/>
      <x:c r="EN44"/>
      <x:c r="EO44"/>
      <x:c r="EP44"/>
      <x:c r="EQ44"/>
      <x:c r="ER44"/>
      <x:c r="ES44"/>
      <x:c r="ET44"/>
      <x:c r="EU44"/>
      <x:c r="EV44"/>
      <x:c r="EW44"/>
      <x:c r="EX44"/>
      <x:c r="EY44"/>
      <x:c r="EZ44"/>
      <x:c r="FA44"/>
      <x:c r="FB44"/>
      <x:c r="FC44"/>
      <x:c r="FD44"/>
      <x:c r="FE44"/>
      <x:c r="FF44" t="n">
        <x:v>30</x:v>
      </x:c>
      <x:c r="FG44" t="str">
        <x:v>PERF-M-000001..PERF-M-000100</x:v>
      </x:c>
      <x:c r="FH44" t="n">
        <x:v>100</x:v>
      </x:c>
      <x:c r="FI44" t="n">
        <x:v>100</x:v>
      </x:c>
      <x:c r="FJ44"/>
      <x:c r="FK44" t="n">
        <x:v>100</x:v>
      </x:c>
      <x:c r="FL44" t="n">
        <x:v>100</x:v>
      </x:c>
      <x:c r="FM44" t="n">
        <x:v>100</x:v>
      </x:c>
      <x:c r="FN44" t="n">
        <x:v>100</x:v>
      </x:c>
      <x:c r="FO44"/>
      <x:c r="FP44" t="n">
        <x:v>400</x:v>
      </x:c>
      <x:c r="FQ44" t="n">
        <x:v>25600</x:v>
      </x:c>
      <x:c r="FR44" t="n">
        <x:v>0</x:v>
      </x:c>
      <x:c r="FS44" t="n">
        <x:v>0</x:v>
      </x:c>
      <x:c r="FT44" s="127" t="b">
        <x:v>1</x:v>
      </x:c>
      <x:c r="FU44" t="n">
        <x:v>1748.0782220081892</x:v>
      </x:c>
      <x:c r="FV44" t="str">
        <x:v>100 preserved original occurrences</x:v>
      </x:c>
      <x:c r="FW44" t="n">
        <x:v>0</x:v>
      </x:c>
      <x:c r="FX44" t="n">
        <x:v>100</x:v>
      </x:c>
      <x:c r="FY44" t="n">
        <x:v>0</x:v>
      </x:c>
      <x:c r="FZ44" t="n">
        <x:v>0</x:v>
      </x:c>
      <x:c r="GA44" t="n">
        <x:v>0</x:v>
      </x:c>
      <x:c r="GB44" t="n">
        <x:v>100</x:v>
      </x:c>
      <x:c r="GC44" t="n">
        <x:v>100</x:v>
      </x:c>
      <x:c r="GD44" t="n">
        <x:v>0</x:v>
      </x:c>
      <x:c r="GE44" t="n">
        <x:v>100</x:v>
      </x:c>
      <x:c r="GF44" t="n">
        <x:v>1</x:v>
      </x:c>
      <x:c r="GG44" t="str">
        <x:v>100</x:v>
      </x:c>
      <x:c r="GH44" s="127" t="b">
        <x:v>1</x:v>
      </x:c>
      <x:c r="GI44" t="n">
        <x:v>1748.0782220081892</x:v>
      </x:c>
      <x:c r="GJ44" t="n">
        <x:v>1748.0782220081892</x:v>
      </x:c>
      <x:c r="GK44" t="n">
        <x:v>1748.0782220081892</x:v>
      </x:c>
      <x:c r="GL44" t="n">
        <x:v>1748.0782220081892</x:v>
      </x:c>
      <x:c r="GM44" t="str">
        <x:v>burst</x:v>
      </x:c>
      <x:c r="GN44" t="n">
        <x:v>100</x:v>
      </x:c>
      <x:c r="GO44" t="n">
        <x:v>100</x:v>
      </x:c>
      <x:c r="GP44" s="127" t="b">
        <x:v>1</x:v>
      </x:c>
      <x:c r="GQ44" t="n">
        <x:v>30</x:v>
      </x:c>
      <x:c r="GR44" t="n">
        <x:v>90</x:v>
      </x:c>
      <x:c r="GS44" t="n">
        <x:v>600</x:v>
      </x:c>
      <x:c r="GT44" t="str">
        <x:v>PERF-DR-PERF-M-000001..PERF-DR-PERF-M-000100</x:v>
      </x:c>
      <x:c r="GU44" t="str">
        <x:v>PERF-D-000001..PERF-D-000100</x:v>
      </x:c>
      <x:c r="GV44" t="str">
        <x:v>100 unique targets; first slot of perf-group-001..100</x:v>
      </x:c>
      <x:c r="GW44" t="str">
        <x:v>100 original PERF-O occurrences preserved</x:v>
      </x:c>
      <x:c r="GX44" t="n">
        <x:v>100</x:v>
      </x:c>
      <x:c r="GY44" t="n">
        <x:v>100</x:v>
      </x:c>
      <x:c r="GZ44" t="n">
        <x:v>100</x:v>
      </x:c>
      <x:c r="HA44" t="n">
        <x:v>100</x:v>
      </x:c>
      <x:c r="HB44" t="n">
        <x:v>100</x:v>
      </x:c>
      <x:c r="HC44" t="n">
        <x:v>0</x:v>
      </x:c>
      <x:c r="HD44" t="n">
        <x:v>100</x:v>
      </x:c>
      <x:c r="HE44" t="n">
        <x:v>0</x:v>
      </x:c>
      <x:c r="HF44" t="n">
        <x:v>0</x:v>
      </x:c>
      <x:c r="HG44" t="n">
        <x:v>25600</x:v>
      </x:c>
      <x:c r="HH44" t="n">
        <x:v>25600</x:v>
      </x:c>
      <x:c r="HI44" t="n">
        <x:v>0</x:v>
      </x:c>
      <x:c r="HJ44" t="n">
        <x:v>0</x:v>
      </x:c>
      <x:c r="HK44" t="n">
        <x:v>0</x:v>
      </x:c>
      <x:c r="HL44" t="n">
        <x:v>100</x:v>
      </x:c>
      <x:c r="HM44" t="n">
        <x:v>0</x:v>
      </x:c>
      <x:c r="HN44" s="127" t="b">
        <x:v>1</x:v>
      </x:c>
      <x:c r="HO44"/>
      <x:c r="HP44" s="127" t="b">
        <x:v>1</x:v>
      </x:c>
      <x:c r="HQ44" s="127" t="b">
        <x:v>1</x:v>
      </x:c>
      <x:c r="HR44" s="127" t="b">
        <x:v>1</x:v>
      </x:c>
      <x:c r="HS44" t="n">
        <x:v>540</x:v>
      </x:c>
      <x:c r="HT44" t="n">
        <x:v>540</x:v>
      </x:c>
      <x:c r="HU44" t="n">
        <x:v>2165.0932260090485</x:v>
      </x:c>
      <x:c r="HV44"/>
      <x:c r="HW44"/>
      <x:c r="HX44"/>
      <x:c r="HY44" s="127" t="b">
        <x:v>1</x:v>
      </x:c>
      <x:c r="HZ44"/>
      <x:c r="IA44"/>
      <x:c r="IB44"/>
      <x:c r="IC44"/>
      <x:c r="ID44"/>
      <x:c r="IE44"/>
      <x:c r="IF44"/>
      <x:c r="IG44"/>
      <x:c r="IH44"/>
      <x:c r="II44"/>
      <x:c r="IJ44"/>
      <x:c r="IK44"/>
      <x:c r="IL44"/>
      <x:c r="IM44"/>
      <x:c r="IN44"/>
      <x:c r="IO44"/>
      <x:c r="IP44"/>
      <x:c r="IQ44"/>
      <x:c r="IR44"/>
      <x:c r="IS44"/>
      <x:c r="IT44"/>
      <x:c r="IU44"/>
      <x:c r="IV44"/>
      <x:c r="IW44"/>
      <x:c r="IX44"/>
      <x:c r="IY44"/>
      <x:c r="IZ44"/>
      <x:c r="JA44"/>
      <x:c r="JB44"/>
      <x:c r="JC44"/>
      <x:c r="JD44"/>
      <x:c r="JE44"/>
      <x:c r="JF44"/>
      <x:c r="JG44"/>
      <x:c r="JH44" t="n">
        <x:v>0</x:v>
      </x:c>
      <x:c r="JI44" t="n">
        <x:v>0</x:v>
      </x:c>
      <x:c r="JJ44" t="n">
        <x:v>0</x:v>
      </x:c>
      <x:c r="JK44" t="n">
        <x:v>0</x:v>
      </x:c>
      <x:c r="JL44" t="n">
        <x:v>0</x:v>
      </x:c>
      <x:c r="JM44" t="n">
        <x:v>0</x:v>
      </x:c>
      <x:c r="JN44" t="n">
        <x:v>100</x:v>
      </x:c>
      <x:c r="JO44" t="n">
        <x:v>100</x:v>
      </x:c>
      <x:c r="JP44" t="n">
        <x:v>1</x:v>
      </x:c>
      <x:c r="JQ44" t="str">
        <x:v>100</x:v>
      </x:c>
      <x:c r="JR44" t="n">
        <x:v>2165.0932260090485</x:v>
      </x:c>
      <x:c r="JS44" t="n">
        <x:v>2165.0932260090485</x:v>
      </x:c>
      <x:c r="JT44" t="n">
        <x:v>2165.0932260090485</x:v>
      </x:c>
      <x:c r="JU44" t="n">
        <x:v>2165.0932260090485</x:v>
      </x:c>
      <x:c r="JV44" t="n">
        <x:v>540</x:v>
      </x:c>
      <x:c r="JW44" t="n">
        <x:v>540</x:v>
      </x:c>
      <x:c r="JX44" t="n">
        <x:v>0</x:v>
      </x:c>
      <x:c r="JY44" t="n">
        <x:v>0</x:v>
      </x:c>
      <x:c r="JZ44" s="127" t="b">
        <x:v>1</x:v>
      </x:c>
      <x:c r="KA44" t="n">
        <x:v>400</x:v>
      </x:c>
      <x:c r="KB44" t="n">
        <x:v>4037700</x:v>
      </x:c>
      <x:c r="KC44" t="n">
        <x:v>0</x:v>
      </x:c>
      <x:c r="KD44" t="n">
        <x:v>0</x:v>
      </x:c>
      <x:c r="KE44" t="n">
        <x:v>0</x:v>
      </x:c>
      <x:c r="KF44" s="127" t="b">
        <x:v>1</x:v>
      </x:c>
      <x:c r="KG44"/>
      <x:c r="KH44"/>
      <x:c r="KI44" t="n">
        <x:v>100</x:v>
      </x:c>
      <x:c r="KJ44" t="str">
        <x:v>1×100</x:v>
      </x:c>
      <x:c r="KK44" t="str">
        <x:v>burst</x:v>
      </x:c>
      <x:c r="KL44" t="n">
        <x:v>100</x:v>
      </x:c>
      <x:c r="KM44" s="127" t="b">
        <x:v>1</x:v>
      </x:c>
      <x:c r="KN44"/>
      <x:c r="KO44"/>
      <x:c r="KP44"/>
      <x:c r="KQ44"/>
      <x:c r="KR44"/>
      <x:c r="KS44"/>
      <x:c r="KT44"/>
      <x:c r="KU44"/>
      <x:c r="KV44"/>
      <x:c r="KW44"/>
      <x:c r="KX44"/>
      <x:c r="KY44"/>
      <x:c r="KZ44"/>
      <x:c r="LA44"/>
      <x:c r="LB44"/>
      <x:c r="LC44"/>
      <x:c r="LD44"/>
      <x:c r="LE44"/>
      <x:c r="LF44"/>
      <x:c r="LG44"/>
      <x:c r="LH44"/>
      <x:c r="LI44"/>
      <x:c r="LJ44"/>
      <x:c r="LK44"/>
      <x:c r="LL44"/>
      <x:c r="LM44"/>
      <x:c r="LN44"/>
      <x:c r="LO44"/>
      <x:c r="LP44"/>
      <x:c r="LQ44"/>
      <x:c r="LR44"/>
      <x:c r="LS44"/>
      <x:c r="LT44" t="n">
        <x:v>100</x:v>
      </x:c>
      <x:c r="LU44" t="n">
        <x:v>100</x:v>
      </x:c>
      <x:c r="LV44" t="n">
        <x:v>100</x:v>
      </x:c>
      <x:c r="LW44" t="n">
        <x:v>0</x:v>
      </x:c>
      <x:c r="LX44" t="n">
        <x:v>0</x:v>
      </x:c>
      <x:c r="LY44" t="n">
        <x:v>100</x:v>
      </x:c>
      <x:c r="LZ44" t="n">
        <x:v>900</x:v>
      </x:c>
      <x:c r="MA44" t="n">
        <x:v>0</x:v>
      </x:c>
      <x:c r="MB44" t="n">
        <x:v>100</x:v>
      </x:c>
      <x:c r="MC44" t="n">
        <x:v>100</x:v>
      </x:c>
      <x:c r="MD44" t="n">
        <x:v>0</x:v>
      </x:c>
      <x:c r="ME44" t="n">
        <x:v>0</x:v>
      </x:c>
      <x:c r="MF44" t="n">
        <x:v>100</x:v>
      </x:c>
      <x:c r="MG44" t="n">
        <x:v>100</x:v>
      </x:c>
      <x:c r="MH44" t="n">
        <x:v>400</x:v>
      </x:c>
      <x:c r="MI44" t="n">
        <x:v>400</x:v>
      </x:c>
      <x:c r="MJ44" s="127" t="b">
        <x:v>1</x:v>
      </x:c>
      <x:c r="MK44" t="str">
        <x:v>Resolved by harness 0.1.6; final adjudicator and independent durable audit agree.</x:v>
      </x:c>
    </x:row>
    <x:row r="45">
      <x:c r="A45" s="32"/>
      <x:c r="B45" s="32"/>
      <x:c r="C45" s="42"/>
      <x:c r="D45" s="32"/>
      <x:c r="E45" s="32"/>
      <x:c r="F45" s="32"/>
      <x:c r="G45" s="32"/>
      <x:c r="H45" s="32"/>
      <x:c r="I45" s="32"/>
      <x:c r="J45" s="32"/>
      <x:c r="K45" s="32"/>
      <x:c r="L45" s="32"/>
      <x:c r="M45" s="32"/>
      <x:c r="N45" s="32"/>
      <x:c r="O45" s="32"/>
      <x:c r="P45" s="32"/>
      <x:c r="Q45" s="32"/>
      <x:c r="R45" s="32"/>
      <x:c r="S45" s="32"/>
      <x:c r="T45" s="43" t="str">
        <x:f>IFERROR(S45/L45,"")</x:f>
      </x:c>
      <x:c r="U45" s="32"/>
      <x:c r="V45" s="32"/>
      <x:c r="W45" s="32"/>
      <x:c r="X45" s="32"/>
      <x:c r="Y45" s="32"/>
      <x:c r="Z45" s="32"/>
      <x:c r="AA45" s="32"/>
      <x:c r="AB45" s="32"/>
      <x:c r="AC45" s="32"/>
      <x:c r="AD45" s="32"/>
      <x:c r="AE45" s="32"/>
      <x:c r="AF45" s="32"/>
      <x:c r="AG45" s="32"/>
      <x:c r="AH45" s="32"/>
      <x:c r="AI45" s="32"/>
      <x:c r="AJ45" s="32"/>
      <x:c r="AK45" s="32"/>
      <x:c r="AL45" s="32"/>
      <x:c r="AM45" s="32"/>
      <x:c r="AN45" s="32"/>
      <x:c r="AO45" s="32"/>
      <x:c r="AP45" s="32"/>
      <x:c r="AQ45" s="32"/>
      <x:c r="AR45" s="32"/>
      <x:c r="AS45" s="32"/>
      <x:c r="AT45" s="32"/>
      <x:c r="AU45" s="32"/>
      <x:c r="AV45" s="32"/>
      <x:c r="AW45" s="32"/>
      <x:c r="AX45" s="32"/>
      <x:c r="AZ45" s="32"/>
      <x:c r="BA45" s="32"/>
      <x:c r="BB45" s="32"/>
      <x:c r="BC45" s="32"/>
      <x:c r="BD45" s="32"/>
      <x:c r="BE45" s="32"/>
      <x:c r="BF45" s="32"/>
      <x:c r="BG45" s="32"/>
      <x:c r="BH45" s="32"/>
      <x:c r="BI45" s="32"/>
      <x:c r="BJ45" s="32"/>
      <x:c r="BK45" s="32"/>
      <x:c r="BL45" s="32"/>
      <x:c r="BM45" s="32"/>
    </x:row>
    <x:row r="46">
      <x:c r="A46" s="32"/>
      <x:c r="B46" s="32"/>
      <x:c r="C46" s="42"/>
      <x:c r="D46" s="32"/>
      <x:c r="E46" s="32"/>
      <x:c r="F46" s="32"/>
      <x:c r="G46" s="32"/>
      <x:c r="H46" s="32"/>
      <x:c r="I46" s="32"/>
      <x:c r="J46" s="32"/>
      <x:c r="K46" s="32"/>
      <x:c r="L46" s="32"/>
      <x:c r="M46" s="32"/>
      <x:c r="N46" s="32"/>
      <x:c r="O46" s="32"/>
      <x:c r="P46" s="32"/>
      <x:c r="Q46" s="32"/>
      <x:c r="R46" s="32"/>
      <x:c r="S46" s="32"/>
      <x:c r="T46" s="43" t="str">
        <x:f>IFERROR(S46/L46,"")</x:f>
      </x:c>
      <x:c r="U46" s="32"/>
      <x:c r="V46" s="32"/>
      <x:c r="W46" s="32"/>
      <x:c r="X46" s="32"/>
      <x:c r="Y46" s="32"/>
      <x:c r="Z46" s="32"/>
      <x:c r="AA46" s="32"/>
      <x:c r="AB46" s="32"/>
      <x:c r="AC46" s="32"/>
      <x:c r="AD46" s="32"/>
      <x:c r="AE46" s="32"/>
      <x:c r="AF46" s="32"/>
      <x:c r="AG46" s="32"/>
      <x:c r="AH46" s="32"/>
      <x:c r="AI46" s="32"/>
      <x:c r="AJ46" s="32"/>
      <x:c r="AK46" s="32"/>
      <x:c r="AL46" s="32"/>
      <x:c r="AM46" s="32"/>
      <x:c r="AN46" s="32"/>
      <x:c r="AO46" s="32"/>
      <x:c r="AP46" s="32"/>
      <x:c r="AQ46" s="32"/>
      <x:c r="AR46" s="32"/>
      <x:c r="AS46" s="32"/>
      <x:c r="AT46" s="32"/>
      <x:c r="AU46" s="32"/>
      <x:c r="AV46" s="32"/>
      <x:c r="AW46" s="32"/>
      <x:c r="AX46" s="32"/>
      <x:c r="AZ46" s="32"/>
      <x:c r="BA46" s="32"/>
      <x:c r="BB46" s="32"/>
      <x:c r="BC46" s="32"/>
      <x:c r="BD46" s="32"/>
      <x:c r="BE46" s="32"/>
      <x:c r="BF46" s="32"/>
      <x:c r="BG46" s="32"/>
      <x:c r="BH46" s="32"/>
      <x:c r="BI46" s="32"/>
      <x:c r="BJ46" s="32"/>
      <x:c r="BK46" s="32"/>
      <x:c r="BL46" s="32"/>
      <x:c r="BM46" s="32"/>
    </x:row>
    <x:row r="47">
      <x:c r="A47" s="32"/>
      <x:c r="B47" s="32"/>
      <x:c r="C47" s="42"/>
      <x:c r="D47" s="32"/>
      <x:c r="E47" s="32"/>
      <x:c r="F47" s="32"/>
      <x:c r="G47" s="32"/>
      <x:c r="H47" s="32"/>
      <x:c r="I47" s="32"/>
      <x:c r="J47" s="32"/>
      <x:c r="K47" s="32"/>
      <x:c r="L47" s="32"/>
      <x:c r="M47" s="32"/>
      <x:c r="N47" s="32"/>
      <x:c r="O47" s="32"/>
      <x:c r="P47" s="32"/>
      <x:c r="Q47" s="32"/>
      <x:c r="R47" s="32"/>
      <x:c r="S47" s="32"/>
      <x:c r="T47" s="43" t="str">
        <x:f>IFERROR(S47/L47,"")</x:f>
      </x:c>
      <x:c r="U47" s="32"/>
      <x:c r="V47" s="32"/>
      <x:c r="W47" s="32"/>
      <x:c r="X47" s="32"/>
      <x:c r="Y47" s="32"/>
      <x:c r="Z47" s="32"/>
      <x:c r="AA47" s="32"/>
      <x:c r="AB47" s="32"/>
      <x:c r="AC47" s="32"/>
      <x:c r="AD47" s="32"/>
      <x:c r="AE47" s="32"/>
      <x:c r="AF47" s="32"/>
      <x:c r="AG47" s="32"/>
      <x:c r="AH47" s="32"/>
      <x:c r="AI47" s="32"/>
      <x:c r="AJ47" s="32"/>
      <x:c r="AK47" s="32"/>
      <x:c r="AL47" s="32"/>
      <x:c r="AM47" s="32"/>
      <x:c r="AN47" s="32"/>
      <x:c r="AO47" s="32"/>
      <x:c r="AP47" s="32"/>
      <x:c r="AQ47" s="32"/>
      <x:c r="AR47" s="32"/>
      <x:c r="AS47" s="32"/>
      <x:c r="AT47" s="32"/>
      <x:c r="AU47" s="32"/>
      <x:c r="AV47" s="32"/>
      <x:c r="AW47" s="32"/>
      <x:c r="AX47" s="32"/>
      <x:c r="AZ47" s="32"/>
      <x:c r="BA47" s="32"/>
      <x:c r="BB47" s="32"/>
      <x:c r="BC47" s="32"/>
      <x:c r="BD47" s="32"/>
      <x:c r="BE47" s="32"/>
      <x:c r="BF47" s="32"/>
      <x:c r="BG47" s="32"/>
      <x:c r="BH47" s="32"/>
      <x:c r="BI47" s="32"/>
      <x:c r="BJ47" s="32"/>
      <x:c r="BK47" s="32"/>
      <x:c r="BL47" s="32"/>
      <x:c r="BM47" s="32"/>
    </x:row>
    <x:row r="48">
      <x:c r="A48" s="32"/>
      <x:c r="B48" s="32"/>
      <x:c r="C48" s="42"/>
      <x:c r="D48" s="32"/>
      <x:c r="E48" s="32"/>
      <x:c r="F48" s="32"/>
      <x:c r="G48" s="32"/>
      <x:c r="H48" s="32"/>
      <x:c r="I48" s="32"/>
      <x:c r="J48" s="32"/>
      <x:c r="K48" s="32"/>
      <x:c r="L48" s="32"/>
      <x:c r="M48" s="32"/>
      <x:c r="N48" s="32"/>
      <x:c r="O48" s="32"/>
      <x:c r="P48" s="32"/>
      <x:c r="Q48" s="32"/>
      <x:c r="R48" s="32"/>
      <x:c r="S48" s="32"/>
      <x:c r="T48" s="43" t="str">
        <x:f>IFERROR(S48/L48,"")</x:f>
      </x:c>
      <x:c r="U48" s="32"/>
      <x:c r="V48" s="32"/>
      <x:c r="W48" s="32"/>
      <x:c r="X48" s="32"/>
      <x:c r="Y48" s="32"/>
      <x:c r="Z48" s="32"/>
      <x:c r="AA48" s="32"/>
      <x:c r="AB48" s="32"/>
      <x:c r="AC48" s="32"/>
      <x:c r="AD48" s="32"/>
      <x:c r="AE48" s="32"/>
      <x:c r="AF48" s="32"/>
      <x:c r="AG48" s="32"/>
      <x:c r="AH48" s="32"/>
      <x:c r="AI48" s="32"/>
      <x:c r="AJ48" s="32"/>
      <x:c r="AK48" s="32"/>
      <x:c r="AL48" s="32"/>
      <x:c r="AM48" s="32"/>
      <x:c r="AN48" s="32"/>
      <x:c r="AO48" s="32"/>
      <x:c r="AP48" s="32"/>
      <x:c r="AQ48" s="32"/>
      <x:c r="AR48" s="32"/>
      <x:c r="AS48" s="32"/>
      <x:c r="AT48" s="32"/>
      <x:c r="AU48" s="32"/>
      <x:c r="AV48" s="32"/>
      <x:c r="AW48" s="32"/>
      <x:c r="AX48" s="32"/>
      <x:c r="AZ48" s="32"/>
      <x:c r="BA48" s="32"/>
      <x:c r="BB48" s="32"/>
      <x:c r="BC48" s="32"/>
      <x:c r="BD48" s="32"/>
      <x:c r="BE48" s="32"/>
      <x:c r="BF48" s="32"/>
      <x:c r="BG48" s="32"/>
      <x:c r="BH48" s="32"/>
      <x:c r="BI48" s="32"/>
      <x:c r="BJ48" s="32"/>
      <x:c r="BK48" s="32"/>
      <x:c r="BL48" s="32"/>
      <x:c r="BM48" s="32"/>
    </x:row>
    <x:row r="49">
      <x:c r="A49" s="32"/>
      <x:c r="B49" s="32"/>
      <x:c r="C49" s="42"/>
      <x:c r="D49" s="32"/>
      <x:c r="E49" s="32"/>
      <x:c r="F49" s="32"/>
      <x:c r="G49" s="32"/>
      <x:c r="H49" s="32"/>
      <x:c r="I49" s="32"/>
      <x:c r="J49" s="32"/>
      <x:c r="K49" s="32"/>
      <x:c r="L49" s="32"/>
      <x:c r="M49" s="32"/>
      <x:c r="N49" s="32"/>
      <x:c r="O49" s="32"/>
      <x:c r="P49" s="32"/>
      <x:c r="Q49" s="32"/>
      <x:c r="R49" s="32"/>
      <x:c r="S49" s="32"/>
      <x:c r="T49" s="43" t="str">
        <x:f>IFERROR(S49/L49,"")</x:f>
      </x:c>
      <x:c r="U49" s="32"/>
      <x:c r="V49" s="32"/>
      <x:c r="W49" s="32"/>
      <x:c r="X49" s="32"/>
      <x:c r="Y49" s="32"/>
      <x:c r="Z49" s="32"/>
      <x:c r="AA49" s="32"/>
      <x:c r="AB49" s="32"/>
      <x:c r="AC49" s="32"/>
      <x:c r="AD49" s="32"/>
      <x:c r="AE49" s="32"/>
      <x:c r="AF49" s="32"/>
      <x:c r="AG49" s="32"/>
      <x:c r="AH49" s="32"/>
      <x:c r="AI49" s="32"/>
      <x:c r="AJ49" s="32"/>
      <x:c r="AK49" s="32"/>
      <x:c r="AL49" s="32"/>
      <x:c r="AM49" s="32"/>
      <x:c r="AN49" s="32"/>
      <x:c r="AO49" s="32"/>
      <x:c r="AP49" s="32"/>
      <x:c r="AQ49" s="32"/>
      <x:c r="AR49" s="32"/>
      <x:c r="AS49" s="32"/>
      <x:c r="AT49" s="32"/>
      <x:c r="AU49" s="32"/>
      <x:c r="AV49" s="32"/>
      <x:c r="AW49" s="32"/>
      <x:c r="AX49" s="32"/>
      <x:c r="AZ49" s="32"/>
      <x:c r="BA49" s="32"/>
      <x:c r="BB49" s="32"/>
      <x:c r="BC49" s="32"/>
      <x:c r="BD49" s="32"/>
      <x:c r="BE49" s="32"/>
      <x:c r="BF49" s="32"/>
      <x:c r="BG49" s="32"/>
      <x:c r="BH49" s="32"/>
      <x:c r="BI49" s="32"/>
      <x:c r="BJ49" s="32"/>
      <x:c r="BK49" s="32"/>
      <x:c r="BL49" s="32"/>
      <x:c r="BM49" s="32"/>
    </x:row>
    <x:row r="50">
      <x:c r="A50" s="32"/>
      <x:c r="B50" s="32"/>
      <x:c r="C50" s="42"/>
      <x:c r="D50" s="32"/>
      <x:c r="E50" s="32"/>
      <x:c r="F50" s="32"/>
      <x:c r="G50" s="32"/>
      <x:c r="H50" s="32"/>
      <x:c r="I50" s="32"/>
      <x:c r="J50" s="32"/>
      <x:c r="K50" s="32"/>
      <x:c r="L50" s="32"/>
      <x:c r="M50" s="32"/>
      <x:c r="N50" s="32"/>
      <x:c r="O50" s="32"/>
      <x:c r="P50" s="32"/>
      <x:c r="Q50" s="32"/>
      <x:c r="R50" s="32"/>
      <x:c r="S50" s="32"/>
      <x:c r="T50" s="43" t="str">
        <x:f>IFERROR(S50/L50,"")</x:f>
      </x:c>
      <x:c r="U50" s="32"/>
      <x:c r="V50" s="32"/>
      <x:c r="W50" s="32"/>
      <x:c r="X50" s="32"/>
      <x:c r="Y50" s="32"/>
      <x:c r="Z50" s="32"/>
      <x:c r="AA50" s="32"/>
      <x:c r="AB50" s="32"/>
      <x:c r="AC50" s="32"/>
      <x:c r="AD50" s="32"/>
      <x:c r="AE50" s="32"/>
      <x:c r="AF50" s="32"/>
      <x:c r="AG50" s="32"/>
      <x:c r="AH50" s="32"/>
      <x:c r="AI50" s="32"/>
      <x:c r="AJ50" s="32"/>
      <x:c r="AK50" s="32"/>
      <x:c r="AL50" s="32"/>
      <x:c r="AM50" s="32"/>
      <x:c r="AN50" s="32"/>
      <x:c r="AO50" s="32"/>
      <x:c r="AP50" s="32"/>
      <x:c r="AQ50" s="32"/>
      <x:c r="AR50" s="32"/>
      <x:c r="AS50" s="32"/>
      <x:c r="AT50" s="32"/>
      <x:c r="AU50" s="32"/>
      <x:c r="AV50" s="32"/>
      <x:c r="AW50" s="32"/>
      <x:c r="AX50" s="32"/>
      <x:c r="AZ50" s="32"/>
      <x:c r="BA50" s="32"/>
      <x:c r="BB50" s="32"/>
      <x:c r="BC50" s="32"/>
      <x:c r="BD50" s="32"/>
      <x:c r="BE50" s="32"/>
      <x:c r="BF50" s="32"/>
      <x:c r="BG50" s="32"/>
      <x:c r="BH50" s="32"/>
      <x:c r="BI50" s="32"/>
      <x:c r="BJ50" s="32"/>
      <x:c r="BK50" s="32"/>
      <x:c r="BL50" s="32"/>
      <x:c r="BM50" s="32"/>
    </x:row>
    <x:row r="51">
      <x:c r="A51" s="32"/>
      <x:c r="B51" s="32"/>
      <x:c r="C51" s="42"/>
      <x:c r="D51" s="32"/>
      <x:c r="E51" s="32"/>
      <x:c r="F51" s="32"/>
      <x:c r="G51" s="32"/>
      <x:c r="H51" s="32"/>
      <x:c r="I51" s="32"/>
      <x:c r="J51" s="32"/>
      <x:c r="K51" s="32"/>
      <x:c r="L51" s="32"/>
      <x:c r="M51" s="32"/>
      <x:c r="N51" s="32"/>
      <x:c r="O51" s="32"/>
      <x:c r="P51" s="32"/>
      <x:c r="Q51" s="32"/>
      <x:c r="R51" s="32"/>
      <x:c r="S51" s="32"/>
      <x:c r="T51" s="43" t="str">
        <x:f>IFERROR(S51/L51,"")</x:f>
      </x:c>
      <x:c r="U51" s="32"/>
      <x:c r="V51" s="32"/>
      <x:c r="W51" s="32"/>
      <x:c r="X51" s="32"/>
      <x:c r="Y51" s="32"/>
      <x:c r="Z51" s="32"/>
      <x:c r="AA51" s="32"/>
      <x:c r="AB51" s="32"/>
      <x:c r="AC51" s="32"/>
      <x:c r="AD51" s="32"/>
      <x:c r="AE51" s="32"/>
      <x:c r="AF51" s="32"/>
      <x:c r="AG51" s="32"/>
      <x:c r="AH51" s="32"/>
      <x:c r="AI51" s="32"/>
      <x:c r="AJ51" s="32"/>
      <x:c r="AK51" s="32"/>
      <x:c r="AL51" s="32"/>
      <x:c r="AM51" s="32"/>
      <x:c r="AN51" s="32"/>
      <x:c r="AO51" s="32"/>
      <x:c r="AP51" s="32"/>
      <x:c r="AQ51" s="32"/>
      <x:c r="AR51" s="32"/>
      <x:c r="AS51" s="32"/>
      <x:c r="AT51" s="32"/>
      <x:c r="AU51" s="32"/>
      <x:c r="AV51" s="32"/>
      <x:c r="AW51" s="32"/>
      <x:c r="AX51" s="32"/>
      <x:c r="AZ51" s="32"/>
      <x:c r="BA51" s="32"/>
      <x:c r="BB51" s="32"/>
      <x:c r="BC51" s="32"/>
      <x:c r="BD51" s="32"/>
      <x:c r="BE51" s="32"/>
      <x:c r="BF51" s="32"/>
      <x:c r="BG51" s="32"/>
      <x:c r="BH51" s="32"/>
      <x:c r="BI51" s="32"/>
      <x:c r="BJ51" s="32"/>
      <x:c r="BK51" s="32"/>
      <x:c r="BL51" s="32"/>
      <x:c r="BM51" s="32"/>
    </x:row>
    <x:row r="52">
      <x:c r="A52" s="32"/>
      <x:c r="B52" s="32"/>
      <x:c r="C52" s="42"/>
      <x:c r="D52" s="32"/>
      <x:c r="E52" s="32"/>
      <x:c r="F52" s="32"/>
      <x:c r="G52" s="32"/>
      <x:c r="H52" s="32"/>
      <x:c r="I52" s="32"/>
      <x:c r="J52" s="32"/>
      <x:c r="K52" s="32"/>
      <x:c r="L52" s="32"/>
      <x:c r="M52" s="32"/>
      <x:c r="N52" s="32"/>
      <x:c r="O52" s="32"/>
      <x:c r="P52" s="32"/>
      <x:c r="Q52" s="32"/>
      <x:c r="R52" s="32"/>
      <x:c r="S52" s="32"/>
      <x:c r="T52" s="43" t="str">
        <x:f>IFERROR(S52/L52,"")</x:f>
      </x:c>
      <x:c r="U52" s="32"/>
      <x:c r="V52" s="32"/>
      <x:c r="W52" s="32"/>
      <x:c r="X52" s="32"/>
      <x:c r="Y52" s="32"/>
      <x:c r="Z52" s="32"/>
      <x:c r="AA52" s="32"/>
      <x:c r="AB52" s="32"/>
      <x:c r="AC52" s="32"/>
      <x:c r="AD52" s="32"/>
      <x:c r="AE52" s="32"/>
      <x:c r="AF52" s="32"/>
      <x:c r="AG52" s="32"/>
      <x:c r="AH52" s="32"/>
      <x:c r="AI52" s="32"/>
      <x:c r="AJ52" s="32"/>
      <x:c r="AK52" s="32"/>
      <x:c r="AL52" s="32"/>
      <x:c r="AM52" s="32"/>
      <x:c r="AN52" s="32"/>
      <x:c r="AO52" s="32"/>
      <x:c r="AP52" s="32"/>
      <x:c r="AQ52" s="32"/>
      <x:c r="AR52" s="32"/>
      <x:c r="AS52" s="32"/>
      <x:c r="AT52" s="32"/>
      <x:c r="AU52" s="32"/>
      <x:c r="AV52" s="32"/>
      <x:c r="AW52" s="32"/>
      <x:c r="AX52" s="32"/>
      <x:c r="AZ52" s="32"/>
      <x:c r="BA52" s="32"/>
      <x:c r="BB52" s="32"/>
      <x:c r="BC52" s="32"/>
      <x:c r="BD52" s="32"/>
      <x:c r="BE52" s="32"/>
      <x:c r="BF52" s="32"/>
      <x:c r="BG52" s="32"/>
      <x:c r="BH52" s="32"/>
      <x:c r="BI52" s="32"/>
      <x:c r="BJ52" s="32"/>
      <x:c r="BK52" s="32"/>
      <x:c r="BL52" s="32"/>
      <x:c r="BM52" s="32"/>
    </x:row>
    <x:row r="53">
      <x:c r="A53" s="32"/>
      <x:c r="B53" s="32"/>
      <x:c r="C53" s="42"/>
      <x:c r="D53" s="32"/>
      <x:c r="E53" s="32"/>
      <x:c r="F53" s="32"/>
      <x:c r="G53" s="32"/>
      <x:c r="H53" s="32"/>
      <x:c r="I53" s="32"/>
      <x:c r="J53" s="32"/>
      <x:c r="K53" s="32"/>
      <x:c r="L53" s="32"/>
      <x:c r="M53" s="32"/>
      <x:c r="N53" s="32"/>
      <x:c r="O53" s="32"/>
      <x:c r="P53" s="32"/>
      <x:c r="Q53" s="32"/>
      <x:c r="R53" s="32"/>
      <x:c r="S53" s="32"/>
      <x:c r="T53" s="43" t="str">
        <x:f>IFERROR(S53/L53,"")</x:f>
      </x:c>
      <x:c r="U53" s="32"/>
      <x:c r="V53" s="32"/>
      <x:c r="W53" s="32"/>
      <x:c r="X53" s="32"/>
      <x:c r="Y53" s="32"/>
      <x:c r="Z53" s="32"/>
      <x:c r="AA53" s="32"/>
      <x:c r="AB53" s="32"/>
      <x:c r="AC53" s="32"/>
      <x:c r="AD53" s="32"/>
      <x:c r="AE53" s="32"/>
      <x:c r="AF53" s="32"/>
      <x:c r="AG53" s="32"/>
      <x:c r="AH53" s="32"/>
      <x:c r="AI53" s="32"/>
      <x:c r="AJ53" s="32"/>
      <x:c r="AK53" s="32"/>
      <x:c r="AL53" s="32"/>
      <x:c r="AM53" s="32"/>
      <x:c r="AN53" s="32"/>
      <x:c r="AO53" s="32"/>
      <x:c r="AP53" s="32"/>
      <x:c r="AQ53" s="32"/>
      <x:c r="AR53" s="32"/>
      <x:c r="AS53" s="32"/>
      <x:c r="AT53" s="32"/>
      <x:c r="AU53" s="32"/>
      <x:c r="AV53" s="32"/>
      <x:c r="AW53" s="32"/>
      <x:c r="AX53" s="32"/>
      <x:c r="AZ53" s="32"/>
      <x:c r="BA53" s="32"/>
      <x:c r="BB53" s="32"/>
      <x:c r="BC53" s="32"/>
      <x:c r="BD53" s="32"/>
      <x:c r="BE53" s="32"/>
      <x:c r="BF53" s="32"/>
      <x:c r="BG53" s="32"/>
      <x:c r="BH53" s="32"/>
      <x:c r="BI53" s="32"/>
      <x:c r="BJ53" s="32"/>
      <x:c r="BK53" s="32"/>
      <x:c r="BL53" s="32"/>
      <x:c r="BM53" s="32"/>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t="str">
        <x:v>F-D010-001</x:v>
      </x:c>
      <x:c r="B85" s="32" t="str">
        <x:v>550948d8-3846-4cce-9f7b-29ed40bef027</x:v>
      </x:c>
      <x:c r="C85" s="32" t="str">
        <x:v>D-010</x:v>
      </x:c>
      <x:c r="D85" s="32" t="n">
        <x:v>46261.8564</x:v>
      </x:c>
      <x:c r="E85" s="32" t="str">
        <x:v>Harness false negative — stale-target durable serialization/adjudication</x:v>
      </x:c>
      <x:c r="F85" s="32" t="str">
        <x:v>Info</x:v>
      </x:c>
      <x:c r="G85" s="32" t="str">
        <x:v>El product path D-010 produjo exactamente la semántica esperada, pero el metrics builder devolvió FAIL por dos supuestos de serialización que no corresponden al WAL real.</x:v>
      </x:c>
      <x:c r="H85" s="32" t="str">
        <x:v>WAL independiente: 400 records / 4,037,700 bytes = 100 bootstrap + 100 request + 100 adoption + 100 decision; 100 CLOSED con closure_reason=configuration_removed; 100 ManagementEffect STARTED/CLEARED; 100 STALE_TARGET journeys co-localizados con sus Decision receipts; 0 APPLIED/DeactivationEffect; 0 duplicate commits/chains/snapshot mismatches; 900 alarmas finales. Harness reportó closure count=0 y wrong correlation=100.</x:v>
      </x:c>
      <x:c r="I85" s="32" t="str">
        <x:v>El builder comparaba closure_reason con `CONFIGURATION_REMOVED` y esperaba `journey_event.discriminator`, campo que no existe en la serialización durable. La correlación se reconstruye sin ambigüedad por receipt+jornada en el mismo engine commit/priority group y luego contra el request original.</x:v>
      </x:c>
      <x:c r="J85" s="32" t="str">
        <x:v>Aplicar harness 0.1.6 y repetir gate + una corrida limpia. No abrir finding de producto; no cerrar D-010 hasta que el adjudicador corregido devuelva PASS.</x:v>
      </x:c>
      <x:c r="K85" s="32" t="str">
        <x:v>Accepted</x:v>
      </x:c>
      <x:c r="L85" s="32" t="str">
        <x:v>DEC-R35-076</x:v>
      </x:c>
    </x:row>
    <x:row r="86">
      <x:c r="A86" s="32" t="str">
        <x:v>F-D010-002</x:v>
      </x:c>
      <x:c r="B86" s="32" t="str">
        <x:v>24b97fa3-80b4-4f25-bab1-ca074d05590c</x:v>
      </x:c>
      <x:c r="C86" s="32" t="str">
        <x:v>D-010</x:v>
      </x:c>
      <x:c r="D86" s="32" t="n">
        <x:v>46261.874925032236</x:v>
      </x:c>
      <x:c r="E86" s="32" t="str">
        <x:v>Configuration adoption single-iteration overrun</x:v>
      </x:c>
      <x:c r="F86" s="32" t="str">
        <x:v>Info</x:v>
      </x:c>
      <x:c r="G86" s="32" t="str">
        <x:v>La adopción real PERF-AC-2 removiendo 100 targets produjo el único overrun del run final D-010; la iteración de adoption tomó 5499.03 ms sobre un periodo objetivo de 5 s.</x:v>
      </x:c>
      <x:c r="H86" s="32" t="str">
        <x:v>Iteration 13: adoption_outcome=adopted, revision_origin=source_candidate, cycle_executed=false, 100 commits / 663,800 bytes, duration=5499.03 ms, CPU de la muestra≈13.46%. El resto de las iteraciones de trabajo relevantes quedaron ~1.60–1.71 s; p95 global=1670.58 ms; overrun ratio=1/37=2.70%; performance_class=GREEN; 0 errores de integridad/durabilidad.</x:v>
      </x:c>
      <x:c r="I86" s="32" t="str">
        <x:v>Es una observación aislada de la frontera de Configuration Adoption, no evidencia de saturación sostenida. Dado que R3.5E profundiza precisamente en adoption, conviene conservar 5499 ms como punto de referencia y observar si reaparece bajo E-001/E-003 antes de elevarlo a finding de performance.</x:v>
      </x:c>
      <x:c r="J86" s="32" t="str">
        <x:v>Cerrar D-010 PASS/GREEN y llevar esta caracterización a R3.5E; no abrir finding de producto.</x:v>
      </x:c>
      <x:c r="K86" s="32" t="str">
        <x:v>Accepted</x:v>
      </x:c>
      <x:c r="L86" s="32" t="str">
        <x:v>DEC-R35-077</x:v>
      </x:c>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Accepted</x:v>
      </x:c>
      <x:c r="I73" s="32" t="str">
        <x:v>Implementar D-010 con adoption real, gate STALE_TARGET y ejecutar Python 3.14.2 + UV.</x:v>
      </x:c>
    </x:row>
    <x:row r="74">
      <x:c r="A74" s="32" t="str">
        <x:v>DEC-R35-070</x:v>
      </x:c>
      <x:c r="B74" s="32" t="n">
        <x:v>46261.82</x:v>
      </x:c>
      <x:c r="C74" s="32" t="str">
        <x:v>R3.5D Management / Decisions</x:v>
      </x:c>
      <x:c r="D74" s="32" t="str">
        <x:v>Liberar D-010 harness 0.1.0 para late Decision after configuration removal, usando el resolver y Configuration Adoption executor reales.</x:v>
      </x:c>
      <x:c r="E74" s="32" t="str">
        <x:v>El harness añade un source de inputs stale-target y un source de revisión programada. PERF-AC-2 se construye con 900 alarmas removiendo exactamente el primer slot de perf-group-001..100, sin compactar índices de parámetros. A +60 el resolver adopta esa revisión por el flujo productivo. El gate secundario se fijó desde el contrato real: 100 occurrence CLOSED/CONFIGURATION_REMOVED y 100 ManagementEffect CLEARED. A +90 cada Decision original debe producir exactamente STALE_TARGET; se exige un journey stale por decision y se prohíbe cualquier DeactivationEffect.</x:v>
      </x:c>
      <x:c r="F74" s="32" t="str">
        <x:v>D-009 PASS/GREEN; DEC-R35-069; Core STALE_TARGET contract; configuration adoption executor; D-010 harness patch 0.1.0</x:v>
      </x:c>
      <x:c r="G74" s="32" t="str">
        <x:v>Cambio exclusivamente de harness. No se hardcodean assignment changes porque removal quita el target antes de routing y ese conteo no forma parte del contrato primario. El WAL sí tiene forma exacta para este run corto: 400 commits esperados. Core, Persistence y Runtime no se modifican.</x:v>
      </x:c>
      <x:c r="H74" s="32" t="str">
        <x:v>Accepted</x:v>
      </x:c>
      <x:c r="I74" s="32" t="str">
        <x:v>Ejecutar Ruff/format y suite completa Python 3.14.2 + UV. Si queda 290/290, correr D-010 limpio por 180 s.</x:v>
      </x:c>
    </x:row>
    <x:row r="75">
      <x:c r="A75" s="32" t="str">
        <x:v>DEC-R35-071</x:v>
      </x:c>
      <x:c r="B75" s="32" t="n">
        <x:v>46261.84</x:v>
      </x:c>
      <x:c r="C75" s="32" t="str">
        <x:v>R3.5D Management / Decisions</x:v>
      </x:c>
      <x:c r="D75" s="32" t="str">
        <x:v>Corregir exclusivamente el empaquetado de D-010 de 0.1.0 a 0.1.1: restaurar el prefijo stage-relative `scopes/ada/processes/alarms-runtime/` en los 7 archivos del patch.</x:v>
      </x:c>
      <x:c r="E75" s="32" t="str">
        <x:v>El gate 0.1.0 mostró Ruff/format verdes pero sólo 286 tests, exactamente el suite D-009. Auditoría del ZIP confirmó que las 4 pruebas D-010 sí estaban presentes, pero bajo `tests/...` en la raíz del archivo; al aplicar desde `atlanticus-stage` no modificaron el paquete real. D-009 0.1.0 sí tenía el prefijo correcto. El patch 0.1.1 conserva byte-a-byte los 7 payloads y cambia únicamente sus rutas dentro del ZIP.</x:v>
      </x:c>
      <x:c r="F75" s="32" t="str">
        <x:v>D-010 gate attempt 286 passed in 11.41 s; archive inspection 0.1.0 vs D-009; patch 0.1.1</x:v>
      </x:c>
      <x:c r="G75" s="32" t="str">
        <x:v>No se abre finding de producto ni se cambia el harness. Deben eliminarse los directorios raíz `performance/` y `tests/` creados accidentalmente por 0.1.0 antes de aplicar 0.1.1.</x:v>
      </x:c>
      <x:c r="H75" s="32" t="str">
        <x:v>Accepted</x:v>
      </x:c>
      <x:c r="I75" s="32" t="str">
        <x:v>Aplicar 0.1.1 desde atlanticus-stage y repetir el mismo gate; resultado esperado 290/290.</x:v>
      </x:c>
    </x:row>
    <x:row r="76">
      <x:c r="A76" s="32" t="str">
        <x:v>DEC-R35-072</x:v>
      </x:c>
      <x:c r="B76" s="32" t="n">
        <x:v>46261.845</x:v>
      </x:c>
      <x:c r="C76" s="32" t="str">
        <x:v>R3.5D Management / Decisions</x:v>
      </x:c>
      <x:c r="D76" s="32" t="str">
        <x:v>Corregir D-010 harness de 0.1.1 a 0.1.2 para preparar iteration.as_of también en StaleTargetDeactivationInputSource antes del primer read_after de bootstrap.</x:v>
      </x:c>
      <x:c r="E76" s="32" t="str">
        <x:v>El run 93dc873a-4511-4bcd-9f8c-3e7e0ee932db falló en la primera iteración antes de producir trabajo. PerformanceAlarmDurableInputConsumer.execute ya invocaba prepare_iteration para Sustained request/decision, Inverted y Mixed, pero omitía StaleTarget. La clase StaleTarget ya implementaba correctamente prepare_iteration y exigía ese valor en read_after. El fix agrega la clase al mismo dispatch y una regresión que verifica el orden prepare_iteration → AlarmDurableInputConsumer.execute durante bootstrap.</x:v>
      </x:c>
      <x:c r="F76" s="32" t="str">
        <x:v>D-010 failed workload attempt 93dc873a-4511-4bcd-9f8c-3e7e0ee932db; baseline.py line 3343/2607; patch 0.1.2</x:v>
      </x:c>
      <x:c r="G76" s="32" t="str">
        <x:v>Harness-only. No Core, Persistence, Runtime, revision resolver ni adoption executor se modifica. El intento fallido no constituye resultado funcional D-010 porque terminó con iterations=0/work=0. Expected full suite after one new regression: 291.</x:v>
      </x:c>
      <x:c r="H76" s="32" t="str">
        <x:v>Accepted</x:v>
      </x:c>
      <x:c r="I76" s="32" t="str">
        <x:v>Aplicar 0.1.2 sobre 0.1.1, repetir Ruff/format/pytest y sólo con 291/291 relanzar D-010 desde volumen limpio.</x:v>
      </x:c>
    </x:row>
    <x:row r="77">
      <x:c r="A77" s="32" t="str">
        <x:v>DEC-R35-073</x:v>
      </x:c>
      <x:c r="B77" s="32" t="n">
        <x:v>46261.855</x:v>
      </x:c>
      <x:c r="C77" s="32" t="str">
        <x:v>R3.5D Management / Decisions</x:v>
      </x:c>
      <x:c r="D77" s="32" t="str">
        <x:v>Corregir D-010 harness de 0.1.2 a 0.1.3 para excluir stale-target del runner multi-decision two-phase y mantener D-010 en la ejecución single-run prevista.</x:v>
      </x:c>
      <x:c r="E77" s="32" t="str">
        <x:v>El segundo intento D-010 avanzó correctamente por bootstrap, request burst y adoption real, pero `main()` evaluó sólo multi-decision + not inverted + not mixed y por eso eligió `_run_sustained_deactivation_decisions`. D-010 tiene count=100 y stale-target=true, por lo que esa selección era incorrecta. 0.1.3 encapsula el contrato de routing y exige además `not has_stale_target_deactivation_pressure`. La regresión verifica D-010=false y D-007=true para el runner two-phase.</x:v>
      </x:c>
      <x:c r="F77" s="32" t="str">
        <x:v>D-010 attempts 6b806d0b... / 12f1d6f4...; run.py main routing condition; patch 0.1.3</x:v>
      </x:c>
      <x:c r="G77" s="32" t="str">
        <x:v>Harness-only. No Core, Persistence, Runtime, input source, metrics ni adoption se modifica. El intento no se adjudica porque terminó en el builder de métricas incorrecto después de ejecutar dos runs.</x:v>
      </x:c>
      <x:c r="H77" s="32" t="str">
        <x:v>Accepted</x:v>
      </x:c>
      <x:c r="I77" s="32" t="str">
        <x:v>Aplicar 0.1.3 sobre 0.1.2, repetir Ruff/format/pytest y sólo con 292/292 relanzar D-010 desde volumen limpio.</x:v>
      </x:c>
    </x:row>
    <x:row r="78">
      <x:c r="A78" s="32" t="str">
        <x:v>DEC-R35-074</x:v>
      </x:c>
      <x:c r="B78" s="32" t="n">
        <x:v>46261.86</x:v>
      </x:c>
      <x:c r="C78" s="32" t="str">
        <x:v>R3.5D Management / Decisions</x:v>
      </x:c>
      <x:c r="D78" s="32" t="str">
        <x:v>Corregir exclusivamente el fixture de la regresión de routing D-010/D-007 en harness 0.1.4; mantener sin cambios la implementación de routing 0.1.3.</x:v>
      </x:c>
      <x:c r="E78" s="32" t="str">
        <x:v>El gate 0.1.3 llegó a 290 PASS y 1 FAIL. El FAIL ocurrió antes del assertion: ambos BaselineScenario de la regresión omitían `data_profile=latest-narrow` a pesar de habilitar Management pressure. Se agregan a ambos fixtures los parámetros canónicos data_refresh=10, latest-narrow, physical_partition_count=36 y balanced layout. El test count no cambia.</x:v>
      </x:c>
      <x:c r="F78" s="32" t="str">
        <x:v>D-010 0.1.3 gate: 1 failed / 290 passed; traceback BaselineScenario.__post_init__; patch 0.1.4</x:v>
      </x:c>
      <x:c r="G78" s="32" t="str">
        <x:v>Test-only. No production code, Core, Persistence, Runtime, source, metrics, resolver ni adoption cambian. El routing fix 0.1.3 sigue siendo el código bajo validación.</x:v>
      </x:c>
      <x:c r="H78" s="32" t="str">
        <x:v>Accepted</x:v>
      </x:c>
      <x:c r="I78" s="32" t="str">
        <x:v>Aplicar 0.1.4 sobre 0.1.3 y repetir Ruff/format/pytest; esperado 292/292 antes de relanzar D-010.</x:v>
      </x:c>
    </x:row>
    <x:row r="79">
      <x:c r="A79" s="32" t="str">
        <x:v>DEC-R35-075</x:v>
      </x:c>
      <x:c r="B79" s="32" t="n">
        <x:v>46261.865</x:v>
      </x:c>
      <x:c r="C79" s="32" t="str">
        <x:v>R3.5D Management / Decisions</x:v>
      </x:c>
      <x:c r="D79" s="32" t="str">
        <x:v>Restaurar en D-010 harness 0.1.5 la regresión bootstrap de 0.1.2 que se perdió al construir el test payload 0.1.3, manteniendo simultáneamente la regresión de routing corregida por 0.1.4.</x:v>
      </x:c>
      <x:c r="E79" s="32" t="str">
        <x:v>Comparación directa de los ZIP: 0.1.2 tenía 91 funciones test e incluía `test_stale_target_consumer_prepares_iteration_as_of_before_bootstrap_read`; 0.1.3 también tenía 91 porque agregó `test_stale_target_scenario_routes_to_single_execution_not_two_phase` pero eliminó accidentalmente la regresión bootstrap. 0.1.4 corrigió el fixture de routing y sus 291 tests pasaron, validando ese routing. 0.1.5 restaura exactamente la prueba bootstrap, elevando el archivo a 92 funciones test.</x:v>
      </x:c>
      <x:c r="F79" s="32" t="str">
        <x:v>D-010 0.1.4 gate: 291 passed in 3.52 s; direct ZIP diff 0.1.2→0.1.3→0.1.4; patch 0.1.5</x:v>
      </x:c>
      <x:c r="G79" s="32" t="str">
        <x:v>Test-only. No production code cambia. Clock fix 0.1.2 y routing fix 0.1.3 permanecen intactos. Este incremento corrige cobertura acumulativa, no comportamiento.</x:v>
      </x:c>
      <x:c r="H79" s="32" t="str">
        <x:v>Accepted</x:v>
      </x:c>
      <x:c r="I79" s="32" t="str">
        <x:v>Aplicar 0.1.5 sobre 0.1.4 y repetir gate; esperado verdadero 292/292 antes de relanzar D-010.</x:v>
      </x:c>
    </x:row>
    <x:row r="80">
      <x:c r="A80" s="32" t="str">
        <x:v>DEC-R35-076</x:v>
      </x:c>
      <x:c r="B80" s="32" t="n">
        <x:v>46261.8568</x:v>
      </x:c>
      <x:c r="C80" s="32" t="str">
        <x:v>R3.5D Management / Decisions</x:v>
      </x:c>
      <x:c r="D80" s="32" t="str">
        <x:v>Clasificar el FAIL del run D-010 550948d8... como falso negativo del harness y liberar 0.1.6 para alinear la adjudicación con la serialización durable real.</x:v>
      </x:c>
      <x:c r="E80" s="32" t="str">
        <x:v>Auditoría independiente reconstruyó 100/100 request→configuration removal→STALE_TARGET chains sin errores. OccurrenceChange persiste `closure_reason=configuration_removed`, no uppercase. El stale journey no serializa `discriminator`; cada commit decision contiene exactamente un DEACTIVATION_DECISION receipt y un `deactivation_decision_stale_target` journey del mismo alarm/occurrence/priority group. 0.1.6 usa esas dos propiedades reales para contar closures y correlacionar.</x:v>
      </x:c>
      <x:c r="F80" s="32" t="str">
        <x:v>Run 550948d8-3846-4cce-9f7b-29ed40bef027; independent WAL/snapshot audit; F-D010-001; patch 0.1.6</x:v>
      </x:c>
      <x:c r="G80" s="32" t="str">
        <x:v>Harness-only adjudication fix. No Core, Persistence, Runtime, source, revision resolver ni adoption executor cambia. Este run es evidencia de producto GREEN, pero D-010 permanece abierto hasta un rerun PASS del harness.</x:v>
      </x:c>
      <x:c r="H80" s="32" t="str">
        <x:v>Accepted</x:v>
      </x:c>
      <x:c r="I80" s="32" t="str">
        <x:v>Aplicar 0.1.6, repetir suite 292/292 y ejecutar una confirmación D-010 limpia de 180 s.</x:v>
      </x:c>
    </x:row>
    <x:row r="81">
      <x:c r="A81" s="32" t="str">
        <x:v>DEC-R35-077</x:v>
      </x:c>
      <x:c r="B81" s="32" t="n">
        <x:v>46261.8751</x:v>
      </x:c>
      <x:c r="C81" s="32" t="str">
        <x:v>R3.5D Management / Decisions</x:v>
      </x:c>
      <x:c r="D81" s="32" t="str">
        <x:v>Cerrar D-010 como PASS/GREEN y cerrar R3.5D 10/10 tras gate 0.1.6 292/292, run autoritativo PASS y auditoría durable independiente convergente.</x:v>
      </x:c>
      <x:c r="E81" s="32" t="str">
        <x:v>Run 24b97fa3-80b4-4f25-bab1-ca074d05590c: 100 PENDING_APPROVAL, 100 configuration_removed closures, 100 ManagementEffect STARTED/CLEARED, 100 STALE_TARGET, 0 APPLIED/DeactivationEffect, exact cursors 25600/25600 y pending=0/0/0. WAL=400 / 4,037,700 B with 100 groups × 4 records, 0 duplicate commits, 0 chain/snapshot mismatches, final 900 alarms and durable==materialized. One 5499.03 ms adoption overrun is accepted as Info characterization because correctness is exact and performance class remains GREEN.</x:v>
      </x:c>
      <x:c r="F81" s="32" t="str">
        <x:v>D-010 run 24b97fa3-80b4-4f25-bab1-ca074d05590c; harness 0.1.6 gate 292/292; F-D010-001; F-D010-002; results ZIP sha256 8cb8733c...; work ZIP sha256 43ff5feac...</x:v>
      </x:c>
      <x:c r="G81" s="32" t="str">
        <x:v>No open product finding remains in R3.5D. The adoption overrun becomes a reference point for R3.5E rather than a blocker. R3.5D Management/Decisions is complete 10/10.</x:v>
      </x:c>
      <x:c r="H81" s="32" t="str">
        <x:v>Accepted</x:v>
      </x:c>
      <x:c r="I81" s="32" t="str">
        <x:v>Begin R3.5E with E-001 Parameter-only adoption design; explicitly observe adoption duration against D-010.</x:v>
      </x:c>
    </x:row>
    <x:row r="82">
      <x:c r="A82" s="32"/>
      <x:c r="B82" s="32"/>
      <x:c r="C82" s="32"/>
      <x:c r="D82" s="32"/>
      <x:c r="E82" s="32"/>
      <x:c r="F82" s="32"/>
      <x:c r="G82" s="32"/>
      <x:c r="H82" s="32"/>
      <x:c r="I82" s="32"/>
    </x:row>
    <x:row r="83">
      <x:c r="A83" s="32"/>
      <x:c r="B83" s="32"/>
      <x:c r="C83" s="32"/>
      <x:c r="D83" s="32"/>
      <x:c r="E83" s="32"/>
      <x:c r="F83" s="32"/>
      <x:c r="G83" s="32"/>
      <x:c r="H83" s="32"/>
      <x:c r="I83" s="32"/>
    </x:row>
    <x:row r="84">
      <x:c r="A84" s="32"/>
      <x:c r="B84" s="32"/>
      <x:c r="C84" s="32"/>
      <x:c r="D84" s="32"/>
      <x:c r="E84" s="32"/>
      <x:c r="F84" s="32"/>
      <x:c r="G84" s="32"/>
      <x:c r="H84" s="32"/>
      <x:c r="I84" s="32"/>
    </x:row>
    <x:row r="85">
      <x:c r="A85" s="32"/>
      <x:c r="B85" s="32"/>
      <x:c r="C85" s="32"/>
      <x:c r="D85" s="32"/>
      <x:c r="E85" s="32"/>
      <x:c r="F85" s="32"/>
      <x:c r="G85" s="32"/>
      <x:c r="H85" s="32"/>
      <x:c r="I85" s="32"/>
    </x:row>
    <x:row r="86">
      <x:c r="A86" s="32"/>
      <x:c r="B86" s="32"/>
      <x:c r="C86" s="32"/>
      <x:c r="D86" s="32"/>
      <x:c r="E86" s="32"/>
      <x:c r="F86" s="32"/>
      <x:c r="G86" s="32"/>
      <x:c r="H86" s="32"/>
      <x:c r="I86" s="32"/>
    </x:row>
    <x:row r="87">
      <x:c r="A87" s="32"/>
      <x:c r="B87" s="32"/>
      <x:c r="C87" s="32"/>
      <x:c r="D87" s="32"/>
      <x:c r="E87" s="32"/>
      <x:c r="F87" s="32"/>
      <x:c r="G87" s="32"/>
      <x:c r="H87" s="32"/>
      <x:c r="I87" s="32"/>
    </x:row>
    <x:row r="88">
      <x:c r="A88" s="32"/>
      <x:c r="B88" s="32"/>
      <x:c r="C88" s="32"/>
      <x:c r="D88" s="32"/>
      <x:c r="E88" s="32"/>
      <x:c r="F88" s="32"/>
      <x:c r="G88" s="32"/>
      <x:c r="H88" s="32"/>
      <x:c r="I88" s="32"/>
    </x:row>
    <x:row r="89">
      <x:c r="A89" s="32"/>
      <x:c r="B89" s="32"/>
      <x:c r="C89" s="32"/>
      <x:c r="D89" s="32"/>
      <x:c r="E89" s="32"/>
      <x:c r="F89" s="32"/>
      <x:c r="G89" s="32"/>
      <x:c r="H89" s="32"/>
      <x:c r="I89" s="32"/>
    </x:row>
    <x:row r="90">
      <x:c r="A90" s="32"/>
      <x:c r="B90" s="32"/>
      <x:c r="C90" s="32"/>
      <x:c r="D90" s="32"/>
      <x:c r="E90" s="32"/>
      <x:c r="F90" s="32"/>
      <x:c r="G90" s="32"/>
      <x:c r="H90" s="32"/>
      <x:c r="I90" s="32"/>
    </x:row>
    <x:row r="91">
      <x:c r="A91" s="32"/>
      <x:c r="B91" s="32"/>
      <x:c r="C91" s="32"/>
      <x:c r="D91" s="32"/>
      <x:c r="E91" s="32"/>
      <x:c r="F91" s="32"/>
      <x:c r="G91" s="32"/>
      <x:c r="H91" s="32"/>
      <x:c r="I91" s="32"/>
    </x:row>
    <x:row r="92">
      <x:c r="A92" s="32"/>
      <x:c r="B92" s="32"/>
      <x:c r="C92" s="32"/>
      <x:c r="D92" s="32"/>
      <x:c r="E92" s="32"/>
      <x:c r="F92" s="32"/>
      <x:c r="G92" s="32"/>
      <x:c r="H92" s="32"/>
      <x:c r="I92" s="32"/>
    </x:row>
    <x:row r="93">
      <x:c r="A93" s="32"/>
      <x:c r="B93" s="32"/>
      <x:c r="C93" s="32"/>
      <x:c r="D93" s="32"/>
      <x:c r="E93" s="32"/>
      <x:c r="F93" s="32"/>
      <x:c r="G93" s="32"/>
      <x:c r="H93" s="32"/>
      <x:c r="I93" s="32"/>
    </x:row>
    <x:row r="94">
      <x:c r="A94" s="32"/>
      <x:c r="B94" s="32"/>
      <x:c r="C94" s="32"/>
      <x:c r="D94" s="32"/>
      <x:c r="E94" s="32"/>
      <x:c r="F94" s="32"/>
      <x:c r="G94" s="32"/>
      <x:c r="H94" s="32"/>
      <x:c r="I94" s="32"/>
    </x:row>
    <x:row r="95">
      <x:c r="A95" s="32"/>
      <x:c r="B95" s="32"/>
      <x:c r="C95" s="32"/>
      <x:c r="D95" s="32"/>
      <x:c r="E95" s="32"/>
      <x:c r="F95" s="32"/>
      <x:c r="G95" s="32"/>
      <x:c r="H95" s="32"/>
      <x:c r="I95" s="32"/>
    </x:row>
    <x:row r="96">
      <x:c r="A96" s="32"/>
      <x:c r="B96" s="32"/>
      <x:c r="C96" s="32"/>
      <x:c r="D96" s="32"/>
      <x:c r="E96" s="32"/>
      <x:c r="F96" s="32"/>
      <x:c r="G96" s="32"/>
      <x:c r="H96" s="32"/>
      <x:c r="I96" s="32"/>
    </x:row>
    <x:row r="97">
      <x:c r="A97" s="32"/>
      <x:c r="B97" s="32"/>
      <x:c r="C97" s="32"/>
      <x:c r="D97" s="32"/>
      <x:c r="E97" s="32"/>
      <x:c r="F97" s="32"/>
      <x:c r="G97" s="32"/>
      <x:c r="H97" s="32"/>
      <x:c r="I97" s="32"/>
    </x:row>
    <x:row r="98">
      <x:c r="A98" s="32"/>
      <x:c r="B98" s="32"/>
      <x:c r="C98" s="32"/>
      <x:c r="D98" s="32"/>
      <x:c r="E98" s="32"/>
      <x:c r="F98" s="32"/>
      <x:c r="G98" s="32"/>
      <x:c r="H98" s="32"/>
      <x:c r="I98" s="32"/>
    </x:row>
    <x:row r="99">
      <x:c r="A99" s="32"/>
      <x:c r="B99" s="32"/>
      <x:c r="C99" s="32"/>
      <x:c r="D99" s="32"/>
      <x:c r="E99" s="32"/>
      <x:c r="F99" s="32"/>
      <x:c r="G99" s="32"/>
      <x:c r="H99" s="32"/>
      <x:c r="I99" s="32"/>
    </x:row>
    <x:row r="100">
      <x:c r="A100" s="32"/>
      <x:c r="B100" s="32"/>
      <x:c r="C100" s="32"/>
      <x:c r="D100" s="32"/>
      <x:c r="E100" s="32"/>
      <x:c r="F100" s="32"/>
      <x:c r="G100" s="32"/>
      <x:c r="H100" s="32"/>
      <x:c r="I100" s="32"/>
    </x:row>
    <x:row r="101">
      <x:c r="A101" s="32"/>
      <x:c r="B101" s="32"/>
      <x:c r="C101" s="32"/>
      <x:c r="D101" s="32"/>
      <x:c r="E101" s="32"/>
      <x:c r="F101" s="32"/>
      <x:c r="G101" s="32"/>
      <x:c r="H101" s="32"/>
      <x:c r="I101" s="32"/>
    </x:row>
    <x:row r="102">
      <x:c r="A102" s="32"/>
      <x:c r="B102" s="32"/>
      <x:c r="C102" s="32"/>
      <x:c r="D102" s="32"/>
      <x:c r="E102" s="32"/>
      <x:c r="F102" s="32"/>
      <x:c r="G102" s="32"/>
      <x:c r="H102" s="32"/>
      <x:c r="I102" s="32"/>
    </x:row>
    <x:row r="103">
      <x:c r="A103" s="32"/>
      <x:c r="B103" s="32"/>
      <x:c r="C103" s="32"/>
      <x:c r="D103" s="32"/>
      <x:c r="E103" s="32"/>
      <x:c r="F103" s="32"/>
      <x:c r="G103" s="32"/>
      <x:c r="H103" s="32"/>
      <x:c r="I103" s="32"/>
    </x:row>
    <x:row r="104">
      <x:c r="A104" s="32"/>
      <x:c r="B104" s="32"/>
      <x:c r="C104" s="32"/>
      <x:c r="D104" s="32"/>
      <x:c r="E104" s="32"/>
      <x:c r="F104" s="32"/>
      <x:c r="G104" s="32"/>
      <x:c r="H104" s="32"/>
      <x:c r="I104" s="32"/>
    </x:row>
    <x:row r="105">
      <x:c r="A105" s="32"/>
      <x:c r="B105" s="32"/>
      <x:c r="C105" s="32"/>
      <x:c r="D105" s="32"/>
      <x:c r="E105" s="32"/>
      <x:c r="F105" s="32"/>
      <x:c r="G105" s="32"/>
      <x:c r="H105" s="32"/>
      <x:c r="I105" s="32"/>
    </x:row>
    <x:row r="106">
      <x:c r="A106" s="32"/>
      <x:c r="B106" s="32"/>
      <x:c r="C106" s="32"/>
      <x:c r="D106" s="32"/>
      <x:c r="E106" s="32"/>
      <x:c r="F106" s="32"/>
      <x:c r="G106" s="32"/>
      <x:c r="H106" s="32"/>
      <x:c r="I106" s="32"/>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34</x:v>
      </x:c>
      <x:c r="J5" t="str">
        <x:v>GREEN</x:v>
      </x:c>
    </x:row>
    <x:row r="6">
      <x:c r="A6" s="21" t="str">
        <x:v>Completed</x:v>
      </x:c>
      <x:c r="B6" t="n">
        <x:v>37</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0</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10</x:v>
      </x:c>
      <x:c r="H8" s="21" t="str">
        <x:v>OBSERVED</x:v>
      </x:c>
      <x:c r="I8" t="n">
        <x:v>1</x:v>
      </x:c>
      <x:c r="J8" t="str">
        <x:v>N/A</x:v>
      </x:c>
    </x:row>
    <x:row r="9">
      <x:c r="A9" s="21" t="str">
        <x:v>Completion %</x:v>
      </x:c>
      <x:c r="B9" s="38" t="n">
        <x:f>B6/B5</x:f>
        <x:v>0.5967741935483871</x:v>
      </x:c>
      <x:c r="D9" s="21" t="str">
        <x:v>R3.5E</x:v>
      </x:c>
      <x:c r="E9" t="n">
        <x:f>COUNTIF('01_Test_Plan'!B5:B200,D9)</x:f>
        <x:v>12</x:v>
      </x:c>
      <x:c r="F9" t="n">
        <x:f>COUNTIFS('01_Test_Plan'!B5:B200,D9,'01_Test_Plan'!R5:R200,"Completed")</x:f>
        <x:v>0</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b2e510d566254c04"/>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Design accepted and implemented harness-only. Use real RuntimeRevisionResolver + adoption planner/executor; 100 CONFIGURATION_REMOVED closures and 100 ManagementEffect CLEARED are now explicit secondary gates.</x:v>
      </x:c>
    </x:row>
    <x:row r="67">
      <x:c r="A67" t="str">
        <x:v>D-010 late Decision STALE_TARGET harness gate</x:v>
      </x:c>
      <x:c r="B67" t="str">
        <x:v>Contrato harness single-execution que crea requests sobre occurrences reales, adopta una revisión que remueve esos targets y sólo después entrega las Decisions originales.</x:v>
      </x:c>
      <x:c r="C67" t="str">
        <x:v>Demuestra que configuration removal vuelve stale la identidad del request sin expirarlo, que adoption limpia el ManagementEffect fuera de scope y que una Decision tardía nunca migra ni crea DeactivationEffect.</x:v>
      </x:c>
      <x:c r="D67" t="str">
        <x:v>D-010 ready: 180 s; +30 request burst100; +60 real adoption to PERF-AC-2/900 alarms; +90 decision burst100; window=600 s; expected cursors=25600/25600; WAL=400.</x:v>
      </x:c>
      <x:c r="E67" t="str">
        <x:v>R3.5D</x:v>
      </x:c>
      <x:c r="F67" t="str">
        <x:v>Harness 0.1.0 only. Hard gate: 100 PENDING_APPROVAL, 100 CONFIGURATION_REMOVED closures, 100 ManagementEffect CLEARED, 100 STALE_TARGET, 0 APPLIED/DeactivationEffect, final pending=0/0/0, fresh=100/100 and removed targets absent. Four new regressions; expected suite 290.</x:v>
      </x:c>
    </x:row>
    <x:row r="68">
      <x:c r="A68" t="str">
        <x:v>D-010 harness package-path correction 0.1.1</x:v>
      </x:c>
      <x:c r="B68" t="str">
        <x:v>Corrección de distribución del patch D-010 sin cambios de código: los 7 payloads pasan de rutas raíz `performance/tests` a rutas stage-relative bajo `scopes/ada/processes/alarms-runtime`.</x:v>
      </x:c>
      <x:c r="C68" t="str">
        <x:v>Garantiza que el comando de aplicación estándar desde `atlanticus-stage` modifique realmente el scope objetivo.</x:v>
      </x:c>
      <x:c r="D68" t="str">
        <x:v>0.1.0 gate observed 286 tests because D-010 files were extracted outside the scope. 0.1.1 payload identical; expected rerun=290 tests.</x:v>
      </x:c>
      <x:c r="E68" t="str">
        <x:v>R3.5D</x:v>
      </x:c>
      <x:c r="F68" t="str">
        <x:v>Not a product/runtime finding. Remove stray root-level performance/ and tests/ created by 0.1.0, apply 0.1.1, then rerun Ruff/format/pytest.</x:v>
      </x:c>
    </x:row>
    <x:row r="69">
      <x:c r="A69" t="str">
        <x:v>D-010 harness iteration clock correction 0.1.2</x:v>
      </x:c>
      <x:c r="B69" t="str">
        <x:v>Corrección harness-only que incorpora StaleTargetDeactivationInputSource al prepare_iteration dispatch del PerformanceAlarmDurableInputConsumer antes de delegar al consumer durable base.</x:v>
      </x:c>
      <x:c r="C69" t="str">
        <x:v>Evita que el primer read_after de bootstrap ocurra sin iteration.as_of y cubre explícitamente la frontera temporal que ya usan Sustained, Inverted y Mixed.</x:v>
      </x:c>
      <x:c r="D69" t="str">
        <x:v>Failed attempt 93dc873a: RuntimeError before first completed iteration. 0.1.2 adds missing dispatch + one bootstrap regression; expected suite 291.</x:v>
      </x:c>
      <x:c r="E69" t="str">
        <x:v>R3.5D</x:v>
      </x:c>
      <x:c r="F69" t="str">
        <x:v>No product finding. Patch touches baseline.py + commented mirror + tests only. Re-run full gate before workload.</x:v>
      </x:c>
    </x:row>
    <x:row r="70">
      <x:c r="A70" t="str">
        <x:v>D-010 harness single-execution routing correction 0.1.3</x:v>
      </x:c>
      <x:c r="B70" t="str">
        <x:v>Corrección harness-only del selector de runner: un escenario multi-decision usa two-phase sólo si no es stale-target, inverted-delivery ni mixed.</x:v>
      </x:c>
      <x:c r="C70" t="str">
        <x:v>Evita ejecutar D-010 dos veces y asegura que sus requests, adoption y late Decisions se midan en la misma ejecución, preservando el objetivo STALE_TARGET.</x:v>
      </x:c>
      <x:c r="D70" t="str">
        <x:v>Second attempt reached real adoption but main routed into D-006/D-007 two-phase and failed in phase metrics. 0.1.3 adds stale-target exclusion + one routing regression; expected suite 292.</x:v>
      </x:c>
      <x:c r="E70" t="str">
        <x:v>R3.5D</x:v>
      </x:c>
      <x:c r="F70" t="str">
        <x:v>Patch touches run.py + commented mirror + tests only. D-007 remains two-phase; D-010 routes single-run. No product finding.</x:v>
      </x:c>
    </x:row>
    <x:row r="71">
      <x:c r="A71" t="str">
        <x:v>D-010 routing regression fixture correction 0.1.4</x:v>
      </x:c>
      <x:c r="B71" t="str">
        <x:v>Corrección test-only de los escenarios D-010 y D-007 usados para validar el selector single-run/two-phase.</x:v>
      </x:c>
      <x:c r="C71" t="str">
        <x:v>Permite que la regresión llegue al assertion de routing usando el mismo contrato válido de Management pressure que usa el workload real.</x:v>
      </x:c>
      <x:c r="D71" t="str">
        <x:v>0.1.3 gate: fixture rejected with `management pressure requires data_profile=latest-narrow`. 0.1.4 adds canonical latest-narrow/36-balanced settings to both fixtures; expected suite remains 292.</x:v>
      </x:c>
      <x:c r="E71" t="str">
        <x:v>R3.5D</x:v>
      </x:c>
      <x:c r="F71" t="str">
        <x:v>No production change and no product finding. Patch contains only tests/test_performance_harness.py.</x:v>
      </x:c>
    </x:row>
    <x:row r="72">
      <x:c r="A72" t="str">
        <x:v>D-010 cumulative regression coverage restoration 0.1.5</x:v>
      </x:c>
      <x:c r="B72" t="str">
        <x:v>Corrección test-only que vuelve a incluir la regresión de prepare_iteration/bootstrap de 0.1.2 junto con la regresión de routing single-run/two-phase introducida en 0.1.3 y corregida en 0.1.4.</x:v>
      </x:c>
      <x:c r="C72" t="str">
        <x:v>Asegura cobertura acumulativa de ambos defectos harness encontrados antes del workload autoritativo.</x:v>
      </x:c>
      <x:c r="D72" t="str">
        <x:v>0.1.4 gate=291/291 because routing test replaced the bootstrap regression in the test payload lineage. 0.1.5 has both and expected pytest=292.</x:v>
      </x:c>
      <x:c r="E72" t="str">
        <x:v>R3.5D</x:v>
      </x:c>
      <x:c r="F72" t="str">
        <x:v>No production change and no product finding. Patch contains only tests/test_performance_harness.py.</x:v>
      </x:c>
    </x:row>
    <x:row r="73">
      <x:c r="A73" t="str">
        <x:v>D-010 durable adjudication correction 0.1.6</x:v>
      </x:c>
      <x:c r="B73" t="str">
        <x:v>Corrección harness-only del metrics builder para usar la serialización real de configuration removal y la correlación durable real de stale Decisions.</x:v>
      </x:c>
      <x:c r="C73" t="str">
        <x:v>Elimina un falso negativo: closure_reason se normaliza a configuration_removed y Decision receipt se asocia al stale journey emitido en el mismo engine commit/priority group, validando después alarm y occurrence.</x:v>
      </x:c>
      <x:c r="D73" t="str">
        <x:v>Run 550948d8 independently audited product-GREEN: 100 removals, 100 STALE_TARGET, 0 APPLIED/effects, WAL=400, runtime=900, pending=0; raw harness falsely counted 0 removals and 100 wrong correlations.</x:v>
      </x:c>
      <x:c r="E73" t="str">
        <x:v>R3.5D</x:v>
      </x:c>
      <x:c r="F73" t="str">
        <x:v>Patch 0.1.6 touches run.py + commented mirror + existing metrics regression only. Suite count remains 292. D-010 stays open until corrected harness rerun returns PASS.</x:v>
      </x:c>
    </x:row>
    <x:row r="74">
      <x:c r="A74" t="str">
        <x:v>Validated D-010 late Decision after configuration removal</x:v>
      </x:c>
      <x:c r="B74" t="str">
        <x:v>Cierre autoritativo de STALE_TARGET burst 100 mediante una sola ejecución con request +30 s, configuration removal +60 s y late Decision +90 s.</x:v>
      </x:c>
      <x:c r="C74" t="str">
        <x:v>Valida que Decisions aprobadas contra occurrences removidos terminan STALE_TARGET sin migración de identidad, sin DeactivationEffect y con convergencia exacta de consumers, WAL y snapshots.</x:v>
      </x:c>
      <x:c r="D74" t="str">
        <x:v>PASS/GREEN run 24b97fa3...: 100 removals + 100 STALE_TARGET, 0 APPLIED/effects, 900 alarms, cursors=25600/25600, pending=0, WAL=400 / 4,037,700 B, durable==materialized. One adoption iteration=5499.03 ms accepted as Info.</x:v>
      </x:c>
      <x:c r="E74" t="str">
        <x:v>R3.5D</x:v>
      </x:c>
      <x:c r="F74" t="str">
        <x:v>Harness 0.1.6; suite 292/292. Independent audit: 100 groups × 4 records, 0 duplicate commits/chains/snapshot mismatches; exact request/decision occurrence identity and 540 s remaining window.</x:v>
      </x:c>
    </x:row>
    <x:row r="75">
      <x:c r="A75" t="str">
        <x:v>R3.5D Management / Decisions closure</x:v>
      </x:c>
      <x:c r="B75" t="str">
        <x:v>Cierre de la fase de presión funcional Management/Decisions después de D-001..D-010.</x:v>
      </x:c>
      <x:c r="C75" t="str">
        <x:v>Confirma single actions, sustained/burst Management, Decision lifecycle, pending replay, mixed ingress y late stale decisions bajo configuration removal con integridad durable exacta.</x:v>
      </x:c>
      <x:c r="D75" t="str">
        <x:v>R3.5D CLOSED 10/10. D-010 final PASS/GREEN; no open product findings. Configuration-adoption duration is carried as characterization into R3.5E.</x:v>
      </x:c>
      <x:c r="E75" t="str">
        <x:v>R3.5D</x:v>
      </x:c>
      <x:c r="F75" t="str">
        <x:v>Next: E-001 Parameter-only adoption. Preserve D-010 adoption iteration 5499.03 ms as a comparison point.</x:v>
      </x:c>
    </x:row>
  </x:sheetData>
  <x:mergeCells>
    <x:mergeCell ref="A1:F2"/>
  </x:mergeCells>
  <x:pageMargins left="0.7" right="0.7" top="0.75" bottom="0.75" header="0.3" footer="0.3"/>
</x:worksheet>
</file>