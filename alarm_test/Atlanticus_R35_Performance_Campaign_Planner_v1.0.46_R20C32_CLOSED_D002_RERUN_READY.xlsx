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f143f711684033" /></Relationships>
</file>

<file path=xl/workbook.xml><?xml version="1.0" encoding="utf-8"?>
<x:workbook xmlns:x="http://schemas.openxmlformats.org/spreadsheetml/2006/main">
  <x:sheets>
    <x:sheet xmlns:r="http://schemas.openxmlformats.org/officeDocument/2006/relationships" name="00_Control" sheetId="1" r:id="Ra84796446f6344fa"/>
    <x:sheet xmlns:r="http://schemas.openxmlformats.org/officeDocument/2006/relationships" name="01_Test_Plan" sheetId="2" r:id="R5aca7b7e4de7416c"/>
    <x:sheet xmlns:r="http://schemas.openxmlformats.org/officeDocument/2006/relationships" name="02_Run_Results" sheetId="3" r:id="Rc10c7440fc864d2f"/>
    <x:sheet xmlns:r="http://schemas.openxmlformats.org/officeDocument/2006/relationships" name="03_Findings" sheetId="4" r:id="Rd6d75d6f7d934562"/>
    <x:sheet xmlns:r="http://schemas.openxmlformats.org/officeDocument/2006/relationships" name="04_Decisions" sheetId="5" r:id="R04e4ab7115a54788"/>
    <x:sheet xmlns:r="http://schemas.openxmlformats.org/officeDocument/2006/relationships" name="05_Dashboard" sheetId="6" r:id="R3a7e7a1219ec45f1"/>
    <x:sheet xmlns:r="http://schemas.openxmlformats.org/officeDocument/2006/relationships" name="06_Definitions" sheetId="7" r:id="R4d343287a08249a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cb88e472f14b51" /><Relationship Type="http://schemas.openxmlformats.org/officeDocument/2006/relationships/theme" Target="/xl/theme/theme1.xml" Id="R9b8291cfeb564bb4" /><Relationship Type="http://schemas.microsoft.com/office/2022/11/relationships/FeaturePropertyBag" Target="/xl/featurePropertyBag/featurePropertyBag.xml" Id="Ra5909f7209d446b1" /><Relationship Type="http://schemas.openxmlformats.org/officeDocument/2006/relationships/sharedStrings" Target="/xl/sharedStrings.xml" Id="R999b768479cd44c4" /><Relationship Type="http://schemas.openxmlformats.org/officeDocument/2006/relationships/worksheet" Target="/xl/worksheets/sheet1.xml" Id="Ra84796446f6344fa" /><Relationship Type="http://schemas.openxmlformats.org/officeDocument/2006/relationships/worksheet" Target="/xl/worksheets/sheet2.xml" Id="R5aca7b7e4de7416c" /><Relationship Type="http://schemas.openxmlformats.org/officeDocument/2006/relationships/worksheet" Target="/xl/worksheets/sheet3.xml" Id="Rc10c7440fc864d2f" /><Relationship Type="http://schemas.openxmlformats.org/officeDocument/2006/relationships/worksheet" Target="/xl/worksheets/sheet4.xml" Id="Rd6d75d6f7d934562" /><Relationship Type="http://schemas.openxmlformats.org/officeDocument/2006/relationships/worksheet" Target="/xl/worksheets/sheet5.xml" Id="R04e4ab7115a54788" /><Relationship Type="http://schemas.openxmlformats.org/officeDocument/2006/relationships/worksheet" Target="/xl/worksheets/sheet6.xml" Id="R3a7e7a1219ec45f1" /><Relationship Type="http://schemas.openxmlformats.org/officeDocument/2006/relationships/worksheet" Target="/xl/worksheets/sheet7.xml" Id="R4d343287a08249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f47e655331487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f47e655331487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2d540f4b7e4df6" /></Relationships>
</file>

<file path=xl/worksheets/_rels/sheet6.xml.rels>&#65279;<?xml version="1.0" encoding="utf-8"?><Relationships xmlns="http://schemas.openxmlformats.org/package/2006/relationships"><Relationship Type="http://schemas.openxmlformats.org/officeDocument/2006/relationships/drawing" Target="/xl/drawings/drawing1.xml" Id="R70b3795136db4770"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1.0.46</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R20C.3.2 CLOSED / D-002 CLEAN RERUN READY</x:v>
      </x:c>
    </x:row>
    <x:row r="27">
      <x:c r="A27" s="21" t="str">
        <x:v>Siguiente test sugerido</x:v>
      </x:c>
      <x:c r="B27" t="str">
        <x:v>D-002 Management continuous 1/s — clean rerun with atlanticus-job-runtime 0.7.1</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deben quedar MANAGEMENT/EFFECTIVE, sin pérdida/duplicados, con targets únicos distribuidos por priority group y pending final=0.</x:v>
      </x:c>
      <x:c r="Q34" s="36" t="str">
        <x:v>INTERRUPTED — no adjudicar como FAIL funcional de Management. Las 540 acciones quedaron durablemente recibidas y materializadas antes del fallo: 540 InputReceipt EFFECTIVE, 540 ManagementEffect STARTED, cursor=138240=540×256, pending=0, 540 targets/effects finales. A +600 s coincidió una ola periódica de evidencia de 100 grupos. Persistence publicó los 100 records como durable y materializó 76 snapshots; durante la secuencia de fenced mutations el heartbeat no obtuvo el mismo PhysicalAuthorityFence dentro de su espera de 5 s y marcó LeaseRenewalError. El siguiente fenced_mutation hizo fail-closed, dejando 24 materializaciones pendientes para recovery.</x:v>
      </x:c>
      <x:c r="R34" s="36" t="str">
        <x:v>Ready</x:v>
      </x:c>
      <x:c r="S34" s="36" t="str">
        <x:v>D-002 harness 0.1.0 + atlanticus-job-runtime 0.7.1</x:v>
      </x:c>
      <x:c r="T34" s="36" t="str">
        <x:v>R20C.3.2 is technically CLOSED. Authoritative Python 3.14.2 + UV validation: backend/runtime gate PASS with 142/142 tests, import PASS, wheel atlanticus_job_runtime-0.7.1-py3-none-any.whl built; focal lease authority regression 21/21 PASS. backend/uv.lock and all 16 consumer locks updated to 0.7.1; no stale 0.7.0 pins remain. Exact D-002 partial-volume recovery POC: BEFORE durable=5,994,817 / materialized=4,933,437 / aligned=false; RECOVERY applied=24, skipped=76, discarded_tail_bytes=0, sealed_segments=0; AFTER durable=materialized=5,994,817 at commit 20260827T020940000000Z__perf-group-100 / aligned=true. Alarms-runtime regression after contract pin update: 262/262 PASS. D-002 may now be rerun from a clean volume under Runtime 0.7.1. F-D002-001 remains open only pending end-to-end confirmation that the full 600 s workload crosses the +600 s evidence wave without LeaseRenewalError.</x:v>
      </x:c>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12d540f4b7e4df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R20C.3.2 generic fix certified on authoritative host: Runtime 0.7.1 gate 142/142, focal authority 21/21, wheel/import green, 16 consumer locks/pins coordinated, alarms-runtime 262/262, and exact failed-volume recovery 24 applied + 76 skipped with heads aligned. Final closure criterion: clean D-002 600 s rerun must complete without LeaseRenewalError and preserve 540/540 Management integrity.</x:v>
      </x:c>
      <x:c r="K76" s="32" t="str">
        <x:v>Open</x:v>
      </x:c>
      <x:c r="L76" s="32" t="str">
        <x:v>DEC-R35-045</x:v>
      </x:c>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25</x:v>
      </x:c>
      <x:c r="J5" t="str">
        <x:v>GREEN</x:v>
      </x:c>
    </x:row>
    <x:row r="6">
      <x:c r="A6" s="21" t="str">
        <x:v>Completed</x:v>
      </x:c>
      <x:c r="B6" t="n">
        <x:v>28</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x:v>
      </x:c>
      <x:c r="H8" s="21" t="str">
        <x:v>OBSERVED</x:v>
      </x:c>
      <x:c r="I8" t="n">
        <x:v>1</x:v>
      </x:c>
      <x:c r="J8" t="str">
        <x:v>N/A</x:v>
      </x:c>
    </x:row>
    <x:row r="9">
      <x:c r="A9" s="21" t="str">
        <x:v>Completion %</x:v>
      </x:c>
      <x:c r="B9" s="38" t="n">
        <x:v>0.45161290322580644</x:v>
      </x:c>
      <x:c r="D9" s="21" t="str">
        <x:v>R3.5E</x:v>
      </x:c>
      <x:c r="E9" t="n">
        <x:f>COUNTIF('01_Test_Plan'!B5:B200,D9)</x:f>
        <x:v>12</x:v>
      </x:c>
      <x:c r="F9" t="n">
        <x:f>COUNTIFS('01_Test_Plan'!B5:B200,D9,'01_Test_Plan'!R5:R200,"Completed")</x:f>
        <x:v>0</x:v>
      </x:c>
    </x:row>
    <x:row r="10">
      <x:c r="A10" s="21" t="str">
        <x:v>Open findings</x:v>
      </x:c>
      <x:c r="B10" t="n">
        <x:v>1</x:v>
      </x:c>
      <x:c r="D10" s="21" t="str">
        <x:v>R3.5F</x:v>
      </x:c>
      <x:c r="E10" t="n">
        <x:f>COUNTIF('01_Test_Plan'!B5:B200,D10)</x:f>
        <x:v>11</x:v>
      </x:c>
      <x:c r="F10" t="n">
        <x:f>COUNTIFS('01_Test_Plan'!B5:B200,D10,'01_Test_Plan'!R5:R200,"Completed")</x:f>
        <x:v>0</x:v>
      </x:c>
    </x:row>
    <x:row r="11">
      <x:c r="A11" s="21" t="str">
        <x:v>High/Critical findings</x:v>
      </x:c>
      <x:c r="B11" t="n">
        <x:v>1</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R20C.3.2</x:v>
      </x:c>
      <x:c r="K43" t="str">
        <x:v>CLOSED — Runtime 0.7.1 certified</x:v>
      </x:c>
    </x:row>
    <x:row r="44">
      <x:c r="A44" s="32" t="str">
        <x:v>Large margin / low information</x:v>
      </x:c>
      <x:c r="B44" s="32" t="str">
        <x:v>Skip intermediate points</x:v>
      </x:c>
      <x:c r="C44" s="32" t="str">
        <x:v>Increase information per run</x:v>
      </x:c>
      <x:c r="D44"/>
      <x:c r="E44"/>
      <x:c r="F44"/>
      <x:c r="G44"/>
      <x:c r="H44"/>
      <x:c r="J44" t="str">
        <x:v>Recovery</x:v>
      </x:c>
      <x:c r="K44" t="str">
        <x:v>24 applied / 76 skipped / heads aligned</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D-002</x:v>
      </x:c>
      <x:c r="K52" t="str">
        <x:v>READY for clean 600 s rerun</x:v>
      </x:c>
    </x:row>
    <x:row r="53">
      <x:c r="J53" t="str">
        <x:v>Finding</x:v>
      </x:c>
      <x:c r="K53" t="str">
        <x:v>F-D002-001 open pending rerun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0b3795136db4770"/>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sheetData>
  <x:mergeCells>
    <x:mergeCell ref="A1:F2"/>
  </x:mergeCells>
  <x:pageMargins left="0.7" right="0.7" top="0.75" bottom="0.75" header="0.3" footer="0.3"/>
</x:worksheet>
</file>