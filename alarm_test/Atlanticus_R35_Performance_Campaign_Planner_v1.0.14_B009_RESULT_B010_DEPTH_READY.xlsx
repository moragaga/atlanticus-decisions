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e1579048d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ed0b591480443d1"/>
    <x:sheet xmlns:r="http://schemas.openxmlformats.org/officeDocument/2006/relationships" name="01_Test_Plan" sheetId="2" r:id="Rbf52fc8a900746ca"/>
    <x:sheet xmlns:r="http://schemas.openxmlformats.org/officeDocument/2006/relationships" name="02_Run_Results" sheetId="3" r:id="Rf47a39def116488e"/>
    <x:sheet xmlns:r="http://schemas.openxmlformats.org/officeDocument/2006/relationships" name="03_Findings" sheetId="4" r:id="R0855f63642554366"/>
    <x:sheet xmlns:r="http://schemas.openxmlformats.org/officeDocument/2006/relationships" name="04_Decisions" sheetId="5" r:id="Rcd1b31516e584ee7"/>
    <x:sheet xmlns:r="http://schemas.openxmlformats.org/officeDocument/2006/relationships" name="05_Dashboard" sheetId="6" r:id="R703fb370fbde4e2b"/>
    <x:sheet xmlns:r="http://schemas.openxmlformats.org/officeDocument/2006/relationships" name="06_Definitions" sheetId="7" r:id="R984db0372cd0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8f6ea530d48b4" /><Relationship Type="http://schemas.openxmlformats.org/officeDocument/2006/relationships/theme" Target="/xl/theme/theme1.xml" Id="R8c0dfe5836e14608" /><Relationship Type="http://schemas.microsoft.com/office/2022/11/relationships/FeaturePropertyBag" Target="/xl/featurePropertyBag/featurePropertyBag.xml" Id="R2ccc7a8a2dc64765" /><Relationship Type="http://schemas.openxmlformats.org/officeDocument/2006/relationships/sharedStrings" Target="/xl/sharedStrings.xml" Id="Rabf5eced9b154216" /><Relationship Type="http://schemas.openxmlformats.org/officeDocument/2006/relationships/worksheet" Target="/xl/worksheets/sheet1.xml" Id="Rded0b591480443d1" /><Relationship Type="http://schemas.openxmlformats.org/officeDocument/2006/relationships/worksheet" Target="/xl/worksheets/sheet2.xml" Id="Rbf52fc8a900746ca" /><Relationship Type="http://schemas.openxmlformats.org/officeDocument/2006/relationships/worksheet" Target="/xl/worksheets/sheet3.xml" Id="Rf47a39def116488e" /><Relationship Type="http://schemas.openxmlformats.org/officeDocument/2006/relationships/worksheet" Target="/xl/worksheets/sheet4.xml" Id="R0855f63642554366" /><Relationship Type="http://schemas.openxmlformats.org/officeDocument/2006/relationships/worksheet" Target="/xl/worksheets/sheet5.xml" Id="Rcd1b31516e584ee7" /><Relationship Type="http://schemas.openxmlformats.org/officeDocument/2006/relationships/worksheet" Target="/xl/worksheets/sheet6.xml" Id="R703fb370fbde4e2b" /><Relationship Type="http://schemas.openxmlformats.org/officeDocument/2006/relationships/worksheet" Target="/xl/worksheets/sheet7.xml" Id="R984db0372cd041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60d5dd9afc41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60d5dd9afc41e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7d4ddc21634c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c063045518842a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1.0.14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B-009 BOUNDARY BAND FOUND</x:v>
      </x:c>
    </x:row>
    <x:row r="27">
      <x:c r="A27" s="21" t="str">
        <x:v>Siguiente test sugerido</x:v>
      </x:c>
      <x:c r="B27" t="str">
        <x:v>B-010 Historical Depth Boundary Probe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Ready</x:v>
      </x:c>
      <x:c r="S19" s="36" t="str">
        <x:v>B-009</x:v>
      </x:c>
      <x:c r="T19" s="36" t="str">
        <x:v>Refined after B-009: 3 historical series/alarm; 180 min; 10 s step; 1080 points/series; 3000 historical series; ~3,240,000 historical values. Mantiene el ancho de 3 series y sólo triplica profundidad temporal. Supersede el candidato original 6 series × 3 h porque B-009 ya llegó a ~3 s y cambiar ancho + profundidad simultáneamente perdería atribución.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7d4ddc21634c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1" t="str">
        <x:v>Historical Series / Alarm</x:v>
      </x:c>
      <x:c r="BF4" s="121" t="str">
        <x:v>Historical Window (min)</x:v>
      </x:c>
      <x:c r="BG4" s="121" t="str">
        <x:v>Historical Step (s)</x:v>
      </x:c>
      <x:c r="BH4" s="121" t="str">
        <x:v>Historical Points / Series</x:v>
      </x:c>
      <x:c r="BI4" s="121" t="str">
        <x:v>Historical Value Count</x:v>
      </x:c>
      <x:c r="BJ4" s="121" t="str">
        <x:v>Source Numeric Value Count</x:v>
      </x:c>
      <x:c r="BK4" s="121" t="str">
        <x:v>Latest Source Columns</x:v>
      </x:c>
      <x:c r="BL4" s="121" t="str">
        <x:v>Historical Source Columns</x:v>
      </x:c>
      <x:c r="BM4" s="121" t="str">
        <x:v>Historical Source Rows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Z18" s="32"/>
      <x:c r="BA18" s="32"/>
      <x:c r="BB18" s="32"/>
      <x:c r="BC18" s="32"/>
      <x:c r="BD18" s="32"/>
      <x:c r="BE18" s="32"/>
      <x:c r="BF18" s="32"/>
      <x:c r="BG18" s="32"/>
      <x:c r="BH18" s="32"/>
      <x:c r="BI18" s="32"/>
      <x:c r="BJ18" s="32"/>
      <x:c r="BK18" s="32"/>
      <x:c r="BL18" s="32"/>
      <x:c r="BM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Z19" s="32"/>
      <x:c r="BA19" s="32"/>
      <x:c r="BB19" s="32"/>
      <x:c r="BC19" s="32"/>
      <x:c r="BD19" s="32"/>
      <x:c r="BE19" s="32"/>
      <x:c r="BF19" s="32"/>
      <x:c r="BG19" s="32"/>
      <x:c r="BH19" s="32"/>
      <x:c r="BI19" s="32"/>
      <x:c r="BJ19" s="32"/>
      <x:c r="BK19" s="32"/>
      <x:c r="BL19" s="32"/>
      <x:c r="BM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Z20" s="32"/>
      <x:c r="BA20" s="32"/>
      <x:c r="BB20" s="32"/>
      <x:c r="BC20" s="32"/>
      <x:c r="BD20" s="32"/>
      <x:c r="BE20" s="32"/>
      <x:c r="BF20" s="32"/>
      <x:c r="BG20" s="32"/>
      <x:c r="BH20" s="32"/>
      <x:c r="BI20" s="32"/>
      <x:c r="BJ20" s="32"/>
      <x:c r="BK20" s="32"/>
      <x:c r="BL20" s="32"/>
      <x:c r="BM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Z21" s="32"/>
      <x:c r="BA21" s="32"/>
      <x:c r="BB21" s="32"/>
      <x:c r="BC21" s="32"/>
      <x:c r="BD21" s="32"/>
      <x:c r="BE21" s="32"/>
      <x:c r="BF21" s="32"/>
      <x:c r="BG21" s="32"/>
      <x:c r="BH21" s="32"/>
      <x:c r="BI21" s="32"/>
      <x:c r="BJ21" s="32"/>
      <x:c r="BK21" s="32"/>
      <x:c r="BL21" s="32"/>
      <x:c r="BM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  <x:c r="BE22" s="32"/>
      <x:c r="BF22" s="32"/>
      <x:c r="BG22" s="32"/>
      <x:c r="BH22" s="32"/>
      <x:c r="BI22" s="32"/>
      <x:c r="BJ22" s="32"/>
      <x:c r="BK22" s="32"/>
      <x:c r="BL22" s="32"/>
      <x:c r="BM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12</x:v>
      </x:c>
      <x:c r="J5" t="str">
        <x:v>GREEN</x:v>
      </x:c>
    </x:row>
    <x:row r="6">
      <x:c r="A6" s="21" t="str">
        <x:v>Completed</x:v>
      </x:c>
      <x:c r="B6" t="n">
        <x:v>12</x:v>
      </x:c>
      <x:c r="D6" s="21" t="str">
        <x:v>R3.5B</x:v>
      </x:c>
      <x:c r="E6" t="n">
        <x:f>COUNTIF('01_Test_Plan'!B5:B200,D6)</x:f>
        <x:v>12</x:v>
      </x:c>
      <x:c r="F6" t="n">
        <x:v>7</x:v>
      </x:c>
      <x:c r="H6" s="21" t="str">
        <x:v>PASS-WITH-FINDINGS</x:v>
      </x:c>
      <x:c r="I6" t="n">
        <x:f>COUNTIF('02_Run_Results'!AI5:AI500,"PASS-WITH-FINDINGS")</x:f>
        <x:v>1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0.19672131147540983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B-009 p95 budget</x:v>
      </x:c>
      <x:c r="K43" t="str">
        <x:v>59.9%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Next dimension</x:v>
      </x:c>
      <x:c r="K44" t="str">
        <x:v>Historical depth only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B-009 result</x:v>
      </x:c>
      <x:c r="K52" t="str">
        <x:v>PASS / p95 2997 ms</x:v>
      </x:c>
    </x:row>
    <x:row r="53">
      <x:c r="J53" t="str">
        <x:v>Next</x:v>
      </x:c>
      <x:c r="K53" t="str">
        <x:v>B-010 3h depth READY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8c063045518842ab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</x:sheetData>
  <x:mergeCells>
    <x:mergeCell ref="A1:F2"/>
  </x:mergeCells>
  <x:pageMargins left="0.7" right="0.7" top="0.75" bottom="0.75" header="0.3" footer="0.3"/>
</x:worksheet>
</file>