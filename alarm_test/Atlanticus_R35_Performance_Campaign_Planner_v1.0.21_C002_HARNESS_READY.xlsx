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a4c38c5df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fc6e9f94d5314502"/>
    <x:sheet xmlns:r="http://schemas.openxmlformats.org/officeDocument/2006/relationships" name="01_Test_Plan" sheetId="2" r:id="R11aea803709148ac"/>
    <x:sheet xmlns:r="http://schemas.openxmlformats.org/officeDocument/2006/relationships" name="02_Run_Results" sheetId="3" r:id="R4e86a41bafa342cc"/>
    <x:sheet xmlns:r="http://schemas.openxmlformats.org/officeDocument/2006/relationships" name="03_Findings" sheetId="4" r:id="Reaeb1dab59ca466d"/>
    <x:sheet xmlns:r="http://schemas.openxmlformats.org/officeDocument/2006/relationships" name="04_Decisions" sheetId="5" r:id="R20bdc380c6f448f8"/>
    <x:sheet xmlns:r="http://schemas.openxmlformats.org/officeDocument/2006/relationships" name="05_Dashboard" sheetId="6" r:id="Ra9aa0cbeade641c8"/>
    <x:sheet xmlns:r="http://schemas.openxmlformats.org/officeDocument/2006/relationships" name="06_Definitions" sheetId="7" r:id="Rd2e36e4c82a1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7f673c8fa463f" /><Relationship Type="http://schemas.openxmlformats.org/officeDocument/2006/relationships/theme" Target="/xl/theme/theme1.xml" Id="R5ab659d1923e4335" /><Relationship Type="http://schemas.microsoft.com/office/2022/11/relationships/FeaturePropertyBag" Target="/xl/featurePropertyBag/featurePropertyBag.xml" Id="R4e5339108dbc4585" /><Relationship Type="http://schemas.openxmlformats.org/officeDocument/2006/relationships/sharedStrings" Target="/xl/sharedStrings.xml" Id="R23c2143f1458431e" /><Relationship Type="http://schemas.openxmlformats.org/officeDocument/2006/relationships/worksheet" Target="/xl/worksheets/sheet1.xml" Id="Rfc6e9f94d5314502" /><Relationship Type="http://schemas.openxmlformats.org/officeDocument/2006/relationships/worksheet" Target="/xl/worksheets/sheet2.xml" Id="R11aea803709148ac" /><Relationship Type="http://schemas.openxmlformats.org/officeDocument/2006/relationships/worksheet" Target="/xl/worksheets/sheet3.xml" Id="R4e86a41bafa342cc" /><Relationship Type="http://schemas.openxmlformats.org/officeDocument/2006/relationships/worksheet" Target="/xl/worksheets/sheet4.xml" Id="Reaeb1dab59ca466d" /><Relationship Type="http://schemas.openxmlformats.org/officeDocument/2006/relationships/worksheet" Target="/xl/worksheets/sheet5.xml" Id="R20bdc380c6f448f8" /><Relationship Type="http://schemas.openxmlformats.org/officeDocument/2006/relationships/worksheet" Target="/xl/worksheets/sheet6.xml" Id="Ra9aa0cbeade641c8" /><Relationship Type="http://schemas.openxmlformats.org/officeDocument/2006/relationships/worksheet" Target="/xl/worksheets/sheet7.xml" Id="Rd2e36e4c82a14b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61ef7e42404a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61ef7e42404a1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94b941f377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0ab4bd6d63641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1.0.21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R3.5C IN PROGRESS — C-002 TECHNICAL HOLD HARNESS READY</x:v>
      </x:c>
    </x:row>
    <x:row r="27">
      <x:c r="A27" s="21" t="str">
        <x:v>Siguiente test sugerido</x:v>
      </x:c>
      <x:c r="B27" t="str">
        <x:v>C-002 Technical Hold Recovery Churn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Completed</x:v>
      </x:c>
      <x:c r="S21" s="36" t="str">
        <x:v>B-011</x:v>
      </x:c>
      <x:c r="T21" s="36" t="str">
        <x:v>PASS / GREEN — 121 iterations; p50 3076.52 ms; p95 3467.22 ms; p99 4269.63 ms; max 4921.44 ms; 0 overruns; avg/peak process CPU 99.49%/100.25%; avg/peak RSS 176.70/180.16 MB; Latest 1000 cols + Historical 4000 cols × 1080 rows = 4,320,000 historical values; source-load p95 11.74 ms; merge p95 0.857 ms; journal aligned; snapshot 1000/1000; 3 durable commits; drain 429.75 ms. Max at iteration 4 did not displace cadence; start intervals stayed 5000.54–5001.95 ms.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Normal Lifecycle Churn 10% — balanced groups</x:v>
      </x:c>
      <x:c r="E22" s="36" t="str">
        <x:v>Medir costo semántico real de ACTIVE↔INACTIVE con continuidad de Episode por grupo</x:v>
      </x:c>
      <x:c r="F22" s="36" t="n">
        <x:v>1000</x:v>
      </x:c>
      <x:c r="G22" s="36" t="str">
        <x:v>Local FS</x:v>
      </x:c>
      <x:c r="H22" s="36" t="str">
        <x:v>Latest Narrow / deterministic 10% churn</x:v>
      </x:c>
      <x:c r="I22" s="36" t="str">
        <x:v>36 balanced / 100 priority groups × 10 alarms</x:v>
      </x:c>
      <x:c r="J22" s="36" t="str">
        <x:v>None</x:v>
      </x:c>
      <x:c r="K22" s="36" t="str">
        <x:v>Stable config / C3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errors; snapshot 500 active alarms; exact lifecycle counters; 0 duplicate lifecycle commits</x:v>
      </x:c>
      <x:c r="Q22" s="36" t="str">
        <x:v>PASS/GREEN. 6000 state transitions; lifecycle counters exact. Churn-iteration p95 1287.22 ms; stable-generation p95 1085.86 ms. No overruns; periodic evidence-only commits allowed by contract.</x:v>
      </x:c>
      <x:c r="R22" s="36" t="str">
        <x:v>Completed</x:v>
      </x:c>
      <x:c r="S22" s="36" t="str">
        <x:v>R3.5B closed + C-001 harness patch 0.1.0</x:v>
      </x:c>
      <x:c r="T22" s="36" t="str">
        <x:v>Authoritative run 950633d5-157a-4d94-9b5b-a1cf48c4914b. 121 iterations; p50 1009.88 ms; p95 1237.59 ms; p99 1565.79 ms; max 1597.72 ms; 0 overruns; avg/peak process CPU 94.02%/99.86%; avg/peak RSS 132.85/133.12 MB; 60 churn generations; 6000 planned transitions; 700/700 lifecycle commits; 0 duplicate commits; 3500/3500 occurrence STARTED; 3000/3000 CLOSED; 100/100 episode STARTED; 0/0 CLOSED; 3500 assignment changes; 10000 journey events; 6500 evidence records; snapshot 500/500; WAL 10,253,900 bytes; journal durable==materialized; drain 1104.98 ms. Independent WAL audit: 700 records, 100 bootstrap groups + 60 cycles × 10 groups; each of 100 groups committed exactly 7 times. Final snapshots: 100 groups × 5 ACTIVE.</x:v>
      </x:c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Technical Hold Recovery Churn</x:v>
      </x:c>
      <x:c r="E23" s="36" t="str">
        <x:v>Medir ERROR transitorio con TechnicalHold STARTED/CLEARED preservando la misma Occurrence</x:v>
      </x:c>
      <x:c r="F23" s="36" t="n">
        <x:v>1000</x:v>
      </x:c>
      <x:c r="G23" s="36" t="str">
        <x:v>Local FS</x:v>
      </x:c>
      <x:c r="H23" s="36" t="str">
        <x:v>Latest Narrow / deterministic ERROR↔ACTIVE churn</x:v>
      </x:c>
      <x:c r="I23" s="36" t="str">
        <x:v>36 balanced / 100 priority groups × 10 alarms</x:v>
      </x:c>
      <x:c r="J23" s="36" t="str">
        <x:v>None</x:v>
      </x:c>
      <x:c r="K23" s="36" t="str">
        <x:v>Stable config / C3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 / TechnicalHold</x:v>
      </x:c>
      <x:c r="P23" s="36" t="str">
        <x:v>0 integrity errors; exact TechnicalHold STARTED/CLEARED; TechnicalHold EXPIRED=0; Occurrence CLOSED=0; Episode CLOSED=0; occurrence identity mismatch=0; assignment changes only at bootstrap; 0 duplicate lifecycle commits</x:v>
      </x:c>
      <x:c r="Q23" s="36" t="str">
        <x:v>Bootstrap 100% ACTIVE. Each observed generation changes 10 complete groups (100 alarms). Odd generation: cohort ACTIVE→ERROR; following even generation: same cohort ERROR→ACTIVE. Each observed hold lasts ~10 s, safely below the 300 s expiry.</x:v>
      </x:c>
      <x:c r="R23" s="36" t="str">
        <x:v>Ready</x:v>
      </x:c>
      <x:c r="S23" s="36" t="str">
        <x:v>C-001 + C-002 harness patch 0.1.0</x:v>
      </x:c>
      <x:c r="T23" s="36" t="str">
        <x:v>Harness now emits an explicit synthetic evaluator ERROR rather than approximating ERROR as INACTIVE. TechnicalHold is adjudicated from durable Journey events: technical_hold_started / technical_hold_recovered / technical_hold_expired. The gate preserves each alarm's bootstrap occurrence_id across STARTED and RECOVERED events. Expected snapshot hot-state remains 1000. Local adapted regression: 219 alarms-runtime tests passed. Non-authoritative local smoke was interrupted by shared-container memory pressure; WAL before cancellation independently confirmed 100 bootstrap Occurrences, 10 Episodes, 20 hold STARTED, 10 RECOVERED, 0 Occurrence/Episode closes and 0 occurrence identity mismatches.</x:v>
      </x:c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  <x:row r="66">
      <x:c r="A66" s="32" t="str">
        <x:v>B-011-R2</x:v>
      </x:c>
      <x:c r="B66" s="32" t="str">
        <x:v>R3.5B</x:v>
      </x:c>
      <x:c r="C66" s="32" t="n">
        <x:v>22</x:v>
      </x:c>
      <x:c r="D66" s="32" t="str">
        <x:v>Historical Width Reproduction — 6 series/alarm</x:v>
      </x:c>
      <x:c r="E66" s="32" t="str">
        <x:v>Repetir exactamente B-011 para determinar si el único overrun de 6 series es reproducible o ruido transitorio</x:v>
      </x:c>
      <x:c r="F66" s="32" t="n">
        <x:v>1000</x:v>
      </x:c>
      <x:c r="G66" s="32" t="str">
        <x:v>Local FS</x:v>
      </x:c>
      <x:c r="H66" s="32" t="str">
        <x:v>Latest + Historical 3h / 10s</x:v>
      </x:c>
      <x:c r="I66" s="32" t="str">
        <x:v>36 balanced per view / 72 chunks total</x:v>
      </x:c>
      <x:c r="J66" s="32" t="str">
        <x:v>None</x:v>
      </x:c>
      <x:c r="K66" s="32" t="str">
        <x:v>Stable config</x:v>
      </x:c>
      <x:c r="L66" s="32" t="n">
        <x:v>10</x:v>
      </x:c>
      <x:c r="M66" s="32" t="n">
        <x:v>5</x:v>
      </x:c>
      <x:c r="N66" s="32" t="n">
        <x:v>10</x:v>
      </x:c>
      <x:c r="O66" s="32" t="str">
        <x:v>Adaptive reproduction</x:v>
      </x:c>
      <x:c r="P66" s="32" t="str">
        <x:v>0 integrity errors</x:v>
      </x:c>
      <x:c r="Q66" s="32" t="str">
        <x:v>Reproducción limpia permite cerrar R3.5B; conservar advertencia de tail estrecho cerca de 5 s</x:v>
      </x:c>
      <x:c r="R66" s="32" t="str">
        <x:v>Completed</x:v>
      </x:c>
      <x:c r="S66" s="32" t="str">
        <x:v>B-011-R1</x:v>
      </x:c>
      <x:c r="T66" s="32" t="str">
        <x:v>PASS / GREEN — exact 6-series reproduction; 121 iterations; p50 3260.76 ms; p95 4139.16 ms; p99 4865.38 ms; max 4969.75 ms; 0 overruns; avg/peak process CPU 99.55%/100.59%; avg/peak RSS 195.38/198.34 MB; Latest 1000 cols + Historical 6000 cols × 1080 rows = 6,480,000 historical values; source-load p95 13.83 ms; merge p95 0.910 ms; journal aligned; snapshot 1000/1000; 3 durable commits; drain 411.66 ms. 11 iterations &gt;4 s, 4 &gt;4.5 s, 2 &gt;4.9 s, 0 &gt;=5 s. Start-to-start max 5002.21 ms. The original B-011 overrun did not reproduce; 6-series × 3h remains a narrow-tail stress envelope, not a production certification.</x:v>
      </x:c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94b941f3774a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12" t="str">
        <x:v>Data Profile</x:v>
      </x:c>
      <x:c r="AL4" s="12" t="str">
        <x:v>Columns / Alarm</x:v>
      </x:c>
      <x:c r="AM4" s="12" t="str">
        <x:v>Source Views</x:v>
      </x:c>
      <x:c r="AN4" s="12" t="str">
        <x:v>Source Columns</x:v>
      </x:c>
      <x:c r="AO4" s="12" t="str">
        <x:v>Source Rows</x:v>
      </x:c>
      <x:c r="AP4" s="12" t="str">
        <x:v>Source Frame Bytes</x:v>
      </x:c>
      <x:c r="AQ4" s="12" t="str">
        <x:v>Source Load p50 (ms)</x:v>
      </x:c>
      <x:c r="AR4" s="12" t="str">
        <x:v>Source Load p95 (ms)</x:v>
      </x:c>
      <x:c r="AS4" s="12" t="str">
        <x:v>Source Load p99 (ms)</x:v>
      </x:c>
      <x:c r="AT4" s="12" t="str">
        <x:v>Physical Partition Count</x:v>
      </x:c>
      <x:c r="AU4" s="12" t="str">
        <x:v>Physical Partition Column Counts</x:v>
      </x:c>
      <x:c r="AV4" s="12" t="str">
        <x:v>Source Merge p50 (ms)</x:v>
      </x:c>
      <x:c r="AW4" s="12" t="str">
        <x:v>Source Merge p95 (ms)</x:v>
      </x:c>
      <x:c r="AX4" s="12" t="str">
        <x:v>Source Merge p99 (ms)</x:v>
      </x:c>
      <x:c r="AY4" s="12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" t="str">
        <x:v>Historical Series / Alarm</x:v>
      </x:c>
      <x:c r="BF4" s="12" t="str">
        <x:v>Historical Window (min)</x:v>
      </x:c>
      <x:c r="BG4" s="12" t="str">
        <x:v>Historical Step (s)</x:v>
      </x:c>
      <x:c r="BH4" s="12" t="str">
        <x:v>Historical Points / Series</x:v>
      </x:c>
      <x:c r="BI4" s="12" t="str">
        <x:v>Historical Value Count</x:v>
      </x:c>
      <x:c r="BJ4" s="12" t="str">
        <x:v>Source Numeric Value Count</x:v>
      </x:c>
      <x:c r="BK4" s="12" t="str">
        <x:v>Latest Source Columns</x:v>
      </x:c>
      <x:c r="BL4" s="12" t="str">
        <x:v>Historical Source Columns</x:v>
      </x:c>
      <x:c r="BM4" s="12" t="str">
        <x:v>Historical Source Rows</x:v>
      </x:c>
      <x:c r="BN4" s="32" t="str">
        <x:v>Priority Group Count</x:v>
      </x:c>
      <x:c r="BO4" s="32" t="str">
        <x:v>Priority Group Size</x:v>
      </x:c>
      <x:c r="BP4" s="32" t="str">
        <x:v>Operational Churn %</x:v>
      </x:c>
      <x:c r="BQ4" s="32" t="str">
        <x:v>Initial Active %</x:v>
      </x:c>
      <x:c r="BR4" s="32" t="str">
        <x:v>Churn Generations</x:v>
      </x:c>
      <x:c r="BS4" s="32" t="str">
        <x:v>Planned State Transitions</x:v>
      </x:c>
      <x:c r="BT4" s="32" t="str">
        <x:v>Lifecycle Commits</x:v>
      </x:c>
      <x:c r="BU4" s="32" t="str">
        <x:v>Expected Lifecycle Commits</x:v>
      </x:c>
      <x:c r="BV4" s="32" t="str">
        <x:v>Duplicate Lifecycle Commits</x:v>
      </x:c>
      <x:c r="BW4" s="32" t="str">
        <x:v>Occurrence Started</x:v>
      </x:c>
      <x:c r="BX4" s="32" t="str">
        <x:v>Expected Occurrence Started</x:v>
      </x:c>
      <x:c r="BY4" s="32" t="str">
        <x:v>Occurrence Closed</x:v>
      </x:c>
      <x:c r="BZ4" s="32" t="str">
        <x:v>Expected Occurrence Closed</x:v>
      </x:c>
      <x:c r="CA4" s="32" t="str">
        <x:v>Episode Started</x:v>
      </x:c>
      <x:c r="CB4" s="32" t="str">
        <x:v>Expected Episode Started</x:v>
      </x:c>
      <x:c r="CC4" s="32" t="str">
        <x:v>Episode Closed</x:v>
      </x:c>
      <x:c r="CD4" s="32" t="str">
        <x:v>Expected Episode Closed</x:v>
      </x:c>
      <x:c r="CE4" s="32" t="str">
        <x:v>Assignment Changes</x:v>
      </x:c>
      <x:c r="CF4" s="32" t="str">
        <x:v>Journey Events</x:v>
      </x:c>
      <x:c r="CG4" s="32" t="str">
        <x:v>Evidence Records</x:v>
      </x:c>
      <x:c r="CH4" s="32" t="str">
        <x:v>Evidence-only Commits</x:v>
      </x:c>
      <x:c r="CI4" s="32" t="str">
        <x:v>Functional Integrity</x:v>
      </x:c>
      <x:c r="CJ4" s="32" t="str">
        <x:v>Technical Hold Churn %</x:v>
      </x:c>
      <x:c r="CK4" s="32" t="str">
        <x:v>Expected Assignment Changes</x:v>
      </x:c>
      <x:c r="CL4" s="32" t="str">
        <x:v>Technical Hold Started</x:v>
      </x:c>
      <x:c r="CM4" s="32" t="str">
        <x:v>Expected Technical Hold Started</x:v>
      </x:c>
      <x:c r="CN4" s="32" t="str">
        <x:v>Technical Hold Cleared</x:v>
      </x:c>
      <x:c r="CO4" s="32" t="str">
        <x:v>Expected Technical Hold Cleared</x:v>
      </x:c>
      <x:c r="CP4" s="32" t="str">
        <x:v>Technical Hold Expired</x:v>
      </x:c>
      <x:c r="CQ4" s="32" t="str">
        <x:v>Occurrence Identity Mismatches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  <x:c r="BN5" s="32"/>
      <x:c r="BO5" s="32"/>
      <x:c r="BP5" s="32"/>
      <x:c r="BQ5" s="32"/>
      <x:c r="BR5" s="32"/>
      <x:c r="BS5" s="32"/>
      <x:c r="BT5" s="32"/>
      <x:c r="BU5" s="32"/>
      <x:c r="BV5" s="32"/>
      <x:c r="BW5" s="32"/>
      <x:c r="BX5" s="32"/>
      <x:c r="BY5" s="32"/>
      <x:c r="BZ5" s="32"/>
      <x:c r="CA5" s="32"/>
      <x:c r="CB5" s="32"/>
      <x:c r="CC5" s="32"/>
      <x:c r="CD5" s="32"/>
      <x:c r="CE5" s="32"/>
      <x:c r="CF5" s="32"/>
      <x:c r="CG5" s="32"/>
      <x:c r="CH5" s="32"/>
      <x:c r="CI5" s="32"/>
      <x:c r="CJ5" s="32"/>
      <x:c r="CK5" s="32"/>
      <x:c r="CL5" s="32"/>
      <x:c r="CM5" s="32"/>
      <x:c r="CN5" s="32"/>
      <x:c r="CO5" s="32"/>
      <x:c r="CP5" s="32"/>
      <x:c r="CQ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  <x:c r="BN6" s="32"/>
      <x:c r="BO6" s="32"/>
      <x:c r="BP6" s="32"/>
      <x:c r="BQ6" s="32"/>
      <x:c r="BR6" s="32"/>
      <x:c r="BS6" s="32"/>
      <x:c r="BT6" s="32"/>
      <x:c r="BU6" s="32"/>
      <x:c r="BV6" s="32"/>
      <x:c r="BW6" s="32"/>
      <x:c r="BX6" s="32"/>
      <x:c r="BY6" s="32"/>
      <x:c r="BZ6" s="32"/>
      <x:c r="CA6" s="32"/>
      <x:c r="CB6" s="32"/>
      <x:c r="CC6" s="32"/>
      <x:c r="CD6" s="32"/>
      <x:c r="CE6" s="32"/>
      <x:c r="CF6" s="32"/>
      <x:c r="CG6" s="32"/>
      <x:c r="CH6" s="32"/>
      <x:c r="CI6" s="32"/>
      <x:c r="CJ6" s="32"/>
      <x:c r="CK6" s="32"/>
      <x:c r="CL6" s="32"/>
      <x:c r="CM6" s="32"/>
      <x:c r="CN6" s="32"/>
      <x:c r="CO6" s="32"/>
      <x:c r="CP6" s="32"/>
      <x:c r="CQ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  <x:c r="BN7" s="32"/>
      <x:c r="BO7" s="32"/>
      <x:c r="BP7" s="32"/>
      <x:c r="BQ7" s="32"/>
      <x:c r="BR7" s="32"/>
      <x:c r="BS7" s="32"/>
      <x:c r="BT7" s="32"/>
      <x:c r="BU7" s="32"/>
      <x:c r="BV7" s="32"/>
      <x:c r="BW7" s="32"/>
      <x:c r="BX7" s="32"/>
      <x:c r="BY7" s="32"/>
      <x:c r="BZ7" s="32"/>
      <x:c r="CA7" s="32"/>
      <x:c r="CB7" s="32"/>
      <x:c r="CC7" s="32"/>
      <x:c r="CD7" s="32"/>
      <x:c r="CE7" s="32"/>
      <x:c r="CF7" s="32"/>
      <x:c r="CG7" s="32"/>
      <x:c r="CH7" s="32"/>
      <x:c r="CI7" s="32"/>
      <x:c r="CJ7" s="32"/>
      <x:c r="CK7" s="32"/>
      <x:c r="CL7" s="32"/>
      <x:c r="CM7" s="32"/>
      <x:c r="CN7" s="32"/>
      <x:c r="CO7" s="32"/>
      <x:c r="CP7" s="32"/>
      <x:c r="CQ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  <x:c r="BN8" s="32"/>
      <x:c r="BO8" s="32"/>
      <x:c r="BP8" s="32"/>
      <x:c r="BQ8" s="32"/>
      <x:c r="BR8" s="32"/>
      <x:c r="BS8" s="32"/>
      <x:c r="BT8" s="32"/>
      <x:c r="BU8" s="32"/>
      <x:c r="BV8" s="32"/>
      <x:c r="BW8" s="32"/>
      <x:c r="BX8" s="32"/>
      <x:c r="BY8" s="32"/>
      <x:c r="BZ8" s="32"/>
      <x:c r="CA8" s="32"/>
      <x:c r="CB8" s="32"/>
      <x:c r="CC8" s="32"/>
      <x:c r="CD8" s="32"/>
      <x:c r="CE8" s="32"/>
      <x:c r="CF8" s="32"/>
      <x:c r="CG8" s="32"/>
      <x:c r="CH8" s="32"/>
      <x:c r="CI8" s="32"/>
      <x:c r="CJ8" s="32"/>
      <x:c r="CK8" s="32"/>
      <x:c r="CL8" s="32"/>
      <x:c r="CM8" s="32"/>
      <x:c r="CN8" s="32"/>
      <x:c r="CO8" s="32"/>
      <x:c r="CP8" s="32"/>
      <x:c r="CQ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  <x:c r="BN9" s="32"/>
      <x:c r="BO9" s="32"/>
      <x:c r="BP9" s="32"/>
      <x:c r="BQ9" s="32"/>
      <x:c r="BR9" s="32"/>
      <x:c r="BS9" s="32"/>
      <x:c r="BT9" s="32"/>
      <x:c r="BU9" s="32"/>
      <x:c r="BV9" s="32"/>
      <x:c r="BW9" s="32"/>
      <x:c r="BX9" s="32"/>
      <x:c r="BY9" s="32"/>
      <x:c r="BZ9" s="32"/>
      <x:c r="CA9" s="32"/>
      <x:c r="CB9" s="32"/>
      <x:c r="CC9" s="32"/>
      <x:c r="CD9" s="32"/>
      <x:c r="CE9" s="32"/>
      <x:c r="CF9" s="32"/>
      <x:c r="CG9" s="32"/>
      <x:c r="CH9" s="32"/>
      <x:c r="CI9" s="32"/>
      <x:c r="CJ9" s="32"/>
      <x:c r="CK9" s="32"/>
      <x:c r="CL9" s="32"/>
      <x:c r="CM9" s="32"/>
      <x:c r="CN9" s="32"/>
      <x:c r="CO9" s="32"/>
      <x:c r="CP9" s="32"/>
      <x:c r="CQ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s="32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  <x:c r="BN10" s="32"/>
      <x:c r="BO10" s="32"/>
      <x:c r="BP10" s="32"/>
      <x:c r="BQ10" s="32"/>
      <x:c r="BR10" s="32"/>
      <x:c r="BS10" s="32"/>
      <x:c r="BT10" s="32"/>
      <x:c r="BU10" s="32"/>
      <x:c r="BV10" s="32"/>
      <x:c r="BW10" s="32"/>
      <x:c r="BX10" s="32"/>
      <x:c r="BY10" s="32"/>
      <x:c r="BZ10" s="32"/>
      <x:c r="CA10" s="32"/>
      <x:c r="CB10" s="32"/>
      <x:c r="CC10" s="32"/>
      <x:c r="CD10" s="32"/>
      <x:c r="CE10" s="32"/>
      <x:c r="CF10" s="32"/>
      <x:c r="CG10" s="32"/>
      <x:c r="CH10" s="32"/>
      <x:c r="CI10" s="32"/>
      <x:c r="CJ10" s="32"/>
      <x:c r="CK10" s="32"/>
      <x:c r="CL10" s="32"/>
      <x:c r="CM10" s="32"/>
      <x:c r="CN10" s="32"/>
      <x:c r="CO10" s="32"/>
      <x:c r="CP10" s="32"/>
      <x:c r="CQ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s="32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  <x:c r="BN11" s="32"/>
      <x:c r="BO11" s="32"/>
      <x:c r="BP11" s="32"/>
      <x:c r="BQ11" s="32"/>
      <x:c r="BR11" s="32"/>
      <x:c r="BS11" s="32"/>
      <x:c r="BT11" s="32"/>
      <x:c r="BU11" s="32"/>
      <x:c r="BV11" s="32"/>
      <x:c r="BW11" s="32"/>
      <x:c r="BX11" s="32"/>
      <x:c r="BY11" s="32"/>
      <x:c r="BZ11" s="32"/>
      <x:c r="CA11" s="32"/>
      <x:c r="CB11" s="32"/>
      <x:c r="CC11" s="32"/>
      <x:c r="CD11" s="32"/>
      <x:c r="CE11" s="32"/>
      <x:c r="CF11" s="32"/>
      <x:c r="CG11" s="32"/>
      <x:c r="CH11" s="32"/>
      <x:c r="CI11" s="32"/>
      <x:c r="CJ11" s="32"/>
      <x:c r="CK11" s="32"/>
      <x:c r="CL11" s="32"/>
      <x:c r="CM11" s="32"/>
      <x:c r="CN11" s="32"/>
      <x:c r="CO11" s="32"/>
      <x:c r="CP11" s="32"/>
      <x:c r="CQ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s="3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  <x:c r="BN12" s="32"/>
      <x:c r="BO12" s="32"/>
      <x:c r="BP12" s="32"/>
      <x:c r="BQ12" s="32"/>
      <x:c r="BR12" s="32"/>
      <x:c r="BS12" s="32"/>
      <x:c r="BT12" s="32"/>
      <x:c r="BU12" s="32"/>
      <x:c r="BV12" s="32"/>
      <x:c r="BW12" s="32"/>
      <x:c r="BX12" s="32"/>
      <x:c r="BY12" s="32"/>
      <x:c r="BZ12" s="32"/>
      <x:c r="CA12" s="32"/>
      <x:c r="CB12" s="32"/>
      <x:c r="CC12" s="32"/>
      <x:c r="CD12" s="32"/>
      <x:c r="CE12" s="32"/>
      <x:c r="CF12" s="32"/>
      <x:c r="CG12" s="32"/>
      <x:c r="CH12" s="32"/>
      <x:c r="CI12" s="32"/>
      <x:c r="CJ12" s="32"/>
      <x:c r="CK12" s="32"/>
      <x:c r="CL12" s="32"/>
      <x:c r="CM12" s="32"/>
      <x:c r="CN12" s="32"/>
      <x:c r="CO12" s="32"/>
      <x:c r="CP12" s="32"/>
      <x:c r="CQ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s="32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  <x:c r="BN13" s="32"/>
      <x:c r="BO13" s="32"/>
      <x:c r="BP13" s="32"/>
      <x:c r="BQ13" s="32"/>
      <x:c r="BR13" s="32"/>
      <x:c r="BS13" s="32"/>
      <x:c r="BT13" s="32"/>
      <x:c r="BU13" s="32"/>
      <x:c r="BV13" s="32"/>
      <x:c r="BW13" s="32"/>
      <x:c r="BX13" s="32"/>
      <x:c r="BY13" s="32"/>
      <x:c r="BZ13" s="32"/>
      <x:c r="CA13" s="32"/>
      <x:c r="CB13" s="32"/>
      <x:c r="CC13" s="32"/>
      <x:c r="CD13" s="32"/>
      <x:c r="CE13" s="32"/>
      <x:c r="CF13" s="32"/>
      <x:c r="CG13" s="32"/>
      <x:c r="CH13" s="32"/>
      <x:c r="CI13" s="32"/>
      <x:c r="CJ13" s="32"/>
      <x:c r="CK13" s="32"/>
      <x:c r="CL13" s="32"/>
      <x:c r="CM13" s="32"/>
      <x:c r="CN13" s="32"/>
      <x:c r="CO13" s="32"/>
      <x:c r="CP13" s="32"/>
      <x:c r="CQ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s="32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  <x:c r="BN14" s="32"/>
      <x:c r="BO14" s="32"/>
      <x:c r="BP14" s="32"/>
      <x:c r="BQ14" s="32"/>
      <x:c r="BR14" s="32"/>
      <x:c r="BS14" s="32"/>
      <x:c r="BT14" s="32"/>
      <x:c r="BU14" s="32"/>
      <x:c r="BV14" s="32"/>
      <x:c r="BW14" s="32"/>
      <x:c r="BX14" s="32"/>
      <x:c r="BY14" s="32"/>
      <x:c r="BZ14" s="32"/>
      <x:c r="CA14" s="32"/>
      <x:c r="CB14" s="32"/>
      <x:c r="CC14" s="32"/>
      <x:c r="CD14" s="32"/>
      <x:c r="CE14" s="32"/>
      <x:c r="CF14" s="32"/>
      <x:c r="CG14" s="32"/>
      <x:c r="CH14" s="32"/>
      <x:c r="CI14" s="32"/>
      <x:c r="CJ14" s="32"/>
      <x:c r="CK14" s="32"/>
      <x:c r="CL14" s="32"/>
      <x:c r="CM14" s="32"/>
      <x:c r="CN14" s="32"/>
      <x:c r="CO14" s="32"/>
      <x:c r="CP14" s="32"/>
      <x:c r="CQ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s="32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  <x:c r="BN15" s="32"/>
      <x:c r="BO15" s="32"/>
      <x:c r="BP15" s="32"/>
      <x:c r="BQ15" s="32"/>
      <x:c r="BR15" s="32"/>
      <x:c r="BS15" s="32"/>
      <x:c r="BT15" s="32"/>
      <x:c r="BU15" s="32"/>
      <x:c r="BV15" s="32"/>
      <x:c r="BW15" s="32"/>
      <x:c r="BX15" s="32"/>
      <x:c r="BY15" s="32"/>
      <x:c r="BZ15" s="32"/>
      <x:c r="CA15" s="32"/>
      <x:c r="CB15" s="32"/>
      <x:c r="CC15" s="32"/>
      <x:c r="CD15" s="32"/>
      <x:c r="CE15" s="32"/>
      <x:c r="CF15" s="32"/>
      <x:c r="CG15" s="32"/>
      <x:c r="CH15" s="32"/>
      <x:c r="CI15" s="32"/>
      <x:c r="CJ15" s="32"/>
      <x:c r="CK15" s="32"/>
      <x:c r="CL15" s="32"/>
      <x:c r="CM15" s="32"/>
      <x:c r="CN15" s="32"/>
      <x:c r="CO15" s="32"/>
      <x:c r="CP15" s="32"/>
      <x:c r="CQ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s="32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  <x:c r="BN16" s="32"/>
      <x:c r="BO16" s="32"/>
      <x:c r="BP16" s="32"/>
      <x:c r="BQ16" s="32"/>
      <x:c r="BR16" s="32"/>
      <x:c r="BS16" s="32"/>
      <x:c r="BT16" s="32"/>
      <x:c r="BU16" s="32"/>
      <x:c r="BV16" s="32"/>
      <x:c r="BW16" s="32"/>
      <x:c r="BX16" s="32"/>
      <x:c r="BY16" s="32"/>
      <x:c r="BZ16" s="32"/>
      <x:c r="CA16" s="32"/>
      <x:c r="CB16" s="32"/>
      <x:c r="CC16" s="32"/>
      <x:c r="CD16" s="32"/>
      <x:c r="CE16" s="32"/>
      <x:c r="CF16" s="32"/>
      <x:c r="CG16" s="32"/>
      <x:c r="CH16" s="32"/>
      <x:c r="CI16" s="32"/>
      <x:c r="CJ16" s="32"/>
      <x:c r="CK16" s="32"/>
      <x:c r="CL16" s="32"/>
      <x:c r="CM16" s="32"/>
      <x:c r="CN16" s="32"/>
      <x:c r="CO16" s="32"/>
      <x:c r="CP16" s="32"/>
      <x:c r="CQ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  <x:c r="BN17" s="32"/>
      <x:c r="BO17" s="32"/>
      <x:c r="BP17" s="32"/>
      <x:c r="BQ17" s="32"/>
      <x:c r="BR17" s="32"/>
      <x:c r="BS17" s="32"/>
      <x:c r="BT17" s="32"/>
      <x:c r="BU17" s="32"/>
      <x:c r="BV17" s="32"/>
      <x:c r="BW17" s="32"/>
      <x:c r="BX17" s="32"/>
      <x:c r="BY17" s="32"/>
      <x:c r="BZ17" s="32"/>
      <x:c r="CA17" s="32"/>
      <x:c r="CB17" s="32"/>
      <x:c r="CC17" s="32"/>
      <x:c r="CD17" s="32"/>
      <x:c r="CE17" s="32"/>
      <x:c r="CF17" s="32"/>
      <x:c r="CG17" s="32"/>
      <x:c r="CH17" s="32"/>
      <x:c r="CI17" s="32"/>
      <x:c r="CJ17" s="32"/>
      <x:c r="CK17" s="32"/>
      <x:c r="CL17" s="32"/>
      <x:c r="CM17" s="32"/>
      <x:c r="CN17" s="32"/>
      <x:c r="CO17" s="32"/>
      <x:c r="CP17" s="32"/>
      <x:c r="CQ17" s="32"/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  <x:c r="BN18" s="32"/>
      <x:c r="BO18" s="32"/>
      <x:c r="BP18" s="32"/>
      <x:c r="BQ18" s="32"/>
      <x:c r="BR18" s="32"/>
      <x:c r="BS18" s="32"/>
      <x:c r="BT18" s="32"/>
      <x:c r="BU18" s="32"/>
      <x:c r="BV18" s="32"/>
      <x:c r="BW18" s="32"/>
      <x:c r="BX18" s="32"/>
      <x:c r="BY18" s="32"/>
      <x:c r="BZ18" s="32"/>
      <x:c r="CA18" s="32"/>
      <x:c r="CB18" s="32"/>
      <x:c r="CC18" s="32"/>
      <x:c r="CD18" s="32"/>
      <x:c r="CE18" s="32"/>
      <x:c r="CF18" s="32"/>
      <x:c r="CG18" s="32"/>
      <x:c r="CH18" s="32"/>
      <x:c r="CI18" s="32"/>
      <x:c r="CJ18" s="32"/>
      <x:c r="CK18" s="32"/>
      <x:c r="CL18" s="32"/>
      <x:c r="CM18" s="32"/>
      <x:c r="CN18" s="32"/>
      <x:c r="CO18" s="32"/>
      <x:c r="CP18" s="32"/>
      <x:c r="CQ18" s="32"/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  <x:c r="BN19" s="32"/>
      <x:c r="BO19" s="32"/>
      <x:c r="BP19" s="32"/>
      <x:c r="BQ19" s="32"/>
      <x:c r="BR19" s="32"/>
      <x:c r="BS19" s="32"/>
      <x:c r="BT19" s="32"/>
      <x:c r="BU19" s="32"/>
      <x:c r="BV19" s="32"/>
      <x:c r="BW19" s="32"/>
      <x:c r="BX19" s="32"/>
      <x:c r="BY19" s="32"/>
      <x:c r="BZ19" s="32"/>
      <x:c r="CA19" s="32"/>
      <x:c r="CB19" s="32"/>
      <x:c r="CC19" s="32"/>
      <x:c r="CD19" s="32"/>
      <x:c r="CE19" s="32"/>
      <x:c r="CF19" s="32"/>
      <x:c r="CG19" s="32"/>
      <x:c r="CH19" s="32"/>
      <x:c r="CI19" s="32"/>
      <x:c r="CJ19" s="32"/>
      <x:c r="CK19" s="32"/>
      <x:c r="CL19" s="32"/>
      <x:c r="CM19" s="32"/>
      <x:c r="CN19" s="32"/>
      <x:c r="CO19" s="32"/>
      <x:c r="CP19" s="32"/>
      <x:c r="CQ19" s="32"/>
    </x:row>
    <x:row r="20">
      <x:c r="A20" s="32" t="str">
        <x:v>ff67b804-d996-487a-93c7-766070fee7ec</x:v>
      </x:c>
      <x:c r="B20" s="32" t="str">
        <x:v>B-011-R1</x:v>
      </x:c>
      <x:c r="C20" s="42" t="n">
        <x:v>46259.82061342592</x:v>
      </x:c>
      <x:c r="D20" s="32" t="str">
        <x:v>489b7424f5051f7a276dafe8d5f318ccf1368d87</x:v>
      </x:c>
      <x:c r="E20" s="32" t="str">
        <x:v>GLONBW11</x:v>
      </x:c>
      <x:c r="F20" s="32" t="str">
        <x:v>local-filesystem</x:v>
      </x:c>
      <x:c r="G20" s="32" t="str">
        <x:v>3.14.2</x:v>
      </x:c>
      <x:c r="H20" s="32" t="str">
        <x:v>deterministic</x:v>
      </x:c>
      <x:c r="I20" s="32" t="n">
        <x:v>1000</x:v>
      </x:c>
      <x:c r="J20" s="32" t="n">
        <x:v>10</x:v>
      </x:c>
      <x:c r="K20" s="32" t="n">
        <x:v>10.070203566666667</x:v>
      </x:c>
      <x:c r="L20" s="32" t="n">
        <x:v>121</x:v>
      </x:c>
      <x:c r="M20" s="32" t="n">
        <x:v>5</x:v>
      </x:c>
      <x:c r="N20" s="32" t="n">
        <x:v>10</x:v>
      </x:c>
      <x:c r="O20" s="32" t="n">
        <x:v>3076.5154030013946</x:v>
      </x:c>
      <x:c r="P20" s="32" t="n">
        <x:v>3467.220237998845</x:v>
      </x:c>
      <x:c r="Q20" s="32" t="n">
        <x:v>4269.629101601457</x:v>
      </x:c>
      <x:c r="R20" s="32" t="n">
        <x:v>4921.435602998827</x:v>
      </x:c>
      <x:c r="S20" s="32" t="n">
        <x:v>0</x:v>
      </x:c>
      <x:c r="T20" s="43" t="n">
        <x:v>0</x:v>
      </x:c>
      <x:c r="U20" s="32" t="n">
        <x:v>99.49334050628323</x:v>
      </x:c>
      <x:c r="V20" s="32" t="n">
        <x:v>100.25011076244299</x:v>
      </x:c>
      <x:c r="W20" s="32" t="n">
        <x:v>176.69791128615702</x:v>
      </x:c>
      <x:c r="X20" s="32" t="n">
        <x:v>180.16015625</x:v>
      </x:c>
      <x:c r="Y20" s="32"/>
      <x:c r="Z20" s="32"/>
      <x:c r="AA20" s="32"/>
      <x:c r="AB20" s="32"/>
      <x:c r="AC20" s="32" t="n">
        <x:v>0</x:v>
      </x:c>
      <x:c r="AD20" s="32" t="n">
        <x:v>0</x:v>
      </x:c>
      <x:c r="AE20" s="32" t="n">
        <x:v>0</x:v>
      </x:c>
      <x:c r="AF20" s="32"/>
      <x:c r="AG20" s="32"/>
      <x:c r="AH20" s="32" t="n">
        <x:v>429.75233199831564</x:v>
      </x:c>
      <x:c r="AI20" s="32" t="str">
        <x:v>PASS</x:v>
      </x:c>
      <x:c r="AJ20" s="32" t="str">
        <x:v>GREEN</x:v>
      </x:c>
      <x:c r="AK20" s="32" t="str">
        <x:v>latest-historical</x:v>
      </x:c>
      <x:c r="AL20" s="32" t="n">
        <x:v>1</x:v>
      </x:c>
      <x:c r="AM20" s="32" t="n">
        <x:v>2</x:v>
      </x:c>
      <x:c r="AN20" s="32" t="n">
        <x:v>5000</x:v>
      </x:c>
      <x:c r="AO20" s="32" t="n">
        <x:v>1081</x:v>
      </x:c>
      <x:c r="AP20" s="32" t="n">
        <x:v>34576904</x:v>
      </x:c>
      <x:c r="AQ20" s="32" t="n">
        <x:v>9.794887999305502</x:v>
      </x:c>
      <x:c r="AR20" s="32" t="n">
        <x:v>11.741795999114402</x:v>
      </x:c>
      <x:c r="AS20" s="32" t="n">
        <x:v>18.752869799936878</x:v>
      </x:c>
      <x:c r="AT20" s="32" t="n">
        <x:v>36</x:v>
      </x:c>
      <x:c r="AU20" s="32" t="str">
        <x:v>Latest: 28×28 + 8×27 / Historical: 4×112 + 32×111</x:v>
      </x:c>
      <x:c r="AV20" s="32" t="n">
        <x:v>0.7220070001494605</x:v>
      </x:c>
      <x:c r="AW20" s="32" t="n">
        <x:v>0.8572499973524828</x:v>
      </x:c>
      <x:c r="AX20" s="32" t="n">
        <x:v>1.2167050001153255</x:v>
      </x:c>
      <x:c r="AY20" s="32" t="str">
        <x:v>balanced</x:v>
      </x:c>
      <x:c r="AZ20" s="32" t="str">
        <x:v>PASS</x:v>
      </x:c>
      <x:c r="BA20" s="32" t="n">
        <x:v>1000</x:v>
      </x:c>
      <x:c r="BB20" s="32" t="n">
        <x:v>0</x:v>
      </x:c>
      <x:c r="BC20" s="115" t="b">
        <x:v>1</x:v>
      </x:c>
      <x:c r="BD20" s="32" t="str">
        <x:v>Raw PASS; 0 overruns; journal durable==materialized; snapshot observed/expected 1000/1000; 3 durable commits; no resource pressure events. The 4-series regression is clean.</x:v>
      </x:c>
      <x:c r="BE20" s="32" t="n">
        <x:v>4</x:v>
      </x:c>
      <x:c r="BF20" s="32" t="n">
        <x:v>180</x:v>
      </x:c>
      <x:c r="BG20" s="32" t="n">
        <x:v>10</x:v>
      </x:c>
      <x:c r="BH20" s="32" t="n">
        <x:v>1080</x:v>
      </x:c>
      <x:c r="BI20" s="32" t="n">
        <x:v>4320000</x:v>
      </x:c>
      <x:c r="BJ20" s="32" t="n">
        <x:v>4321000</x:v>
      </x:c>
      <x:c r="BK20" s="32" t="n">
        <x:v>1000</x:v>
      </x:c>
      <x:c r="BL20" s="32" t="n">
        <x:v>4000</x:v>
      </x:c>
      <x:c r="BM20" s="32" t="n">
        <x:v>1080</x:v>
      </x:c>
      <x:c r="BN20" s="32"/>
      <x:c r="BO20" s="32"/>
      <x:c r="BP20" s="32"/>
      <x:c r="BQ20" s="32"/>
      <x:c r="BR20" s="32"/>
      <x:c r="BS20" s="32"/>
      <x:c r="BT20" s="32"/>
      <x:c r="BU20" s="32"/>
      <x:c r="BV20" s="32"/>
      <x:c r="BW20" s="32"/>
      <x:c r="BX20" s="32"/>
      <x:c r="BY20" s="32"/>
      <x:c r="BZ20" s="32"/>
      <x:c r="CA20" s="32"/>
      <x:c r="CB20" s="32"/>
      <x:c r="CC20" s="32"/>
      <x:c r="CD20" s="32"/>
      <x:c r="CE20" s="32"/>
      <x:c r="CF20" s="32"/>
      <x:c r="CG20" s="32"/>
      <x:c r="CH20" s="32"/>
      <x:c r="CI20" s="32"/>
      <x:c r="CJ20" s="32"/>
      <x:c r="CK20" s="32"/>
      <x:c r="CL20" s="32"/>
      <x:c r="CM20" s="32"/>
      <x:c r="CN20" s="32"/>
      <x:c r="CO20" s="32"/>
      <x:c r="CP20" s="32"/>
      <x:c r="CQ20" s="32"/>
    </x:row>
    <x:row r="21">
      <x:c r="A21" s="32" t="str">
        <x:v>d0375b0c-7cd0-4082-8b7e-aef300c8c392</x:v>
      </x:c>
      <x:c r="B21" s="32" t="str">
        <x:v>B-011-R2</x:v>
      </x:c>
      <x:c r="C21" s="42" t="n">
        <x:v>46259.83627314815</x:v>
      </x:c>
      <x:c r="D21" s="32" t="str">
        <x:v>489b7424f5051f7a276dafe8d5f318ccf1368d87</x:v>
      </x:c>
      <x:c r="E21" s="32" t="str">
        <x:v>GLONBW11</x:v>
      </x:c>
      <x:c r="F21" s="32" t="str">
        <x:v>local-filesystem</x:v>
      </x:c>
      <x:c r="G21" s="32" t="str">
        <x:v>3.14.2</x:v>
      </x:c>
      <x:c r="H21" s="32" t="str">
        <x:v>deterministic</x:v>
      </x:c>
      <x:c r="I21" s="32" t="n">
        <x:v>1000</x:v>
      </x:c>
      <x:c r="J21" s="32" t="n">
        <x:v>10</x:v>
      </x:c>
      <x:c r="K21" s="32" t="n">
        <x:v>10.068313216666667</x:v>
      </x:c>
      <x:c r="L21" s="32" t="n">
        <x:v>121</x:v>
      </x:c>
      <x:c r="M21" s="32" t="n">
        <x:v>5</x:v>
      </x:c>
      <x:c r="N21" s="32" t="n">
        <x:v>10</x:v>
      </x:c>
      <x:c r="O21" s="32" t="n">
        <x:v>3260.7563929996104</x:v>
      </x:c>
      <x:c r="P21" s="32" t="n">
        <x:v>4139.162118000968</x:v>
      </x:c>
      <x:c r="Q21" s="32" t="n">
        <x:v>4865.3839519982275</x:v>
      </x:c>
      <x:c r="R21" s="32" t="n">
        <x:v>4969.753776000289</x:v>
      </x:c>
      <x:c r="S21" s="32" t="n">
        <x:v>0</x:v>
      </x:c>
      <x:c r="T21" s="43" t="n">
        <x:v>0</x:v>
      </x:c>
      <x:c r="U21" s="32" t="n">
        <x:v>99.5544649383149</x:v>
      </x:c>
      <x:c r="V21" s="32" t="n">
        <x:v>100.58889897650414</x:v>
      </x:c>
      <x:c r="W21" s="32" t="n">
        <x:v>195.38158574380165</x:v>
      </x:c>
      <x:c r="X21" s="32" t="n">
        <x:v>198.3359375</x:v>
      </x:c>
      <x:c r="Y21" s="32"/>
      <x:c r="Z21" s="32"/>
      <x:c r="AA21" s="32"/>
      <x:c r="AB21" s="32"/>
      <x:c r="AC21" s="32" t="n">
        <x:v>0</x:v>
      </x:c>
      <x:c r="AD21" s="32" t="n">
        <x:v>0</x:v>
      </x:c>
      <x:c r="AE21" s="32" t="n">
        <x:v>0</x:v>
      </x:c>
      <x:c r="AF21" s="32"/>
      <x:c r="AG21" s="32"/>
      <x:c r="AH21" s="32" t="n">
        <x:v>411.661025002104</x:v>
      </x:c>
      <x:c r="AI21" s="32" t="str">
        <x:v>PASS</x:v>
      </x:c>
      <x:c r="AJ21" s="32" t="str">
        <x:v>GREEN</x:v>
      </x:c>
      <x:c r="AK21" s="32" t="str">
        <x:v>latest-historical</x:v>
      </x:c>
      <x:c r="AL21" s="32" t="n">
        <x:v>1</x:v>
      </x:c>
      <x:c r="AM21" s="32" t="n">
        <x:v>2</x:v>
      </x:c>
      <x:c r="AN21" s="32" t="n">
        <x:v>7000</x:v>
      </x:c>
      <x:c r="AO21" s="32" t="n">
        <x:v>1081</x:v>
      </x:c>
      <x:c r="AP21" s="32" t="n">
        <x:v>51856904</x:v>
      </x:c>
      <x:c r="AQ21" s="32" t="n">
        <x:v>11.17911700202967</x:v>
      </x:c>
      <x:c r="AR21" s="32" t="n">
        <x:v>13.82596400071634</x:v>
      </x:c>
      <x:c r="AS21" s="32" t="n">
        <x:v>21.842322399606918</x:v>
      </x:c>
      <x:c r="AT21" s="32" t="n">
        <x:v>36</x:v>
      </x:c>
      <x:c r="AU21" s="32" t="str">
        <x:v>Latest: 28×28 + 8×27 / Historical: 24×167 + 12×166</x:v>
      </x:c>
      <x:c r="AV21" s="32" t="n">
        <x:v>0.7139890039979946</x:v>
      </x:c>
      <x:c r="AW21" s="32" t="n">
        <x:v>0.9098509981413372</x:v>
      </x:c>
      <x:c r="AX21" s="32" t="n">
        <x:v>1.2882192007964475</x:v>
      </x:c>
      <x:c r="AY21" s="32" t="str">
        <x:v>balanced</x:v>
      </x:c>
      <x:c r="AZ21" s="32" t="str">
        <x:v>PASS</x:v>
      </x:c>
      <x:c r="BA21" s="32" t="n">
        <x:v>1000</x:v>
      </x:c>
      <x:c r="BB21" s="32" t="n">
        <x:v>0</x:v>
      </x:c>
      <x:c r="BC21" s="115" t="b">
        <x:v>1</x:v>
      </x:c>
      <x:c r="BD21" s="32" t="str">
        <x:v>Exact B-011 reproduction PASS; 0 overruns; no iteration &gt;=5 s; start-to-start max 5002.21 ms; journal durable==materialized; snapshot 1000/1000; 3 durable commits; resource_pressure_events=0. Original isolated B-011 overrun was not reproduced.</x:v>
      </x:c>
      <x:c r="BE21" s="32" t="n">
        <x:v>6</x:v>
      </x:c>
      <x:c r="BF21" s="32" t="n">
        <x:v>180</x:v>
      </x:c>
      <x:c r="BG21" s="32" t="n">
        <x:v>10</x:v>
      </x:c>
      <x:c r="BH21" s="32" t="n">
        <x:v>1080</x:v>
      </x:c>
      <x:c r="BI21" s="32" t="n">
        <x:v>6480000</x:v>
      </x:c>
      <x:c r="BJ21" s="32" t="n">
        <x:v>6481000</x:v>
      </x:c>
      <x:c r="BK21" s="32" t="n">
        <x:v>1000</x:v>
      </x:c>
      <x:c r="BL21" s="32" t="n">
        <x:v>6000</x:v>
      </x:c>
      <x:c r="BM21" s="32" t="n">
        <x:v>1080</x:v>
      </x:c>
      <x:c r="BN21" s="32"/>
      <x:c r="BO21" s="32"/>
      <x:c r="BP21" s="32"/>
      <x:c r="BQ21" s="32"/>
      <x:c r="BR21" s="32"/>
      <x:c r="BS21" s="32"/>
      <x:c r="BT21" s="32"/>
      <x:c r="BU21" s="32"/>
      <x:c r="BV21" s="32"/>
      <x:c r="BW21" s="32"/>
      <x:c r="BX21" s="32"/>
      <x:c r="BY21" s="32"/>
      <x:c r="BZ21" s="32"/>
      <x:c r="CA21" s="32"/>
      <x:c r="CB21" s="32"/>
      <x:c r="CC21" s="32"/>
      <x:c r="CD21" s="32"/>
      <x:c r="CE21" s="32"/>
      <x:c r="CF21" s="32"/>
      <x:c r="CG21" s="32"/>
      <x:c r="CH21" s="32"/>
      <x:c r="CI21" s="32"/>
      <x:c r="CJ21" s="32"/>
      <x:c r="CK21" s="32"/>
      <x:c r="CL21" s="32"/>
      <x:c r="CM21" s="32"/>
      <x:c r="CN21" s="32"/>
      <x:c r="CO21" s="32"/>
      <x:c r="CP21" s="32"/>
      <x:c r="CQ21" s="32"/>
    </x:row>
    <x:row r="22">
      <x:c r="A22" s="32" t="str">
        <x:v>950633d5-157a-4d94-9b5b-a1cf48c4914b</x:v>
      </x:c>
      <x:c r="B22" s="32" t="str">
        <x:v>C-001</x:v>
      </x:c>
      <x:c r="C22" s="42" t="n">
        <x:v>46259.88398148148</x:v>
      </x:c>
      <x:c r="D22" s="32" t="str">
        <x:v>489b7424f5051f7a276dafe8d5f318ccf1368d87</x:v>
      </x:c>
      <x:c r="E22" s="32" t="str">
        <x:v>GLONBW11</x:v>
      </x:c>
      <x:c r="F22" s="32" t="str">
        <x:v>local-filesystem</x:v>
      </x:c>
      <x:c r="G22" s="32" t="str">
        <x:v>3.14.2</x:v>
      </x:c>
      <x:c r="H22" s="32" t="str">
        <x:v>deterministic</x:v>
      </x:c>
      <x:c r="I22" s="32" t="n">
        <x:v>1000</x:v>
      </x:c>
      <x:c r="J22" s="32" t="n">
        <x:v>10</x:v>
      </x:c>
      <x:c r="K22" s="32" t="n">
        <x:v>10.038534316666667</x:v>
      </x:c>
      <x:c r="L22" s="32" t="n">
        <x:v>121</x:v>
      </x:c>
      <x:c r="M22" s="32" t="n">
        <x:v>5</x:v>
      </x:c>
      <x:c r="N22" s="32" t="n">
        <x:v>10</x:v>
      </x:c>
      <x:c r="O22" s="32" t="n">
        <x:v>1009.884859995509</x:v>
      </x:c>
      <x:c r="P22" s="32" t="n">
        <x:v>1237.5873399942066</x:v>
      </x:c>
      <x:c r="Q22" s="32" t="n">
        <x:v>1565.7915012037847</x:v>
      </x:c>
      <x:c r="R22" s="32" t="n">
        <x:v>1597.7153240019106</x:v>
      </x:c>
      <x:c r="S22" s="32" t="n">
        <x:v>0</x:v>
      </x:c>
      <x:c r="T22" s="43" t="n">
        <x:v>0</x:v>
      </x:c>
      <x:c r="U22" s="32" t="n">
        <x:v>94.01959568306425</x:v>
      </x:c>
      <x:c r="V22" s="32" t="n">
        <x:v>99.85726633585483</x:v>
      </x:c>
      <x:c r="W22" s="32" t="n">
        <x:v>132.8514979338843</x:v>
      </x:c>
      <x:c r="X22" s="32" t="n">
        <x:v>133.12109375</x:v>
      </x:c>
      <x:c r="Y22" s="32"/>
      <x:c r="Z22" s="32"/>
      <x:c r="AA22" s="32"/>
      <x:c r="AB22" s="32"/>
      <x:c r="AC22" s="32" t="n">
        <x:v>0</x:v>
      </x:c>
      <x:c r="AD22" s="32" t="n">
        <x:v>0</x:v>
      </x:c>
      <x:c r="AE22" s="32" t="n">
        <x:v>0</x:v>
      </x:c>
      <x:c r="AF22" s="32"/>
      <x:c r="AG22" s="32"/>
      <x:c r="AH22" s="32" t="n">
        <x:v>1104.9793269994552</x:v>
      </x:c>
      <x:c r="AI22" s="32" t="str">
        <x:v>PASS</x:v>
      </x:c>
      <x:c r="AJ22" s="32" t="str">
        <x:v>GREEN</x:v>
      </x:c>
      <x:c r="AK22" s="32" t="str">
        <x:v>latest-narrow</x:v>
      </x:c>
      <x:c r="AL22" s="32" t="n">
        <x:v>1</x:v>
      </x:c>
      <x:c r="AM22" s="32" t="n">
        <x:v>1</x:v>
      </x:c>
      <x:c r="AN22" s="32" t="n">
        <x:v>1000</x:v>
      </x:c>
      <x:c r="AO22" s="32" t="n">
        <x:v>1</x:v>
      </x:c>
      <x:c r="AP22" s="32" t="n">
        <x:v>8132</x:v>
      </x:c>
      <x:c r="AQ22" s="32" t="n">
        <x:v>8.640901993203443</x:v>
      </x:c>
      <x:c r="AR22" s="32" t="n">
        <x:v>10.664496003300883</x:v>
      </x:c>
      <x:c r="AS22" s="32" t="n">
        <x:v>11.491267599922137</x:v>
      </x:c>
      <x:c r="AT22" s="32" t="n">
        <x:v>36</x:v>
      </x:c>
      <x:c r="AU22" s="32" t="str">
        <x:v>28×28 + 8×27</x:v>
      </x:c>
      <x:c r="AV22" s="32" t="n">
        <x:v>0.3478149956208654</x:v>
      </x:c>
      <x:c r="AW22" s="32" t="n">
        <x:v>0.4540899972198531</x:v>
      </x:c>
      <x:c r="AX22" s="32" t="n">
        <x:v>0.77690840116702</x:v>
      </x:c>
      <x:c r="AY22" s="32" t="str">
        <x:v>balanced</x:v>
      </x:c>
      <x:c r="AZ22" s="32" t="str">
        <x:v>PASS</x:v>
      </x:c>
      <x:c r="BA22" s="32" t="n">
        <x:v>500</x:v>
      </x:c>
      <x:c r="BB22" s="32" t="n">
        <x:v>500</x:v>
      </x:c>
      <x:c r="BC22" s="115" t="b">
        <x:v>1</x:v>
      </x:c>
      <x:c r="BD22" s="32" t="str">
        <x:v>Raw PASS; functional_integrity_ok=true; 700/700 lifecycle commits; 0 duplicate lifecycle commits; occurrence/episode counters exact; journal durable==materialized; final snapshots 100 groups × 5 ACTIVE; WAL bytes=10,253,900.</x:v>
      </x:c>
      <x:c r="BE22" s="32" t="n">
        <x:v>0</x:v>
      </x:c>
      <x:c r="BF22" s="32" t="n">
        <x:v>0</x:v>
      </x:c>
      <x:c r="BG22" s="32" t="n">
        <x:v>0</x:v>
      </x:c>
      <x:c r="BH22" s="32" t="n">
        <x:v>0</x:v>
      </x:c>
      <x:c r="BI22" s="32" t="n">
        <x:v>0</x:v>
      </x:c>
      <x:c r="BJ22" s="32" t="n">
        <x:v>1000</x:v>
      </x:c>
      <x:c r="BK22" s="32" t="n">
        <x:v>1000</x:v>
      </x:c>
      <x:c r="BL22" s="32" t="n">
        <x:v>0</x:v>
      </x:c>
      <x:c r="BM22" s="32" t="n">
        <x:v>0</x:v>
      </x:c>
      <x:c r="BN22" s="32" t="n">
        <x:v>100</x:v>
      </x:c>
      <x:c r="BO22" s="32" t="n">
        <x:v>10</x:v>
      </x:c>
      <x:c r="BP22" s="32" t="n">
        <x:v>10</x:v>
      </x:c>
      <x:c r="BQ22" s="32" t="n">
        <x:v>50</x:v>
      </x:c>
      <x:c r="BR22" s="32" t="n">
        <x:v>60</x:v>
      </x:c>
      <x:c r="BS22" s="32" t="n">
        <x:v>6000</x:v>
      </x:c>
      <x:c r="BT22" s="32" t="n">
        <x:v>700</x:v>
      </x:c>
      <x:c r="BU22" s="32" t="n">
        <x:v>700</x:v>
      </x:c>
      <x:c r="BV22" s="32" t="n">
        <x:v>0</x:v>
      </x:c>
      <x:c r="BW22" s="32" t="n">
        <x:v>3500</x:v>
      </x:c>
      <x:c r="BX22" s="32" t="n">
        <x:v>3500</x:v>
      </x:c>
      <x:c r="BY22" s="32" t="n">
        <x:v>3000</x:v>
      </x:c>
      <x:c r="BZ22" s="32" t="n">
        <x:v>3000</x:v>
      </x:c>
      <x:c r="CA22" s="32" t="n">
        <x:v>100</x:v>
      </x:c>
      <x:c r="CB22" s="32" t="n">
        <x:v>100</x:v>
      </x:c>
      <x:c r="CC22" s="32" t="n">
        <x:v>0</x:v>
      </x:c>
      <x:c r="CD22" s="32" t="n">
        <x:v>0</x:v>
      </x:c>
      <x:c r="CE22" s="32" t="n">
        <x:v>3500</x:v>
      </x:c>
      <x:c r="CF22" s="32" t="n">
        <x:v>10000</x:v>
      </x:c>
      <x:c r="CG22" s="32" t="n">
        <x:v>6500</x:v>
      </x:c>
      <x:c r="CH22" s="32" t="n">
        <x:v>0</x:v>
      </x:c>
      <x:c r="CI22" s="115" t="b">
        <x:v>1</x:v>
      </x:c>
      <x:c r="CJ22" s="32" t="n">
        <x:v>0</x:v>
      </x:c>
      <x:c r="CK22" s="32" t="n">
        <x:v>3500</x:v>
      </x:c>
      <x:c r="CL22" s="32" t="n">
        <x:v>0</x:v>
      </x:c>
      <x:c r="CM22" s="32" t="n">
        <x:v>0</x:v>
      </x:c>
      <x:c r="CN22" s="32" t="n">
        <x:v>0</x:v>
      </x:c>
      <x:c r="CO22" s="32" t="n">
        <x:v>0</x:v>
      </x:c>
      <x:c r="CP22" s="32" t="n">
        <x:v>0</x:v>
      </x:c>
      <x:c r="CQ22" s="32" t="n">
        <x:v>0</x:v>
      </x:c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 t="str">
        <x:v>F-B011R1-001</x:v>
      </x:c>
      <x:c r="B47" s="32" t="str">
        <x:v>ff67b804-d996-487a-93c7-766070fee7ec</x:v>
      </x:c>
      <x:c r="C47" s="32" t="str">
        <x:v>B-011-R1</x:v>
      </x:c>
      <x:c r="D47" s="32" t="n">
        <x:v>46259.82061342592</x:v>
      </x:c>
      <x:c r="E47" s="32" t="str">
        <x:v>Performance / Reproducibility</x:v>
      </x:c>
      <x:c r="F47" s="32" t="str">
        <x:v>Info</x:v>
      </x:c>
      <x:c r="G47" s="32" t="str">
        <x:v>La regresión a 4 series salió limpia y no reproduce una frontera operacional ≤4 series.</x:v>
      </x:c>
      <x:c r="H47" s="32" t="str">
        <x:v>B-011-R1: p50 3076.52 ms; p95 3467.22 ms; p99 4269.63 ms; max 4921.44 ms; 0 overruns. Frente a B-011 (6 series), p95 baja 3814.49→3467.22 ms (-9.10%) y desaparece el único overrun.</x:v>
      </x:c>
      <x:c r="I47" s="32" t="str">
        <x:v>El resultado elimina la hipótesis de una frontera reproducible a 4 series, pero aún no distingue entre inestabilidad propia de 6 series y jitter transitorio.</x:v>
      </x:c>
      <x:c r="J47" s="32" t="str">
        <x:v>Repetir exactamente 6 series como B-011-R2 antes de interpolar a 5.</x:v>
      </x:c>
      <x:c r="K47" s="32" t="str">
        <x:v>Accepted</x:v>
      </x:c>
      <x:c r="L47" s="32" t="str">
        <x:v>DEC-R35-016</x:v>
      </x:c>
    </x:row>
    <x:row r="48">
      <x:c r="A48" s="32" t="str">
        <x:v>F-B011R1-002</x:v>
      </x:c>
      <x:c r="B48" s="32" t="str">
        <x:v>ff67b804-d996-487a-93c7-766070fee7ec</x:v>
      </x:c>
      <x:c r="C48" s="32" t="str">
        <x:v>B-011-R1</x:v>
      </x:c>
      <x:c r="D48" s="32" t="n">
        <x:v>46259.82061342592</x:v>
      </x:c>
      <x:c r="E48" s="32" t="str">
        <x:v>Scheduling / Tail</x:v>
      </x:c>
      <x:c r="F48" s="32" t="str">
        <x:v>Info</x:v>
      </x:c>
      <x:c r="G48" s="32" t="str">
        <x:v>El máximo de 4921.44 ms no produjo overrun ni desplazamiento de cadencia.</x:v>
      </x:c>
      <x:c r="H48" s="32" t="str">
        <x:v>El máximo ocurrió en iteration 4. Sólo 2/121 iteraciones superaron 4 s, 1 superó 4.5 s y ninguna superó 5 s. Start-to-start min 5000.54 ms, p50 5001.13 ms, max 5001.95 ms.</x:v>
      </x:c>
      <x:c r="I48" s="32" t="str">
        <x:v>La ejecución mantuvo el periodo candidato durante toda la corrida. Un ciclo próximo a 5 s sin desplazar la siguiente cadencia no es un overrun.</x:v>
      </x:c>
      <x:c r="J48" s="32" t="str">
        <x:v>Mantener la regla sobre overrun real para la reproducción de 6 series.</x:v>
      </x:c>
      <x:c r="K48" s="32" t="str">
        <x:v>Accepted</x:v>
      </x:c>
      <x:c r="L48" s="32" t="str">
        <x:v>DEC-R35-016</x:v>
      </x:c>
    </x:row>
    <x:row r="49">
      <x:c r="A49" s="32" t="str">
        <x:v>F-B011R1-003</x:v>
      </x:c>
      <x:c r="B49" s="32" t="str">
        <x:v>ff67b804-d996-487a-93c7-766070fee7ec</x:v>
      </x:c>
      <x:c r="C49" s="32" t="str">
        <x:v>B-011-R1</x:v>
      </x:c>
      <x:c r="D49" s="32" t="n">
        <x:v>46259.82061342592</x:v>
      </x:c>
      <x:c r="E49" s="32" t="str">
        <x:v>Memory / Data Load / Correctness</x:v>
      </x:c>
      <x:c r="F49" s="32" t="str">
        <x:v>Info</x:v>
      </x:c>
      <x:c r="G49" s="32" t="str">
        <x:v>La regresión mantiene integridad y memoria acotada con 4.32 M valores históricos.</x:v>
      </x:c>
      <x:c r="H49" s="32" t="str">
        <x:v>Avg/peak RSS 176.70/180.16 MB; pendiente RSS segunda mitad ≈ -0.15 MB/min. Source-load p95 11.74 ms; merge p95 0.857 ms; source frame 34.58 MB. Snapshot 1000/1000; journal durable==materialized; 3 commits; drain 429.75 ms; resource_pressure_events=0, errors=0, warnings=0.</x:v>
      </x:c>
      <x:c r="I49" s="32" t="str">
        <x:v>No hay evidencia de fuga de memoria, presión de loader/merge ni pérdida durable. La única pregunta abierta de R3.5B es la reproducibilidad del overrun observado a 6 series.</x:v>
      </x:c>
      <x:c r="J49" s="32" t="str">
        <x:v>Ejecutar B-011-R2 sin cambiar ninguna otra dimensión.</x:v>
      </x:c>
      <x:c r="K49" s="32" t="str">
        <x:v>Accepted</x:v>
      </x:c>
      <x:c r="L49" s="32" t="str">
        <x:v>DEC-R35-016</x:v>
      </x:c>
    </x:row>
    <x:row r="50">
      <x:c r="A50" s="32" t="str">
        <x:v>F-B011R2-001</x:v>
      </x:c>
      <x:c r="B50" s="32" t="str">
        <x:v>d0375b0c-7cd0-4082-8b7e-aef300c8c392</x:v>
      </x:c>
      <x:c r="C50" s="32" t="str">
        <x:v>B-011-R2</x:v>
      </x:c>
      <x:c r="D50" s="32" t="n">
        <x:v>46259.83627314815</x:v>
      </x:c>
      <x:c r="E50" s="32" t="str">
        <x:v>Performance / Reproducibility</x:v>
      </x:c>
      <x:c r="F50" s="32" t="str">
        <x:v>Info</x:v>
      </x:c>
      <x:c r="G50" s="32" t="str">
        <x:v>La reproducción exacta de 6 series no repitió el overrun original de B-011.</x:v>
      </x:c>
      <x:c r="H50" s="32" t="str">
        <x:v>B-011-R2: p50 3260.76 ms; p95 4139.16 ms; p99 4865.38 ms; max 4969.75 ms; 0 overruns. B-011 original: p95 3814.49 ms; p99 4033.21 ms; max 5636.62 ms; 1 overrun. Ambas corridas usaron 6.48 M valores, 180 min, 10 s y 36 partitions/view.</x:v>
      </x:c>
      <x:c r="I50" s="32" t="str">
        <x:v>Con la evidencia actual, el único overrun de B-011 no es reproducible y no justifica interpolar a 5 series ni continuar consumiendo corridas de data pressure.</x:v>
      </x:c>
      <x:c r="J50" s="32" t="str">
        <x:v>Cerrar R3.5B y avanzar a functional pressure.</x:v>
      </x:c>
      <x:c r="K50" s="32" t="str">
        <x:v>Accepted</x:v>
      </x:c>
      <x:c r="L50" s="32" t="str">
        <x:v>DEC-R35-017</x:v>
      </x:c>
    </x:row>
    <x:row r="51">
      <x:c r="A51" s="32" t="str">
        <x:v>F-B011R2-002</x:v>
      </x:c>
      <x:c r="B51" s="32" t="str">
        <x:v>d0375b0c-7cd0-4082-8b7e-aef300c8c392</x:v>
      </x:c>
      <x:c r="C51" s="32" t="str">
        <x:v>B-011-R2</x:v>
      </x:c>
      <x:c r="D51" s="32" t="n">
        <x:v>46259.83627314815</x:v>
      </x:c>
      <x:c r="E51" s="32" t="str">
        <x:v>Scheduling / Stress Envelope</x:v>
      </x:c>
      <x:c r="F51" s="32" t="str">
        <x:v>Info</x:v>
      </x:c>
      <x:c r="G51" s="32" t="str">
        <x:v>La reproducción es limpia, pero el tail de 6 series × 3 h queda muy cerca del periodo candidato de 5 s.</x:v>
      </x:c>
      <x:c r="H51" s="32" t="str">
        <x:v>11/121 iteraciones &gt;4 s; 4 &gt;4.5 s; 2 &gt;4.9 s; ninguna &gt;=5 s. El máximo 4969.75 ms ocurrió en iteration 4 y la siguiente cadencia fue 5001.17 ms. Start-to-start min 5000.52 ms, p50 5001.13 ms, p95 5001.61 ms, max 5002.21 ms.</x:v>
      </x:c>
      <x:c r="I51" s="32" t="str">
        <x:v>R3.5B demuestra que el scheduler puede sostener este stress sintético durante 10 min, pero no certifica 6 series × 3 h como envelope productivo. El margen de tail es estrecho.</x:v>
      </x:c>
      <x:c r="J51" s="32" t="str">
        <x:v>Conservar el escenario como referencia de stress; no fijarlo como configuración productiva.</x:v>
      </x:c>
      <x:c r="K51" s="32" t="str">
        <x:v>Accepted</x:v>
      </x:c>
      <x:c r="L51" s="32" t="str">
        <x:v>DEC-R35-017</x:v>
      </x:c>
    </x:row>
    <x:row r="52">
      <x:c r="A52" s="32" t="str">
        <x:v>F-B011R2-003</x:v>
      </x:c>
      <x:c r="B52" s="32" t="str">
        <x:v>d0375b0c-7cd0-4082-8b7e-aef300c8c392</x:v>
      </x:c>
      <x:c r="C52" s="32" t="str">
        <x:v>B-011-R2</x:v>
      </x:c>
      <x:c r="D52" s="32" t="n">
        <x:v>46259.83627314815</x:v>
      </x:c>
      <x:c r="E52" s="32" t="str">
        <x:v>Memory / Data Load / Correctness</x:v>
      </x:c>
      <x:c r="F52" s="32" t="str">
        <x:v>Info</x:v>
      </x:c>
      <x:c r="G52" s="32" t="str">
        <x:v>R3.5B cierra sin evidencia de fuga de memoria, cuello en loader/merge o fallo de integridad.</x:v>
      </x:c>
      <x:c r="H52" s="32" t="str">
        <x:v>Avg/peak RSS 195.38/198.34 MB; pendiente RSS segunda mitad ≈ +0.018 MB/min. Source-load p95 13.83 ms; merge p95 0.910 ms; source frame 51.86 MB. Snapshot 1000/1000; journal durable==materialized; 3 commits; drain 411.66 ms. Job Runtime: resource_pressure_events=0, errors=0, warnings=0.</x:v>
      </x:c>
      <x:c r="I52" s="32" t="str">
        <x:v>La presión dominante continúa después de materializar las vistas. No hay fundamento para optimizar particionado/merge antes de explorar lifecycle/write churn.</x:v>
      </x:c>
      <x:c r="J52" s="32" t="str">
        <x:v>Mover la campaña a R3.5C y provocar cambios operacionales reales.</x:v>
      </x:c>
      <x:c r="K52" s="32" t="str">
        <x:v>Accepted</x:v>
      </x:c>
      <x:c r="L52" s="32" t="str">
        <x:v>DEC-R35-017</x:v>
      </x:c>
    </x:row>
    <x:row r="53">
      <x:c r="A53" s="32" t="str">
        <x:v>F-C001-001</x:v>
      </x:c>
      <x:c r="B53" s="32" t="str">
        <x:v>950633d5-157a-4d94-9b5b-a1cf48c4914b</x:v>
      </x:c>
      <x:c r="C53" s="32" t="str">
        <x:v>C-001</x:v>
      </x:c>
      <x:c r="D53" s="32" t="n">
        <x:v>46259.88398148148</x:v>
      </x:c>
      <x:c r="E53" s="32" t="str">
        <x:v>Functional correctness</x:v>
      </x:c>
      <x:c r="F53" s="32" t="str">
        <x:v>Info</x:v>
      </x:c>
      <x:c r="G53" s="32" t="str">
        <x:v>El churn normal ACTIVE↔INACTIVE produjo exactamente los efectos lifecycle previstos.</x:v>
      </x:c>
      <x:c r="H53" s="32" t="str">
        <x:v>60 generaciones × 100 transiciones = 6000. WAL independiente: 700 commits; 3500 occurrence STARTED, 3000 CLOSED, 100 episode STARTED, 0 CLOSED, 3500 assignment changes, 10000 journey events y 6500 evidence records. Cada uno de los 100 grupos tuvo exactamente 7 commits.</x:v>
      </x:c>
      <x:c r="I53" s="32" t="str">
        <x:v>No hay duplicados ni divergencia entre el resumen del harness y el WAL. Los snapshots finales contienen 100 grupos × 5 ACTIVE = 500 hot states.</x:v>
      </x:c>
      <x:c r="J53" s="32" t="str">
        <x:v>Cerrar C-001 como PASS/GREEN sin finding funcional abierto.</x:v>
      </x:c>
      <x:c r="K53" s="32" t="str">
        <x:v>Accepted</x:v>
      </x:c>
      <x:c r="L53" s="32" t="str">
        <x:v>DEC-R35-019</x:v>
      </x:c>
    </x:row>
    <x:row r="54">
      <x:c r="A54" s="32" t="str">
        <x:v>F-C001-002</x:v>
      </x:c>
      <x:c r="B54" s="32" t="str">
        <x:v>950633d5-157a-4d94-9b5b-a1cf48c4914b</x:v>
      </x:c>
      <x:c r="C54" s="32" t="str">
        <x:v>C-001</x:v>
      </x:c>
      <x:c r="D54" s="32" t="n">
        <x:v>46259.88398148148</x:v>
      </x:c>
      <x:c r="E54" s="32" t="str">
        <x:v>Performance / scheduling</x:v>
      </x:c>
      <x:c r="F54" s="32" t="str">
        <x:v>Info</x:v>
      </x:c>
      <x:c r="G54" s="32" t="str">
        <x:v>El 10% de churn lifecycle permanece ampliamente dentro del periodo candidato de 5 s.</x:v>
      </x:c>
      <x:c r="H54" s="32" t="str">
        <x:v>Global p50/p95/p99/max = 1009.88/1237.59/1565.79/1597.72 ms; 0 overruns. Iteraciones con generación de churn: p95 1287.22 ms. Iteraciones intermedias sin nueva generación: p95 1085.86 ms. Start-to-start min/p50/p95/max = 5000.75/5001.39/5001.89/5003.14 ms.</x:v>
      </x:c>
      <x:c r="I54" s="32" t="str">
        <x:v>La semántica lifecycle añade trabajo durable real sin acercar al motor a una frontera de scheduling. No hay señal que justifique perfilar C-001.</x:v>
      </x:c>
      <x:c r="J54" s="32" t="str">
        <x:v>Cambiar de dimensión semántica a ERROR/TechnicalHold en vez de aumentar puntos intermedios de churn normal.</x:v>
      </x:c>
      <x:c r="K54" s="32" t="str">
        <x:v>Accepted</x:v>
      </x:c>
      <x:c r="L54" s="32" t="str">
        <x:v>DEC-R35-019</x:v>
      </x:c>
    </x:row>
    <x:row r="55">
      <x:c r="A55" s="32" t="str">
        <x:v>F-C001-003</x:v>
      </x:c>
      <x:c r="B55" s="32" t="str">
        <x:v>950633d5-157a-4d94-9b5b-a1cf48c4914b</x:v>
      </x:c>
      <x:c r="C55" s="32" t="str">
        <x:v>C-001</x:v>
      </x:c>
      <x:c r="D55" s="32" t="n">
        <x:v>46259.88398148148</x:v>
      </x:c>
      <x:c r="E55" s="32" t="str">
        <x:v>Durability / memory</x:v>
      </x:c>
      <x:c r="F55" s="32" t="str">
        <x:v>Info</x:v>
      </x:c>
      <x:c r="G55" s="32" t="str">
        <x:v>La presión de writes permanece acotada y la memoria no muestra crecimiento sostenido.</x:v>
      </x:c>
      <x:c r="H55" s="32" t="str">
        <x:v>WAL 10,253,900 bytes en 700 commits; drain 1104.98 ms. Avg/peak RSS 132.85/133.12 MB; pendiente aproximada de RSS en la segunda mitad -0.022 MB/min. source-load p95 10.66 ms; merge p95 0.454 ms; resource_pressure_events=0.</x:v>
      </x:c>
      <x:c r="I55" s="32" t="str">
        <x:v>El drain aumenta respecto de varios baselines de lectura, como era esperable por el WAL mucho mayor, pero no compromete la ejecución ni la integridad.</x:v>
      </x:c>
      <x:c r="J55" s="32" t="str">
        <x:v>Conservar WAL/drain como referencia para comparar escenarios ERROR y expiry posteriores.</x:v>
      </x:c>
      <x:c r="K55" s="32" t="str">
        <x:v>Accepted</x:v>
      </x:c>
      <x:c r="L55" s="32" t="str">
        <x:v>DEC-R35-019</x:v>
      </x:c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 t="str">
        <x:v>DEC-R35-016</x:v>
      </x:c>
      <x:c r="B20" s="32" t="n">
        <x:v>46259.82061342592</x:v>
      </x:c>
      <x:c r="C20" s="32" t="str">
        <x:v>R3.5B Data &amp; Partition Pressure</x:v>
      </x:c>
      <x:c r="D20" s="32" t="str">
        <x:v>Cerrar B-011-R1 como PASS/GREEN. La regresión a 4 series no reproduce overruns, por lo que no existe evidencia de una frontera ≤4 series. Repetir exactamente B-011 con 6 series antes de probar 5 o cerrar R3.5B.</x:v>
      </x:c>
      <x:c r="E20" s="32" t="str">
        <x:v>B-011-R1 produjo p95 3467.22 ms, p99 4269.63 ms, max 4921.44 ms y 0 overruns con 4.32 M valores históricos. La cadencia start-to-start permaneció estable entre 5000.54 y 5001.95 ms; integridad, memoria y durabilidad quedaron limpias.</x:v>
      </x:c>
      <x:c r="F20" s="32" t="str">
        <x:v>B-011; B-011-R1 ff67b804-d996-487a-93c7-766070fee7ec; DEC-R35-015</x:v>
      </x:c>
      <x:c r="G20" s="32" t="str">
        <x:v>Una corrida limpia a 4 series descarta una frontera reproducible en ese nivel, pero no prueba que 6 series sea inestable. Dado que B-011 tuvo sólo un outlier y p95 casi plano, la prueba técnicamente defendible es reproducir exactamente 6 series.</x:v>
      </x:c>
      <x:c r="H20" s="32" t="str">
        <x:v>Accepted</x:v>
      </x:c>
      <x:c r="I20" s="32" t="str">
        <x:v>Ejecutar B-011-R2 con 1000 alarmas, 6 historical series/alarm, 180 min, 10 s step y 36 partitions/view. Si reaparece cualquier overrun o p95≥5 s, probar 5 series. Si queda limpio, adjudicar el overrun original como no reproducido y cerrar R3.5B.</x:v>
      </x:c>
    </x:row>
    <x:row r="21">
      <x:c r="A21" s="32" t="str">
        <x:v>DEC-R35-017</x:v>
      </x:c>
      <x:c r="B21" s="32" t="n">
        <x:v>46259.83627314815</x:v>
      </x:c>
      <x:c r="C21" s="32" t="str">
        <x:v>R3.5B Data &amp; Partition Pressure</x:v>
      </x:c>
      <x:c r="D21" s="32" t="str">
        <x:v>Cerrar R3.5B como caracterización completada. B-011-R2 reproduce exactamente el stress de 6 series sin overrun, por lo que el evento aislado de B-011 queda adjudicado como no reproducido. No ejecutar 5 series ni más data-only stress; avanzar a R3.5C Functional Pressure.</x:v>
      </x:c>
      <x:c r="E21" s="32" t="str">
        <x:v>B-011-R2 obtuvo p95 4139.16 ms, p99 4865.38 ms, max 4969.75 ms y 0 overruns con 6.48 M valores. La cadencia start-to-start permaneció estable y la integridad fue limpia. B-011-R1 a 4 series también fue limpio. El tail de 6 series es estrecho, pero no existe una frontera reproducible que justifique más búsqueda unidimensional.</x:v>
      </x:c>
      <x:c r="F21" s="32" t="str">
        <x:v>B-011 46865e37-d816-4710-8215-9c567a0edd2e; B-011-R1 ff67b804-d996-487a-93c7-766070fee7ec; B-011-R2 d0375b0c-7cd0-4082-8b7e-aef300c8c392</x:v>
      </x:c>
      <x:c r="G21" s="32" t="str">
        <x:v>La campaña adaptativa ya caracterizó alarm count, source width, partition count/layout, heterogeneity, historical depth y historical width. Continuar aumentando datos tendría menor valor informativo que introducir lifecycle churn, writes, assignments, journey y evidence.</x:v>
      </x:c>
      <x:c r="H21" s="32" t="str">
        <x:v>Accepted</x:v>
      </x:c>
      <x:c r="I21" s="32" t="str">
        <x:v>Preparar el incremento de harness para C-001 Mixed lifecycle balanced / operational churn 10%. No ejecutar C-001 con el harness actual porque no expone un contrato de churn.</x:v>
      </x:c>
    </x:row>
    <x:row r="22">
      <x:c r="A22" s="32" t="str">
        <x:v>DEC-R35-018</x:v>
      </x:c>
      <x:c r="B22" s="32" t="n">
        <x:v>46259.86944444444</x:v>
      </x:c>
      <x:c r="C22" s="32" t="str">
        <x:v>R3.5C Functional Pressure</x:v>
      </x:c>
      <x:c r="D22" s="32" t="str">
        <x:v>Liberar C-001 con un contrato mínimo de churn funcional: 1000 alarmas C3, 100 priority_groups de 10 alarmas, 50/50 ACTIVE-INACTIVE y 10% de transiciones determinísticas por refresh. No mezclar ERROR, structural reset ni crash/recovery en C-001.</x:v>
      </x:c>
      <x:c r="E22" s="32" t="str">
        <x:v>El harness ahora materializa estado por alarma según generation, preserva grupos independientes y adjudica EngineCommit durables. Distingue lifecycle commits de evidence periódica contractual. Validación local adaptada: 216 tests pass; smoke real 100 alarms/10 groups PASS con counters exactos.</x:v>
      </x:c>
      <x:c r="F22" s="32" t="str">
        <x:v>R3.5B closure DEC-R35-017; Alarm Core lifecycle semantics; C-001 harness patch 0.1.0</x:v>
      </x:c>
      <x:c r="G22" s="32" t="str">
        <x:v>Mantiene atribución causal: C-001 mide sólo ACTIVE↔INACTIVE normal. ERROR/TechnicalHold queda para C-002/C-003; structural reset y crash windows quedan en R3.5E.</x:v>
      </x:c>
      <x:c r="H22" s="32" t="str">
        <x:v>Accepted</x:v>
      </x:c>
      <x:c r="I22" s="32" t="str">
        <x:v>Aplicar patch C-001 0.1.0, ejecutar gate autoritativo Python 3.14.2 + UV y luego ejecutar C-001 durante 600 s con 1000 alarmas, 36 partitions balanced, priority_group_size=10, operational_churn_percent=10 e initial_active_percent=50.</x:v>
      </x:c>
    </x:row>
    <x:row r="23">
      <x:c r="A23" s="32" t="str">
        <x:v>DEC-R35-019</x:v>
      </x:c>
      <x:c r="B23" s="32" t="n">
        <x:v>46259.88398148148</x:v>
      </x:c>
      <x:c r="C23" s="32" t="str">
        <x:v>R3.5C Functional Pressure</x:v>
      </x:c>
      <x:c r="D23" s="32" t="str">
        <x:v>Cerrar C-001 como PASS/GREEN. El churn normal 10% queda funcionalmente validado y con amplio margen. No ejecutar todavía 25%/50% de toggle normal; cambiar la siguiente dimensión a ERROR/TechnicalHold para aumentar costo semántico e información por corrida.</x:v>
      </x:c>
      <x:c r="E23" s="32" t="str">
        <x:v>C-001: 6000 transiciones, 700/700 lifecycle commits, 0 duplicados, counters exactos, snapshot 500/500, p95 1237.59 ms, max 1597.72 ms y 0 overruns. WAL independiente y snapshots confirman el resultado. El costo adicional de las generaciones con churn sigue muy lejos de 5 s.</x:v>
      </x:c>
      <x:c r="F23" s="32" t="str">
        <x:v>C-001 950633d5-157a-4d94-9b5b-a1cf48c4914b; DEC-R35-018</x:v>
      </x:c>
      <x:c r="G23" s="32" t="str">
        <x:v>ERROR transitorio ejercita TechnicalHold STARTED/CLEARED y continuidad de occurrence, una ruta semántica más rica que simplemente incrementar la tasa de ACTIVE↔INACTIVE. Mantener C-002 separado de expiry, structural reset y crash/recovery preserva atribución.</x:v>
      </x:c>
      <x:c r="H23" s="32" t="str">
        <x:v>Accepted</x:v>
      </x:c>
      <x:c r="I23" s="32" t="str">
        <x:v>Debatir/confirmar diseño C-002: bootstrap 100% ACTIVE; 1000 alarmas/100 grupos; cada generación modifica 10 grupos completos. Generaciones impares ACTIVE→ERROR y pares ERROR→ACTIVE; hold ~10 s &lt; 300 s; no occurrence/episode closure. Tras consenso, implementar sólo ese harness increment.</x:v>
      </x:c>
    </x:row>
    <x:row r="24">
      <x:c r="A24" s="32" t="str">
        <x:v>DEC-R35-020</x:v>
      </x:c>
      <x:c r="B24" s="32" t="n">
        <x:v>46259.9</x:v>
      </x:c>
      <x:c r="C24" s="32" t="str">
        <x:v>R3.5C Functional Pressure</x:v>
      </x:c>
      <x:c r="D24" s="32" t="str">
        <x:v>Liberar C-002 Technical Hold Recovery Churn con una sola nueva dimensión semántica: ACTIVE→ERROR→ACTIVE transitorio. No incorporar expiry, alarmas que nacen en ERROR, structural reset ni crash/recovery en este incremento.</x:v>
      </x:c>
      <x:c r="E24" s="32" t="str">
        <x:v>El harness agrega technical_hold_churn_percent mutuamente exclusivo con operational_churn_percent. El evaluator usa AlarmStatus.ERROR explícito con EvaluationError sintético. El gate cuenta STARTED/RECOVERED/EXPIRED desde Journey durable, exige cero cierres de Occurrence/Episode, cero expiraciones, assignment changes sólo de bootstrap y occurrence_id estable. Validación local adaptada: 24/24 tests del harness y 219/219 tests de alarms-runtime.</x:v>
      </x:c>
      <x:c r="F24" s="32" t="str">
        <x:v>C-001 950633d5-157a-4d94-9b5b-a1cf48c4914b; DEC-R35-019; C-002 harness patch 0.1.0</x:v>
      </x:c>
      <x:c r="G24" s="32" t="str">
        <x:v>Una cohorte completa permanece sólo una generación (~10 s) en ERROR y se recupera en la siguiente. Esto ejerce TechnicalHold real sin acercarse al grace contractual de 300 s y mantiene atribución causal.</x:v>
      </x:c>
      <x:c r="H24" s="32" t="str">
        <x:v>Accepted</x:v>
      </x:c>
      <x:c r="I24" s="32" t="str">
        <x:v>Aplicar el patch C-002 0.1.0; ejecutar gate autoritativo Python 3.14.2 + UV; luego ejecutar C-002 600 s, 1000 alarmas, 100 grupos×10, 36 partitions balanced, technical_hold_churn_percent=10, initial_active_percent=100. C-003/expiry se decide sólo después del resultado.</x:v>
      </x:c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62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16</x:v>
      </x:c>
      <x:c r="J5" t="str">
        <x:v>GREEN</x:v>
      </x:c>
    </x:row>
    <x:row r="6">
      <x:c r="A6" s="21" t="str">
        <x:v>Completed</x:v>
      </x:c>
      <x:c r="B6" t="n">
        <x:v>17</x:v>
      </x:c>
      <x:c r="D6" s="21" t="str">
        <x:v>R3.5B</x:v>
      </x:c>
      <x:c r="E6" t="n">
        <x:f>COUNTIF('01_Test_Plan'!B5:B200,D6)</x:f>
        <x:v>13</x:v>
      </x:c>
      <x:c r="F6" t="n">
        <x:f>COUNTIFS('01_Test_Plan'!B5:B200,D6,'01_Test_Plan'!R5:R200,"Completed")</x:f>
        <x:v>11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1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0.27419354838709675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C-002 mode</x:v>
      </x:c>
      <x:c r="K43" t="str">
        <x:v>TechnicalHold recovery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C-002 churn</x:v>
      </x:c>
      <x:c r="K44" t="str">
        <x:v>100 alarms / observed generation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Harness</x:v>
      </x:c>
      <x:c r="K52" t="str">
        <x:v>C-002 0.1.0 READY</x:v>
      </x:c>
    </x:row>
    <x:row r="53">
      <x:c r="J53" t="str">
        <x:v>Next</x:v>
      </x:c>
      <x:c r="K53" t="str">
        <x:v>C-002 ERROR→ACTIVE recovery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30ab4bd6d63641b2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  <x:row r="20">
      <x:c r="A20" s="32" t="str">
        <x:v>Functional lifecycle churn</x:v>
      </x:c>
      <x:c r="B20" s="32" t="str">
        <x:v>Cambio sintético determinístico del estado evaluado que obliga al Core a iniciar/cerrar continuidad operacional real.</x:v>
      </x:c>
      <x:c r="C20" s="32" t="str">
        <x:v>Mide state-machine + EngineCommit + WAL, no sólo costo de evaluación.</x:v>
      </x:c>
      <x:c r="D20" s="32" t="str">
        <x:v>C-001: 10% de alarmas por data generation.</x:v>
      </x:c>
      <x:c r="E20" s="32" t="str">
        <x:v>R3.5C</x:v>
      </x:c>
      <x:c r="F20" s="32" t="str">
        <x:v>Los contadores esperados se derivan de las generaciones realmente observadas.</x:v>
      </x:c>
    </x:row>
    <x:row r="21">
      <x:c r="A21" s="32" t="str">
        <x:v>Lifecycle commit</x:v>
      </x:c>
      <x:c r="B21" s="32" t="str">
        <x:v>EngineCommit que contiene cambios de Occurrence, Episode o Assignment asociados a una transición funcional.</x:v>
      </x:c>
      <x:c r="C21" s="32" t="str">
        <x:v>Permite distinguir churn semántico de evidence periódica sin cambio de continuidad.</x:v>
      </x:c>
      <x:c r="D21" s="32" t="str">
        <x:v>Debe coincidir con el número esperado y no duplicarse por group+generation.</x:v>
      </x:c>
      <x:c r="E21" s="32" t="str">
        <x:v>Harness / Alarm Core</x:v>
      </x:c>
      <x:c r="F21" s="32" t="str">
        <x:v>C-001: 700 observados = 700 esperados.</x:v>
      </x:c>
    </x:row>
    <x:row r="22">
      <x:c r="A22" s="32" t="str">
        <x:v>Evidence-only commit</x:v>
      </x:c>
      <x:c r="B22" s="32" t="str">
        <x:v>Commit durable que contiene evidence contractual sin cambio de Occurrence/Episode/Assignment.</x:v>
      </x:c>
      <x:c r="C22" s="32" t="str">
        <x:v>Evita falsos FAIL cuando vence una obligación de evidence en un estado estable.</x:v>
      </x:c>
      <x:c r="D22" s="32" t="str">
        <x:v>Permitido; se reporta separado del lifecycle churn.</x:v>
      </x:c>
      <x:c r="E22" s="32" t="str">
        <x:v>Alarm Core / Harness</x:v>
      </x:c>
      <x:c r="F22" s="32" t="str">
        <x:v>C-001 observó 0; el gate permanece preparado para escenarios que sí los produzcan.</x:v>
      </x:c>
    </x:row>
    <x:row r="23">
      <x:c r="A23" s="32" t="str">
        <x:v>Technical Hold recovery churn</x:v>
      </x:c>
      <x:c r="B23" s="32" t="str">
        <x:v>Escenario determinístico que convierte temporalmente una cohorte ACTIVE en ERROR y la recupera antes del vencimiento de TechnicalHold.</x:v>
      </x:c>
      <x:c r="C23" s="32" t="str">
        <x:v>Ejercita ERROR, TechnicalHold STARTED/CLEARED, Journey, Evidence, EngineCommit y WAL sin cerrar la Occurrence ni el Episode.</x:v>
      </x:c>
      <x:c r="D23" s="32" t="str">
        <x:v>C-002: 10% de alarmas por generación; hold observado ~10 s; grace productivo 300 s.</x:v>
      </x:c>
      <x:c r="E23" s="32" t="str">
        <x:v>R3.5C</x:v>
      </x:c>
      <x:c r="F23" s="32" t="str">
        <x:v>El gate exige occurrence_id estable, TechnicalHold EXPIRED=0 y ausencia de cierres de Occurrence/Episode.</x:v>
      </x:c>
    </x:row>
  </x:sheetData>
  <x:mergeCells>
    <x:mergeCell ref="A1:F2"/>
  </x:mergeCells>
  <x:pageMargins left="0.7" right="0.7" top="0.75" bottom="0.75" header="0.3" footer="0.3"/>
</x:worksheet>
</file>