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30576e58b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2d3e78cabb6d4c9b"/>
    <x:sheet xmlns:r="http://schemas.openxmlformats.org/officeDocument/2006/relationships" name="01_Test_Plan" sheetId="2" r:id="R2917d0cb64d54204"/>
    <x:sheet xmlns:r="http://schemas.openxmlformats.org/officeDocument/2006/relationships" name="02_Run_Results" sheetId="3" r:id="R34d3f74db50e41d7"/>
    <x:sheet xmlns:r="http://schemas.openxmlformats.org/officeDocument/2006/relationships" name="03_Findings" sheetId="4" r:id="R40a31cc501594e38"/>
    <x:sheet xmlns:r="http://schemas.openxmlformats.org/officeDocument/2006/relationships" name="04_Decisions" sheetId="5" r:id="R63cb3c38e7a14bc2"/>
    <x:sheet xmlns:r="http://schemas.openxmlformats.org/officeDocument/2006/relationships" name="05_Dashboard" sheetId="6" r:id="Rf964bfa821934ce4"/>
    <x:sheet xmlns:r="http://schemas.openxmlformats.org/officeDocument/2006/relationships" name="06_Definitions" sheetId="7" r:id="R49e56ad7e184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2e38f6a9b4877" /><Relationship Type="http://schemas.openxmlformats.org/officeDocument/2006/relationships/theme" Target="/xl/theme/theme1.xml" Id="R454da25931164af8" /><Relationship Type="http://schemas.openxmlformats.org/officeDocument/2006/relationships/sharedStrings" Target="/xl/sharedStrings.xml" Id="Rc662d57dcbb04be4" /><Relationship Type="http://schemas.openxmlformats.org/officeDocument/2006/relationships/worksheet" Target="/xl/worksheets/sheet1.xml" Id="R2d3e78cabb6d4c9b" /><Relationship Type="http://schemas.openxmlformats.org/officeDocument/2006/relationships/worksheet" Target="/xl/worksheets/sheet2.xml" Id="R2917d0cb64d54204" /><Relationship Type="http://schemas.openxmlformats.org/officeDocument/2006/relationships/worksheet" Target="/xl/worksheets/sheet3.xml" Id="R34d3f74db50e41d7" /><Relationship Type="http://schemas.openxmlformats.org/officeDocument/2006/relationships/worksheet" Target="/xl/worksheets/sheet4.xml" Id="R40a31cc501594e38" /><Relationship Type="http://schemas.openxmlformats.org/officeDocument/2006/relationships/worksheet" Target="/xl/worksheets/sheet5.xml" Id="R63cb3c38e7a14bc2" /><Relationship Type="http://schemas.openxmlformats.org/officeDocument/2006/relationships/worksheet" Target="/xl/worksheets/sheet6.xml" Id="Rf964bfa821934ce4" /><Relationship Type="http://schemas.openxmlformats.org/officeDocument/2006/relationships/worksheet" Target="/xl/worksheets/sheet7.xml" Id="R49e56ad7e1844f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f2034ac41a4c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f2034ac41a4c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5fc040e2ca41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9522d1721e6430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1.0.6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IN PROGRESS</x:v>
      </x:c>
    </x:row>
    <x:row r="27">
      <x:c r="A27" s="21" t="str">
        <x:v>Siguiente test sugerido</x:v>
      </x:c>
      <x:c r="B27" t="str">
        <x:v>B-002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Ready</x:v>
      </x:c>
      <x:c r="S11" s="36" t="str">
        <x:v>B-001</x:v>
      </x:c>
      <x:c r="T11" s="36" t="str"/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Planned</x:v>
      </x:c>
      <x:c r="S12" s="36" t="str">
        <x:v>B-002</x:v>
      </x:c>
      <x:c r="T12" s="36" t="str"/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8 partitions balanced</x:v>
      </x:c>
      <x:c r="E13" s="36" t="str">
        <x:v>Escalar merge balanceado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8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tendencia</x:v>
      </x:c>
      <x:c r="R13" s="36" t="str">
        <x:v>Planned</x:v>
      </x:c>
      <x:c r="S13" s="36" t="str">
        <x:v>B-003</x:v>
      </x:c>
      <x:c r="T13" s="36" t="str"/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</x:v>
      </x:c>
      <x:c r="E14" s="36" t="str">
        <x:v>Escalar merge balanceado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Data pressure</x:v>
      </x:c>
      <x:c r="P14" s="36" t="str">
        <x:v>0 integrity errors</x:v>
      </x:c>
      <x:c r="Q14" s="36" t="str">
        <x:v>Comparar tendencia</x:v>
      </x:c>
      <x:c r="R14" s="36" t="str">
        <x:v>Planned</x:v>
      </x:c>
      <x:c r="S14" s="36" t="str">
        <x:v>B-004</x:v>
      </x:c>
      <x:c r="T14" s="36" t="str"/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</x:v>
      </x:c>
      <x:c r="E15" s="36" t="str">
        <x:v>Buscar rodilla de particiones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Stress</x:v>
      </x:c>
      <x:c r="P15" s="36" t="str">
        <x:v>0 integrity errors</x:v>
      </x:c>
      <x:c r="Q15" s="36" t="str">
        <x:v>Observar CPU/RSS/data load</x:v>
      </x:c>
      <x:c r="R15" s="36" t="str">
        <x:v>Planned</x:v>
      </x:c>
      <x:c r="S15" s="36" t="str">
        <x:v>B-005</x:v>
      </x:c>
      <x:c r="T15" s="36" t="str"/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16 partitions skewed</x:v>
      </x:c>
      <x:c r="E16" s="36" t="str">
        <x:v>Comparar skew vs balanced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16 skewed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B-005</x:v>
      </x:c>
      <x:c r="R16" s="36" t="str">
        <x:v>Planned</x:v>
      </x:c>
      <x:c r="S16" s="36" t="str">
        <x:v>B-005</x:v>
      </x:c>
      <x:c r="T16" s="36" t="str"/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Empty/missing-column partitions</x:v>
      </x:c>
      <x:c r="E17" s="36" t="str">
        <x:v>Presionar síntesis de nulls y tolerancia a vacíos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16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Planned</x:v>
      </x:c>
      <x:c r="S17" s="36" t="str">
        <x:v>B-005</x:v>
      </x:c>
      <x:c r="T17" s="36" t="str"/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Planned</x:v>
      </x:c>
      <x:c r="S18" s="36" t="str">
        <x:v>B-008</x:v>
      </x:c>
      <x:c r="T18" s="36" t="str"/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5fc040e2ca41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</x:row>
    <x:row r="11">
      <x:c r="A11" s="32"/>
      <x:c r="B11" s="32"/>
      <x:c r="C11" s="4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43" t="str">
        <x:f>IFERROR(S11/L11,"")</x:f>
      </x:c>
      <x:c r="U11" s="32"/>
      <x:c r="V11" s="32"/>
      <x:c r="W11" s="32"/>
      <x:c r="X11" s="32"/>
      <x:c r="Y11" s="32"/>
      <x:c r="Z11" s="32"/>
      <x:c r="AA11" s="32"/>
      <x:c r="AB11" s="32"/>
      <x:c r="AC11" s="32"/>
      <x:c r="AD11" s="32"/>
      <x:c r="AE11" s="32"/>
      <x:c r="AF11" s="32"/>
      <x:c r="AG11" s="32"/>
      <x:c r="AH11" s="32"/>
      <x:c r="AI11" s="32"/>
      <x:c r="AJ11" s="32"/>
      <x:c r="AK11" s="32"/>
      <x:c r="AL11" s="32"/>
      <x:c r="AM11" s="32"/>
      <x:c r="AN11" s="32"/>
      <x:c r="AO11" s="32"/>
      <x:c r="AP11" s="32"/>
      <x:c r="AQ11" s="32"/>
      <x:c r="AR11" s="32"/>
      <x:c r="AS11" s="32"/>
    </x:row>
    <x:row r="12">
      <x:c r="A12" s="32"/>
      <x:c r="B12" s="32"/>
      <x:c r="C12" s="4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43" t="str">
        <x:f>IFERROR(S12/L12,"")</x:f>
      </x:c>
      <x:c r="U12" s="32"/>
      <x:c r="V12" s="32"/>
      <x:c r="W12" s="32"/>
      <x:c r="X12" s="32"/>
      <x:c r="Y12" s="32"/>
      <x:c r="Z12" s="32"/>
      <x:c r="AA12" s="32"/>
      <x:c r="AB12" s="32"/>
      <x:c r="AC12" s="32"/>
      <x:c r="AD12" s="32"/>
      <x:c r="AE12" s="32"/>
      <x:c r="AF12" s="32"/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/>
      <x:c r="AQ12" s="32"/>
      <x:c r="AR12" s="32"/>
      <x:c r="AS12" s="32"/>
    </x:row>
    <x:row r="13">
      <x:c r="A13" s="32"/>
      <x:c r="B13" s="32"/>
      <x:c r="C13" s="4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43" t="str">
        <x:f>IFERROR(S13/L13,"")</x:f>
      </x:c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/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</x:row>
    <x:row r="14">
      <x:c r="A14" s="32"/>
      <x:c r="B14" s="32"/>
      <x:c r="C14" s="4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43" t="str">
        <x:f>IFERROR(S14/L14,"")</x:f>
      </x:c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</x:row>
    <x:row r="15">
      <x:c r="A15" s="32"/>
      <x:c r="B15" s="32"/>
      <x:c r="C15" s="4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43" t="str">
        <x:f>IFERROR(S15/L15,"")</x:f>
      </x:c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</x:row>
    <x:row r="16">
      <x:c r="A16" s="32"/>
      <x:c r="B16" s="32"/>
      <x:c r="C16" s="4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43" t="str">
        <x:f>IFERROR(S16/L16,"")</x:f>
      </x:c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f>COUNTIF('02_Run_Results'!AI5:AI500,"PASS")</x:f>
        <x:v>6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6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1</x:v>
      </x:c>
      <x:c r="H6" s="21" t="str">
        <x:v>PASS-WITH-FINDINGS</x:v>
      </x:c>
      <x:c r="I6" t="n">
        <x:f>COUNTIF('02_Run_Results'!AI5:AI500,"PASS-WITH-FINDINGS")</x:f>
        <x:v>0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0.09836065573770492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1" t="str">
        <x:v>B-001 finding</x:v>
      </x:c>
      <x:c r="J30" s="81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p95 delta vs A-005</x:v>
      </x:c>
      <x:c r="J31" t="str">
        <x:v>+41.7%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p99 delta vs A-005</x:v>
      </x:c>
      <x:c r="J32" t="str">
        <x:v>+29.1%</x:v>
      </x:c>
    </x:row>
    <x:row r="33">
      <x:c r="I33" t="str">
        <x:v>Source load p95</x:v>
      </x:c>
      <x:c r="J33" t="str">
        <x:v>7.69 ms</x:v>
      </x:c>
    </x:row>
    <x:row r="34">
      <x:c r="I34" t="str">
        <x:v>Source load / cycle p95</x:v>
      </x:c>
      <x:c r="J34" t="str">
        <x:v>~0.60%</x:v>
      </x:c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89522d1721e64300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</x:sheetData>
  <x:mergeCells>
    <x:mergeCell ref="A1:F2"/>
  </x:mergeCells>
  <x:pageMargins left="0.7" right="0.7" top="0.75" bottom="0.75" header="0.3" footer="0.3"/>
</x:worksheet>
</file>