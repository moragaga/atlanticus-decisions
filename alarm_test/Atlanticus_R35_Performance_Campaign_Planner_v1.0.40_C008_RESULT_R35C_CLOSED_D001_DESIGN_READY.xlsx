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3589bf2deba47f7" /></Relationships>
</file>

<file path=xl/workbook.xml><?xml version="1.0" encoding="utf-8"?>
<x:workbook xmlns:x="http://schemas.openxmlformats.org/spreadsheetml/2006/main">
  <x:sheets>
    <x:sheet xmlns:r="http://schemas.openxmlformats.org/officeDocument/2006/relationships" name="00_Control" sheetId="1" r:id="R05e50b01345c4b55"/>
    <x:sheet xmlns:r="http://schemas.openxmlformats.org/officeDocument/2006/relationships" name="01_Test_Plan" sheetId="2" r:id="R8027a39c7a534911"/>
    <x:sheet xmlns:r="http://schemas.openxmlformats.org/officeDocument/2006/relationships" name="02_Run_Results" sheetId="3" r:id="R470bdff491224fdc"/>
    <x:sheet xmlns:r="http://schemas.openxmlformats.org/officeDocument/2006/relationships" name="03_Findings" sheetId="4" r:id="Ra92755d00c5249f4"/>
    <x:sheet xmlns:r="http://schemas.openxmlformats.org/officeDocument/2006/relationships" name="04_Decisions" sheetId="5" r:id="Rebd32d6a97d24225"/>
    <x:sheet xmlns:r="http://schemas.openxmlformats.org/officeDocument/2006/relationships" name="05_Dashboard" sheetId="6" r:id="R3498370fca0e49e4"/>
    <x:sheet xmlns:r="http://schemas.openxmlformats.org/officeDocument/2006/relationships" name="06_Definitions" sheetId="7" r:id="Re1217ecb425f4714"/>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e54f2667de64cf7" /><Relationship Type="http://schemas.openxmlformats.org/officeDocument/2006/relationships/theme" Target="/xl/theme/theme1.xml" Id="R1fbb5ed2aa2e4e97" /><Relationship Type="http://schemas.microsoft.com/office/2022/11/relationships/FeaturePropertyBag" Target="/xl/featurePropertyBag/featurePropertyBag.xml" Id="R294b7d92a0b74dfa" /><Relationship Type="http://schemas.openxmlformats.org/officeDocument/2006/relationships/sharedStrings" Target="/xl/sharedStrings.xml" Id="R6bbc0e39ba8a458e" /><Relationship Type="http://schemas.openxmlformats.org/officeDocument/2006/relationships/worksheet" Target="/xl/worksheets/sheet1.xml" Id="R05e50b01345c4b55" /><Relationship Type="http://schemas.openxmlformats.org/officeDocument/2006/relationships/worksheet" Target="/xl/worksheets/sheet2.xml" Id="R8027a39c7a534911" /><Relationship Type="http://schemas.openxmlformats.org/officeDocument/2006/relationships/worksheet" Target="/xl/worksheets/sheet3.xml" Id="R470bdff491224fdc" /><Relationship Type="http://schemas.openxmlformats.org/officeDocument/2006/relationships/worksheet" Target="/xl/worksheets/sheet4.xml" Id="Ra92755d00c5249f4" /><Relationship Type="http://schemas.openxmlformats.org/officeDocument/2006/relationships/worksheet" Target="/xl/worksheets/sheet5.xml" Id="Rebd32d6a97d24225" /><Relationship Type="http://schemas.openxmlformats.org/officeDocument/2006/relationships/worksheet" Target="/xl/worksheets/sheet6.xml" Id="R3498370fca0e49e4" /><Relationship Type="http://schemas.openxmlformats.org/officeDocument/2006/relationships/worksheet" Target="/xl/worksheets/sheet7.xml" Id="Re1217ecb425f4714" /></Relationships>
</file>

<file path=xl/drawings/_rels/drawing1.xml.rels>&#65279;<?xml version="1.0" encoding="utf-8"?><Relationships xmlns="http://schemas.openxmlformats.org/package/2006/relationships"><Relationship Type="http://schemas.openxmlformats.org/officeDocument/2006/relationships/chart" Target="/xl/drawings/charts/chart1.xml" Id="R4499098ca94c48f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499098ca94c48f7"/>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05aa5596ede4f1e" /></Relationships>
</file>

<file path=xl/worksheets/_rels/sheet6.xml.rels>&#65279;<?xml version="1.0" encoding="utf-8"?><Relationships xmlns="http://schemas.openxmlformats.org/package/2006/relationships"><Relationship Type="http://schemas.openxmlformats.org/officeDocument/2006/relationships/drawing" Target="/xl/drawings/drawing1.xml" Id="Re3eec867abb34ad1"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1.0.40</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0.14.1</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0.7.0</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R3.5C CLOSED — ROUTING FUNCTIONAL PRESSURE COMPLETE / R3.5D NEXT</x:v>
      </x:c>
    </x:row>
    <x:row r="27">
      <x:c r="A27" s="21" t="str">
        <x:v>Siguiente test sugerido</x:v>
      </x:c>
      <x:c r="B27" t="str">
        <x:v>D-001 Single ManagementAction — design review</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 — proposed</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Bootstrap 1000 ACTIVE; después de estabilizar, exponer exactamente una ManagementAction sobre perf/alarm_00001 y su Occurrence actual. Esperar outcome EFFECTIVE, 1 ManagementEffect STARTED, 1 durable InputReceipt input_kind=MANAGEMENT/outcome=EFFECTIVE, exactamente un commit adicional del grupo objetivo, cursor management avanzado sólo después del receipt durable, consumer pending vacío, 0 duplicate receipts, 0 deactivation requests, 0 new Occurrence/Episode y la misma occurrence_id.</x:v>
      </x:c>
      <x:c r="Q33" s="36" t="str">
        <x:v>Design review only. Harness-only input source; no Service Bus/network transport in this test. Inject after steady bootstrap (target ~30 s) so the current occurrence already exists. Use source_occurrence_id exact, tool_key=perf-tool, deterministic actor/input IDs and no deactivation_intent. BaselineCycleFactory must provide deterministic management_effect_id_factory and a reappearance_due_at beyond the 120 s run so D-001 isolates apply+receipt without effect expiry/reappearance. Record source-visible monotonic time and durable-receipt confirmation to measure harness input→receipt latency; also audit WAL receipt/effect and persisted management consumer cursor.</x:v>
      </x:c>
      <x:c r="R33" s="36" t="str">
        <x:v>Planned</x:v>
      </x:c>
      <x:c r="S33" s="36" t="str">
        <x:v>C-008 / R3.5C closed</x:v>
      </x:c>
      <x:c r="T33" s="36" t="str">
        <x:v>R3.5C is complete 11/11 with routing semantics closed. D-001 should exercise the production AlarmDurableInputConsumer path, not pass ManagementAction directly into Core. The consumer contract guarantees terminal receipt durability before cursor advancement and idempotent redelivery; D-001 establishes the single-input baseline before D-002 continuous 1/s and D-003/D-004 bursts. No product change is expected; implementation should be harness + tests + commented mirror only.</x:v>
      </x:c>
    </x:row>
    <x:row r="34">
      <x:c r="A34" s="36" t="str">
        <x:v>D-002</x:v>
      </x:c>
      <x:c r="B34" s="36" t="str">
        <x:v>R3.5D</x:v>
      </x:c>
      <x:c r="C34" s="36" t="n">
        <x:v>51</x:v>
      </x:c>
      <x:c r="D34" s="36" t="str">
        <x:v>Management continuous 1/s</x:v>
      </x:c>
      <x:c r="E34" s="36" t="str">
        <x:v>Medir carga sostenida de gestiones</x:v>
      </x:c>
      <x:c r="F34" s="36" t="n">
        <x:v>1000</x:v>
      </x:c>
      <x:c r="G34" s="36" t="str">
        <x:v>Local FS</x:v>
      </x:c>
      <x:c r="H34" s="36" t="str">
        <x:v>Operational churn</x:v>
      </x:c>
      <x:c r="I34" s="36" t="str">
        <x:v>Baseline</x:v>
      </x:c>
      <x:c r="J34" s="36" t="str">
        <x:v>1 management/s</x:v>
      </x:c>
      <x:c r="K34" s="36" t="str">
        <x:v>Stable config</x:v>
      </x:c>
      <x:c r="L34" s="36" t="n">
        <x:v>10</x:v>
      </x:c>
      <x:c r="M34" s="36" t="n">
        <x:v>5</x:v>
      </x:c>
      <x:c r="N34" s="36" t="n">
        <x:v>10</x:v>
      </x:c>
      <x:c r="O34" s="36" t="str">
        <x:v>Control-plane</x:v>
      </x:c>
      <x:c r="P34" s="36" t="str">
        <x:v>0 lost receipts / duplicates</x:v>
      </x:c>
      <x:c r="Q34" s="36" t="str">
        <x:v>p95 management latency</x:v>
      </x:c>
      <x:c r="R34" s="36" t="str">
        <x:v>Planned</x:v>
      </x:c>
      <x:c r="S34" s="36" t="str">
        <x:v>D-001</x:v>
      </x:c>
      <x:c r="T34" s="36" t="str"/>
    </x:row>
    <x:row r="35">
      <x:c r="A35" s="36" t="str">
        <x:v>D-003</x:v>
      </x:c>
      <x:c r="B35" s="36" t="str">
        <x:v>R3.5D</x:v>
      </x:c>
      <x:c r="C35" s="36" t="n">
        <x:v>52</x:v>
      </x:c>
      <x:c r="D35" s="36" t="str">
        <x:v>Management burst 50</x:v>
      </x:c>
      <x:c r="E35" s="36" t="str">
        <x:v>Medir absorción de burst</x:v>
      </x:c>
      <x:c r="F35" s="36" t="n">
        <x:v>1000</x:v>
      </x:c>
      <x:c r="G35" s="36" t="str">
        <x:v>Local FS</x:v>
      </x:c>
      <x:c r="H35" s="36" t="str">
        <x:v>Operational churn</x:v>
      </x:c>
      <x:c r="I35" s="36" t="str">
        <x:v>Baseline</x:v>
      </x:c>
      <x:c r="J35" s="36" t="str">
        <x:v>50 management burst</x:v>
      </x:c>
      <x:c r="K35" s="36" t="str">
        <x:v>Stable config</x:v>
      </x:c>
      <x:c r="L35" s="36" t="n">
        <x:v>10</x:v>
      </x:c>
      <x:c r="M35" s="36" t="n">
        <x:v>5</x:v>
      </x:c>
      <x:c r="N35" s="36" t="n">
        <x:v>10</x:v>
      </x:c>
      <x:c r="O35" s="36" t="str">
        <x:v>Stress</x:v>
      </x:c>
      <x:c r="P35" s="36" t="str">
        <x:v>0 lost receipts / duplicates</x:v>
      </x:c>
      <x:c r="Q35" s="36" t="str">
        <x:v>Observar backlog y recovery</x:v>
      </x:c>
      <x:c r="R35" s="36" t="str">
        <x:v>Planned</x:v>
      </x:c>
      <x:c r="S35" s="36" t="str">
        <x:v>D-002</x:v>
      </x:c>
      <x:c r="T35" s="36" t="str"/>
    </x:row>
    <x:row r="36">
      <x:c r="A36" s="36" t="str">
        <x:v>D-004</x:v>
      </x:c>
      <x:c r="B36" s="36" t="str">
        <x:v>R3.5D</x:v>
      </x:c>
      <x:c r="C36" s="36" t="n">
        <x:v>53</x:v>
      </x:c>
      <x:c r="D36" s="36" t="str">
        <x:v>Management burst 100</x:v>
      </x:c>
      <x:c r="E36" s="36" t="str">
        <x:v>Buscar techo de burst</x:v>
      </x:c>
      <x:c r="F36" s="36" t="n">
        <x:v>1000</x:v>
      </x:c>
      <x:c r="G36" s="36" t="str">
        <x:v>Local FS</x:v>
      </x:c>
      <x:c r="H36" s="36" t="str">
        <x:v>Operational churn</x:v>
      </x:c>
      <x:c r="I36" s="36" t="str">
        <x:v>Baseline</x:v>
      </x:c>
      <x:c r="J36" s="36" t="str">
        <x:v>100 management burst</x:v>
      </x:c>
      <x:c r="K36" s="36" t="str">
        <x:v>Stable config</x:v>
      </x:c>
      <x:c r="L36" s="36" t="n">
        <x:v>10</x:v>
      </x:c>
      <x:c r="M36" s="36" t="n">
        <x:v>5</x:v>
      </x:c>
      <x:c r="N36" s="36" t="n">
        <x:v>10</x:v>
      </x:c>
      <x:c r="O36" s="36" t="str">
        <x:v>Extreme</x:v>
      </x:c>
      <x:c r="P36" s="36" t="str">
        <x:v>0 lost receipts / duplicates</x:v>
      </x:c>
      <x:c r="Q36" s="36" t="str">
        <x:v>No fail sólo por latencia</x:v>
      </x:c>
      <x:c r="R36" s="36" t="str">
        <x:v>Planned</x:v>
      </x:c>
      <x:c r="S36" s="36" t="str">
        <x:v>D-003</x:v>
      </x:c>
      <x:c r="T36" s="36" t="str"/>
    </x:row>
    <x:row r="37">
      <x:c r="A37" s="36" t="str">
        <x:v>D-005</x:v>
      </x:c>
      <x:c r="B37" s="36" t="str">
        <x:v>R3.5D</x:v>
      </x:c>
      <x:c r="C37" s="36" t="n">
        <x:v>54</x:v>
      </x:c>
      <x:c r="D37" s="36" t="str">
        <x:v>Single DeactivationDecision</x:v>
      </x:c>
      <x:c r="E37" s="36" t="str">
        <x:v>Medir latencia de decisión</x:v>
      </x:c>
      <x:c r="F37" s="36" t="n">
        <x:v>1000</x:v>
      </x:c>
      <x:c r="G37" s="36" t="str">
        <x:v>Local FS</x:v>
      </x:c>
      <x:c r="H37" s="36" t="str">
        <x:v>Steady-state</x:v>
      </x:c>
      <x:c r="I37" s="36" t="str">
        <x:v>Baseline</x:v>
      </x:c>
      <x:c r="J37" s="36" t="str">
        <x:v>1 decision</x:v>
      </x:c>
      <x:c r="K37" s="36" t="str">
        <x:v>Stable config</x:v>
      </x:c>
      <x:c r="L37" s="36" t="n">
        <x:v>5</x:v>
      </x:c>
      <x:c r="M37" s="36" t="n">
        <x:v>5</x:v>
      </x:c>
      <x:c r="N37" s="36" t="n">
        <x:v>10</x:v>
      </x:c>
      <x:c r="O37" s="36" t="str">
        <x:v>Control-plane</x:v>
      </x:c>
      <x:c r="P37" s="36" t="str">
        <x:v>receipt durable + causalidad</x:v>
      </x:c>
      <x:c r="Q37" s="36" t="str">
        <x:v>Medir ingress→receipt</x:v>
      </x:c>
      <x:c r="R37" s="36" t="str">
        <x:v>Planned</x:v>
      </x:c>
      <x:c r="S37" s="36" t="str">
        <x:v>D-001</x:v>
      </x:c>
      <x:c r="T37" s="36" t="str"/>
    </x:row>
    <x:row r="38">
      <x:c r="A38" s="36" t="str">
        <x:v>D-006</x:v>
      </x:c>
      <x:c r="B38" s="36" t="str">
        <x:v>R3.5D</x:v>
      </x:c>
      <x:c r="C38" s="36" t="n">
        <x:v>55</x:v>
      </x:c>
      <x:c r="D38" s="36" t="str">
        <x:v>Decision continuous 1/s</x:v>
      </x:c>
      <x:c r="E38" s="36" t="str">
        <x:v>Medir decisiones sostenidas</x:v>
      </x:c>
      <x:c r="F38" s="36" t="n">
        <x:v>1000</x:v>
      </x:c>
      <x:c r="G38" s="36" t="str">
        <x:v>Local FS</x:v>
      </x:c>
      <x:c r="H38" s="36" t="str">
        <x:v>Operational churn</x:v>
      </x:c>
      <x:c r="I38" s="36" t="str">
        <x:v>Baseline</x:v>
      </x:c>
      <x:c r="J38" s="36" t="str">
        <x:v>1 decision/s</x:v>
      </x:c>
      <x:c r="K38" s="36" t="str">
        <x:v>Stable config</x:v>
      </x:c>
      <x:c r="L38" s="36" t="n">
        <x:v>10</x:v>
      </x:c>
      <x:c r="M38" s="36" t="n">
        <x:v>5</x:v>
      </x:c>
      <x:c r="N38" s="36" t="n">
        <x:v>10</x:v>
      </x:c>
      <x:c r="O38" s="36" t="str">
        <x:v>Control-plane</x:v>
      </x:c>
      <x:c r="P38" s="36" t="str">
        <x:v>0 lost receipts / duplicates</x:v>
      </x:c>
      <x:c r="Q38" s="36" t="str">
        <x:v>p95 decision latency</x:v>
      </x:c>
      <x:c r="R38" s="36" t="str">
        <x:v>Planned</x:v>
      </x:c>
      <x:c r="S38" s="36" t="str">
        <x:v>D-005</x:v>
      </x:c>
      <x:c r="T38" s="36" t="str"/>
    </x:row>
    <x:row r="39">
      <x:c r="A39" s="36" t="str">
        <x:v>D-007</x:v>
      </x:c>
      <x:c r="B39" s="36" t="str">
        <x:v>R3.5D</x:v>
      </x:c>
      <x:c r="C39" s="36" t="n">
        <x:v>56</x:v>
      </x:c>
      <x:c r="D39" s="36" t="str">
        <x:v>Decision burst 50</x:v>
      </x:c>
      <x:c r="E39" s="36" t="str">
        <x:v>Medir burst de decisiones</x:v>
      </x:c>
      <x:c r="F39" s="36" t="n">
        <x:v>1000</x:v>
      </x:c>
      <x:c r="G39" s="36" t="str">
        <x:v>Local FS</x:v>
      </x:c>
      <x:c r="H39" s="36" t="str">
        <x:v>Operational churn</x:v>
      </x:c>
      <x:c r="I39" s="36" t="str">
        <x:v>Baseline</x:v>
      </x:c>
      <x:c r="J39" s="36" t="str">
        <x:v>50 decision burst</x:v>
      </x:c>
      <x:c r="K39" s="36" t="str">
        <x:v>Stable config</x:v>
      </x:c>
      <x:c r="L39" s="36" t="n">
        <x:v>10</x:v>
      </x:c>
      <x:c r="M39" s="36" t="n">
        <x:v>5</x:v>
      </x:c>
      <x:c r="N39" s="36" t="n">
        <x:v>10</x:v>
      </x:c>
      <x:c r="O39" s="36" t="str">
        <x:v>Stress</x:v>
      </x:c>
      <x:c r="P39" s="36" t="str">
        <x:v>causalidad + idempotencia</x:v>
      </x:c>
      <x:c r="Q39" s="36" t="str">
        <x:v>Observar pending/cursors</x:v>
      </x:c>
      <x:c r="R39" s="36" t="str">
        <x:v>Planned</x:v>
      </x:c>
      <x:c r="S39" s="36" t="str">
        <x:v>D-006</x:v>
      </x:c>
      <x:c r="T39" s="36" t="str"/>
    </x:row>
    <x:row r="40">
      <x:c r="A40" s="36" t="str">
        <x:v>D-008</x:v>
      </x:c>
      <x:c r="B40" s="36" t="str">
        <x:v>R3.5D</x:v>
      </x:c>
      <x:c r="C40" s="36" t="n">
        <x:v>57</x:v>
      </x:c>
      <x:c r="D40" s="36" t="str">
        <x:v>Early decisions before requests</x:v>
      </x:c>
      <x:c r="E40" s="36" t="str">
        <x:v>Presionar pending correlation</x:v>
      </x:c>
      <x:c r="F40" s="36" t="n">
        <x:v>1000</x:v>
      </x:c>
      <x:c r="G40" s="36" t="str">
        <x:v>Local FS</x:v>
      </x:c>
      <x:c r="H40" s="36" t="str">
        <x:v>Operational churn</x:v>
      </x:c>
      <x:c r="I40" s="36" t="str">
        <x:v>Baseline</x:v>
      </x:c>
      <x:c r="J40" s="36" t="str">
        <x:v>Early decisions</x:v>
      </x:c>
      <x:c r="K40" s="36" t="str">
        <x:v>Stable config</x:v>
      </x:c>
      <x:c r="L40" s="36" t="n">
        <x:v>10</x:v>
      </x:c>
      <x:c r="M40" s="36" t="n">
        <x:v>5</x:v>
      </x:c>
      <x:c r="N40" s="36" t="n">
        <x:v>10</x:v>
      </x:c>
      <x:c r="O40" s="36" t="str">
        <x:v>Correctness + stress</x:v>
      </x:c>
      <x:c r="P40" s="36" t="str">
        <x:v>0 wrong correlation</x:v>
      </x:c>
      <x:c r="Q40" s="36" t="str">
        <x:v>Performance secundaria</x:v>
      </x:c>
      <x:c r="R40" s="36" t="str">
        <x:v>Planned</x:v>
      </x:c>
      <x:c r="S40" s="36" t="str">
        <x:v>D-007</x:v>
      </x:c>
      <x:c r="T40" s="36" t="str"/>
    </x:row>
    <x:row r="41">
      <x:c r="A41" s="36" t="str">
        <x:v>D-009</x:v>
      </x:c>
      <x:c r="B41" s="36" t="str">
        <x:v>R3.5D</x:v>
      </x:c>
      <x:c r="C41" s="36" t="n">
        <x:v>58</x:v>
      </x:c>
      <x:c r="D41" s="36" t="str">
        <x:v>Mixed Management + Decisions</x:v>
      </x:c>
      <x:c r="E41" s="36" t="str">
        <x:v>Control-plane mixto bajo carga</x:v>
      </x:c>
      <x:c r="F41" s="36" t="n">
        <x:v>1000</x:v>
      </x:c>
      <x:c r="G41" s="36" t="str">
        <x:v>Local FS</x:v>
      </x:c>
      <x:c r="H41" s="36" t="str">
        <x:v>Operational churn</x:v>
      </x:c>
      <x:c r="I41" s="36" t="str">
        <x:v>Baseline</x:v>
      </x:c>
      <x:c r="J41" s="36" t="str">
        <x:v>Mgmt + decisions continuous</x:v>
      </x:c>
      <x:c r="K41" s="36" t="str">
        <x:v>Stable config</x:v>
      </x:c>
      <x:c r="L41" s="36" t="n">
        <x:v>10</x:v>
      </x:c>
      <x:c r="M41" s="36" t="n">
        <x:v>5</x:v>
      </x:c>
      <x:c r="N41" s="36" t="n">
        <x:v>10</x:v>
      </x:c>
      <x:c r="O41" s="36" t="str">
        <x:v>Stress</x:v>
      </x:c>
      <x:c r="P41" s="36" t="str">
        <x:v>0 durable errors</x:v>
      </x:c>
      <x:c r="Q41" s="36" t="str">
        <x:v>Medir ambas latencias</x:v>
      </x:c>
      <x:c r="R41" s="36" t="str">
        <x:v>Planned</x:v>
      </x:c>
      <x:c r="S41" s="36" t="str">
        <x:v>D-008</x:v>
      </x:c>
      <x:c r="T41" s="36" t="str"/>
    </x:row>
    <x:row r="42">
      <x:c r="A42" s="36" t="str">
        <x:v>D-010</x:v>
      </x:c>
      <x:c r="B42" s="36" t="str">
        <x:v>R3.5D</x:v>
      </x:c>
      <x:c r="C42" s="36" t="n">
        <x:v>59</x:v>
      </x:c>
      <x:c r="D42" s="36" t="str">
        <x:v>Late decision after removal</x:v>
      </x:c>
      <x:c r="E42" s="36" t="str">
        <x:v>Validar STALE_TARGET bajo presión</x:v>
      </x:c>
      <x:c r="F42" s="36" t="n">
        <x:v>1000</x:v>
      </x:c>
      <x:c r="G42" s="36" t="str">
        <x:v>Local FS</x:v>
      </x:c>
      <x:c r="H42" s="36" t="str">
        <x:v>Operational churn</x:v>
      </x:c>
      <x:c r="I42" s="36" t="str">
        <x:v>Baseline</x:v>
      </x:c>
      <x:c r="J42" s="36" t="str">
        <x:v>Late decisions</x:v>
      </x:c>
      <x:c r="K42" s="36" t="str">
        <x:v>Alarm removed</x:v>
      </x:c>
      <x:c r="L42" s="36" t="n">
        <x:v>10</x:v>
      </x:c>
      <x:c r="M42" s="36" t="n">
        <x:v>5</x:v>
      </x:c>
      <x:c r="N42" s="36" t="n">
        <x:v>10</x:v>
      </x:c>
      <x:c r="O42" s="36" t="str">
        <x:v>Correctness</x:v>
      </x:c>
      <x:c r="P42" s="36" t="str">
        <x:v>STALE_TARGET correcto</x:v>
      </x:c>
      <x:c r="Q42" s="36" t="str">
        <x:v>Performance secundaria</x:v>
      </x:c>
      <x:c r="R42" s="36" t="str">
        <x:v>Planned</x:v>
      </x:c>
      <x:c r="S42" s="36" t="str">
        <x:v>D-009</x:v>
      </x:c>
      <x:c r="T42" s="36" t="str"/>
    </x:row>
    <x:row r="43">
      <x:c r="A43" s="36" t="str">
        <x:v>E-001</x:v>
      </x:c>
      <x:c r="B43" s="36" t="str">
        <x:v>R3.5E</x:v>
      </x:c>
      <x:c r="C43" s="36" t="n">
        <x:v>70</x:v>
      </x:c>
      <x:c r="D43" s="36" t="str">
        <x:v>Parameter-only adoption</x:v>
      </x:c>
      <x:c r="E43" s="36" t="str">
        <x:v>Medir adopción compatible sin commit artificial</x:v>
      </x:c>
      <x:c r="F43" s="36" t="n">
        <x:v>1000</x:v>
      </x:c>
      <x:c r="G43" s="36" t="str">
        <x:v>Local FS</x:v>
      </x:c>
      <x:c r="H43" s="36" t="str">
        <x:v>Operational churn</x:v>
      </x:c>
      <x:c r="I43" s="36" t="str">
        <x:v>Baseline</x:v>
      </x:c>
      <x:c r="J43" s="36" t="str">
        <x:v>None</x:v>
      </x:c>
      <x:c r="K43" s="36" t="str">
        <x:v>Parameter change</x:v>
      </x:c>
      <x:c r="L43" s="36" t="n">
        <x:v>10</x:v>
      </x:c>
      <x:c r="M43" s="36" t="n">
        <x:v>5</x:v>
      </x:c>
      <x:c r="N43" s="36" t="n">
        <x:v>10</x:v>
      </x:c>
      <x:c r="O43" s="36" t="str">
        <x:v>Config adoption</x:v>
      </x:c>
      <x:c r="P43" s="36" t="str">
        <x:v>0 duplicate durable effects</x:v>
      </x:c>
      <x:c r="Q43" s="36" t="str">
        <x:v>Resolution+planner+promotion</x:v>
      </x:c>
      <x:c r="R43" s="36" t="str">
        <x:v>Planned</x:v>
      </x:c>
      <x:c r="S43" s="36" t="str">
        <x:v>C-001</x:v>
      </x:c>
      <x:c r="T43" s="36" t="str"/>
    </x:row>
    <x:row r="44">
      <x:c r="A44" s="36" t="str">
        <x:v>E-002</x:v>
      </x:c>
      <x:c r="B44" s="36" t="str">
        <x:v>R3.5E</x:v>
      </x:c>
      <x:c r="C44" s="36" t="n">
        <x:v>71</x:v>
      </x:c>
      <x:c r="D44" s="36" t="str">
        <x:v>C2 routing adoption</x:v>
      </x:c>
      <x:c r="E44" s="36" t="str">
        <x:v>Medir reconciliación C2</x:v>
      </x:c>
      <x:c r="F44" s="36" t="n">
        <x:v>1000</x:v>
      </x:c>
      <x:c r="G44" s="36" t="str">
        <x:v>Local FS</x:v>
      </x:c>
      <x:c r="H44" s="36" t="str">
        <x:v>Operational churn</x:v>
      </x:c>
      <x:c r="I44" s="36" t="str">
        <x:v>C2-heavy</x:v>
      </x:c>
      <x:c r="J44" s="36" t="str">
        <x:v>None</x:v>
      </x:c>
      <x:c r="K44" s="36" t="str">
        <x:v>C2 routing change</x:v>
      </x:c>
      <x:c r="L44" s="36" t="n">
        <x:v>10</x:v>
      </x:c>
      <x:c r="M44" s="36" t="n">
        <x:v>5</x:v>
      </x:c>
      <x:c r="N44" s="36" t="n">
        <x:v>10</x:v>
      </x:c>
      <x:c r="O44" s="36" t="str">
        <x:v>Config adoption</x:v>
      </x:c>
      <x:c r="P44" s="36" t="str">
        <x:v>0 routing corruption</x:v>
      </x:c>
      <x:c r="Q44" s="36" t="str">
        <x:v>Adoption duration</x:v>
      </x:c>
      <x:c r="R44" s="36" t="str">
        <x:v>Planned</x:v>
      </x:c>
      <x:c r="S44" s="36" t="str">
        <x:v>E-001</x:v>
      </x:c>
      <x:c r="T44" s="36" t="str"/>
    </x:row>
    <x:row r="45">
      <x:c r="A45" s="36" t="str">
        <x:v>E-003</x:v>
      </x:c>
      <x:c r="B45" s="36" t="str">
        <x:v>R3.5E</x:v>
      </x:c>
      <x:c r="C45" s="36" t="n">
        <x:v>72</x:v>
      </x:c>
      <x:c r="D45" s="36" t="str">
        <x:v>Disabled 10%</x:v>
      </x:c>
      <x:c r="E45" s="36" t="str">
        <x:v>Medir cierres por config</x:v>
      </x:c>
      <x:c r="F45" s="36" t="n">
        <x:v>1000</x:v>
      </x:c>
      <x:c r="G45" s="36" t="str">
        <x:v>Local FS</x:v>
      </x:c>
      <x:c r="H45" s="36" t="str">
        <x:v>Operational churn</x:v>
      </x:c>
      <x:c r="I45" s="36" t="str">
        <x:v>Balanced</x:v>
      </x:c>
      <x:c r="J45" s="36" t="str">
        <x:v>None</x:v>
      </x:c>
      <x:c r="K45" s="36" t="str">
        <x:v>10% disabled</x:v>
      </x:c>
      <x:c r="L45" s="36" t="n">
        <x:v>10</x:v>
      </x:c>
      <x:c r="M45" s="36" t="n">
        <x:v>5</x:v>
      </x:c>
      <x:c r="N45" s="36" t="n">
        <x:v>10</x:v>
      </x:c>
      <x:c r="O45" s="36" t="str">
        <x:v>Config adoption</x:v>
      </x:c>
      <x:c r="P45" s="36" t="str">
        <x:v>correct closures</x:v>
      </x:c>
      <x:c r="Q45" s="36" t="str">
        <x:v>WAL/snapshot spike</x:v>
      </x:c>
      <x:c r="R45" s="36" t="str">
        <x:v>Planned</x:v>
      </x:c>
      <x:c r="S45" s="36" t="str">
        <x:v>E-001</x:v>
      </x:c>
      <x:c r="T45" s="36" t="str"/>
    </x:row>
    <x:row r="46">
      <x:c r="A46" s="36" t="str">
        <x:v>E-004</x:v>
      </x:c>
      <x:c r="B46" s="36" t="str">
        <x:v>R3.5E</x:v>
      </x:c>
      <x:c r="C46" s="36" t="n">
        <x:v>73</x:v>
      </x:c>
      <x:c r="D46" s="36" t="str">
        <x:v>Removed 10%</x:v>
      </x:c>
      <x:c r="E46" s="36" t="str">
        <x:v>Medir removal + orphan deactivation handling</x:v>
      </x:c>
      <x:c r="F46" s="36" t="n">
        <x:v>1000</x:v>
      </x:c>
      <x:c r="G46" s="36" t="str">
        <x:v>Local FS</x:v>
      </x:c>
      <x:c r="H46" s="36" t="str">
        <x:v>Operational churn</x:v>
      </x:c>
      <x:c r="I46" s="36" t="str">
        <x:v>Balanced</x:v>
      </x:c>
      <x:c r="J46" s="36" t="str">
        <x:v>None</x:v>
      </x:c>
      <x:c r="K46" s="36" t="str">
        <x:v>10% removed</x:v>
      </x:c>
      <x:c r="L46" s="36" t="n">
        <x:v>10</x:v>
      </x:c>
      <x:c r="M46" s="36" t="n">
        <x:v>5</x:v>
      </x:c>
      <x:c r="N46" s="36" t="n">
        <x:v>10</x:v>
      </x:c>
      <x:c r="O46" s="36" t="str">
        <x:v>Config adoption</x:v>
      </x:c>
      <x:c r="P46" s="36" t="str">
        <x:v>correct closures / preserved effects</x:v>
      </x:c>
      <x:c r="Q46" s="36" t="str">
        <x:v>Adoption duration</x:v>
      </x:c>
      <x:c r="R46" s="36" t="str">
        <x:v>Planned</x:v>
      </x:c>
      <x:c r="S46" s="36" t="str">
        <x:v>E-003</x:v>
      </x:c>
      <x:c r="T46" s="36" t="str"/>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505aa5596ede4f1e"/>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row>
    <x:row r="33">
      <x:c r="A33" s="32"/>
      <x:c r="B33" s="32"/>
      <x:c r="C33" s="42"/>
      <x:c r="D33" s="32"/>
      <x:c r="E33" s="32"/>
      <x:c r="F33" s="32"/>
      <x:c r="G33" s="32"/>
      <x:c r="H33" s="32"/>
      <x:c r="I33" s="32"/>
      <x:c r="J33" s="32"/>
      <x:c r="K33" s="32"/>
      <x:c r="L33" s="32"/>
      <x:c r="M33" s="32"/>
      <x:c r="N33" s="32"/>
      <x:c r="O33" s="32"/>
      <x:c r="P33" s="32"/>
      <x:c r="Q33" s="32"/>
      <x:c r="R33" s="32"/>
      <x:c r="S33" s="32"/>
      <x:c r="T33" s="43" t="str">
        <x:f>IFERROR(S33/L33,"")</x:f>
      </x:c>
      <x:c r="U33" s="32"/>
      <x:c r="V33" s="32"/>
      <x:c r="W33" s="32"/>
      <x:c r="X33" s="32"/>
      <x:c r="Y33" s="32"/>
      <x:c r="Z33" s="32"/>
      <x:c r="AA33" s="32"/>
      <x:c r="AB33" s="32"/>
      <x:c r="AC33" s="32"/>
      <x:c r="AD33" s="32"/>
      <x:c r="AE33" s="32"/>
      <x:c r="AF33" s="32"/>
      <x:c r="AG33" s="32"/>
      <x:c r="AH33" s="32"/>
      <x:c r="AI33" s="32"/>
      <x:c r="AJ33" s="32"/>
      <x:c r="AK33" s="32"/>
      <x:c r="AL33" s="32"/>
      <x:c r="AM33" s="32"/>
      <x:c r="AN33" s="32"/>
      <x:c r="AO33" s="32"/>
      <x:c r="AP33" s="32"/>
      <x:c r="AQ33" s="32"/>
      <x:c r="AR33" s="32"/>
      <x:c r="AS33" s="32"/>
      <x:c r="AT33" s="32"/>
      <x:c r="AU33" s="32"/>
      <x:c r="AV33" s="32"/>
      <x:c r="AW33" s="32"/>
      <x:c r="AX33" s="32"/>
      <x:c r="AZ33" s="32"/>
      <x:c r="BA33" s="32"/>
      <x:c r="BB33" s="32"/>
      <x:c r="BC33" s="32"/>
      <x:c r="BD33" s="32"/>
      <x:c r="BE33" s="32"/>
      <x:c r="BF33" s="32"/>
      <x:c r="BG33" s="32"/>
      <x:c r="BH33" s="32"/>
      <x:c r="BI33" s="32"/>
      <x:c r="BJ33" s="32"/>
      <x:c r="BK33" s="32"/>
      <x:c r="BL33" s="32"/>
      <x:c r="BM33" s="32"/>
    </x:row>
    <x:row r="34">
      <x:c r="A34" s="32"/>
      <x:c r="B34" s="32"/>
      <x:c r="C34" s="42"/>
      <x:c r="D34" s="32"/>
      <x:c r="E34" s="32"/>
      <x:c r="F34" s="32"/>
      <x:c r="G34" s="32"/>
      <x:c r="H34" s="32"/>
      <x:c r="I34" s="32"/>
      <x:c r="J34" s="32"/>
      <x:c r="K34" s="32"/>
      <x:c r="L34" s="32"/>
      <x:c r="M34" s="32"/>
      <x:c r="N34" s="32"/>
      <x:c r="O34" s="32"/>
      <x:c r="P34" s="32"/>
      <x:c r="Q34" s="32"/>
      <x:c r="R34" s="32"/>
      <x:c r="S34" s="32"/>
      <x:c r="T34" s="43" t="str">
        <x:f>IFERROR(S34/L34,"")</x:f>
      </x:c>
      <x:c r="U34" s="32"/>
      <x:c r="V34" s="32"/>
      <x:c r="W34" s="32"/>
      <x:c r="X34" s="32"/>
      <x:c r="Y34" s="32"/>
      <x:c r="Z34" s="32"/>
      <x:c r="AA34" s="32"/>
      <x:c r="AB34" s="32"/>
      <x:c r="AC34" s="32"/>
      <x:c r="AD34" s="32"/>
      <x:c r="AE34" s="32"/>
      <x:c r="AF34" s="32"/>
      <x:c r="AG34" s="32"/>
      <x:c r="AH34" s="32"/>
      <x:c r="AI34" s="32"/>
      <x:c r="AJ34" s="32"/>
      <x:c r="AK34" s="32"/>
      <x:c r="AL34" s="32"/>
      <x:c r="AM34" s="32"/>
      <x:c r="AN34" s="32"/>
      <x:c r="AO34" s="32"/>
      <x:c r="AP34" s="32"/>
      <x:c r="AQ34" s="32"/>
      <x:c r="AR34" s="32"/>
      <x:c r="AS34" s="32"/>
      <x:c r="AT34" s="32"/>
      <x:c r="AU34" s="32"/>
      <x:c r="AV34" s="32"/>
      <x:c r="AW34" s="32"/>
      <x:c r="AX34" s="32"/>
      <x:c r="AZ34" s="32"/>
      <x:c r="BA34" s="32"/>
      <x:c r="BB34" s="32"/>
      <x:c r="BC34" s="32"/>
      <x:c r="BD34" s="32"/>
      <x:c r="BE34" s="32"/>
      <x:c r="BF34" s="32"/>
      <x:c r="BG34" s="32"/>
      <x:c r="BH34" s="32"/>
      <x:c r="BI34" s="32"/>
      <x:c r="BJ34" s="32"/>
      <x:c r="BK34" s="32"/>
      <x:c r="BL34" s="32"/>
      <x:c r="BM34" s="32"/>
    </x:row>
    <x:row r="35">
      <x:c r="A35" s="32"/>
      <x:c r="B35" s="32"/>
      <x:c r="C35" s="42"/>
      <x:c r="D35" s="32"/>
      <x:c r="E35" s="32"/>
      <x:c r="F35" s="32"/>
      <x:c r="G35" s="32"/>
      <x:c r="H35" s="32"/>
      <x:c r="I35" s="32"/>
      <x:c r="J35" s="32"/>
      <x:c r="K35" s="32"/>
      <x:c r="L35" s="32"/>
      <x:c r="M35" s="32"/>
      <x:c r="N35" s="32"/>
      <x:c r="O35" s="32"/>
      <x:c r="P35" s="32"/>
      <x:c r="Q35" s="32"/>
      <x:c r="R35" s="32"/>
      <x:c r="S35" s="32"/>
      <x:c r="T35" s="43" t="str">
        <x:f>IFERROR(S35/L35,"")</x:f>
      </x:c>
      <x:c r="U35" s="32"/>
      <x:c r="V35" s="32"/>
      <x:c r="W35" s="32"/>
      <x:c r="X35" s="32"/>
      <x:c r="Y35" s="32"/>
      <x:c r="Z35" s="32"/>
      <x:c r="AA35" s="32"/>
      <x:c r="AB35" s="32"/>
      <x:c r="AC35" s="32"/>
      <x:c r="AD35" s="32"/>
      <x:c r="AE35" s="32"/>
      <x:c r="AF35" s="32"/>
      <x:c r="AG35" s="32"/>
      <x:c r="AH35" s="32"/>
      <x:c r="AI35" s="32"/>
      <x:c r="AJ35" s="32"/>
      <x:c r="AK35" s="32"/>
      <x:c r="AL35" s="32"/>
      <x:c r="AM35" s="32"/>
      <x:c r="AN35" s="32"/>
      <x:c r="AO35" s="32"/>
      <x:c r="AP35" s="32"/>
      <x:c r="AQ35" s="32"/>
      <x:c r="AR35" s="32"/>
      <x:c r="AS35" s="32"/>
      <x:c r="AT35" s="32"/>
      <x:c r="AU35" s="32"/>
      <x:c r="AV35" s="32"/>
      <x:c r="AW35" s="32"/>
      <x:c r="AX35" s="32"/>
      <x:c r="AZ35" s="32"/>
      <x:c r="BA35" s="32"/>
      <x:c r="BB35" s="32"/>
      <x:c r="BC35" s="32"/>
      <x:c r="BD35" s="32"/>
      <x:c r="BE35" s="32"/>
      <x:c r="BF35" s="32"/>
      <x:c r="BG35" s="32"/>
      <x:c r="BH35" s="32"/>
      <x:c r="BI35" s="32"/>
      <x:c r="BJ35" s="32"/>
      <x:c r="BK35" s="32"/>
      <x:c r="BL35" s="32"/>
      <x:c r="BM35" s="32"/>
    </x:row>
    <x:row r="36">
      <x:c r="A36" s="32"/>
      <x:c r="B36" s="32"/>
      <x:c r="C36" s="42"/>
      <x:c r="D36" s="32"/>
      <x:c r="E36" s="32"/>
      <x:c r="F36" s="32"/>
      <x:c r="G36" s="32"/>
      <x:c r="H36" s="32"/>
      <x:c r="I36" s="32"/>
      <x:c r="J36" s="32"/>
      <x:c r="K36" s="32"/>
      <x:c r="L36" s="32"/>
      <x:c r="M36" s="32"/>
      <x:c r="N36" s="32"/>
      <x:c r="O36" s="32"/>
      <x:c r="P36" s="32"/>
      <x:c r="Q36" s="32"/>
      <x:c r="R36" s="32"/>
      <x:c r="S36" s="32"/>
      <x:c r="T36" s="43" t="str">
        <x:f>IFERROR(S36/L36,"")</x:f>
      </x:c>
      <x:c r="U36" s="32"/>
      <x:c r="V36" s="32"/>
      <x:c r="W36" s="32"/>
      <x:c r="X36" s="32"/>
      <x:c r="Y36" s="32"/>
      <x:c r="Z36" s="32"/>
      <x:c r="AA36" s="32"/>
      <x:c r="AB36" s="32"/>
      <x:c r="AC36" s="32"/>
      <x:c r="AD36" s="32"/>
      <x:c r="AE36" s="32"/>
      <x:c r="AF36" s="32"/>
      <x:c r="AG36" s="32"/>
      <x:c r="AH36" s="32"/>
      <x:c r="AI36" s="32"/>
      <x:c r="AJ36" s="32"/>
      <x:c r="AK36" s="32"/>
      <x:c r="AL36" s="32"/>
      <x:c r="AM36" s="32"/>
      <x:c r="AN36" s="32"/>
      <x:c r="AO36" s="32"/>
      <x:c r="AP36" s="32"/>
      <x:c r="AQ36" s="32"/>
      <x:c r="AR36" s="32"/>
      <x:c r="AS36" s="32"/>
      <x:c r="AT36" s="32"/>
      <x:c r="AU36" s="32"/>
      <x:c r="AV36" s="32"/>
      <x:c r="AW36" s="32"/>
      <x:c r="AX36" s="32"/>
      <x:c r="AZ36" s="32"/>
      <x:c r="BA36" s="32"/>
      <x:c r="BB36" s="32"/>
      <x:c r="BC36" s="32"/>
      <x:c r="BD36" s="32"/>
      <x:c r="BE36" s="32"/>
      <x:c r="BF36" s="32"/>
      <x:c r="BG36" s="32"/>
      <x:c r="BH36" s="32"/>
      <x:c r="BI36" s="32"/>
      <x:c r="BJ36" s="32"/>
      <x:c r="BK36" s="32"/>
      <x:c r="BL36" s="32"/>
      <x:c r="BM36" s="32"/>
    </x:row>
    <x:row r="37">
      <x:c r="A37" s="32"/>
      <x:c r="B37" s="32"/>
      <x:c r="C37" s="42"/>
      <x:c r="D37" s="32"/>
      <x:c r="E37" s="32"/>
      <x:c r="F37" s="32"/>
      <x:c r="G37" s="32"/>
      <x:c r="H37" s="32"/>
      <x:c r="I37" s="32"/>
      <x:c r="J37" s="32"/>
      <x:c r="K37" s="32"/>
      <x:c r="L37" s="32"/>
      <x:c r="M37" s="32"/>
      <x:c r="N37" s="32"/>
      <x:c r="O37" s="32"/>
      <x:c r="P37" s="32"/>
      <x:c r="Q37" s="32"/>
      <x:c r="R37" s="32"/>
      <x:c r="S37" s="32"/>
      <x:c r="T37" s="43" t="str">
        <x:f>IFERROR(S37/L37,"")</x:f>
      </x:c>
      <x:c r="U37" s="32"/>
      <x:c r="V37" s="32"/>
      <x:c r="W37" s="32"/>
      <x:c r="X37" s="32"/>
      <x:c r="Y37" s="32"/>
      <x:c r="Z37" s="32"/>
      <x:c r="AA37" s="32"/>
      <x:c r="AB37" s="32"/>
      <x:c r="AC37" s="32"/>
      <x:c r="AD37" s="32"/>
      <x:c r="AE37" s="32"/>
      <x:c r="AF37" s="32"/>
      <x:c r="AG37" s="32"/>
      <x:c r="AH37" s="32"/>
      <x:c r="AI37" s="32"/>
      <x:c r="AJ37" s="32"/>
      <x:c r="AK37" s="32"/>
      <x:c r="AL37" s="32"/>
      <x:c r="AM37" s="32"/>
      <x:c r="AN37" s="32"/>
      <x:c r="AO37" s="32"/>
      <x:c r="AP37" s="32"/>
      <x:c r="AQ37" s="32"/>
      <x:c r="AR37" s="32"/>
      <x:c r="AS37" s="32"/>
      <x:c r="AT37" s="32"/>
      <x:c r="AU37" s="32"/>
      <x:c r="AV37" s="32"/>
      <x:c r="AW37" s="32"/>
      <x:c r="AX37" s="32"/>
      <x:c r="AZ37" s="32"/>
      <x:c r="BA37" s="32"/>
      <x:c r="BB37" s="32"/>
      <x:c r="BC37" s="32"/>
      <x:c r="BD37" s="32"/>
      <x:c r="BE37" s="32"/>
      <x:c r="BF37" s="32"/>
      <x:c r="BG37" s="32"/>
      <x:c r="BH37" s="32"/>
      <x:c r="BI37" s="32"/>
      <x:c r="BJ37" s="32"/>
      <x:c r="BK37" s="32"/>
      <x:c r="BL37" s="32"/>
      <x:c r="BM37" s="32"/>
    </x:row>
    <x:row r="38">
      <x:c r="A38" s="32"/>
      <x:c r="B38" s="32"/>
      <x:c r="C38" s="42"/>
      <x:c r="D38" s="32"/>
      <x:c r="E38" s="32"/>
      <x:c r="F38" s="32"/>
      <x:c r="G38" s="32"/>
      <x:c r="H38" s="32"/>
      <x:c r="I38" s="32"/>
      <x:c r="J38" s="32"/>
      <x:c r="K38" s="32"/>
      <x:c r="L38" s="32"/>
      <x:c r="M38" s="32"/>
      <x:c r="N38" s="32"/>
      <x:c r="O38" s="32"/>
      <x:c r="P38" s="32"/>
      <x:c r="Q38" s="32"/>
      <x:c r="R38" s="32"/>
      <x:c r="S38" s="32"/>
      <x:c r="T38" s="43" t="str">
        <x:f>IFERROR(S38/L38,"")</x:f>
      </x:c>
      <x:c r="U38" s="32"/>
      <x:c r="V38" s="32"/>
      <x:c r="W38" s="32"/>
      <x:c r="X38" s="32"/>
      <x:c r="Y38" s="32"/>
      <x:c r="Z38" s="32"/>
      <x:c r="AA38" s="32"/>
      <x:c r="AB38" s="32"/>
      <x:c r="AC38" s="32"/>
      <x:c r="AD38" s="32"/>
      <x:c r="AE38" s="32"/>
      <x:c r="AF38" s="32"/>
      <x:c r="AG38" s="32"/>
      <x:c r="AH38" s="32"/>
      <x:c r="AI38" s="32"/>
      <x:c r="AJ38" s="32"/>
      <x:c r="AK38" s="32"/>
      <x:c r="AL38" s="32"/>
      <x:c r="AM38" s="32"/>
      <x:c r="AN38" s="32"/>
      <x:c r="AO38" s="32"/>
      <x:c r="AP38" s="32"/>
      <x:c r="AQ38" s="32"/>
      <x:c r="AR38" s="32"/>
      <x:c r="AS38" s="32"/>
      <x:c r="AT38" s="32"/>
      <x:c r="AU38" s="32"/>
      <x:c r="AV38" s="32"/>
      <x:c r="AW38" s="32"/>
      <x:c r="AX38" s="32"/>
      <x:c r="AZ38" s="32"/>
      <x:c r="BA38" s="32"/>
      <x:c r="BB38" s="32"/>
      <x:c r="BC38" s="32"/>
      <x:c r="BD38" s="32"/>
      <x:c r="BE38" s="32"/>
      <x:c r="BF38" s="32"/>
      <x:c r="BG38" s="32"/>
      <x:c r="BH38" s="32"/>
      <x:c r="BI38" s="32"/>
      <x:c r="BJ38" s="32"/>
      <x:c r="BK38" s="32"/>
      <x:c r="BL38" s="32"/>
      <x:c r="BM38" s="32"/>
    </x:row>
    <x:row r="39">
      <x:c r="A39" s="32"/>
      <x:c r="B39" s="32"/>
      <x:c r="C39" s="42"/>
      <x:c r="D39" s="32"/>
      <x:c r="E39" s="32"/>
      <x:c r="F39" s="32"/>
      <x:c r="G39" s="32"/>
      <x:c r="H39" s="32"/>
      <x:c r="I39" s="32"/>
      <x:c r="J39" s="32"/>
      <x:c r="K39" s="32"/>
      <x:c r="L39" s="32"/>
      <x:c r="M39" s="32"/>
      <x:c r="N39" s="32"/>
      <x:c r="O39" s="32"/>
      <x:c r="P39" s="32"/>
      <x:c r="Q39" s="32"/>
      <x:c r="R39" s="32"/>
      <x:c r="S39" s="32"/>
      <x:c r="T39" s="43" t="str">
        <x:f>IFERROR(S39/L39,"")</x:f>
      </x:c>
      <x:c r="U39" s="32"/>
      <x:c r="V39" s="32"/>
      <x:c r="W39" s="32"/>
      <x:c r="X39" s="32"/>
      <x:c r="Y39" s="32"/>
      <x:c r="Z39" s="32"/>
      <x:c r="AA39" s="32"/>
      <x:c r="AB39" s="32"/>
      <x:c r="AC39" s="32"/>
      <x:c r="AD39" s="32"/>
      <x:c r="AE39" s="32"/>
      <x:c r="AF39" s="32"/>
      <x:c r="AG39" s="32"/>
      <x:c r="AH39" s="32"/>
      <x:c r="AI39" s="32"/>
      <x:c r="AJ39" s="32"/>
      <x:c r="AK39" s="32"/>
      <x:c r="AL39" s="32"/>
      <x:c r="AM39" s="32"/>
      <x:c r="AN39" s="32"/>
      <x:c r="AO39" s="32"/>
      <x:c r="AP39" s="32"/>
      <x:c r="AQ39" s="32"/>
      <x:c r="AR39" s="32"/>
      <x:c r="AS39" s="32"/>
      <x:c r="AT39" s="32"/>
      <x:c r="AU39" s="32"/>
      <x:c r="AV39" s="32"/>
      <x:c r="AW39" s="32"/>
      <x:c r="AX39" s="32"/>
      <x:c r="AZ39" s="32"/>
      <x:c r="BA39" s="32"/>
      <x:c r="BB39" s="32"/>
      <x:c r="BC39" s="32"/>
      <x:c r="BD39" s="32"/>
      <x:c r="BE39" s="32"/>
      <x:c r="BF39" s="32"/>
      <x:c r="BG39" s="32"/>
      <x:c r="BH39" s="32"/>
      <x:c r="BI39" s="32"/>
      <x:c r="BJ39" s="32"/>
      <x:c r="BK39" s="32"/>
      <x:c r="BL39" s="32"/>
      <x:c r="BM39" s="32"/>
    </x:row>
    <x:row r="40">
      <x:c r="A40" s="32"/>
      <x:c r="B40" s="32"/>
      <x:c r="C40" s="42"/>
      <x:c r="D40" s="32"/>
      <x:c r="E40" s="32"/>
      <x:c r="F40" s="32"/>
      <x:c r="G40" s="32"/>
      <x:c r="H40" s="32"/>
      <x:c r="I40" s="32"/>
      <x:c r="J40" s="32"/>
      <x:c r="K40" s="32"/>
      <x:c r="L40" s="32"/>
      <x:c r="M40" s="32"/>
      <x:c r="N40" s="32"/>
      <x:c r="O40" s="32"/>
      <x:c r="P40" s="32"/>
      <x:c r="Q40" s="32"/>
      <x:c r="R40" s="32"/>
      <x:c r="S40" s="32"/>
      <x:c r="T40" s="43" t="str">
        <x:f>IFERROR(S40/L40,"")</x:f>
      </x:c>
      <x:c r="U40" s="32"/>
      <x:c r="V40" s="32"/>
      <x:c r="W40" s="32"/>
      <x:c r="X40" s="32"/>
      <x:c r="Y40" s="32"/>
      <x:c r="Z40" s="32"/>
      <x:c r="AA40" s="32"/>
      <x:c r="AB40" s="32"/>
      <x:c r="AC40" s="32"/>
      <x:c r="AD40" s="32"/>
      <x:c r="AE40" s="32"/>
      <x:c r="AF40" s="32"/>
      <x:c r="AG40" s="32"/>
      <x:c r="AH40" s="32"/>
      <x:c r="AI40" s="32"/>
      <x:c r="AJ40" s="32"/>
      <x:c r="AK40" s="32"/>
      <x:c r="AL40" s="32"/>
      <x:c r="AM40" s="32"/>
      <x:c r="AN40" s="32"/>
      <x:c r="AO40" s="32"/>
      <x:c r="AP40" s="32"/>
      <x:c r="AQ40" s="32"/>
      <x:c r="AR40" s="32"/>
      <x:c r="AS40" s="32"/>
      <x:c r="AT40" s="32"/>
      <x:c r="AU40" s="32"/>
      <x:c r="AV40" s="32"/>
      <x:c r="AW40" s="32"/>
      <x:c r="AX40" s="32"/>
      <x:c r="AZ40" s="32"/>
      <x:c r="BA40" s="32"/>
      <x:c r="BB40" s="32"/>
      <x:c r="BC40" s="32"/>
      <x:c r="BD40" s="32"/>
      <x:c r="BE40" s="32"/>
      <x:c r="BF40" s="32"/>
      <x:c r="BG40" s="32"/>
      <x:c r="BH40" s="32"/>
      <x:c r="BI40" s="32"/>
      <x:c r="BJ40" s="32"/>
      <x:c r="BK40" s="32"/>
      <x:c r="BL40" s="32"/>
      <x:c r="BM40" s="32"/>
    </x:row>
    <x:row r="41">
      <x:c r="A41" s="32"/>
      <x:c r="B41" s="32"/>
      <x:c r="C41" s="42"/>
      <x:c r="D41" s="32"/>
      <x:c r="E41" s="32"/>
      <x:c r="F41" s="32"/>
      <x:c r="G41" s="32"/>
      <x:c r="H41" s="32"/>
      <x:c r="I41" s="32"/>
      <x:c r="J41" s="32"/>
      <x:c r="K41" s="32"/>
      <x:c r="L41" s="32"/>
      <x:c r="M41" s="32"/>
      <x:c r="N41" s="32"/>
      <x:c r="O41" s="32"/>
      <x:c r="P41" s="32"/>
      <x:c r="Q41" s="32"/>
      <x:c r="R41" s="32"/>
      <x:c r="S41" s="32"/>
      <x:c r="T41" s="43" t="str">
        <x:f>IFERROR(S41/L41,"")</x:f>
      </x:c>
      <x:c r="U41" s="32"/>
      <x:c r="V41" s="32"/>
      <x:c r="W41" s="32"/>
      <x:c r="X41" s="32"/>
      <x:c r="Y41" s="32"/>
      <x:c r="Z41" s="32"/>
      <x:c r="AA41" s="32"/>
      <x:c r="AB41" s="32"/>
      <x:c r="AC41" s="32"/>
      <x:c r="AD41" s="32"/>
      <x:c r="AE41" s="32"/>
      <x:c r="AF41" s="32"/>
      <x:c r="AG41" s="32"/>
      <x:c r="AH41" s="32"/>
      <x:c r="AI41" s="32"/>
      <x:c r="AJ41" s="32"/>
      <x:c r="AK41" s="32"/>
      <x:c r="AL41" s="32"/>
      <x:c r="AM41" s="32"/>
      <x:c r="AN41" s="32"/>
      <x:c r="AO41" s="32"/>
      <x:c r="AP41" s="32"/>
      <x:c r="AQ41" s="32"/>
      <x:c r="AR41" s="32"/>
      <x:c r="AS41" s="32"/>
      <x:c r="AT41" s="32"/>
      <x:c r="AU41" s="32"/>
      <x:c r="AV41" s="32"/>
      <x:c r="AW41" s="32"/>
      <x:c r="AX41" s="32"/>
      <x:c r="AZ41" s="32"/>
      <x:c r="BA41" s="32"/>
      <x:c r="BB41" s="32"/>
      <x:c r="BC41" s="32"/>
      <x:c r="BD41" s="32"/>
      <x:c r="BE41" s="32"/>
      <x:c r="BF41" s="32"/>
      <x:c r="BG41" s="32"/>
      <x:c r="BH41" s="32"/>
      <x:c r="BI41" s="32"/>
      <x:c r="BJ41" s="32"/>
      <x:c r="BK41" s="32"/>
      <x:c r="BL41" s="32"/>
      <x:c r="BM41" s="32"/>
    </x:row>
    <x:row r="42">
      <x:c r="A42" s="32"/>
      <x:c r="B42" s="32"/>
      <x:c r="C42" s="42"/>
      <x:c r="D42" s="32"/>
      <x:c r="E42" s="32"/>
      <x:c r="F42" s="32"/>
      <x:c r="G42" s="32"/>
      <x:c r="H42" s="32"/>
      <x:c r="I42" s="32"/>
      <x:c r="J42" s="32"/>
      <x:c r="K42" s="32"/>
      <x:c r="L42" s="32"/>
      <x:c r="M42" s="32"/>
      <x:c r="N42" s="32"/>
      <x:c r="O42" s="32"/>
      <x:c r="P42" s="32"/>
      <x:c r="Q42" s="32"/>
      <x:c r="R42" s="32"/>
      <x:c r="S42" s="32"/>
      <x:c r="T42" s="43" t="str">
        <x:f>IFERROR(S42/L42,"")</x:f>
      </x:c>
      <x:c r="U42" s="32"/>
      <x:c r="V42" s="32"/>
      <x:c r="W42" s="32"/>
      <x:c r="X42" s="32"/>
      <x:c r="Y42" s="32"/>
      <x:c r="Z42" s="32"/>
      <x:c r="AA42" s="32"/>
      <x:c r="AB42" s="32"/>
      <x:c r="AC42" s="32"/>
      <x:c r="AD42" s="32"/>
      <x:c r="AE42" s="32"/>
      <x:c r="AF42" s="32"/>
      <x:c r="AG42" s="32"/>
      <x:c r="AH42" s="32"/>
      <x:c r="AI42" s="32"/>
      <x:c r="AJ42" s="32"/>
      <x:c r="AK42" s="32"/>
      <x:c r="AL42" s="32"/>
      <x:c r="AM42" s="32"/>
      <x:c r="AN42" s="32"/>
      <x:c r="AO42" s="32"/>
      <x:c r="AP42" s="32"/>
      <x:c r="AQ42" s="32"/>
      <x:c r="AR42" s="32"/>
      <x:c r="AS42" s="32"/>
      <x:c r="AT42" s="32"/>
      <x:c r="AU42" s="32"/>
      <x:c r="AV42" s="32"/>
      <x:c r="AW42" s="32"/>
      <x:c r="AX42" s="32"/>
      <x:c r="AZ42" s="32"/>
      <x:c r="BA42" s="32"/>
      <x:c r="BB42" s="32"/>
      <x:c r="BC42" s="32"/>
      <x:c r="BD42" s="32"/>
      <x:c r="BE42" s="32"/>
      <x:c r="BF42" s="32"/>
      <x:c r="BG42" s="32"/>
      <x:c r="BH42" s="32"/>
      <x:c r="BI42" s="32"/>
      <x:c r="BJ42" s="32"/>
      <x:c r="BK42" s="32"/>
      <x:c r="BL42" s="32"/>
      <x:c r="BM42" s="32"/>
    </x:row>
    <x:row r="43">
      <x:c r="A43" s="32"/>
      <x:c r="B43" s="32"/>
      <x:c r="C43" s="42"/>
      <x:c r="D43" s="32"/>
      <x:c r="E43" s="32"/>
      <x:c r="F43" s="32"/>
      <x:c r="G43" s="32"/>
      <x:c r="H43" s="32"/>
      <x:c r="I43" s="32"/>
      <x:c r="J43" s="32"/>
      <x:c r="K43" s="32"/>
      <x:c r="L43" s="32"/>
      <x:c r="M43" s="32"/>
      <x:c r="N43" s="32"/>
      <x:c r="O43" s="32"/>
      <x:c r="P43" s="32"/>
      <x:c r="Q43" s="32"/>
      <x:c r="R43" s="32"/>
      <x:c r="S43" s="32"/>
      <x:c r="T43" s="43" t="str">
        <x:f>IFERROR(S43/L43,"")</x:f>
      </x:c>
      <x:c r="U43" s="32"/>
      <x:c r="V43" s="32"/>
      <x:c r="W43" s="32"/>
      <x:c r="X43" s="32"/>
      <x:c r="Y43" s="32"/>
      <x:c r="Z43" s="32"/>
      <x:c r="AA43" s="32"/>
      <x:c r="AB43" s="32"/>
      <x:c r="AC43" s="32"/>
      <x:c r="AD43" s="32"/>
      <x:c r="AE43" s="32"/>
      <x:c r="AF43" s="32"/>
      <x:c r="AG43" s="32"/>
      <x:c r="AH43" s="32"/>
      <x:c r="AI43" s="32"/>
      <x:c r="AJ43" s="32"/>
      <x:c r="AK43" s="32"/>
      <x:c r="AL43" s="32"/>
      <x:c r="AM43" s="32"/>
      <x:c r="AN43" s="32"/>
      <x:c r="AO43" s="32"/>
      <x:c r="AP43" s="32"/>
      <x:c r="AQ43" s="32"/>
      <x:c r="AR43" s="32"/>
      <x:c r="AS43" s="32"/>
      <x:c r="AT43" s="32"/>
      <x:c r="AU43" s="32"/>
      <x:c r="AV43" s="32"/>
      <x:c r="AW43" s="32"/>
      <x:c r="AX43" s="32"/>
      <x:c r="AZ43" s="32"/>
      <x:c r="BA43" s="32"/>
      <x:c r="BB43" s="32"/>
      <x:c r="BC43" s="32"/>
      <x:c r="BD43" s="32"/>
      <x:c r="BE43" s="32"/>
      <x:c r="BF43" s="32"/>
      <x:c r="BG43" s="32"/>
      <x:c r="BH43" s="32"/>
      <x:c r="BI43" s="32"/>
      <x:c r="BJ43" s="32"/>
      <x:c r="BK43" s="32"/>
      <x:c r="BL43" s="32"/>
      <x:c r="BM43" s="32"/>
    </x:row>
    <x:row r="44">
      <x:c r="A44" s="32"/>
      <x:c r="B44" s="32"/>
      <x:c r="C44" s="42"/>
      <x:c r="D44" s="32"/>
      <x:c r="E44" s="32"/>
      <x:c r="F44" s="32"/>
      <x:c r="G44" s="32"/>
      <x:c r="H44" s="32"/>
      <x:c r="I44" s="32"/>
      <x:c r="J44" s="32"/>
      <x:c r="K44" s="32"/>
      <x:c r="L44" s="32"/>
      <x:c r="M44" s="32"/>
      <x:c r="N44" s="32"/>
      <x:c r="O44" s="32"/>
      <x:c r="P44" s="32"/>
      <x:c r="Q44" s="32"/>
      <x:c r="R44" s="32"/>
      <x:c r="S44" s="32"/>
      <x:c r="T44" s="43" t="str">
        <x:f>IFERROR(S44/L44,"")</x:f>
      </x:c>
      <x:c r="U44" s="32"/>
      <x:c r="V44" s="32"/>
      <x:c r="W44" s="32"/>
      <x:c r="X44" s="32"/>
      <x:c r="Y44" s="32"/>
      <x:c r="Z44" s="32"/>
      <x:c r="AA44" s="32"/>
      <x:c r="AB44" s="32"/>
      <x:c r="AC44" s="32"/>
      <x:c r="AD44" s="32"/>
      <x:c r="AE44" s="32"/>
      <x:c r="AF44" s="32"/>
      <x:c r="AG44" s="32"/>
      <x:c r="AH44" s="32"/>
      <x:c r="AI44" s="32"/>
      <x:c r="AJ44" s="32"/>
      <x:c r="AK44" s="32"/>
      <x:c r="AL44" s="32"/>
      <x:c r="AM44" s="32"/>
      <x:c r="AN44" s="32"/>
      <x:c r="AO44" s="32"/>
      <x:c r="AP44" s="32"/>
      <x:c r="AQ44" s="32"/>
      <x:c r="AR44" s="32"/>
      <x:c r="AS44" s="32"/>
      <x:c r="AT44" s="32"/>
      <x:c r="AU44" s="32"/>
      <x:c r="AV44" s="32"/>
      <x:c r="AW44" s="32"/>
      <x:c r="AX44" s="32"/>
      <x:c r="AZ44" s="32"/>
      <x:c r="BA44" s="32"/>
      <x:c r="BB44" s="32"/>
      <x:c r="BC44" s="32"/>
      <x:c r="BD44" s="32"/>
      <x:c r="BE44" s="32"/>
      <x:c r="BF44" s="32"/>
      <x:c r="BG44" s="32"/>
      <x:c r="BH44" s="32"/>
      <x:c r="BI44" s="32"/>
      <x:c r="BJ44" s="32"/>
      <x:c r="BK44" s="32"/>
      <x:c r="BL44" s="32"/>
      <x:c r="BM44" s="32"/>
    </x:row>
    <x:row r="45">
      <x:c r="A45" s="32"/>
      <x:c r="B45" s="32"/>
      <x:c r="C45" s="42"/>
      <x:c r="D45" s="32"/>
      <x:c r="E45" s="32"/>
      <x:c r="F45" s="32"/>
      <x:c r="G45" s="32"/>
      <x:c r="H45" s="32"/>
      <x:c r="I45" s="32"/>
      <x:c r="J45" s="32"/>
      <x:c r="K45" s="32"/>
      <x:c r="L45" s="32"/>
      <x:c r="M45" s="32"/>
      <x:c r="N45" s="32"/>
      <x:c r="O45" s="32"/>
      <x:c r="P45" s="32"/>
      <x:c r="Q45" s="32"/>
      <x:c r="R45" s="32"/>
      <x:c r="S45" s="32"/>
      <x:c r="T45" s="43" t="str">
        <x:f>IFERROR(S45/L45,"")</x:f>
      </x:c>
      <x:c r="U45" s="32"/>
      <x:c r="V45" s="32"/>
      <x:c r="W45" s="32"/>
      <x:c r="X45" s="32"/>
      <x:c r="Y45" s="32"/>
      <x:c r="Z45" s="32"/>
      <x:c r="AA45" s="32"/>
      <x:c r="AB45" s="32"/>
      <x:c r="AC45" s="32"/>
      <x:c r="AD45" s="32"/>
      <x:c r="AE45" s="32"/>
      <x:c r="AF45" s="32"/>
      <x:c r="AG45" s="32"/>
      <x:c r="AH45" s="32"/>
      <x:c r="AI45" s="32"/>
      <x:c r="AJ45" s="32"/>
      <x:c r="AK45" s="32"/>
      <x:c r="AL45" s="32"/>
      <x:c r="AM45" s="32"/>
      <x:c r="AN45" s="32"/>
      <x:c r="AO45" s="32"/>
      <x:c r="AP45" s="32"/>
      <x:c r="AQ45" s="32"/>
      <x:c r="AR45" s="32"/>
      <x:c r="AS45" s="32"/>
      <x:c r="AT45" s="32"/>
      <x:c r="AU45" s="32"/>
      <x:c r="AV45" s="32"/>
      <x:c r="AW45" s="32"/>
      <x:c r="AX45" s="32"/>
      <x:c r="AZ45" s="32"/>
      <x:c r="BA45" s="32"/>
      <x:c r="BB45" s="32"/>
      <x:c r="BC45" s="32"/>
      <x:c r="BD45" s="32"/>
      <x:c r="BE45" s="32"/>
      <x:c r="BF45" s="32"/>
      <x:c r="BG45" s="32"/>
      <x:c r="BH45" s="32"/>
      <x:c r="BI45" s="32"/>
      <x:c r="BJ45" s="32"/>
      <x:c r="BK45" s="32"/>
      <x:c r="BL45" s="32"/>
      <x:c r="BM45" s="32"/>
    </x:row>
    <x:row r="46">
      <x:c r="A46" s="32"/>
      <x:c r="B46" s="32"/>
      <x:c r="C46" s="42"/>
      <x:c r="D46" s="32"/>
      <x:c r="E46" s="32"/>
      <x:c r="F46" s="32"/>
      <x:c r="G46" s="32"/>
      <x:c r="H46" s="32"/>
      <x:c r="I46" s="32"/>
      <x:c r="J46" s="32"/>
      <x:c r="K46" s="32"/>
      <x:c r="L46" s="32"/>
      <x:c r="M46" s="32"/>
      <x:c r="N46" s="32"/>
      <x:c r="O46" s="32"/>
      <x:c r="P46" s="32"/>
      <x:c r="Q46" s="32"/>
      <x:c r="R46" s="32"/>
      <x:c r="S46" s="32"/>
      <x:c r="T46" s="43" t="str">
        <x:f>IFERROR(S46/L46,"")</x:f>
      </x:c>
      <x:c r="U46" s="32"/>
      <x:c r="V46" s="32"/>
      <x:c r="W46" s="32"/>
      <x:c r="X46" s="32"/>
      <x:c r="Y46" s="32"/>
      <x:c r="Z46" s="32"/>
      <x:c r="AA46" s="32"/>
      <x:c r="AB46" s="32"/>
      <x:c r="AC46" s="32"/>
      <x:c r="AD46" s="32"/>
      <x:c r="AE46" s="32"/>
      <x:c r="AF46" s="32"/>
      <x:c r="AG46" s="32"/>
      <x:c r="AH46" s="32"/>
      <x:c r="AI46" s="32"/>
      <x:c r="AJ46" s="32"/>
      <x:c r="AK46" s="32"/>
      <x:c r="AL46" s="32"/>
      <x:c r="AM46" s="32"/>
      <x:c r="AN46" s="32"/>
      <x:c r="AO46" s="32"/>
      <x:c r="AP46" s="32"/>
      <x:c r="AQ46" s="32"/>
      <x:c r="AR46" s="32"/>
      <x:c r="AS46" s="32"/>
      <x:c r="AT46" s="32"/>
      <x:c r="AU46" s="32"/>
      <x:c r="AV46" s="32"/>
      <x:c r="AW46" s="32"/>
      <x:c r="AX46" s="32"/>
      <x:c r="AZ46" s="32"/>
      <x:c r="BA46" s="32"/>
      <x:c r="BB46" s="32"/>
      <x:c r="BC46" s="32"/>
      <x:c r="BD46" s="32"/>
      <x:c r="BE46" s="32"/>
      <x:c r="BF46" s="32"/>
      <x:c r="BG46" s="32"/>
      <x:c r="BH46" s="32"/>
      <x:c r="BI46" s="32"/>
      <x:c r="BJ46" s="32"/>
      <x:c r="BK46" s="32"/>
      <x:c r="BL46" s="32"/>
      <x:c r="BM46" s="32"/>
    </x:row>
    <x:row r="47">
      <x:c r="A47" s="32"/>
      <x:c r="B47" s="32"/>
      <x:c r="C47" s="42"/>
      <x:c r="D47" s="32"/>
      <x:c r="E47" s="32"/>
      <x:c r="F47" s="32"/>
      <x:c r="G47" s="32"/>
      <x:c r="H47" s="32"/>
      <x:c r="I47" s="32"/>
      <x:c r="J47" s="32"/>
      <x:c r="K47" s="32"/>
      <x:c r="L47" s="32"/>
      <x:c r="M47" s="32"/>
      <x:c r="N47" s="32"/>
      <x:c r="O47" s="32"/>
      <x:c r="P47" s="32"/>
      <x:c r="Q47" s="32"/>
      <x:c r="R47" s="32"/>
      <x:c r="S47" s="32"/>
      <x:c r="T47" s="43" t="str">
        <x:f>IFERROR(S47/L47,"")</x:f>
      </x:c>
      <x:c r="U47" s="32"/>
      <x:c r="V47" s="32"/>
      <x:c r="W47" s="32"/>
      <x:c r="X47" s="32"/>
      <x:c r="Y47" s="32"/>
      <x:c r="Z47" s="32"/>
      <x:c r="AA47" s="32"/>
      <x:c r="AB47" s="32"/>
      <x:c r="AC47" s="32"/>
      <x:c r="AD47" s="32"/>
      <x:c r="AE47" s="32"/>
      <x:c r="AF47" s="32"/>
      <x:c r="AG47" s="32"/>
      <x:c r="AH47" s="32"/>
      <x:c r="AI47" s="32"/>
      <x:c r="AJ47" s="32"/>
      <x:c r="AK47" s="32"/>
      <x:c r="AL47" s="32"/>
      <x:c r="AM47" s="32"/>
      <x:c r="AN47" s="32"/>
      <x:c r="AO47" s="32"/>
      <x:c r="AP47" s="32"/>
      <x:c r="AQ47" s="32"/>
      <x:c r="AR47" s="32"/>
      <x:c r="AS47" s="32"/>
      <x:c r="AT47" s="32"/>
      <x:c r="AU47" s="32"/>
      <x:c r="AV47" s="32"/>
      <x:c r="AW47" s="32"/>
      <x:c r="AX47" s="32"/>
      <x:c r="AZ47" s="32"/>
      <x:c r="BA47" s="32"/>
      <x:c r="BB47" s="32"/>
      <x:c r="BC47" s="32"/>
      <x:c r="BD47" s="32"/>
      <x:c r="BE47" s="32"/>
      <x:c r="BF47" s="32"/>
      <x:c r="BG47" s="32"/>
      <x:c r="BH47" s="32"/>
      <x:c r="BI47" s="32"/>
      <x:c r="BJ47" s="32"/>
      <x:c r="BK47" s="32"/>
      <x:c r="BL47" s="32"/>
      <x:c r="BM47" s="32"/>
    </x:row>
    <x:row r="48">
      <x:c r="A48" s="32"/>
      <x:c r="B48" s="32"/>
      <x:c r="C48" s="42"/>
      <x:c r="D48" s="32"/>
      <x:c r="E48" s="32"/>
      <x:c r="F48" s="32"/>
      <x:c r="G48" s="32"/>
      <x:c r="H48" s="32"/>
      <x:c r="I48" s="32"/>
      <x:c r="J48" s="32"/>
      <x:c r="K48" s="32"/>
      <x:c r="L48" s="32"/>
      <x:c r="M48" s="32"/>
      <x:c r="N48" s="32"/>
      <x:c r="O48" s="32"/>
      <x:c r="P48" s="32"/>
      <x:c r="Q48" s="32"/>
      <x:c r="R48" s="32"/>
      <x:c r="S48" s="32"/>
      <x:c r="T48" s="43" t="str">
        <x:f>IFERROR(S48/L48,"")</x:f>
      </x:c>
      <x:c r="U48" s="32"/>
      <x:c r="V48" s="32"/>
      <x:c r="W48" s="32"/>
      <x:c r="X48" s="32"/>
      <x:c r="Y48" s="32"/>
      <x:c r="Z48" s="32"/>
      <x:c r="AA48" s="32"/>
      <x:c r="AB48" s="32"/>
      <x:c r="AC48" s="32"/>
      <x:c r="AD48" s="32"/>
      <x:c r="AE48" s="32"/>
      <x:c r="AF48" s="32"/>
      <x:c r="AG48" s="32"/>
      <x:c r="AH48" s="32"/>
      <x:c r="AI48" s="32"/>
      <x:c r="AJ48" s="32"/>
      <x:c r="AK48" s="32"/>
      <x:c r="AL48" s="32"/>
      <x:c r="AM48" s="32"/>
      <x:c r="AN48" s="32"/>
      <x:c r="AO48" s="32"/>
      <x:c r="AP48" s="32"/>
      <x:c r="AQ48" s="32"/>
      <x:c r="AR48" s="32"/>
      <x:c r="AS48" s="32"/>
      <x:c r="AT48" s="32"/>
      <x:c r="AU48" s="32"/>
      <x:c r="AV48" s="32"/>
      <x:c r="AW48" s="32"/>
      <x:c r="AX48" s="32"/>
      <x:c r="AZ48" s="32"/>
      <x:c r="BA48" s="32"/>
      <x:c r="BB48" s="32"/>
      <x:c r="BC48" s="32"/>
      <x:c r="BD48" s="32"/>
      <x:c r="BE48" s="32"/>
      <x:c r="BF48" s="32"/>
      <x:c r="BG48" s="32"/>
      <x:c r="BH48" s="32"/>
      <x:c r="BI48" s="32"/>
      <x:c r="BJ48" s="32"/>
      <x:c r="BK48" s="32"/>
      <x:c r="BL48" s="32"/>
      <x:c r="BM48" s="32"/>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x:c r="B75" s="32"/>
      <x:c r="C75" s="32"/>
      <x:c r="D75" s="32"/>
      <x:c r="E75" s="32"/>
      <x:c r="F75" s="32"/>
      <x:c r="G75" s="32"/>
      <x:c r="H75" s="32"/>
      <x:c r="I75" s="32"/>
      <x:c r="J75" s="32"/>
      <x:c r="K75" s="32"/>
      <x:c r="L75" s="32"/>
    </x:row>
    <x:row r="76">
      <x:c r="A76" s="32"/>
      <x:c r="B76" s="32"/>
      <x:c r="C76" s="32"/>
      <x:c r="D76" s="32"/>
      <x:c r="E76" s="32"/>
      <x:c r="F76" s="32"/>
      <x:c r="G76" s="32"/>
      <x:c r="H76" s="32"/>
      <x:c r="I76" s="32"/>
      <x:c r="J76" s="32"/>
      <x:c r="K76" s="32"/>
      <x:c r="L76" s="32"/>
    </x:row>
    <x:row r="77">
      <x:c r="A77" s="32"/>
      <x:c r="B77" s="32"/>
      <x:c r="C77" s="32"/>
      <x:c r="D77" s="32"/>
      <x:c r="E77" s="32"/>
      <x:c r="F77" s="32"/>
      <x:c r="G77" s="32"/>
      <x:c r="H77" s="32"/>
      <x:c r="I77" s="32"/>
      <x:c r="J77" s="32"/>
      <x:c r="K77" s="32"/>
      <x:c r="L77" s="32"/>
    </x:row>
    <x:row r="78">
      <x:c r="A78" s="32"/>
      <x:c r="B78" s="32"/>
      <x:c r="C78" s="32"/>
      <x:c r="D78" s="32"/>
      <x:c r="E78" s="32"/>
      <x:c r="F78" s="32"/>
      <x:c r="G78" s="32"/>
      <x:c r="H78" s="32"/>
      <x:c r="I78" s="32"/>
      <x:c r="J78" s="32"/>
      <x:c r="K78" s="32"/>
      <x:c r="L78" s="32"/>
    </x:row>
    <x:row r="79">
      <x:c r="A79" s="32"/>
      <x:c r="B79" s="32"/>
      <x:c r="C79" s="32"/>
      <x:c r="D79" s="32"/>
      <x:c r="E79" s="32"/>
      <x:c r="F79" s="32"/>
      <x:c r="G79" s="32"/>
      <x:c r="H79" s="32"/>
      <x:c r="I79" s="32"/>
      <x:c r="J79" s="32"/>
      <x:c r="K79" s="32"/>
      <x:c r="L79" s="32"/>
    </x:row>
    <x:row r="80">
      <x:c r="A80" s="32"/>
      <x:c r="B80" s="32"/>
      <x:c r="C80" s="32"/>
      <x:c r="D80" s="32"/>
      <x:c r="E80" s="32"/>
      <x:c r="F80" s="32"/>
      <x:c r="G80" s="32"/>
      <x:c r="H80" s="32"/>
      <x:c r="I80" s="32"/>
      <x:c r="J80" s="32"/>
      <x:c r="K80" s="32"/>
      <x:c r="L80" s="32"/>
    </x:row>
    <x:row r="81">
      <x:c r="A81" s="32"/>
      <x:c r="B81" s="32"/>
      <x:c r="C81" s="32"/>
      <x:c r="D81" s="32"/>
      <x:c r="E81" s="32"/>
      <x:c r="F81" s="32"/>
      <x:c r="G81" s="32"/>
      <x:c r="H81" s="32"/>
      <x:c r="I81" s="32"/>
      <x:c r="J81" s="32"/>
      <x:c r="K81" s="32"/>
      <x:c r="L81" s="32"/>
    </x:row>
    <x:row r="82">
      <x:c r="A82" s="32"/>
      <x:c r="B82" s="32"/>
      <x:c r="C82" s="32"/>
      <x:c r="D82" s="32"/>
      <x:c r="E82" s="32"/>
      <x:c r="F82" s="32"/>
      <x:c r="G82" s="32"/>
      <x:c r="H82" s="32"/>
      <x:c r="I82" s="32"/>
      <x:c r="J82" s="32"/>
      <x:c r="K82" s="32"/>
      <x:c r="L82" s="32"/>
    </x:row>
    <x:row r="83">
      <x:c r="A83" s="32"/>
      <x:c r="B83" s="32"/>
      <x:c r="C83" s="32"/>
      <x:c r="D83" s="32"/>
      <x:c r="E83" s="32"/>
      <x:c r="F83" s="32"/>
      <x:c r="G83" s="32"/>
      <x:c r="H83" s="32"/>
      <x:c r="I83" s="32"/>
      <x:c r="J83" s="32"/>
      <x:c r="K83" s="32"/>
      <x:c r="L83" s="32"/>
    </x:row>
    <x:row r="84">
      <x:c r="A84" s="32"/>
      <x:c r="B84" s="32"/>
      <x:c r="C84" s="32"/>
      <x:c r="D84" s="32"/>
      <x:c r="E84" s="32"/>
      <x:c r="F84" s="32"/>
      <x:c r="G84" s="32"/>
      <x:c r="H84" s="32"/>
      <x:c r="I84" s="32"/>
      <x:c r="J84" s="32"/>
      <x:c r="K84" s="32"/>
      <x:c r="L84" s="32"/>
    </x:row>
    <x:row r="85">
      <x:c r="A85" s="32"/>
      <x:c r="B85" s="32"/>
      <x:c r="C85" s="32"/>
      <x:c r="D85" s="32"/>
      <x:c r="E85" s="32"/>
      <x:c r="F85" s="32"/>
      <x:c r="G85" s="32"/>
      <x:c r="H85" s="32"/>
      <x:c r="I85" s="32"/>
      <x:c r="J85" s="32"/>
      <x:c r="K85" s="32"/>
      <x:c r="L85" s="32"/>
    </x:row>
    <x:row r="86">
      <x:c r="A86" s="32"/>
      <x:c r="B86" s="32"/>
      <x:c r="C86" s="32"/>
      <x:c r="D86" s="32"/>
      <x:c r="E86" s="32"/>
      <x:c r="F86" s="32"/>
      <x:c r="G86" s="32"/>
      <x:c r="H86" s="32"/>
      <x:c r="I86" s="32"/>
      <x:c r="J86" s="32"/>
      <x:c r="K86" s="32"/>
      <x:c r="L86" s="32"/>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x:c r="B44" s="32"/>
      <x:c r="C44" s="32"/>
      <x:c r="D44" s="32"/>
      <x:c r="E44" s="32"/>
      <x:c r="F44" s="32"/>
      <x:c r="G44" s="32"/>
      <x:c r="H44" s="32"/>
      <x:c r="I44" s="32"/>
    </x:row>
    <x:row r="45">
      <x:c r="A45" s="32"/>
      <x:c r="B45" s="32"/>
      <x:c r="C45" s="32"/>
      <x:c r="D45" s="32"/>
      <x:c r="E45" s="32"/>
      <x:c r="F45" s="32"/>
      <x:c r="G45" s="32"/>
      <x:c r="H45" s="32"/>
      <x:c r="I45" s="32"/>
    </x:row>
    <x:row r="46">
      <x:c r="A46" s="32"/>
      <x:c r="B46" s="32"/>
      <x:c r="C46" s="32"/>
      <x:c r="D46" s="32"/>
      <x:c r="E46" s="32"/>
      <x:c r="F46" s="32"/>
      <x:c r="G46" s="32"/>
      <x:c r="H46" s="32"/>
      <x:c r="I46" s="32"/>
    </x:row>
    <x:row r="47">
      <x:c r="A47" s="32"/>
      <x:c r="B47" s="32"/>
      <x:c r="C47" s="32"/>
      <x:c r="D47" s="32"/>
      <x:c r="E47" s="32"/>
      <x:c r="F47" s="32"/>
      <x:c r="G47" s="32"/>
      <x:c r="H47" s="32"/>
      <x:c r="I47" s="32"/>
    </x:row>
    <x:row r="48">
      <x:c r="A48" s="32"/>
      <x:c r="B48" s="32"/>
      <x:c r="C48" s="32"/>
      <x:c r="D48" s="32"/>
      <x:c r="E48" s="32"/>
      <x:c r="F48" s="32"/>
      <x:c r="G48" s="32"/>
      <x:c r="H48" s="32"/>
      <x:c r="I48" s="32"/>
    </x:row>
    <x:row r="49">
      <x:c r="A49" s="32"/>
      <x:c r="B49" s="32"/>
      <x:c r="C49" s="32"/>
      <x:c r="D49" s="32"/>
      <x:c r="E49" s="32"/>
      <x:c r="F49" s="32"/>
      <x:c r="G49" s="32"/>
      <x:c r="H49" s="32"/>
      <x:c r="I49" s="32"/>
    </x:row>
    <x:row r="50">
      <x:c r="A50" s="32"/>
      <x:c r="B50" s="32"/>
      <x:c r="C50" s="32"/>
      <x:c r="D50" s="32"/>
      <x:c r="E50" s="32"/>
      <x:c r="F50" s="32"/>
      <x:c r="G50" s="32"/>
      <x:c r="H50" s="32"/>
      <x:c r="I50" s="32"/>
    </x:row>
    <x:row r="51">
      <x:c r="A51" s="32"/>
      <x:c r="B51" s="32"/>
      <x:c r="C51" s="32"/>
      <x:c r="D51" s="32"/>
      <x:c r="E51" s="32"/>
      <x:c r="F51" s="32"/>
      <x:c r="G51" s="32"/>
      <x:c r="H51" s="32"/>
      <x:c r="I51" s="32"/>
    </x:row>
    <x:row r="52">
      <x:c r="A52" s="32"/>
      <x:c r="B52" s="32"/>
      <x:c r="C52" s="32"/>
      <x:c r="D52" s="32"/>
      <x:c r="E52" s="32"/>
      <x:c r="F52" s="32"/>
      <x:c r="G52" s="32"/>
      <x:c r="H52" s="32"/>
      <x:c r="I52" s="32"/>
    </x:row>
    <x:row r="53">
      <x:c r="A53" s="32"/>
      <x:c r="B53" s="32"/>
      <x:c r="C53" s="32"/>
      <x:c r="D53" s="32"/>
      <x:c r="E53" s="32"/>
      <x:c r="F53" s="32"/>
      <x:c r="G53" s="32"/>
      <x:c r="H53" s="32"/>
      <x:c r="I53" s="32"/>
    </x:row>
    <x:row r="54">
      <x:c r="A54" s="32"/>
      <x:c r="B54" s="32"/>
      <x:c r="C54" s="32"/>
      <x:c r="D54" s="32"/>
      <x:c r="E54" s="32"/>
      <x:c r="F54" s="32"/>
      <x:c r="G54" s="32"/>
      <x:c r="H54" s="32"/>
      <x:c r="I54" s="32"/>
    </x:row>
    <x:row r="55">
      <x:c r="A55" s="32"/>
      <x:c r="B55" s="32"/>
      <x:c r="C55" s="32"/>
      <x:c r="D55" s="32"/>
      <x:c r="E55" s="32"/>
      <x:c r="F55" s="32"/>
      <x:c r="G55" s="32"/>
      <x:c r="H55" s="32"/>
      <x:c r="I55" s="32"/>
    </x:row>
    <x:row r="56">
      <x:c r="A56" s="32"/>
      <x:c r="B56" s="32"/>
      <x:c r="C56" s="32"/>
      <x:c r="D56" s="32"/>
      <x:c r="E56" s="32"/>
      <x:c r="F56" s="32"/>
      <x:c r="G56" s="32"/>
      <x:c r="H56" s="32"/>
      <x:c r="I56" s="32"/>
    </x:row>
    <x:row r="57">
      <x:c r="A57" s="32"/>
      <x:c r="B57" s="32"/>
      <x:c r="C57" s="32"/>
      <x:c r="D57" s="32"/>
      <x:c r="E57" s="32"/>
      <x:c r="F57" s="32"/>
      <x:c r="G57" s="32"/>
      <x:c r="H57" s="32"/>
      <x:c r="I57" s="32"/>
    </x:row>
    <x:row r="58">
      <x:c r="A58" s="32"/>
      <x:c r="B58" s="32"/>
      <x:c r="C58" s="32"/>
      <x:c r="D58" s="32"/>
      <x:c r="E58" s="32"/>
      <x:c r="F58" s="32"/>
      <x:c r="G58" s="32"/>
      <x:c r="H58" s="32"/>
      <x:c r="I58" s="32"/>
    </x:row>
    <x:row r="59">
      <x:c r="A59" s="32"/>
      <x:c r="B59" s="32"/>
      <x:c r="C59" s="32"/>
      <x:c r="D59" s="32"/>
      <x:c r="E59" s="32"/>
      <x:c r="F59" s="32"/>
      <x:c r="G59" s="32"/>
      <x:c r="H59" s="32"/>
      <x:c r="I59" s="32"/>
    </x:row>
    <x:row r="60">
      <x:c r="A60" s="32"/>
      <x:c r="B60" s="32"/>
      <x:c r="C60" s="32"/>
      <x:c r="D60" s="32"/>
      <x:c r="E60" s="32"/>
      <x:c r="F60" s="32"/>
      <x:c r="G60" s="32"/>
      <x:c r="H60" s="32"/>
      <x:c r="I60" s="32"/>
    </x:row>
    <x:row r="61">
      <x:c r="A61" s="32"/>
      <x:c r="B61" s="32"/>
      <x:c r="C61" s="32"/>
      <x:c r="D61" s="32"/>
      <x:c r="E61" s="32"/>
      <x:c r="F61" s="32"/>
      <x:c r="G61" s="32"/>
      <x:c r="H61" s="32"/>
      <x:c r="I61" s="32"/>
    </x:row>
    <x:row r="62">
      <x:c r="A62" s="32"/>
      <x:c r="B62" s="32"/>
      <x:c r="C62" s="32"/>
      <x:c r="D62" s="32"/>
      <x:c r="E62" s="32"/>
      <x:c r="F62" s="32"/>
      <x:c r="G62" s="32"/>
      <x:c r="H62" s="32"/>
      <x:c r="I62" s="32"/>
    </x:row>
    <x:row r="63">
      <x:c r="A63" s="32"/>
      <x:c r="B63" s="32"/>
      <x:c r="C63" s="32"/>
      <x:c r="D63" s="32"/>
      <x:c r="E63" s="32"/>
      <x:c r="F63" s="32"/>
      <x:c r="G63" s="32"/>
      <x:c r="H63" s="32"/>
      <x:c r="I63" s="32"/>
    </x:row>
    <x:row r="64">
      <x:c r="A64" s="32"/>
      <x:c r="B64" s="32"/>
      <x:c r="C64" s="32"/>
      <x:c r="D64" s="32"/>
      <x:c r="E64" s="32"/>
      <x:c r="F64" s="32"/>
      <x:c r="G64" s="32"/>
      <x:c r="H64" s="32"/>
      <x:c r="I64" s="32"/>
    </x:row>
    <x:row r="65">
      <x:c r="A65" s="32"/>
      <x:c r="B65" s="32"/>
      <x:c r="C65" s="32"/>
      <x:c r="D65" s="32"/>
      <x:c r="E65" s="32"/>
      <x:c r="F65" s="32"/>
      <x:c r="G65" s="32"/>
      <x:c r="H65" s="32"/>
      <x:c r="I65" s="32"/>
    </x:row>
    <x:row r="66">
      <x:c r="A66" s="32"/>
      <x:c r="B66" s="32"/>
      <x:c r="C66" s="32"/>
      <x:c r="D66" s="32"/>
      <x:c r="E66" s="32"/>
      <x:c r="F66" s="32"/>
      <x:c r="G66" s="32"/>
      <x:c r="H66" s="32"/>
      <x:c r="I66" s="32"/>
    </x:row>
    <x:row r="67">
      <x:c r="A67" s="32"/>
      <x:c r="B67" s="32"/>
      <x:c r="C67" s="32"/>
      <x:c r="D67" s="32"/>
      <x:c r="E67" s="32"/>
      <x:c r="F67" s="32"/>
      <x:c r="G67" s="32"/>
      <x:c r="H67" s="32"/>
      <x:c r="I67" s="32"/>
    </x:row>
    <x:row r="68">
      <x:c r="A68" s="32"/>
      <x:c r="B68" s="32"/>
      <x:c r="C68" s="32"/>
      <x:c r="D68" s="32"/>
      <x:c r="E68" s="32"/>
      <x:c r="F68" s="32"/>
      <x:c r="G68" s="32"/>
      <x:c r="H68" s="32"/>
      <x:c r="I68" s="32"/>
    </x:row>
    <x:row r="69">
      <x:c r="A69" s="32"/>
      <x:c r="B69" s="32"/>
      <x:c r="C69" s="32"/>
      <x:c r="D69" s="32"/>
      <x:c r="E69" s="32"/>
      <x:c r="F69" s="32"/>
      <x:c r="G69" s="32"/>
      <x:c r="H69" s="32"/>
      <x:c r="I69" s="32"/>
    </x:row>
    <x:row r="70">
      <x:c r="A70" s="32"/>
      <x:c r="B70" s="32"/>
      <x:c r="C70" s="32"/>
      <x:c r="D70" s="32"/>
      <x:c r="E70" s="32"/>
      <x:c r="F70" s="32"/>
      <x:c r="G70" s="32"/>
      <x:c r="H70" s="32"/>
      <x:c r="I70" s="32"/>
    </x:row>
    <x:row r="71">
      <x:c r="A71" s="32"/>
      <x:c r="B71" s="32"/>
      <x:c r="C71" s="32"/>
      <x:c r="D71" s="32"/>
      <x:c r="E71" s="32"/>
      <x:c r="F71" s="32"/>
      <x:c r="G71" s="32"/>
      <x:c r="H71" s="32"/>
      <x:c r="I71" s="32"/>
    </x:row>
    <x:row r="72">
      <x:c r="A72" s="32"/>
      <x:c r="B72" s="32"/>
      <x:c r="C72" s="32"/>
      <x:c r="D72" s="32"/>
      <x:c r="E72" s="32"/>
      <x:c r="F72" s="32"/>
      <x:c r="G72" s="32"/>
      <x:c r="H72" s="32"/>
      <x:c r="I72" s="32"/>
    </x:row>
    <x:row r="73">
      <x:c r="A73" s="32"/>
      <x:c r="B73" s="32"/>
      <x:c r="C73" s="32"/>
      <x:c r="D73" s="32"/>
      <x:c r="E73" s="32"/>
      <x:c r="F73" s="32"/>
      <x:c r="G73" s="32"/>
      <x:c r="H73" s="32"/>
      <x:c r="I73" s="32"/>
    </x:row>
    <x:row r="74">
      <x:c r="A74" s="32"/>
      <x:c r="B74" s="32"/>
      <x:c r="C74" s="32"/>
      <x:c r="D74" s="32"/>
      <x:c r="E74" s="32"/>
      <x:c r="F74" s="32"/>
      <x:c r="G74" s="32"/>
      <x:c r="H74" s="32"/>
      <x:c r="I74" s="32"/>
    </x:row>
    <x:row r="75">
      <x:c r="A75" s="32"/>
      <x:c r="B75" s="32"/>
      <x:c r="C75" s="32"/>
      <x:c r="D75" s="32"/>
      <x:c r="E75" s="32"/>
      <x:c r="F75" s="32"/>
      <x:c r="G75" s="32"/>
      <x:c r="H75" s="32"/>
      <x:c r="I75" s="32"/>
    </x:row>
    <x:row r="76">
      <x:c r="A76" s="32"/>
      <x:c r="B76" s="32"/>
      <x:c r="C76" s="32"/>
      <x:c r="D76" s="32"/>
      <x:c r="E76" s="32"/>
      <x:c r="F76" s="32"/>
      <x:c r="G76" s="32"/>
      <x:c r="H76" s="32"/>
      <x:c r="I76" s="32"/>
    </x:row>
    <x:row r="77">
      <x:c r="A77" s="32"/>
      <x:c r="B77" s="32"/>
      <x:c r="C77" s="32"/>
      <x:c r="D77" s="32"/>
      <x:c r="E77" s="32"/>
      <x:c r="F77" s="32"/>
      <x:c r="G77" s="32"/>
      <x:c r="H77" s="32"/>
      <x:c r="I77" s="32"/>
    </x:row>
    <x:row r="78">
      <x:c r="A78" s="32"/>
      <x:c r="B78" s="32"/>
      <x:c r="C78" s="32"/>
      <x:c r="D78" s="32"/>
      <x:c r="E78" s="32"/>
      <x:c r="F78" s="32"/>
      <x:c r="G78" s="32"/>
      <x:c r="H78" s="32"/>
      <x:c r="I78" s="32"/>
    </x:row>
    <x:row r="79">
      <x:c r="A79" s="32"/>
      <x:c r="B79" s="32"/>
      <x:c r="C79" s="32"/>
      <x:c r="D79" s="32"/>
      <x:c r="E79" s="32"/>
      <x:c r="F79" s="32"/>
      <x:c r="G79" s="32"/>
      <x:c r="H79" s="32"/>
      <x:c r="I79" s="32"/>
    </x:row>
    <x:row r="80">
      <x:c r="A80" s="32"/>
      <x:c r="B80" s="32"/>
      <x:c r="C80" s="32"/>
      <x:c r="D80" s="32"/>
      <x:c r="E80" s="32"/>
      <x:c r="F80" s="32"/>
      <x:c r="G80" s="32"/>
      <x:c r="H80" s="32"/>
      <x:c r="I80" s="32"/>
    </x:row>
    <x:row r="81">
      <x:c r="A81" s="32"/>
      <x:c r="B81" s="32"/>
      <x:c r="C81" s="32"/>
      <x:c r="D81" s="32"/>
      <x:c r="E81" s="32"/>
      <x:c r="F81" s="32"/>
      <x:c r="G81" s="32"/>
      <x:c r="H81" s="32"/>
      <x:c r="I81" s="32"/>
    </x:row>
    <x:row r="82">
      <x:c r="A82" s="32"/>
      <x:c r="B82" s="32"/>
      <x:c r="C82" s="32"/>
      <x:c r="D82" s="32"/>
      <x:c r="E82" s="32"/>
      <x:c r="F82" s="32"/>
      <x:c r="G82" s="32"/>
      <x:c r="H82" s="32"/>
      <x:c r="I82" s="32"/>
    </x:row>
    <x:row r="83">
      <x:c r="A83" s="32"/>
      <x:c r="B83" s="32"/>
      <x:c r="C83" s="32"/>
      <x:c r="D83" s="32"/>
      <x:c r="E83" s="32"/>
      <x:c r="F83" s="32"/>
      <x:c r="G83" s="32"/>
      <x:c r="H83" s="32"/>
      <x:c r="I83" s="32"/>
    </x:row>
    <x:row r="84">
      <x:c r="A84" s="32"/>
      <x:c r="B84" s="32"/>
      <x:c r="C84" s="32"/>
      <x:c r="D84" s="32"/>
      <x:c r="E84" s="32"/>
      <x:c r="F84" s="32"/>
      <x:c r="G84" s="32"/>
      <x:c r="H84" s="32"/>
      <x:c r="I84" s="32"/>
    </x:row>
    <x:row r="85">
      <x:c r="A85" s="32"/>
      <x:c r="B85" s="32"/>
      <x:c r="C85" s="32"/>
      <x:c r="D85" s="32"/>
      <x:c r="E85" s="32"/>
      <x:c r="F85" s="32"/>
      <x:c r="G85" s="32"/>
      <x:c r="H85" s="32"/>
      <x:c r="I85" s="32"/>
    </x:row>
    <x:row r="86">
      <x:c r="A86" s="32"/>
      <x:c r="B86" s="32"/>
      <x:c r="C86" s="32"/>
      <x:c r="D86" s="32"/>
      <x:c r="E86" s="32"/>
      <x:c r="F86" s="32"/>
      <x:c r="G86" s="32"/>
      <x:c r="H86" s="32"/>
      <x:c r="I86" s="32"/>
    </x:row>
    <x:row r="87">
      <x:c r="A87" s="32"/>
      <x:c r="B87" s="32"/>
      <x:c r="C87" s="32"/>
      <x:c r="D87" s="32"/>
      <x:c r="E87" s="32"/>
      <x:c r="F87" s="32"/>
      <x:c r="G87" s="32"/>
      <x:c r="H87" s="32"/>
      <x:c r="I87" s="32"/>
    </x:row>
    <x:row r="88">
      <x:c r="A88" s="32"/>
      <x:c r="B88" s="32"/>
      <x:c r="C88" s="32"/>
      <x:c r="D88" s="32"/>
      <x:c r="E88" s="32"/>
      <x:c r="F88" s="32"/>
      <x:c r="G88" s="32"/>
      <x:c r="H88" s="32"/>
      <x:c r="I88" s="32"/>
    </x:row>
    <x:row r="89">
      <x:c r="A89" s="32"/>
      <x:c r="B89" s="32"/>
      <x:c r="C89" s="32"/>
      <x:c r="D89" s="32"/>
      <x:c r="E89" s="32"/>
      <x:c r="F89" s="32"/>
      <x:c r="G89" s="32"/>
      <x:c r="H89" s="32"/>
      <x:c r="I89" s="32"/>
    </x:row>
    <x:row r="90">
      <x:c r="A90" s="32"/>
      <x:c r="B90" s="32"/>
      <x:c r="C90" s="32"/>
      <x:c r="D90" s="32"/>
      <x:c r="E90" s="32"/>
      <x:c r="F90" s="32"/>
      <x:c r="G90" s="32"/>
      <x:c r="H90" s="32"/>
      <x:c r="I90" s="32"/>
    </x:row>
    <x:row r="91">
      <x:c r="A91" s="32"/>
      <x:c r="B91" s="32"/>
      <x:c r="C91" s="32"/>
      <x:c r="D91" s="32"/>
      <x:c r="E91" s="32"/>
      <x:c r="F91" s="32"/>
      <x:c r="G91" s="32"/>
      <x:c r="H91" s="32"/>
      <x:c r="I91" s="32"/>
    </x:row>
    <x:row r="92">
      <x:c r="A92" s="32"/>
      <x:c r="B92" s="32"/>
      <x:c r="C92" s="32"/>
      <x:c r="D92" s="32"/>
      <x:c r="E92" s="32"/>
      <x:c r="F92" s="32"/>
      <x:c r="G92" s="32"/>
      <x:c r="H92" s="32"/>
      <x:c r="I92" s="32"/>
    </x:row>
    <x:row r="93">
      <x:c r="A93" s="32"/>
      <x:c r="B93" s="32"/>
      <x:c r="C93" s="32"/>
      <x:c r="D93" s="32"/>
      <x:c r="E93" s="32"/>
      <x:c r="F93" s="32"/>
      <x:c r="G93" s="32"/>
      <x:c r="H93" s="32"/>
      <x:c r="I93" s="32"/>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24</x:v>
      </x:c>
      <x:c r="J5" t="str">
        <x:v>GREEN</x:v>
      </x:c>
    </x:row>
    <x:row r="6">
      <x:c r="A6" s="21" t="str">
        <x:v>Completed</x:v>
      </x:c>
      <x:c r="B6" t="n">
        <x:v>27</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0</x:v>
      </x:c>
      <x:c r="D7" s="21" t="str">
        <x:v>R3.5C</x:v>
      </x:c>
      <x:c r="E7" t="n">
        <x:f>COUNTIF('01_Test_Plan'!B5:B200,D7)</x:f>
        <x:v>11</x:v>
      </x:c>
      <x:c r="F7" t="n">
        <x:v>11</x:v>
      </x:c>
      <x:c r="H7" s="21" t="str">
        <x:v>FAIL</x:v>
      </x:c>
      <x:c r="I7" t="n">
        <x:f>COUNTIF('02_Run_Results'!AI5:AI500,"FAIL")</x:f>
        <x:v>0</x:v>
      </x:c>
      <x:c r="J7" t="str">
        <x:v>INVESTIGATE</x:v>
      </x:c>
    </x:row>
    <x:row r="8">
      <x:c r="A8" s="21" t="str">
        <x:v>Blocked</x:v>
      </x:c>
      <x:c r="B8" t="n">
        <x:f>COUNTIF('01_Test_Plan'!R5:R200,"Blocked")</x:f>
        <x:v>0</x:v>
      </x:c>
      <x:c r="D8" s="21" t="str">
        <x:v>R3.5D</x:v>
      </x:c>
      <x:c r="E8" t="n">
        <x:f>COUNTIF('01_Test_Plan'!B5:B200,D8)</x:f>
        <x:v>10</x:v>
      </x:c>
      <x:c r="F8" t="n">
        <x:f>COUNTIFS('01_Test_Plan'!B5:B200,D8,'01_Test_Plan'!R5:R200,"Completed")</x:f>
        <x:v>0</x:v>
      </x:c>
      <x:c r="H8" s="21" t="str">
        <x:v>OBSERVED</x:v>
      </x:c>
      <x:c r="I8" t="n">
        <x:f>COUNTIF('02_Run_Results'!AI5:AI500,"OBSERVED")</x:f>
        <x:v>0</x:v>
      </x:c>
      <x:c r="J8" t="str">
        <x:v>N/A</x:v>
      </x:c>
    </x:row>
    <x:row r="9">
      <x:c r="A9" s="21" t="str">
        <x:v>Completion %</x:v>
      </x:c>
      <x:c r="B9" s="38" t="n">
        <x:v>0.43548387096774194</x:v>
      </x:c>
      <x:c r="D9" s="21" t="str">
        <x:v>R3.5E</x:v>
      </x:c>
      <x:c r="E9" t="n">
        <x:f>COUNTIF('01_Test_Plan'!B5:B200,D9)</x:f>
        <x:v>12</x:v>
      </x:c>
      <x:c r="F9" t="n">
        <x:f>COUNTIFS('01_Test_Plan'!B5:B200,D9,'01_Test_Plan'!R5:R200,"Completed")</x:f>
        <x:v>0</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f>COUNTIFS('03_Findings'!F5:F500,"High",'03_Findings'!K5:K500,"Open")+COUNTIFS('03_Findings'!F5:F500,"High",'03_Findings'!K5:K500,"Investigating")+COUNTIFS('03_Findings'!F5:F500,"Critical",'03_Findings'!K5:K500,"Open")+COUNTIFS('03_Findings'!F5:F500,"Critical",'03_Findings'!K5:K500,"Investigating")</x:f>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x:c r="A43" s="108" t="str">
        <x:v>Adaptive campaign policy</x:v>
      </x:c>
      <x:c r="B43" s="108" t="str">
        <x:v>Action</x:v>
      </x:c>
      <x:c r="C43" s="108" t="str">
        <x:v>Reason</x:v>
      </x:c>
      <x:c r="D43" s="108"/>
      <x:c r="E43" s="108"/>
      <x:c r="F43" s="108"/>
      <x:c r="G43" s="108"/>
      <x:c r="H43" s="108"/>
      <x:c r="J43" t="str">
        <x:v>R3.5C</x:v>
      </x:c>
      <x:c r="K43" t="str">
        <x:v>CLOSED 11/11 / 0 open findings</x:v>
      </x:c>
    </x:row>
    <x:row r="44">
      <x:c r="A44" s="32" t="str">
        <x:v>Large margin / low information</x:v>
      </x:c>
      <x:c r="B44" s="32" t="str">
        <x:v>Skip intermediate points</x:v>
      </x:c>
      <x:c r="C44" s="32" t="str">
        <x:v>Increase information per run</x:v>
      </x:c>
      <x:c r="D44"/>
      <x:c r="E44"/>
      <x:c r="F44"/>
      <x:c r="G44"/>
      <x:c r="H44"/>
      <x:c r="J44" t="str">
        <x:v>C-008 p95</x:v>
      </x:c>
      <x:c r="K44" t="str">
        <x:v>1.603 s / 3000 REMOVED exact</x:v>
      </x:c>
    </x:row>
    <x:row r="45">
      <x:c r="A45" s="32" t="str">
        <x:v>Material degradation, still GREEN</x:v>
      </x:c>
      <x:c r="B45" s="32" t="str">
        <x:v>Change dimension</x:v>
      </x:c>
      <x:c r="C45" s="32" t="str">
        <x:v>Test skew / heterogeneity before profiling</x:v>
      </x:c>
      <x:c r="D45"/>
      <x:c r="E45"/>
      <x:c r="F45"/>
      <x:c r="G45"/>
      <x:c r="H45"/>
    </x:row>
    <x:row r="46">
      <x:c r="A46" s="32" t="str">
        <x:v>Knee / integrity failure</x:v>
      </x:c>
      <x:c r="B46" s="32" t="str">
        <x:v>Narrow search or stop</x:v>
      </x:c>
      <x:c r="C46" s="32" t="str">
        <x:v>Localize boundary before continuing</x:v>
      </x:c>
      <x:c r="D46"/>
      <x:c r="E46"/>
      <x:c r="F46"/>
      <x:c r="G46"/>
      <x:c r="H46"/>
      <x:c r="J46" s="116" t="str">
        <x:v>B-008 gate closure</x:v>
      </x:c>
      <x:c r="K46" s="116" t="str">
        <x:v>Value</x:v>
      </x:c>
    </x:row>
    <x:row r="47">
      <x:c r="J47" t="str">
        <x:v>Raw B-008 result</x:v>
      </x:c>
      <x:c r="K47" t="str">
        <x:v>FAIL (audited)</x:v>
      </x:c>
    </x:row>
    <x:row r="48">
      <x:c r="J48" t="str">
        <x:v>Campaign adjudication</x:v>
      </x:c>
      <x:c r="K48" t="str">
        <x:v>PASS-WITH-FINDINGS</x:v>
      </x:c>
    </x:row>
    <x:row r="49">
      <x:c r="J49" t="str">
        <x:v>Gate smoke result</x:v>
      </x:c>
      <x:c r="K49" t="str">
        <x:v>PASS</x:v>
      </x:c>
    </x:row>
    <x:row r="50">
      <x:c r="J50" t="str">
        <x:v>Snapshot observed / expected</x:v>
      </x:c>
      <x:c r="K50" t="str">
        <x:v>880 / 880</x:v>
      </x:c>
    </x:row>
    <x:row r="51">
      <x:c r="J51" t="str">
        <x:v>Neutral INACTIVE alarms</x:v>
      </x:c>
      <x:c r="K51" t="str">
        <x:v>120</x:v>
      </x:c>
    </x:row>
    <x:row r="52">
      <x:c r="J52" t="str">
        <x:v>C-008</x:v>
      </x:c>
      <x:c r="K52" t="str">
        <x:v>PASS/GREEN — routing matrix closed</x:v>
      </x:c>
    </x:row>
    <x:row r="53">
      <x:c r="J53" t="str">
        <x:v>Next</x:v>
      </x:c>
      <x:c r="K53" t="str">
        <x:v>D-001 Single ManagementAction design</x:v>
      </x:c>
    </x:row>
    <x:row r="54">
      <x:c r="A54" s="126" t="str">
        <x:v>Adaptive stress discovery</x:v>
      </x:c>
      <x:c r="B54" s="126" t="str">
        <x:v>Trigger</x:v>
      </x:c>
      <x:c r="C54" s="126" t="str">
        <x:v>Next action</x:v>
      </x:c>
      <x:c r="D54" s="126"/>
      <x:c r="E54" s="126"/>
      <x:c r="F54" s="126"/>
      <x:c r="G54" s="126"/>
      <x:c r="H54" s="126"/>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e3eec867abb34ad1"/>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sheetData>
  <x:mergeCells>
    <x:mergeCell ref="A1:F2"/>
  </x:mergeCells>
  <x:pageMargins left="0.7" right="0.7" top="0.75" bottom="0.75" header="0.3" footer="0.3"/>
</x:worksheet>
</file>