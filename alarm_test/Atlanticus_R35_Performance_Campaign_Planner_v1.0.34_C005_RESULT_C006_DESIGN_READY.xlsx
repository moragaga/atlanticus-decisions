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6bbb66c4be4ea7" /></Relationships>
</file>

<file path=xl/workbook.xml><?xml version="1.0" encoding="utf-8"?>
<x:workbook xmlns:x="http://schemas.openxmlformats.org/spreadsheetml/2006/main">
  <x:sheets>
    <x:sheet xmlns:r="http://schemas.openxmlformats.org/officeDocument/2006/relationships" name="00_Control" sheetId="1" r:id="Rd9791a0fe76a43df"/>
    <x:sheet xmlns:r="http://schemas.openxmlformats.org/officeDocument/2006/relationships" name="01_Test_Plan" sheetId="2" r:id="R985d1d5e920f46e3"/>
    <x:sheet xmlns:r="http://schemas.openxmlformats.org/officeDocument/2006/relationships" name="02_Run_Results" sheetId="3" r:id="R3200cb1ecc2442d1"/>
    <x:sheet xmlns:r="http://schemas.openxmlformats.org/officeDocument/2006/relationships" name="03_Findings" sheetId="4" r:id="R59fe27c8e2fc4c64"/>
    <x:sheet xmlns:r="http://schemas.openxmlformats.org/officeDocument/2006/relationships" name="04_Decisions" sheetId="5" r:id="Rad3960cf042b482e"/>
    <x:sheet xmlns:r="http://schemas.openxmlformats.org/officeDocument/2006/relationships" name="05_Dashboard" sheetId="6" r:id="Rf901a64d93a248a8"/>
    <x:sheet xmlns:r="http://schemas.openxmlformats.org/officeDocument/2006/relationships" name="06_Definitions" sheetId="7" r:id="Rd5406096379d4ae9"/>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83ba801333b4af3" /><Relationship Type="http://schemas.openxmlformats.org/officeDocument/2006/relationships/theme" Target="/xl/theme/theme1.xml" Id="Rabb0972bf13f4d5d" /><Relationship Type="http://schemas.microsoft.com/office/2022/11/relationships/FeaturePropertyBag" Target="/xl/featurePropertyBag/featurePropertyBag.xml" Id="R26142c00c435443f" /><Relationship Type="http://schemas.openxmlformats.org/officeDocument/2006/relationships/sharedStrings" Target="/xl/sharedStrings.xml" Id="R06b68b831712453b" /><Relationship Type="http://schemas.openxmlformats.org/officeDocument/2006/relationships/worksheet" Target="/xl/worksheets/sheet1.xml" Id="Rd9791a0fe76a43df" /><Relationship Type="http://schemas.openxmlformats.org/officeDocument/2006/relationships/worksheet" Target="/xl/worksheets/sheet2.xml" Id="R985d1d5e920f46e3" /><Relationship Type="http://schemas.openxmlformats.org/officeDocument/2006/relationships/worksheet" Target="/xl/worksheets/sheet3.xml" Id="R3200cb1ecc2442d1" /><Relationship Type="http://schemas.openxmlformats.org/officeDocument/2006/relationships/worksheet" Target="/xl/worksheets/sheet4.xml" Id="R59fe27c8e2fc4c64" /><Relationship Type="http://schemas.openxmlformats.org/officeDocument/2006/relationships/worksheet" Target="/xl/worksheets/sheet5.xml" Id="Rad3960cf042b482e" /><Relationship Type="http://schemas.openxmlformats.org/officeDocument/2006/relationships/worksheet" Target="/xl/worksheets/sheet6.xml" Id="Rf901a64d93a248a8" /><Relationship Type="http://schemas.openxmlformats.org/officeDocument/2006/relationships/worksheet" Target="/xl/worksheets/sheet7.xml" Id="Rd5406096379d4ae9" /></Relationships>
</file>

<file path=xl/drawings/_rels/drawing1.xml.rels>&#65279;<?xml version="1.0" encoding="utf-8"?><Relationships xmlns="http://schemas.openxmlformats.org/package/2006/relationships"><Relationship Type="http://schemas.openxmlformats.org/officeDocument/2006/relationships/chart" Target="/xl/drawings/charts/chart1.xml" Id="R1c395e840eff4ef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c395e840eff4ef6"/>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c6e02366fe34ee4" /></Relationships>
</file>

<file path=xl/worksheets/_rels/sheet6.xml.rels>&#65279;<?xml version="1.0" encoding="utf-8"?><Relationships xmlns="http://schemas.openxmlformats.org/package/2006/relationships"><Relationship Type="http://schemas.openxmlformats.org/officeDocument/2006/relationships/drawing" Target="/xl/drawings/drawing1.xml" Id="Ra905085716074234"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1.0.34</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R3.5C IN PROGRESS — C-005 C1 ROUTING CLOSED / C2 DELAYED ROUTING NEXT</x:v>
      </x:c>
    </x:row>
    <x:row r="27">
      <x:c r="A27" s="21" t="str">
        <x:v>Siguiente test sugerido</x:v>
      </x:c>
      <x:c r="B27" t="str">
        <x:v>C-006 C2 Delayed Routing Progression — design review</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 — proposed</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Design target: origin immediate + 3 delayed destinations at 60/120/180 s. Bootstrap: 1000 ASSIGNED origin + 3000 SCHEDULED, snapshot pending=3000. At 60/120/180 s: 1000 delayed destinations become ASSIGNED per wave. Full run totals: ASSIGNED=4000, SCHEDULED=3000, RESCHEDULED=0, REMOVED=0; final snapshot=4000 assignments / 0 pending; 0 TechnicalHold; 0 duplicates.</x:v>
      </x:c>
      <x:c r="Q30" s="36" t="str">
        <x:v>Design review only. Use deterministic delays 60, 120 and 180 s so all three deadline waves occur well inside a 300 s run. Keep all alarms ACTIVE and configuration frozen; do not test reschedule/removal yet. Expected lifecycle commits: 100 bootstrap + 100 per due wave = 400. This isolates timer progression before configuration-change routing semantics.</x:v>
      </x:c>
      <x:c r="R30" s="36" t="str">
        <x:v>Planned</x:v>
      </x:c>
      <x:c r="S30" s="36" t="str">
        <x:v>C-005</x:v>
      </x:c>
      <x:c r="T30" s="36" t="str">
        <x:v>C-005 proves immediate fan-out is GREEN and shifts cost mainly to bootstrap/WAL/RSS, not steady cycle. C2 is the next higher-information dimension because it adds pending state, absolute due_at deadlines and three later durable assignment waves. Harness must validate intermediate pending counts and due_at values, not only final totals. Do not approximate C2 using C1 plus sleeps outside Core.</x:v>
      </x:c>
    </x:row>
    <x:row r="31">
      <x:c r="A31" s="36" t="str">
        <x:v>C-010</x:v>
      </x:c>
      <x:c r="B31" s="36" t="str">
        <x:v>R3.5C</x:v>
      </x:c>
      <x:c r="C31" s="36" t="n">
        <x:v>39</x:v>
      </x:c>
      <x:c r="D31" s="36" t="str">
        <x:v>1000 simultaneous recovery</x:v>
      </x:c>
      <x:c r="E31" s="36" t="str">
        <x:v>Presionar cierres masivos</x:v>
      </x:c>
      <x:c r="F31" s="36" t="n">
        <x:v>1000</x:v>
      </x:c>
      <x:c r="G31" s="36" t="str">
        <x:v>Local FS</x:v>
      </x:c>
      <x:c r="H31" s="36" t="str">
        <x:v>Single recovery wave</x:v>
      </x:c>
      <x:c r="I31" s="36" t="str">
        <x:v>Balanced</x:v>
      </x:c>
      <x:c r="J31" s="36" t="str">
        <x:v>None</x:v>
      </x:c>
      <x:c r="K31" s="36" t="str">
        <x:v>Stable config</x:v>
      </x:c>
      <x:c r="L31" s="36" t="n">
        <x:v>5</x:v>
      </x:c>
      <x:c r="M31" s="36" t="n">
        <x:v>5</x:v>
      </x:c>
      <x:c r="N31" s="36" t="n">
        <x:v>10</x:v>
      </x:c>
      <x:c r="O31" s="36" t="str">
        <x:v>Extreme</x:v>
      </x:c>
      <x:c r="P31" s="36" t="str">
        <x:v>0 integrity errors</x:v>
      </x:c>
      <x:c r="Q31" s="36" t="str">
        <x:v>Medir snapshot/write spike</x:v>
      </x:c>
      <x:c r="R31" s="36" t="str">
        <x:v>Planned</x:v>
      </x:c>
      <x:c r="S31" s="36" t="str">
        <x:v>C-009</x:v>
      </x:c>
      <x:c r="T31" s="36" t="str"/>
    </x:row>
    <x:row r="32">
      <x:c r="A32" s="36" t="str">
        <x:v>C-011</x:v>
      </x:c>
      <x:c r="B32" s="36" t="str">
        <x:v>R3.5C</x:v>
      </x:c>
      <x:c r="C32" s="36" t="n">
        <x:v>40</x:v>
      </x:c>
      <x:c r="D32" s="36" t="str">
        <x:v>Deactivation/timer heavy</x:v>
      </x:c>
      <x:c r="E32" s="36" t="str">
        <x:v>Presionar timers y DeactivationEffects vigentes</x:v>
      </x:c>
      <x:c r="F32" s="36" t="n">
        <x:v>1000</x:v>
      </x:c>
      <x:c r="G32" s="36" t="str">
        <x:v>Local FS</x:v>
      </x:c>
      <x:c r="H32" s="36" t="str">
        <x:v>Mixed timers</x:v>
      </x:c>
      <x:c r="I32" s="36" t="str">
        <x:v>Balanced</x:v>
      </x:c>
      <x:c r="J32" s="36" t="str">
        <x:v>None</x:v>
      </x:c>
      <x:c r="K32" s="36" t="str">
        <x:v>Stable config</x:v>
      </x:c>
      <x:c r="L32" s="36" t="n">
        <x:v>10</x:v>
      </x:c>
      <x:c r="M32" s="36" t="n">
        <x:v>5</x:v>
      </x:c>
      <x:c r="N32" s="36" t="n">
        <x:v>10</x:v>
      </x:c>
      <x:c r="O32" s="36" t="str">
        <x:v>Functional pressure</x:v>
      </x:c>
      <x:c r="P32" s="36" t="str">
        <x:v>0 integrity errors</x:v>
      </x:c>
      <x:c r="Q32" s="36" t="str">
        <x:v>Observar hot state y deadlines</x:v>
      </x:c>
      <x:c r="R32" s="36" t="str">
        <x:v>Planned</x:v>
      </x:c>
      <x:c r="S32" s="36" t="str">
        <x:v>C-003</x:v>
      </x:c>
      <x:c r="T32" s="36" t="str"/>
    </x:row>
    <x:row r="33">
      <x:c r="A33" s="36" t="str">
        <x:v>D-001</x:v>
      </x:c>
      <x:c r="B33" s="36" t="str">
        <x:v>R3.5D</x:v>
      </x:c>
      <x:c r="C33" s="36" t="n">
        <x:v>50</x:v>
      </x:c>
      <x:c r="D33" s="36" t="str">
        <x:v>Single ManagementAction</x:v>
      </x:c>
      <x:c r="E33" s="36" t="str">
        <x:v>Medir latencia end-to-end de una gestión</x:v>
      </x:c>
      <x:c r="F33" s="36" t="n">
        <x:v>1000</x:v>
      </x:c>
      <x:c r="G33" s="36" t="str">
        <x:v>Local FS</x:v>
      </x:c>
      <x:c r="H33" s="36" t="str">
        <x:v>Steady-state</x:v>
      </x:c>
      <x:c r="I33" s="36" t="str">
        <x:v>Baseline</x:v>
      </x:c>
      <x:c r="J33" s="36" t="str">
        <x:v>1 management</x:v>
      </x:c>
      <x:c r="K33" s="36" t="str">
        <x:v>Stable config</x:v>
      </x:c>
      <x:c r="L33" s="36" t="n">
        <x:v>5</x:v>
      </x:c>
      <x:c r="M33" s="36" t="n">
        <x:v>5</x:v>
      </x:c>
      <x:c r="N33" s="36" t="n">
        <x:v>10</x:v>
      </x:c>
      <x:c r="O33" s="36" t="str">
        <x:v>Control-plane</x:v>
      </x:c>
      <x:c r="P33" s="36" t="str">
        <x:v>receipt durable + no duplicate</x:v>
      </x:c>
      <x:c r="Q33" s="36" t="str">
        <x:v>Medir ingress→receipt</x:v>
      </x:c>
      <x:c r="R33" s="36" t="str">
        <x:v>Planned</x:v>
      </x:c>
      <x:c r="S33" s="36" t="str">
        <x:v>C-001</x:v>
      </x:c>
      <x:c r="T33" s="36" t="str"/>
    </x:row>
    <x:row r="34">
      <x:c r="A34" s="36" t="str">
        <x:v>D-002</x:v>
      </x:c>
      <x:c r="B34" s="36" t="str">
        <x:v>R3.5D</x:v>
      </x:c>
      <x:c r="C34" s="36" t="n">
        <x:v>51</x:v>
      </x:c>
      <x:c r="D34" s="36" t="str">
        <x:v>Management continuous 1/s</x:v>
      </x:c>
      <x:c r="E34" s="36" t="str">
        <x:v>Medir carga sostenida de gestiones</x:v>
      </x:c>
      <x:c r="F34" s="36" t="n">
        <x:v>1000</x:v>
      </x:c>
      <x:c r="G34" s="36" t="str">
        <x:v>Local FS</x:v>
      </x:c>
      <x:c r="H34" s="36" t="str">
        <x:v>Operational churn</x:v>
      </x:c>
      <x:c r="I34" s="36" t="str">
        <x:v>Baseline</x:v>
      </x:c>
      <x:c r="J34" s="36" t="str">
        <x:v>1 management/s</x:v>
      </x:c>
      <x:c r="K34" s="36" t="str">
        <x:v>Stable config</x:v>
      </x:c>
      <x:c r="L34" s="36" t="n">
        <x:v>10</x:v>
      </x:c>
      <x:c r="M34" s="36" t="n">
        <x:v>5</x:v>
      </x:c>
      <x:c r="N34" s="36" t="n">
        <x:v>10</x:v>
      </x:c>
      <x:c r="O34" s="36" t="str">
        <x:v>Control-plane</x:v>
      </x:c>
      <x:c r="P34" s="36" t="str">
        <x:v>0 lost receipts / duplicates</x:v>
      </x:c>
      <x:c r="Q34" s="36" t="str">
        <x:v>p95 management latency</x:v>
      </x:c>
      <x:c r="R34" s="36" t="str">
        <x:v>Planned</x:v>
      </x:c>
      <x:c r="S34" s="36" t="str">
        <x:v>D-001</x:v>
      </x:c>
      <x:c r="T34" s="36" t="str"/>
    </x:row>
    <x:row r="35">
      <x:c r="A35" s="36" t="str">
        <x:v>D-003</x:v>
      </x:c>
      <x:c r="B35" s="36" t="str">
        <x:v>R3.5D</x:v>
      </x:c>
      <x:c r="C35" s="36" t="n">
        <x:v>52</x:v>
      </x:c>
      <x:c r="D35" s="36" t="str">
        <x:v>Management burst 50</x:v>
      </x:c>
      <x:c r="E35" s="36" t="str">
        <x:v>Medir absorción de burst</x:v>
      </x:c>
      <x:c r="F35" s="36" t="n">
        <x:v>1000</x:v>
      </x:c>
      <x:c r="G35" s="36" t="str">
        <x:v>Local FS</x:v>
      </x:c>
      <x:c r="H35" s="36" t="str">
        <x:v>Operational churn</x:v>
      </x:c>
      <x:c r="I35" s="36" t="str">
        <x:v>Baseline</x:v>
      </x:c>
      <x:c r="J35" s="36" t="str">
        <x:v>50 management burst</x:v>
      </x:c>
      <x:c r="K35" s="36" t="str">
        <x:v>Stable config</x:v>
      </x:c>
      <x:c r="L35" s="36" t="n">
        <x:v>10</x:v>
      </x:c>
      <x:c r="M35" s="36" t="n">
        <x:v>5</x:v>
      </x:c>
      <x:c r="N35" s="36" t="n">
        <x:v>10</x:v>
      </x:c>
      <x:c r="O35" s="36" t="str">
        <x:v>Stress</x:v>
      </x:c>
      <x:c r="P35" s="36" t="str">
        <x:v>0 lost receipts / duplicates</x:v>
      </x:c>
      <x:c r="Q35" s="36" t="str">
        <x:v>Observar backlog y recovery</x:v>
      </x:c>
      <x:c r="R35" s="36" t="str">
        <x:v>Planned</x:v>
      </x:c>
      <x:c r="S35" s="36" t="str">
        <x:v>D-002</x:v>
      </x:c>
      <x:c r="T35" s="36" t="str"/>
    </x:row>
    <x:row r="36">
      <x:c r="A36" s="36" t="str">
        <x:v>D-004</x:v>
      </x:c>
      <x:c r="B36" s="36" t="str">
        <x:v>R3.5D</x:v>
      </x:c>
      <x:c r="C36" s="36" t="n">
        <x:v>53</x:v>
      </x:c>
      <x:c r="D36" s="36" t="str">
        <x:v>Management burst 100</x:v>
      </x:c>
      <x:c r="E36" s="36" t="str">
        <x:v>Buscar techo de burst</x:v>
      </x:c>
      <x:c r="F36" s="36" t="n">
        <x:v>1000</x:v>
      </x:c>
      <x:c r="G36" s="36" t="str">
        <x:v>Local FS</x:v>
      </x:c>
      <x:c r="H36" s="36" t="str">
        <x:v>Operational churn</x:v>
      </x:c>
      <x:c r="I36" s="36" t="str">
        <x:v>Baseline</x:v>
      </x:c>
      <x:c r="J36" s="36" t="str">
        <x:v>100 management burst</x:v>
      </x:c>
      <x:c r="K36" s="36" t="str">
        <x:v>Stable config</x:v>
      </x:c>
      <x:c r="L36" s="36" t="n">
        <x:v>10</x:v>
      </x:c>
      <x:c r="M36" s="36" t="n">
        <x:v>5</x:v>
      </x:c>
      <x:c r="N36" s="36" t="n">
        <x:v>10</x:v>
      </x:c>
      <x:c r="O36" s="36" t="str">
        <x:v>Extreme</x:v>
      </x:c>
      <x:c r="P36" s="36" t="str">
        <x:v>0 lost receipts / duplicates</x:v>
      </x:c>
      <x:c r="Q36" s="36" t="str">
        <x:v>No fail sólo por latencia</x:v>
      </x:c>
      <x:c r="R36" s="36" t="str">
        <x:v>Planned</x:v>
      </x:c>
      <x:c r="S36" s="36" t="str">
        <x:v>D-003</x:v>
      </x:c>
      <x:c r="T36" s="36" t="str"/>
    </x:row>
    <x:row r="37">
      <x:c r="A37" s="36" t="str">
        <x:v>D-005</x:v>
      </x:c>
      <x:c r="B37" s="36" t="str">
        <x:v>R3.5D</x:v>
      </x:c>
      <x:c r="C37" s="36" t="n">
        <x:v>54</x:v>
      </x:c>
      <x:c r="D37" s="36" t="str">
        <x:v>Single DeactivationDecision</x:v>
      </x:c>
      <x:c r="E37" s="36" t="str">
        <x:v>Medir latencia de decisión</x:v>
      </x:c>
      <x:c r="F37" s="36" t="n">
        <x:v>1000</x:v>
      </x:c>
      <x:c r="G37" s="36" t="str">
        <x:v>Local FS</x:v>
      </x:c>
      <x:c r="H37" s="36" t="str">
        <x:v>Steady-state</x:v>
      </x:c>
      <x:c r="I37" s="36" t="str">
        <x:v>Baseline</x:v>
      </x:c>
      <x:c r="J37" s="36" t="str">
        <x:v>1 decision</x:v>
      </x:c>
      <x:c r="K37" s="36" t="str">
        <x:v>Stable config</x:v>
      </x:c>
      <x:c r="L37" s="36" t="n">
        <x:v>5</x:v>
      </x:c>
      <x:c r="M37" s="36" t="n">
        <x:v>5</x:v>
      </x:c>
      <x:c r="N37" s="36" t="n">
        <x:v>10</x:v>
      </x:c>
      <x:c r="O37" s="36" t="str">
        <x:v>Control-plane</x:v>
      </x:c>
      <x:c r="P37" s="36" t="str">
        <x:v>receipt durable + causalidad</x:v>
      </x:c>
      <x:c r="Q37" s="36" t="str">
        <x:v>Medir ingress→receipt</x:v>
      </x:c>
      <x:c r="R37" s="36" t="str">
        <x:v>Planned</x:v>
      </x:c>
      <x:c r="S37" s="36" t="str">
        <x:v>D-001</x:v>
      </x:c>
      <x:c r="T37" s="36" t="str"/>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2c6e02366fe34ee4"/>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row>
    <x:row r="30">
      <x:c r="A30" s="32"/>
      <x:c r="B30" s="32"/>
      <x:c r="C30" s="42"/>
      <x:c r="D30" s="32"/>
      <x:c r="E30" s="32"/>
      <x:c r="F30" s="32"/>
      <x:c r="G30" s="32"/>
      <x:c r="H30" s="32"/>
      <x:c r="I30" s="32"/>
      <x:c r="J30" s="32"/>
      <x:c r="K30" s="32"/>
      <x:c r="L30" s="32"/>
      <x:c r="M30" s="32"/>
      <x:c r="N30" s="32"/>
      <x:c r="O30" s="32"/>
      <x:c r="P30" s="32"/>
      <x:c r="Q30" s="32"/>
      <x:c r="R30" s="32"/>
      <x:c r="S30" s="32"/>
      <x:c r="T30" s="43" t="str">
        <x:f>IFERROR(S30/L30,"")</x:f>
      </x:c>
      <x:c r="U30" s="32"/>
      <x:c r="V30" s="32"/>
      <x:c r="W30" s="32"/>
      <x:c r="X30" s="32"/>
      <x:c r="Y30" s="32"/>
      <x:c r="Z30" s="32"/>
      <x:c r="AA30" s="32"/>
      <x:c r="AB30" s="32"/>
      <x:c r="AC30" s="32"/>
      <x:c r="AD30" s="32"/>
      <x:c r="AE30" s="32"/>
      <x:c r="AF30" s="32"/>
      <x:c r="AG30" s="32"/>
      <x:c r="AH30" s="32"/>
      <x:c r="AI30" s="32"/>
      <x:c r="AJ30" s="32"/>
      <x:c r="AK30" s="32"/>
      <x:c r="AL30" s="32"/>
      <x:c r="AM30" s="32"/>
      <x:c r="AN30" s="32"/>
      <x:c r="AO30" s="32"/>
      <x:c r="AP30" s="32"/>
      <x:c r="AQ30" s="32"/>
      <x:c r="AR30" s="32"/>
      <x:c r="AS30" s="32"/>
      <x:c r="AT30" s="32"/>
      <x:c r="AU30" s="32"/>
      <x:c r="AV30" s="32"/>
      <x:c r="AW30" s="32"/>
      <x:c r="AX30" s="32"/>
      <x:c r="AZ30" s="32"/>
      <x:c r="BA30" s="32"/>
      <x:c r="BB30" s="32"/>
      <x:c r="BC30" s="32"/>
      <x:c r="BD30" s="32"/>
      <x:c r="BE30" s="32"/>
      <x:c r="BF30" s="32"/>
      <x:c r="BG30" s="32"/>
      <x:c r="BH30" s="32"/>
      <x:c r="BI30" s="32"/>
      <x:c r="BJ30" s="32"/>
      <x:c r="BK30" s="32"/>
      <x:c r="BL30" s="32"/>
      <x:c r="BM30" s="32"/>
    </x:row>
    <x:row r="31">
      <x:c r="A31" s="32"/>
      <x:c r="B31" s="32"/>
      <x:c r="C31" s="42"/>
      <x:c r="D31" s="32"/>
      <x:c r="E31" s="32"/>
      <x:c r="F31" s="32"/>
      <x:c r="G31" s="32"/>
      <x:c r="H31" s="32"/>
      <x:c r="I31" s="32"/>
      <x:c r="J31" s="32"/>
      <x:c r="K31" s="32"/>
      <x:c r="L31" s="32"/>
      <x:c r="M31" s="32"/>
      <x:c r="N31" s="32"/>
      <x:c r="O31" s="32"/>
      <x:c r="P31" s="32"/>
      <x:c r="Q31" s="32"/>
      <x:c r="R31" s="32"/>
      <x:c r="S31" s="32"/>
      <x:c r="T31" s="43" t="str">
        <x:f>IFERROR(S31/L31,"")</x:f>
      </x:c>
      <x:c r="U31" s="32"/>
      <x:c r="V31" s="32"/>
      <x:c r="W31" s="32"/>
      <x:c r="X31" s="32"/>
      <x:c r="Y31" s="32"/>
      <x:c r="Z31" s="32"/>
      <x:c r="AA31" s="32"/>
      <x:c r="AB31" s="32"/>
      <x:c r="AC31" s="32"/>
      <x:c r="AD31" s="32"/>
      <x:c r="AE31" s="32"/>
      <x:c r="AF31" s="32"/>
      <x:c r="AG31" s="32"/>
      <x:c r="AH31" s="32"/>
      <x:c r="AI31" s="32"/>
      <x:c r="AJ31" s="32"/>
      <x:c r="AK31" s="32"/>
      <x:c r="AL31" s="32"/>
      <x:c r="AM31" s="32"/>
      <x:c r="AN31" s="32"/>
      <x:c r="AO31" s="32"/>
      <x:c r="AP31" s="32"/>
      <x:c r="AQ31" s="32"/>
      <x:c r="AR31" s="32"/>
      <x:c r="AS31" s="32"/>
      <x:c r="AT31" s="32"/>
      <x:c r="AU31" s="32"/>
      <x:c r="AV31" s="32"/>
      <x:c r="AW31" s="32"/>
      <x:c r="AX31" s="32"/>
      <x:c r="AZ31" s="32"/>
      <x:c r="BA31" s="32"/>
      <x:c r="BB31" s="32"/>
      <x:c r="BC31" s="32"/>
      <x:c r="BD31" s="32"/>
      <x:c r="BE31" s="32"/>
      <x:c r="BF31" s="32"/>
      <x:c r="BG31" s="32"/>
      <x:c r="BH31" s="32"/>
      <x:c r="BI31" s="32"/>
      <x:c r="BJ31" s="32"/>
      <x:c r="BK31" s="32"/>
      <x:c r="BL31" s="32"/>
      <x:c r="BM31" s="32"/>
    </x:row>
    <x:row r="32">
      <x:c r="A32" s="32"/>
      <x:c r="B32" s="32"/>
      <x:c r="C32" s="42"/>
      <x:c r="D32" s="32"/>
      <x:c r="E32" s="32"/>
      <x:c r="F32" s="32"/>
      <x:c r="G32" s="32"/>
      <x:c r="H32" s="32"/>
      <x:c r="I32" s="32"/>
      <x:c r="J32" s="32"/>
      <x:c r="K32" s="32"/>
      <x:c r="L32" s="32"/>
      <x:c r="M32" s="32"/>
      <x:c r="N32" s="32"/>
      <x:c r="O32" s="32"/>
      <x:c r="P32" s="32"/>
      <x:c r="Q32" s="32"/>
      <x:c r="R32" s="32"/>
      <x:c r="S32" s="32"/>
      <x:c r="T32" s="43" t="str">
        <x:f>IFERROR(S32/L32,"")</x:f>
      </x:c>
      <x:c r="U32" s="32"/>
      <x:c r="V32" s="32"/>
      <x:c r="W32" s="32"/>
      <x:c r="X32" s="32"/>
      <x:c r="Y32" s="32"/>
      <x:c r="Z32" s="32"/>
      <x:c r="AA32" s="32"/>
      <x:c r="AB32" s="32"/>
      <x:c r="AC32" s="32"/>
      <x:c r="AD32" s="32"/>
      <x:c r="AE32" s="32"/>
      <x:c r="AF32" s="32"/>
      <x:c r="AG32" s="32"/>
      <x:c r="AH32" s="32"/>
      <x:c r="AI32" s="32"/>
      <x:c r="AJ32" s="32"/>
      <x:c r="AK32" s="32"/>
      <x:c r="AL32" s="32"/>
      <x:c r="AM32" s="32"/>
      <x:c r="AN32" s="32"/>
      <x:c r="AO32" s="32"/>
      <x:c r="AP32" s="32"/>
      <x:c r="AQ32" s="32"/>
      <x:c r="AR32" s="32"/>
      <x:c r="AS32" s="32"/>
      <x:c r="AT32" s="32"/>
      <x:c r="AU32" s="32"/>
      <x:c r="AV32" s="32"/>
      <x:c r="AW32" s="32"/>
      <x:c r="AX32" s="32"/>
      <x:c r="AZ32" s="32"/>
      <x:c r="BA32" s="32"/>
      <x:c r="BB32" s="32"/>
      <x:c r="BC32" s="32"/>
      <x:c r="BD32" s="32"/>
      <x:c r="BE32" s="32"/>
      <x:c r="BF32" s="32"/>
      <x:c r="BG32" s="32"/>
      <x:c r="BH32" s="32"/>
      <x:c r="BI32" s="32"/>
      <x:c r="BJ32" s="32"/>
      <x:c r="BK32" s="32"/>
      <x:c r="BL32" s="32"/>
      <x:c r="BM32" s="32"/>
    </x:row>
    <x:row r="33">
      <x:c r="A33" s="32"/>
      <x:c r="B33" s="32"/>
      <x:c r="C33" s="42"/>
      <x:c r="D33" s="32"/>
      <x:c r="E33" s="32"/>
      <x:c r="F33" s="32"/>
      <x:c r="G33" s="32"/>
      <x:c r="H33" s="32"/>
      <x:c r="I33" s="32"/>
      <x:c r="J33" s="32"/>
      <x:c r="K33" s="32"/>
      <x:c r="L33" s="32"/>
      <x:c r="M33" s="32"/>
      <x:c r="N33" s="32"/>
      <x:c r="O33" s="32"/>
      <x:c r="P33" s="32"/>
      <x:c r="Q33" s="32"/>
      <x:c r="R33" s="32"/>
      <x:c r="S33" s="32"/>
      <x:c r="T33" s="43" t="str">
        <x:f>IFERROR(S33/L33,"")</x:f>
      </x:c>
      <x:c r="U33" s="32"/>
      <x:c r="V33" s="32"/>
      <x:c r="W33" s="32"/>
      <x:c r="X33" s="32"/>
      <x:c r="Y33" s="32"/>
      <x:c r="Z33" s="32"/>
      <x:c r="AA33" s="32"/>
      <x:c r="AB33" s="32"/>
      <x:c r="AC33" s="32"/>
      <x:c r="AD33" s="32"/>
      <x:c r="AE33" s="32"/>
      <x:c r="AF33" s="32"/>
      <x:c r="AG33" s="32"/>
      <x:c r="AH33" s="32"/>
      <x:c r="AI33" s="32"/>
      <x:c r="AJ33" s="32"/>
      <x:c r="AK33" s="32"/>
      <x:c r="AL33" s="32"/>
      <x:c r="AM33" s="32"/>
      <x:c r="AN33" s="32"/>
      <x:c r="AO33" s="32"/>
      <x:c r="AP33" s="32"/>
      <x:c r="AQ33" s="32"/>
      <x:c r="AR33" s="32"/>
      <x:c r="AS33" s="32"/>
      <x:c r="AT33" s="32"/>
      <x:c r="AU33" s="32"/>
      <x:c r="AV33" s="32"/>
      <x:c r="AW33" s="32"/>
      <x:c r="AX33" s="32"/>
      <x:c r="AZ33" s="32"/>
      <x:c r="BA33" s="32"/>
      <x:c r="BB33" s="32"/>
      <x:c r="BC33" s="32"/>
      <x:c r="BD33" s="32"/>
      <x:c r="BE33" s="32"/>
      <x:c r="BF33" s="32"/>
      <x:c r="BG33" s="32"/>
      <x:c r="BH33" s="32"/>
      <x:c r="BI33" s="32"/>
      <x:c r="BJ33" s="32"/>
      <x:c r="BK33" s="32"/>
      <x:c r="BL33" s="32"/>
      <x:c r="BM33" s="32"/>
    </x:row>
    <x:row r="34">
      <x:c r="A34" s="32"/>
      <x:c r="B34" s="32"/>
      <x:c r="C34" s="42"/>
      <x:c r="D34" s="32"/>
      <x:c r="E34" s="32"/>
      <x:c r="F34" s="32"/>
      <x:c r="G34" s="32"/>
      <x:c r="H34" s="32"/>
      <x:c r="I34" s="32"/>
      <x:c r="J34" s="32"/>
      <x:c r="K34" s="32"/>
      <x:c r="L34" s="32"/>
      <x:c r="M34" s="32"/>
      <x:c r="N34" s="32"/>
      <x:c r="O34" s="32"/>
      <x:c r="P34" s="32"/>
      <x:c r="Q34" s="32"/>
      <x:c r="R34" s="32"/>
      <x:c r="S34" s="32"/>
      <x:c r="T34" s="43" t="str">
        <x:f>IFERROR(S34/L34,"")</x:f>
      </x:c>
      <x:c r="U34" s="32"/>
      <x:c r="V34" s="32"/>
      <x:c r="W34" s="32"/>
      <x:c r="X34" s="32"/>
      <x:c r="Y34" s="32"/>
      <x:c r="Z34" s="32"/>
      <x:c r="AA34" s="32"/>
      <x:c r="AB34" s="32"/>
      <x:c r="AC34" s="32"/>
      <x:c r="AD34" s="32"/>
      <x:c r="AE34" s="32"/>
      <x:c r="AF34" s="32"/>
      <x:c r="AG34" s="32"/>
      <x:c r="AH34" s="32"/>
      <x:c r="AI34" s="32"/>
      <x:c r="AJ34" s="32"/>
      <x:c r="AK34" s="32"/>
      <x:c r="AL34" s="32"/>
      <x:c r="AM34" s="32"/>
      <x:c r="AN34" s="32"/>
      <x:c r="AO34" s="32"/>
      <x:c r="AP34" s="32"/>
      <x:c r="AQ34" s="32"/>
      <x:c r="AR34" s="32"/>
      <x:c r="AS34" s="32"/>
      <x:c r="AT34" s="32"/>
      <x:c r="AU34" s="32"/>
      <x:c r="AV34" s="32"/>
      <x:c r="AW34" s="32"/>
      <x:c r="AX34" s="32"/>
      <x:c r="AZ34" s="32"/>
      <x:c r="BA34" s="32"/>
      <x:c r="BB34" s="32"/>
      <x:c r="BC34" s="32"/>
      <x:c r="BD34" s="32"/>
      <x:c r="BE34" s="32"/>
      <x:c r="BF34" s="32"/>
      <x:c r="BG34" s="32"/>
      <x:c r="BH34" s="32"/>
      <x:c r="BI34" s="32"/>
      <x:c r="BJ34" s="32"/>
      <x:c r="BK34" s="32"/>
      <x:c r="BL34" s="32"/>
      <x:c r="BM34" s="32"/>
    </x:row>
    <x:row r="35">
      <x:c r="A35" s="32"/>
      <x:c r="B35" s="32"/>
      <x:c r="C35" s="42"/>
      <x:c r="D35" s="32"/>
      <x:c r="E35" s="32"/>
      <x:c r="F35" s="32"/>
      <x:c r="G35" s="32"/>
      <x:c r="H35" s="32"/>
      <x:c r="I35" s="32"/>
      <x:c r="J35" s="32"/>
      <x:c r="K35" s="32"/>
      <x:c r="L35" s="32"/>
      <x:c r="M35" s="32"/>
      <x:c r="N35" s="32"/>
      <x:c r="O35" s="32"/>
      <x:c r="P35" s="32"/>
      <x:c r="Q35" s="32"/>
      <x:c r="R35" s="32"/>
      <x:c r="S35" s="32"/>
      <x:c r="T35" s="43" t="str">
        <x:f>IFERROR(S35/L35,"")</x:f>
      </x:c>
      <x:c r="U35" s="32"/>
      <x:c r="V35" s="32"/>
      <x:c r="W35" s="32"/>
      <x:c r="X35" s="32"/>
      <x:c r="Y35" s="32"/>
      <x:c r="Z35" s="32"/>
      <x:c r="AA35" s="32"/>
      <x:c r="AB35" s="32"/>
      <x:c r="AC35" s="32"/>
      <x:c r="AD35" s="32"/>
      <x:c r="AE35" s="32"/>
      <x:c r="AF35" s="32"/>
      <x:c r="AG35" s="32"/>
      <x:c r="AH35" s="32"/>
      <x:c r="AI35" s="32"/>
      <x:c r="AJ35" s="32"/>
      <x:c r="AK35" s="32"/>
      <x:c r="AL35" s="32"/>
      <x:c r="AM35" s="32"/>
      <x:c r="AN35" s="32"/>
      <x:c r="AO35" s="32"/>
      <x:c r="AP35" s="32"/>
      <x:c r="AQ35" s="32"/>
      <x:c r="AR35" s="32"/>
      <x:c r="AS35" s="32"/>
      <x:c r="AT35" s="32"/>
      <x:c r="AU35" s="32"/>
      <x:c r="AV35" s="32"/>
      <x:c r="AW35" s="32"/>
      <x:c r="AX35" s="32"/>
      <x:c r="AZ35" s="32"/>
      <x:c r="BA35" s="32"/>
      <x:c r="BB35" s="32"/>
      <x:c r="BC35" s="32"/>
      <x:c r="BD35" s="32"/>
      <x:c r="BE35" s="32"/>
      <x:c r="BF35" s="32"/>
      <x:c r="BG35" s="32"/>
      <x:c r="BH35" s="32"/>
      <x:c r="BI35" s="32"/>
      <x:c r="BJ35" s="32"/>
      <x:c r="BK35" s="32"/>
      <x:c r="BL35" s="32"/>
      <x:c r="BM35" s="32"/>
    </x:row>
    <x:row r="36">
      <x:c r="A36" s="32"/>
      <x:c r="B36" s="32"/>
      <x:c r="C36" s="42"/>
      <x:c r="D36" s="32"/>
      <x:c r="E36" s="32"/>
      <x:c r="F36" s="32"/>
      <x:c r="G36" s="32"/>
      <x:c r="H36" s="32"/>
      <x:c r="I36" s="32"/>
      <x:c r="J36" s="32"/>
      <x:c r="K36" s="32"/>
      <x:c r="L36" s="32"/>
      <x:c r="M36" s="32"/>
      <x:c r="N36" s="32"/>
      <x:c r="O36" s="32"/>
      <x:c r="P36" s="32"/>
      <x:c r="Q36" s="32"/>
      <x:c r="R36" s="32"/>
      <x:c r="S36" s="32"/>
      <x:c r="T36" s="43" t="str">
        <x:f>IFERROR(S36/L36,"")</x:f>
      </x:c>
      <x:c r="U36" s="32"/>
      <x:c r="V36" s="32"/>
      <x:c r="W36" s="32"/>
      <x:c r="X36" s="32"/>
      <x:c r="Y36" s="32"/>
      <x:c r="Z36" s="32"/>
      <x:c r="AA36" s="32"/>
      <x:c r="AB36" s="32"/>
      <x:c r="AC36" s="32"/>
      <x:c r="AD36" s="32"/>
      <x:c r="AE36" s="32"/>
      <x:c r="AF36" s="32"/>
      <x:c r="AG36" s="32"/>
      <x:c r="AH36" s="32"/>
      <x:c r="AI36" s="32"/>
      <x:c r="AJ36" s="32"/>
      <x:c r="AK36" s="32"/>
      <x:c r="AL36" s="32"/>
      <x:c r="AM36" s="32"/>
      <x:c r="AN36" s="32"/>
      <x:c r="AO36" s="32"/>
      <x:c r="AP36" s="32"/>
      <x:c r="AQ36" s="32"/>
      <x:c r="AR36" s="32"/>
      <x:c r="AS36" s="32"/>
      <x:c r="AT36" s="32"/>
      <x:c r="AU36" s="32"/>
      <x:c r="AV36" s="32"/>
      <x:c r="AW36" s="32"/>
      <x:c r="AX36" s="32"/>
      <x:c r="AZ36" s="32"/>
      <x:c r="BA36" s="32"/>
      <x:c r="BB36" s="32"/>
      <x:c r="BC36" s="32"/>
      <x:c r="BD36" s="32"/>
      <x:c r="BE36" s="32"/>
      <x:c r="BF36" s="32"/>
      <x:c r="BG36" s="32"/>
      <x:c r="BH36" s="32"/>
      <x:c r="BI36" s="32"/>
      <x:c r="BJ36" s="32"/>
      <x:c r="BK36" s="32"/>
      <x:c r="BL36" s="32"/>
      <x:c r="BM36" s="32"/>
    </x:row>
    <x:row r="37">
      <x:c r="A37" s="32"/>
      <x:c r="B37" s="32"/>
      <x:c r="C37" s="42"/>
      <x:c r="D37" s="32"/>
      <x:c r="E37" s="32"/>
      <x:c r="F37" s="32"/>
      <x:c r="G37" s="32"/>
      <x:c r="H37" s="32"/>
      <x:c r="I37" s="32"/>
      <x:c r="J37" s="32"/>
      <x:c r="K37" s="32"/>
      <x:c r="L37" s="32"/>
      <x:c r="M37" s="32"/>
      <x:c r="N37" s="32"/>
      <x:c r="O37" s="32"/>
      <x:c r="P37" s="32"/>
      <x:c r="Q37" s="32"/>
      <x:c r="R37" s="32"/>
      <x:c r="S37" s="32"/>
      <x:c r="T37" s="43" t="str">
        <x:f>IFERROR(S37/L37,"")</x:f>
      </x:c>
      <x:c r="U37" s="32"/>
      <x:c r="V37" s="32"/>
      <x:c r="W37" s="32"/>
      <x:c r="X37" s="32"/>
      <x:c r="Y37" s="32"/>
      <x:c r="Z37" s="32"/>
      <x:c r="AA37" s="32"/>
      <x:c r="AB37" s="32"/>
      <x:c r="AC37" s="32"/>
      <x:c r="AD37" s="32"/>
      <x:c r="AE37" s="32"/>
      <x:c r="AF37" s="32"/>
      <x:c r="AG37" s="32"/>
      <x:c r="AH37" s="32"/>
      <x:c r="AI37" s="32"/>
      <x:c r="AJ37" s="32"/>
      <x:c r="AK37" s="32"/>
      <x:c r="AL37" s="32"/>
      <x:c r="AM37" s="32"/>
      <x:c r="AN37" s="32"/>
      <x:c r="AO37" s="32"/>
      <x:c r="AP37" s="32"/>
      <x:c r="AQ37" s="32"/>
      <x:c r="AR37" s="32"/>
      <x:c r="AS37" s="32"/>
      <x:c r="AT37" s="32"/>
      <x:c r="AU37" s="32"/>
      <x:c r="AV37" s="32"/>
      <x:c r="AW37" s="32"/>
      <x:c r="AX37" s="32"/>
      <x:c r="AZ37" s="32"/>
      <x:c r="BA37" s="32"/>
      <x:c r="BB37" s="32"/>
      <x:c r="BC37" s="32"/>
      <x:c r="BD37" s="32"/>
      <x:c r="BE37" s="32"/>
      <x:c r="BF37" s="32"/>
      <x:c r="BG37" s="32"/>
      <x:c r="BH37" s="32"/>
      <x:c r="BI37" s="32"/>
      <x:c r="BJ37" s="32"/>
      <x:c r="BK37" s="32"/>
      <x:c r="BL37" s="32"/>
      <x:c r="BM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x:c r="B72" s="32"/>
      <x:c r="C72" s="32"/>
      <x:c r="D72" s="32"/>
      <x:c r="E72" s="32"/>
      <x:c r="F72" s="32"/>
      <x:c r="G72" s="32"/>
      <x:c r="H72" s="32"/>
      <x:c r="I72" s="32"/>
      <x:c r="J72" s="32"/>
      <x:c r="K72" s="32"/>
      <x:c r="L72" s="32"/>
    </x:row>
    <x:row r="73">
      <x:c r="A73" s="32"/>
      <x:c r="B73" s="32"/>
      <x:c r="C73" s="32"/>
      <x:c r="D73" s="32"/>
      <x:c r="E73" s="32"/>
      <x:c r="F73" s="32"/>
      <x:c r="G73" s="32"/>
      <x:c r="H73" s="32"/>
      <x:c r="I73" s="32"/>
      <x:c r="J73" s="32"/>
      <x:c r="K73" s="32"/>
      <x:c r="L73" s="32"/>
    </x:row>
    <x:row r="74">
      <x:c r="A74" s="32"/>
      <x:c r="B74" s="32"/>
      <x:c r="C74" s="32"/>
      <x:c r="D74" s="32"/>
      <x:c r="E74" s="32"/>
      <x:c r="F74" s="32"/>
      <x:c r="G74" s="32"/>
      <x:c r="H74" s="32"/>
      <x:c r="I74" s="32"/>
      <x:c r="J74" s="32"/>
      <x:c r="K74" s="32"/>
      <x:c r="L74" s="32"/>
    </x:row>
    <x:row r="75">
      <x:c r="A75" s="32"/>
      <x:c r="B75" s="32"/>
      <x:c r="C75" s="32"/>
      <x:c r="D75" s="32"/>
      <x:c r="E75" s="32"/>
      <x:c r="F75" s="32"/>
      <x:c r="G75" s="32"/>
      <x:c r="H75" s="32"/>
      <x:c r="I75" s="32"/>
      <x:c r="J75" s="32"/>
      <x:c r="K75" s="32"/>
      <x:c r="L75" s="32"/>
    </x:row>
    <x:row r="76">
      <x:c r="A76" s="32"/>
      <x:c r="B76" s="32"/>
      <x:c r="C76" s="32"/>
      <x:c r="D76" s="32"/>
      <x:c r="E76" s="32"/>
      <x:c r="F76" s="32"/>
      <x:c r="G76" s="32"/>
      <x:c r="H76" s="32"/>
      <x:c r="I76" s="32"/>
      <x:c r="J76" s="32"/>
      <x:c r="K76" s="32"/>
      <x:c r="L76" s="32"/>
    </x:row>
    <x:row r="77">
      <x:c r="A77" s="32"/>
      <x:c r="B77" s="32"/>
      <x:c r="C77" s="32"/>
      <x:c r="D77" s="32"/>
      <x:c r="E77" s="32"/>
      <x:c r="F77" s="32"/>
      <x:c r="G77" s="32"/>
      <x:c r="H77" s="32"/>
      <x:c r="I77" s="32"/>
      <x:c r="J77" s="32"/>
      <x:c r="K77" s="32"/>
      <x:c r="L77" s="32"/>
    </x:row>
    <x:row r="78">
      <x:c r="A78" s="32"/>
      <x:c r="B78" s="32"/>
      <x:c r="C78" s="32"/>
      <x:c r="D78" s="32"/>
      <x:c r="E78" s="32"/>
      <x:c r="F78" s="32"/>
      <x:c r="G78" s="32"/>
      <x:c r="H78" s="32"/>
      <x:c r="I78" s="32"/>
      <x:c r="J78" s="32"/>
      <x:c r="K78" s="32"/>
      <x:c r="L78" s="32"/>
    </x:row>
    <x:row r="79">
      <x:c r="A79" s="32"/>
      <x:c r="B79" s="32"/>
      <x:c r="C79" s="32"/>
      <x:c r="D79" s="32"/>
      <x:c r="E79" s="32"/>
      <x:c r="F79" s="32"/>
      <x:c r="G79" s="32"/>
      <x:c r="H79" s="32"/>
      <x:c r="I79" s="32"/>
      <x:c r="J79" s="32"/>
      <x:c r="K79" s="32"/>
      <x:c r="L79" s="32"/>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x:c r="B38" s="32"/>
      <x:c r="C38" s="32"/>
      <x:c r="D38" s="32"/>
      <x:c r="E38" s="32"/>
      <x:c r="F38" s="32"/>
      <x:c r="G38" s="32"/>
      <x:c r="H38" s="32"/>
      <x:c r="I38" s="32"/>
    </x:row>
    <x:row r="39">
      <x:c r="A39" s="32"/>
      <x:c r="B39" s="32"/>
      <x:c r="C39" s="32"/>
      <x:c r="D39" s="32"/>
      <x:c r="E39" s="32"/>
      <x:c r="F39" s="32"/>
      <x:c r="G39" s="32"/>
      <x:c r="H39" s="32"/>
      <x:c r="I39" s="32"/>
    </x:row>
    <x:row r="40">
      <x:c r="A40" s="32"/>
      <x:c r="B40" s="32"/>
      <x:c r="C40" s="32"/>
      <x:c r="D40" s="32"/>
      <x:c r="E40" s="32"/>
      <x:c r="F40" s="32"/>
      <x:c r="G40" s="32"/>
      <x:c r="H40" s="32"/>
      <x:c r="I40" s="32"/>
    </x:row>
    <x:row r="41">
      <x:c r="A41" s="32"/>
      <x:c r="B41" s="32"/>
      <x:c r="C41" s="32"/>
      <x:c r="D41" s="32"/>
      <x:c r="E41" s="32"/>
      <x:c r="F41" s="32"/>
      <x:c r="G41" s="32"/>
      <x:c r="H41" s="32"/>
      <x:c r="I41" s="32"/>
    </x:row>
    <x:row r="42">
      <x:c r="A42" s="32"/>
      <x:c r="B42" s="32"/>
      <x:c r="C42" s="32"/>
      <x:c r="D42" s="32"/>
      <x:c r="E42" s="32"/>
      <x:c r="F42" s="32"/>
      <x:c r="G42" s="32"/>
      <x:c r="H42" s="32"/>
      <x:c r="I42" s="32"/>
    </x:row>
    <x:row r="43">
      <x:c r="A43" s="32"/>
      <x:c r="B43" s="32"/>
      <x:c r="C43" s="32"/>
      <x:c r="D43" s="32"/>
      <x:c r="E43" s="32"/>
      <x:c r="F43" s="32"/>
      <x:c r="G43" s="32"/>
      <x:c r="H43" s="32"/>
      <x:c r="I43" s="32"/>
    </x:row>
    <x:row r="44">
      <x:c r="A44" s="32"/>
      <x:c r="B44" s="32"/>
      <x:c r="C44" s="32"/>
      <x:c r="D44" s="32"/>
      <x:c r="E44" s="32"/>
      <x:c r="F44" s="32"/>
      <x:c r="G44" s="32"/>
      <x:c r="H44" s="32"/>
      <x:c r="I44" s="32"/>
    </x:row>
    <x:row r="45">
      <x:c r="A45" s="32"/>
      <x:c r="B45" s="32"/>
      <x:c r="C45" s="32"/>
      <x:c r="D45" s="32"/>
      <x:c r="E45" s="32"/>
      <x:c r="F45" s="32"/>
      <x:c r="G45" s="32"/>
      <x:c r="H45" s="32"/>
      <x:c r="I45" s="32"/>
    </x:row>
    <x:row r="46">
      <x:c r="A46" s="32"/>
      <x:c r="B46" s="32"/>
      <x:c r="C46" s="32"/>
      <x:c r="D46" s="32"/>
      <x:c r="E46" s="32"/>
      <x:c r="F46" s="32"/>
      <x:c r="G46" s="32"/>
      <x:c r="H46" s="32"/>
      <x:c r="I46" s="32"/>
    </x:row>
    <x:row r="47">
      <x:c r="A47" s="32"/>
      <x:c r="B47" s="32"/>
      <x:c r="C47" s="32"/>
      <x:c r="D47" s="32"/>
      <x:c r="E47" s="32"/>
      <x:c r="F47" s="32"/>
      <x:c r="G47" s="32"/>
      <x:c r="H47" s="32"/>
      <x:c r="I47" s="32"/>
    </x:row>
    <x:row r="48">
      <x:c r="A48" s="32"/>
      <x:c r="B48" s="32"/>
      <x:c r="C48" s="32"/>
      <x:c r="D48" s="32"/>
      <x:c r="E48" s="32"/>
      <x:c r="F48" s="32"/>
      <x:c r="G48" s="32"/>
      <x:c r="H48" s="32"/>
      <x:c r="I48" s="32"/>
    </x:row>
    <x:row r="49">
      <x:c r="A49" s="32"/>
      <x:c r="B49" s="32"/>
      <x:c r="C49" s="32"/>
      <x:c r="D49" s="32"/>
      <x:c r="E49" s="32"/>
      <x:c r="F49" s="32"/>
      <x:c r="G49" s="32"/>
      <x:c r="H49" s="32"/>
      <x:c r="I49" s="32"/>
    </x:row>
    <x:row r="50">
      <x:c r="A50" s="32"/>
      <x:c r="B50" s="32"/>
      <x:c r="C50" s="32"/>
      <x:c r="D50" s="32"/>
      <x:c r="E50" s="32"/>
      <x:c r="F50" s="32"/>
      <x:c r="G50" s="32"/>
      <x:c r="H50" s="32"/>
      <x:c r="I50" s="32"/>
    </x:row>
    <x:row r="51">
      <x:c r="A51" s="32"/>
      <x:c r="B51" s="32"/>
      <x:c r="C51" s="32"/>
      <x:c r="D51" s="32"/>
      <x:c r="E51" s="32"/>
      <x:c r="F51" s="32"/>
      <x:c r="G51" s="32"/>
      <x:c r="H51" s="32"/>
      <x:c r="I51" s="32"/>
    </x:row>
    <x:row r="52">
      <x:c r="A52" s="32"/>
      <x:c r="B52" s="32"/>
      <x:c r="C52" s="32"/>
      <x:c r="D52" s="32"/>
      <x:c r="E52" s="32"/>
      <x:c r="F52" s="32"/>
      <x:c r="G52" s="32"/>
      <x:c r="H52" s="32"/>
      <x:c r="I52" s="32"/>
    </x:row>
    <x:row r="53">
      <x:c r="A53" s="32"/>
      <x:c r="B53" s="32"/>
      <x:c r="C53" s="32"/>
      <x:c r="D53" s="32"/>
      <x:c r="E53" s="32"/>
      <x:c r="F53" s="32"/>
      <x:c r="G53" s="32"/>
      <x:c r="H53" s="32"/>
      <x:c r="I53" s="32"/>
    </x:row>
    <x:row r="54">
      <x:c r="A54" s="32"/>
      <x:c r="B54" s="32"/>
      <x:c r="C54" s="32"/>
      <x:c r="D54" s="32"/>
      <x:c r="E54" s="32"/>
      <x:c r="F54" s="32"/>
      <x:c r="G54" s="32"/>
      <x:c r="H54" s="32"/>
      <x:c r="I54" s="32"/>
    </x:row>
    <x:row r="55">
      <x:c r="A55" s="32"/>
      <x:c r="B55" s="32"/>
      <x:c r="C55" s="32"/>
      <x:c r="D55" s="32"/>
      <x:c r="E55" s="32"/>
      <x:c r="F55" s="32"/>
      <x:c r="G55" s="32"/>
      <x:c r="H55" s="32"/>
      <x:c r="I55" s="32"/>
    </x:row>
    <x:row r="56">
      <x:c r="A56" s="32"/>
      <x:c r="B56" s="32"/>
      <x:c r="C56" s="32"/>
      <x:c r="D56" s="32"/>
      <x:c r="E56" s="32"/>
      <x:c r="F56" s="32"/>
      <x:c r="G56" s="32"/>
      <x:c r="H56" s="32"/>
      <x:c r="I56" s="32"/>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21</x:v>
      </x:c>
      <x:c r="J5" t="str">
        <x:v>GREEN</x:v>
      </x:c>
    </x:row>
    <x:row r="6">
      <x:c r="A6" s="21" t="str">
        <x:v>Completed</x:v>
      </x:c>
      <x:c r="B6" t="n">
        <x:v>24</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8</x:v>
      </x:c>
      <x:c r="H7" s="21" t="str">
        <x:v>FAIL</x:v>
      </x:c>
      <x:c r="I7" t="n">
        <x:f>COUNTIF('02_Run_Results'!AI5:AI500,"FAIL")</x:f>
        <x:v>0</x:v>
      </x:c>
      <x:c r="J7" t="str">
        <x:v>INVESTIGATE</x:v>
      </x:c>
    </x:row>
    <x:row r="8">
      <x:c r="A8" s="21" t="str">
        <x:v>Blocked</x:v>
      </x:c>
      <x:c r="B8" t="n">
        <x:f>COUNTIF('01_Test_Plan'!R5:R200,"Blocked")</x:f>
        <x:v>0</x:v>
      </x:c>
      <x:c r="D8" s="21" t="str">
        <x:v>R3.5D</x:v>
      </x:c>
      <x:c r="E8" t="n">
        <x:f>COUNTIF('01_Test_Plan'!B5:B200,D8)</x:f>
        <x:v>10</x:v>
      </x:c>
      <x:c r="F8" t="n">
        <x:f>COUNTIFS('01_Test_Plan'!B5:B200,D8,'01_Test_Plan'!R5:R200,"Completed")</x:f>
        <x:v>0</x:v>
      </x:c>
      <x:c r="H8" s="21" t="str">
        <x:v>OBSERVED</x:v>
      </x:c>
      <x:c r="I8" t="n">
        <x:f>COUNTIF('02_Run_Results'!AI5:AI500,"OBSERVED")</x:f>
        <x:v>0</x:v>
      </x:c>
      <x:c r="J8" t="str">
        <x:v>N/A</x:v>
      </x:c>
    </x:row>
    <x:row r="9">
      <x:c r="A9" s="21" t="str">
        <x:v>Completion %</x:v>
      </x:c>
      <x:c r="B9" s="38" t="n">
        <x:v>0.3870967741935484</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f>COUNTIFS('03_Findings'!F5:F500,"High",'03_Findings'!K5:K500,"Open")+COUNTIFS('03_Findings'!F5:F500,"High",'03_Findings'!K5:K500,"Investigating")+COUNTIFS('03_Findings'!F5:F500,"Critical",'03_Findings'!K5:K500,"Open")+COUNTIFS('03_Findings'!F5:F500,"Critical",'03_Findings'!K5:K500,"Investigating")</x:f>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C-005 p95</x:v>
      </x:c>
      <x:c r="K43" t="str">
        <x:v>0.978 s / 0 overruns</x:v>
      </x:c>
    </x:row>
    <x:row r="44">
      <x:c r="A44" s="32" t="str">
        <x:v>Large margin / low information</x:v>
      </x:c>
      <x:c r="B44" s="32" t="str">
        <x:v>Skip intermediate points</x:v>
      </x:c>
      <x:c r="C44" s="32" t="str">
        <x:v>Increase information per run</x:v>
      </x:c>
      <x:c r="D44"/>
      <x:c r="E44"/>
      <x:c r="F44"/>
      <x:c r="G44"/>
      <x:c r="H44"/>
      <x:c r="J44" t="str">
        <x:v>C1 durable state</x:v>
      </x:c>
      <x:c r="K44" t="str">
        <x:v>4000 assignments / WAL 4.995 MB</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C-005</x:v>
      </x:c>
      <x:c r="K52" t="str">
        <x:v>PASS/GREEN — C1 closed</x:v>
      </x:c>
    </x:row>
    <x:row r="53">
      <x:c r="J53" t="str">
        <x:v>Next</x:v>
      </x:c>
      <x:c r="K53" t="str">
        <x:v>C-006 C2 delayed routing design</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a905085716074234"/>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de Criticality.C2 donde el Tool de origen se asigna inmediatamente y cada destino queda pending hasta su deadline absoluto calculado desde occurrence.started_at.</x:v>
      </x:c>
      <x:c r="C34" s="32" t="str">
        <x:v>Ejercita SCHEDULED, pending_assignments, vencimiento temporal y ASSIGNED posteriores sin modificar evaluación.</x:v>
      </x:c>
      <x:c r="D34" s="32" t="str">
        <x:v>Proposed C-006: three deterministic delays 60/120/180 s; 1000 alarms; 300 s run.</x:v>
      </x:c>
      <x:c r="E34" s="32" t="str">
        <x:v>R3.5C</x:v>
      </x:c>
      <x:c r="F34" s="32" t="str">
        <x:v>La primera prueba C2 no debe mezclar cambios de configuración. RESCHEDULED y REMOVED permanecen en cero; cada due wave debe materializar exactamente el destino correspondiente.</x:v>
      </x:c>
    </x:row>
  </x:sheetData>
  <x:mergeCells>
    <x:mergeCell ref="A1:F2"/>
  </x:mergeCells>
  <x:pageMargins left="0.7" right="0.7" top="0.75" bottom="0.75" header="0.3" footer="0.3"/>
</x:worksheet>
</file>