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94cf85b4d7042a8" /></Relationships>
</file>

<file path=xl/workbook.xml><?xml version="1.0" encoding="utf-8"?>
<x:workbook xmlns:x="http://schemas.openxmlformats.org/spreadsheetml/2006/main">
  <x:sheets>
    <x:sheet xmlns:r="http://schemas.openxmlformats.org/officeDocument/2006/relationships" name="00_Control" sheetId="1" r:id="Ra336a7212c574a19"/>
    <x:sheet xmlns:r="http://schemas.openxmlformats.org/officeDocument/2006/relationships" name="01_Test_Plan" sheetId="2" r:id="R8ea4d58198c046d7"/>
    <x:sheet xmlns:r="http://schemas.openxmlformats.org/officeDocument/2006/relationships" name="02_Run_Results" sheetId="3" r:id="R006ede85d31c442f"/>
    <x:sheet xmlns:r="http://schemas.openxmlformats.org/officeDocument/2006/relationships" name="03_Findings" sheetId="4" r:id="R3883e7a87a3342e6"/>
    <x:sheet xmlns:r="http://schemas.openxmlformats.org/officeDocument/2006/relationships" name="04_Decisions" sheetId="5" r:id="Rcf0bbbbc8e9d4033"/>
    <x:sheet xmlns:r="http://schemas.openxmlformats.org/officeDocument/2006/relationships" name="05_Dashboard" sheetId="6" r:id="R4d14d13b7f50499f"/>
    <x:sheet xmlns:r="http://schemas.openxmlformats.org/officeDocument/2006/relationships" name="06_Definitions" sheetId="7" r:id="Rc56ce958e9df4593"/>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63852c0eaf74626" /><Relationship Type="http://schemas.openxmlformats.org/officeDocument/2006/relationships/theme" Target="/xl/theme/theme1.xml" Id="R693f829d48944561" /><Relationship Type="http://schemas.microsoft.com/office/2022/11/relationships/FeaturePropertyBag" Target="/xl/featurePropertyBag/featurePropertyBag.xml" Id="R91992d7afe5c4275" /><Relationship Type="http://schemas.openxmlformats.org/officeDocument/2006/relationships/sharedStrings" Target="/xl/sharedStrings.xml" Id="R9356c96451a6451b" /><Relationship Type="http://schemas.openxmlformats.org/officeDocument/2006/relationships/worksheet" Target="/xl/worksheets/sheet1.xml" Id="Ra336a7212c574a19" /><Relationship Type="http://schemas.openxmlformats.org/officeDocument/2006/relationships/worksheet" Target="/xl/worksheets/sheet2.xml" Id="R8ea4d58198c046d7" /><Relationship Type="http://schemas.openxmlformats.org/officeDocument/2006/relationships/worksheet" Target="/xl/worksheets/sheet3.xml" Id="R006ede85d31c442f" /><Relationship Type="http://schemas.openxmlformats.org/officeDocument/2006/relationships/worksheet" Target="/xl/worksheets/sheet4.xml" Id="R3883e7a87a3342e6" /><Relationship Type="http://schemas.openxmlformats.org/officeDocument/2006/relationships/worksheet" Target="/xl/worksheets/sheet5.xml" Id="Rcf0bbbbc8e9d4033" /><Relationship Type="http://schemas.openxmlformats.org/officeDocument/2006/relationships/worksheet" Target="/xl/worksheets/sheet6.xml" Id="R4d14d13b7f50499f" /><Relationship Type="http://schemas.openxmlformats.org/officeDocument/2006/relationships/worksheet" Target="/xl/worksheets/sheet7.xml" Id="Rc56ce958e9df4593" /></Relationships>
</file>

<file path=xl/drawings/_rels/drawing1.xml.rels>&#65279;<?xml version="1.0" encoding="utf-8"?><Relationships xmlns="http://schemas.openxmlformats.org/package/2006/relationships"><Relationship Type="http://schemas.openxmlformats.org/officeDocument/2006/relationships/chart" Target="/xl/drawings/charts/chart1.xml" Id="R339c4d528b0548e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39c4d528b0548e4"/>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288d48ebb924a65" /></Relationships>
</file>

<file path=xl/worksheets/_rels/sheet6.xml.rels>&#65279;<?xml version="1.0" encoding="utf-8"?><Relationships xmlns="http://schemas.openxmlformats.org/package/2006/relationships"><Relationship Type="http://schemas.openxmlformats.org/officeDocument/2006/relationships/drawing" Target="/xl/drawings/drawing1.xml" Id="R4efb80e9a62e425b"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1.0.39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0.14.1</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0.7.0</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R3.5C IN PROGRESS — C-008 C2 DESTINATION REMOVAL READY</x:v>
      </x:c>
    </x:row>
    <x:row r="27">
      <x:c r="A27" s="21" t="str">
        <x:v>Siguiente test sugerido</x:v>
      </x:c>
      <x:c r="B27" t="str">
        <x:v>C-008 C2 Destination Removal Across Configuration Window</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Harness executes two real Job Runtime phases on the same durable volume. Phase A (90 s, PERF-AC-1): origin immediate + destinations +60/+120/+180. At the boundary route-01 is ASSIGNED while route-02/03 are pending: materialized state 2000 assigned / 2000 pending. Phase B adopts PERF-AC-2 with the same alarms/criticality/origin but destinations=(). Expect exactly 3000 REMOVED in 100 adoption commits: 1000 previously ASSIGNED + 2000 previously pending. Totals: lifecycle commits=300, ASSIGNED=2000, SCHEDULED=3000, RESCHEDULED=0, REMOVED=3000, assignment changes=8000; no new Occurrence/Episode; final state=1000 origin assignments / 0 pending.</x:v>
      </x:c>
      <x:c r="Q32" s="36" t="str">
        <x:v>Run 210 s total. Harness internally executes Phase A=90 s and Phase B=120 s; one user command. Both phases reuse the same volume/source. Phase B publishes PERF-AC-2 and uses a real Criticality.C2 plan with destinations=(), so normal compatible configuration adoption generates REMOVED. Gate audits removal per destination (1000 each), split reached/pending=1000/2000, 100 removal commits, revision transition, occurrence identity, no due_at on REMOVED, no RESCHEDULED and no delayed ASSIGNED after removal. Materialized wave vectors must be assigned=(1000,2000,1000), pending=(3000,2000,0).</x:v>
      </x:c>
      <x:c r="R32" s="36" t="str">
        <x:v>Ready</x:v>
      </x:c>
      <x:c r="S32" s="36" t="str">
        <x:v>C-007 + C-008 harness patch 0.1.0</x:v>
      </x:c>
      <x:c r="T32" s="36" t="str">
        <x:v>Harness-only increment: baseline/metrics/run + exact commented mirrors + tests; no Core/Persistence/Runtime product changes. New CLI --c2-remove-destinations-phase-a-seconds. Validation requires initial C2 routing, at least two destinations, Phase A aligned with data_refresh, strictly after the first due_at and before the second, and total duration beyond the largest original delay. C2 reschedule and destination-removal modes are mutually exclusive. Local adapted validation: 54/54 performance harness tests and 254/254 alarms-runtime tests; production/commented token equivalence PASS; compile PASS. The target AC-2 revision is classified COMPATIBLE and remains Criticality.C2 with origin perf-tool and no destinations. Core already defines explicit route removal for both reached and pending Tools; C-008 exercises that behavior at 1000-alarm scale through real inter-window adoption. ZIP layout independently verified to contain only seven files rooted at scopes/ada/processes/alarms-runtime/.</x:v>
      </x:c>
    </x:row>
    <x:row r="33">
      <x:c r="A33" s="36" t="str">
        <x:v>D-001</x:v>
      </x:c>
      <x:c r="B33" s="36" t="str">
        <x:v>R3.5D</x:v>
      </x:c>
      <x:c r="C33" s="36" t="n">
        <x:v>50</x:v>
      </x:c>
      <x:c r="D33" s="36" t="str">
        <x:v>Single ManagementAction</x:v>
      </x:c>
      <x:c r="E33" s="36" t="str">
        <x:v>Medir latencia end-to-end de una gestión</x:v>
      </x:c>
      <x:c r="F33" s="36" t="n">
        <x:v>1000</x:v>
      </x:c>
      <x:c r="G33" s="36" t="str">
        <x:v>Local FS</x:v>
      </x:c>
      <x:c r="H33" s="36" t="str">
        <x:v>Steady-state</x:v>
      </x:c>
      <x:c r="I33" s="36" t="str">
        <x:v>Baseline</x:v>
      </x:c>
      <x:c r="J33" s="36" t="str">
        <x:v>1 management</x:v>
      </x:c>
      <x:c r="K33" s="36" t="str">
        <x:v>Stable config</x:v>
      </x:c>
      <x:c r="L33" s="36" t="n">
        <x:v>5</x:v>
      </x:c>
      <x:c r="M33" s="36" t="n">
        <x:v>5</x:v>
      </x:c>
      <x:c r="N33" s="36" t="n">
        <x:v>10</x:v>
      </x:c>
      <x:c r="O33" s="36" t="str">
        <x:v>Control-plane</x:v>
      </x:c>
      <x:c r="P33" s="36" t="str">
        <x:v>receipt durable + no duplicate</x:v>
      </x:c>
      <x:c r="Q33" s="36" t="str">
        <x:v>Medir ingress→receipt</x:v>
      </x:c>
      <x:c r="R33" s="36" t="str">
        <x:v>Planned</x:v>
      </x:c>
      <x:c r="S33" s="36" t="str">
        <x:v>C-001</x:v>
      </x:c>
      <x:c r="T33" s="36" t="str"/>
    </x:row>
    <x:row r="34">
      <x:c r="A34" s="36" t="str">
        <x:v>D-002</x:v>
      </x:c>
      <x:c r="B34" s="36" t="str">
        <x:v>R3.5D</x:v>
      </x:c>
      <x:c r="C34" s="36" t="n">
        <x:v>51</x:v>
      </x:c>
      <x:c r="D34" s="36" t="str">
        <x:v>Management continuous 1/s</x:v>
      </x:c>
      <x:c r="E34" s="36" t="str">
        <x:v>Medir carga sostenida de gestiones</x:v>
      </x:c>
      <x:c r="F34" s="36" t="n">
        <x:v>1000</x:v>
      </x:c>
      <x:c r="G34" s="36" t="str">
        <x:v>Local FS</x:v>
      </x:c>
      <x:c r="H34" s="36" t="str">
        <x:v>Operational churn</x:v>
      </x:c>
      <x:c r="I34" s="36" t="str">
        <x:v>Baseline</x:v>
      </x:c>
      <x:c r="J34" s="36" t="str">
        <x:v>1 management/s</x:v>
      </x:c>
      <x:c r="K34" s="36" t="str">
        <x:v>Stable config</x:v>
      </x:c>
      <x:c r="L34" s="36" t="n">
        <x:v>10</x:v>
      </x:c>
      <x:c r="M34" s="36" t="n">
        <x:v>5</x:v>
      </x:c>
      <x:c r="N34" s="36" t="n">
        <x:v>10</x:v>
      </x:c>
      <x:c r="O34" s="36" t="str">
        <x:v>Control-plane</x:v>
      </x:c>
      <x:c r="P34" s="36" t="str">
        <x:v>0 lost receipts / duplicates</x:v>
      </x:c>
      <x:c r="Q34" s="36" t="str">
        <x:v>p95 management latency</x:v>
      </x:c>
      <x:c r="R34" s="36" t="str">
        <x:v>Planned</x:v>
      </x:c>
      <x:c r="S34" s="36" t="str">
        <x:v>D-001</x:v>
      </x:c>
      <x:c r="T34" s="36" t="str"/>
    </x:row>
    <x:row r="35">
      <x:c r="A35" s="36" t="str">
        <x:v>D-003</x:v>
      </x:c>
      <x:c r="B35" s="36" t="str">
        <x:v>R3.5D</x:v>
      </x:c>
      <x:c r="C35" s="36" t="n">
        <x:v>52</x:v>
      </x:c>
      <x:c r="D35" s="36" t="str">
        <x:v>Management burst 50</x:v>
      </x:c>
      <x:c r="E35" s="36" t="str">
        <x:v>Medir absorción de burst</x:v>
      </x:c>
      <x:c r="F35" s="36" t="n">
        <x:v>1000</x:v>
      </x:c>
      <x:c r="G35" s="36" t="str">
        <x:v>Local FS</x:v>
      </x:c>
      <x:c r="H35" s="36" t="str">
        <x:v>Operational churn</x:v>
      </x:c>
      <x:c r="I35" s="36" t="str">
        <x:v>Baseline</x:v>
      </x:c>
      <x:c r="J35" s="36" t="str">
        <x:v>50 management burst</x:v>
      </x:c>
      <x:c r="K35" s="36" t="str">
        <x:v>Stable config</x:v>
      </x:c>
      <x:c r="L35" s="36" t="n">
        <x:v>10</x:v>
      </x:c>
      <x:c r="M35" s="36" t="n">
        <x:v>5</x:v>
      </x:c>
      <x:c r="N35" s="36" t="n">
        <x:v>10</x:v>
      </x:c>
      <x:c r="O35" s="36" t="str">
        <x:v>Stress</x:v>
      </x:c>
      <x:c r="P35" s="36" t="str">
        <x:v>0 lost receipts / duplicates</x:v>
      </x:c>
      <x:c r="Q35" s="36" t="str">
        <x:v>Observar backlog y recovery</x:v>
      </x:c>
      <x:c r="R35" s="36" t="str">
        <x:v>Planned</x:v>
      </x:c>
      <x:c r="S35" s="36" t="str">
        <x:v>D-002</x:v>
      </x:c>
      <x:c r="T35" s="36" t="str"/>
    </x:row>
    <x:row r="36">
      <x:c r="A36" s="36" t="str">
        <x:v>D-004</x:v>
      </x:c>
      <x:c r="B36" s="36" t="str">
        <x:v>R3.5D</x:v>
      </x:c>
      <x:c r="C36" s="36" t="n">
        <x:v>53</x:v>
      </x:c>
      <x:c r="D36" s="36" t="str">
        <x:v>Management burst 100</x:v>
      </x:c>
      <x:c r="E36" s="36" t="str">
        <x:v>Buscar techo de burst</x:v>
      </x:c>
      <x:c r="F36" s="36" t="n">
        <x:v>1000</x:v>
      </x:c>
      <x:c r="G36" s="36" t="str">
        <x:v>Local FS</x:v>
      </x:c>
      <x:c r="H36" s="36" t="str">
        <x:v>Operational churn</x:v>
      </x:c>
      <x:c r="I36" s="36" t="str">
        <x:v>Baseline</x:v>
      </x:c>
      <x:c r="J36" s="36" t="str">
        <x:v>100 management burst</x:v>
      </x:c>
      <x:c r="K36" s="36" t="str">
        <x:v>Stable config</x:v>
      </x:c>
      <x:c r="L36" s="36" t="n">
        <x:v>10</x:v>
      </x:c>
      <x:c r="M36" s="36" t="n">
        <x:v>5</x:v>
      </x:c>
      <x:c r="N36" s="36" t="n">
        <x:v>10</x:v>
      </x:c>
      <x:c r="O36" s="36" t="str">
        <x:v>Extreme</x:v>
      </x:c>
      <x:c r="P36" s="36" t="str">
        <x:v>0 lost receipts / duplicates</x:v>
      </x:c>
      <x:c r="Q36" s="36" t="str">
        <x:v>No fail sólo por latencia</x:v>
      </x:c>
      <x:c r="R36" s="36" t="str">
        <x:v>Planned</x:v>
      </x:c>
      <x:c r="S36" s="36" t="str">
        <x:v>D-003</x:v>
      </x:c>
      <x:c r="T36" s="36" t="str"/>
    </x:row>
    <x:row r="37">
      <x:c r="A37" s="36" t="str">
        <x:v>D-005</x:v>
      </x:c>
      <x:c r="B37" s="36" t="str">
        <x:v>R3.5D</x:v>
      </x:c>
      <x:c r="C37" s="36" t="n">
        <x:v>54</x:v>
      </x:c>
      <x:c r="D37" s="36" t="str">
        <x:v>Single DeactivationDecision</x:v>
      </x:c>
      <x:c r="E37" s="36" t="str">
        <x:v>Medir latencia de decisión</x:v>
      </x:c>
      <x:c r="F37" s="36" t="n">
        <x:v>1000</x:v>
      </x:c>
      <x:c r="G37" s="36" t="str">
        <x:v>Local FS</x:v>
      </x:c>
      <x:c r="H37" s="36" t="str">
        <x:v>Steady-state</x:v>
      </x:c>
      <x:c r="I37" s="36" t="str">
        <x:v>Baseline</x:v>
      </x:c>
      <x:c r="J37" s="36" t="str">
        <x:v>1 decision</x:v>
      </x:c>
      <x:c r="K37" s="36" t="str">
        <x:v>Stable config</x:v>
      </x:c>
      <x:c r="L37" s="36" t="n">
        <x:v>5</x:v>
      </x:c>
      <x:c r="M37" s="36" t="n">
        <x:v>5</x:v>
      </x:c>
      <x:c r="N37" s="36" t="n">
        <x:v>10</x:v>
      </x:c>
      <x:c r="O37" s="36" t="str">
        <x:v>Control-plane</x:v>
      </x:c>
      <x:c r="P37" s="36" t="str">
        <x:v>receipt durable + causalidad</x:v>
      </x:c>
      <x:c r="Q37" s="36" t="str">
        <x:v>Medir ingress→receipt</x:v>
      </x:c>
      <x:c r="R37" s="36" t="str">
        <x:v>Planned</x:v>
      </x:c>
      <x:c r="S37" s="36" t="str">
        <x:v>D-001</x:v>
      </x:c>
      <x:c r="T37" s="36" t="str"/>
    </x:row>
    <x:row r="38">
      <x:c r="A38" s="36" t="str">
        <x:v>D-006</x:v>
      </x:c>
      <x:c r="B38" s="36" t="str">
        <x:v>R3.5D</x:v>
      </x:c>
      <x:c r="C38" s="36" t="n">
        <x:v>55</x:v>
      </x:c>
      <x:c r="D38" s="36" t="str">
        <x:v>Decision continuous 1/s</x:v>
      </x:c>
      <x:c r="E38" s="36" t="str">
        <x:v>Medir decisiones sostenidas</x:v>
      </x:c>
      <x:c r="F38" s="36" t="n">
        <x:v>1000</x:v>
      </x:c>
      <x:c r="G38" s="36" t="str">
        <x:v>Local FS</x:v>
      </x:c>
      <x:c r="H38" s="36" t="str">
        <x:v>Operational churn</x:v>
      </x:c>
      <x:c r="I38" s="36" t="str">
        <x:v>Baseline</x:v>
      </x:c>
      <x:c r="J38" s="36" t="str">
        <x:v>1 decision/s</x:v>
      </x:c>
      <x:c r="K38" s="36" t="str">
        <x:v>Stable config</x:v>
      </x:c>
      <x:c r="L38" s="36" t="n">
        <x:v>10</x:v>
      </x:c>
      <x:c r="M38" s="36" t="n">
        <x:v>5</x:v>
      </x:c>
      <x:c r="N38" s="36" t="n">
        <x:v>10</x:v>
      </x:c>
      <x:c r="O38" s="36" t="str">
        <x:v>Control-plane</x:v>
      </x:c>
      <x:c r="P38" s="36" t="str">
        <x:v>0 lost receipts / duplicates</x:v>
      </x:c>
      <x:c r="Q38" s="36" t="str">
        <x:v>p95 decision latency</x:v>
      </x:c>
      <x:c r="R38" s="36" t="str">
        <x:v>Planned</x:v>
      </x:c>
      <x:c r="S38" s="36" t="str">
        <x:v>D-005</x:v>
      </x:c>
      <x:c r="T38" s="36" t="str"/>
    </x:row>
    <x:row r="39">
      <x:c r="A39" s="36" t="str">
        <x:v>D-007</x:v>
      </x:c>
      <x:c r="B39" s="36" t="str">
        <x:v>R3.5D</x:v>
      </x:c>
      <x:c r="C39" s="36" t="n">
        <x:v>56</x:v>
      </x:c>
      <x:c r="D39" s="36" t="str">
        <x:v>Decision burst 50</x:v>
      </x:c>
      <x:c r="E39" s="36" t="str">
        <x:v>Medir burst de decisiones</x:v>
      </x:c>
      <x:c r="F39" s="36" t="n">
        <x:v>1000</x:v>
      </x:c>
      <x:c r="G39" s="36" t="str">
        <x:v>Local FS</x:v>
      </x:c>
      <x:c r="H39" s="36" t="str">
        <x:v>Operational churn</x:v>
      </x:c>
      <x:c r="I39" s="36" t="str">
        <x:v>Baseline</x:v>
      </x:c>
      <x:c r="J39" s="36" t="str">
        <x:v>50 decision burst</x:v>
      </x:c>
      <x:c r="K39" s="36" t="str">
        <x:v>Stable config</x:v>
      </x:c>
      <x:c r="L39" s="36" t="n">
        <x:v>10</x:v>
      </x:c>
      <x:c r="M39" s="36" t="n">
        <x:v>5</x:v>
      </x:c>
      <x:c r="N39" s="36" t="n">
        <x:v>10</x:v>
      </x:c>
      <x:c r="O39" s="36" t="str">
        <x:v>Stress</x:v>
      </x:c>
      <x:c r="P39" s="36" t="str">
        <x:v>causalidad + idempotencia</x:v>
      </x:c>
      <x:c r="Q39" s="36" t="str">
        <x:v>Observar pending/cursors</x:v>
      </x:c>
      <x:c r="R39" s="36" t="str">
        <x:v>Planned</x:v>
      </x:c>
      <x:c r="S39" s="36" t="str">
        <x:v>D-006</x:v>
      </x:c>
      <x:c r="T39" s="36" t="str"/>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1288d48ebb924a65"/>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row>
    <x:row r="32">
      <x:c r="A32" s="32"/>
      <x:c r="B32" s="32"/>
      <x:c r="C32" s="42"/>
      <x:c r="D32" s="32"/>
      <x:c r="E32" s="32"/>
      <x:c r="F32" s="32"/>
      <x:c r="G32" s="32"/>
      <x:c r="H32" s="32"/>
      <x:c r="I32" s="32"/>
      <x:c r="J32" s="32"/>
      <x:c r="K32" s="32"/>
      <x:c r="L32" s="32"/>
      <x:c r="M32" s="32"/>
      <x:c r="N32" s="32"/>
      <x:c r="O32" s="32"/>
      <x:c r="P32" s="32"/>
      <x:c r="Q32" s="32"/>
      <x:c r="R32" s="32"/>
      <x:c r="S32" s="32"/>
      <x:c r="T32" s="43" t="str">
        <x:f>IFERROR(S32/L32,"")</x:f>
      </x:c>
      <x:c r="U32" s="32"/>
      <x:c r="V32" s="32"/>
      <x:c r="W32" s="32"/>
      <x:c r="X32" s="32"/>
      <x:c r="Y32" s="32"/>
      <x:c r="Z32" s="32"/>
      <x:c r="AA32" s="32"/>
      <x:c r="AB32" s="32"/>
      <x:c r="AC32" s="32"/>
      <x:c r="AD32" s="32"/>
      <x:c r="AE32" s="32"/>
      <x:c r="AF32" s="32"/>
      <x:c r="AG32" s="32"/>
      <x:c r="AH32" s="32"/>
      <x:c r="AI32" s="32"/>
      <x:c r="AJ32" s="32"/>
      <x:c r="AK32" s="32"/>
      <x:c r="AL32" s="32"/>
      <x:c r="AM32" s="32"/>
      <x:c r="AN32" s="32"/>
      <x:c r="AO32" s="32"/>
      <x:c r="AP32" s="32"/>
      <x:c r="AQ32" s="32"/>
      <x:c r="AR32" s="32"/>
      <x:c r="AS32" s="32"/>
      <x:c r="AT32" s="32"/>
      <x:c r="AU32" s="32"/>
      <x:c r="AV32" s="32"/>
      <x:c r="AW32" s="32"/>
      <x:c r="AX32" s="32"/>
      <x:c r="AZ32" s="32"/>
      <x:c r="BA32" s="32"/>
      <x:c r="BB32" s="32"/>
      <x:c r="BC32" s="32"/>
      <x:c r="BD32" s="32"/>
      <x:c r="BE32" s="32"/>
      <x:c r="BF32" s="32"/>
      <x:c r="BG32" s="32"/>
      <x:c r="BH32" s="32"/>
      <x:c r="BI32" s="32"/>
      <x:c r="BJ32" s="32"/>
      <x:c r="BK32" s="32"/>
      <x:c r="BL32" s="32"/>
      <x:c r="BM32" s="32"/>
    </x:row>
    <x:row r="33">
      <x:c r="A33" s="32"/>
      <x:c r="B33" s="32"/>
      <x:c r="C33" s="42"/>
      <x:c r="D33" s="32"/>
      <x:c r="E33" s="32"/>
      <x:c r="F33" s="32"/>
      <x:c r="G33" s="32"/>
      <x:c r="H33" s="32"/>
      <x:c r="I33" s="32"/>
      <x:c r="J33" s="32"/>
      <x:c r="K33" s="32"/>
      <x:c r="L33" s="32"/>
      <x:c r="M33" s="32"/>
      <x:c r="N33" s="32"/>
      <x:c r="O33" s="32"/>
      <x:c r="P33" s="32"/>
      <x:c r="Q33" s="32"/>
      <x:c r="R33" s="32"/>
      <x:c r="S33" s="32"/>
      <x:c r="T33" s="43" t="str">
        <x:f>IFERROR(S33/L33,"")</x:f>
      </x:c>
      <x:c r="U33" s="32"/>
      <x:c r="V33" s="32"/>
      <x:c r="W33" s="32"/>
      <x:c r="X33" s="32"/>
      <x:c r="Y33" s="32"/>
      <x:c r="Z33" s="32"/>
      <x:c r="AA33" s="32"/>
      <x:c r="AB33" s="32"/>
      <x:c r="AC33" s="32"/>
      <x:c r="AD33" s="32"/>
      <x:c r="AE33" s="32"/>
      <x:c r="AF33" s="32"/>
      <x:c r="AG33" s="32"/>
      <x:c r="AH33" s="32"/>
      <x:c r="AI33" s="32"/>
      <x:c r="AJ33" s="32"/>
      <x:c r="AK33" s="32"/>
      <x:c r="AL33" s="32"/>
      <x:c r="AM33" s="32"/>
      <x:c r="AN33" s="32"/>
      <x:c r="AO33" s="32"/>
      <x:c r="AP33" s="32"/>
      <x:c r="AQ33" s="32"/>
      <x:c r="AR33" s="32"/>
      <x:c r="AS33" s="32"/>
      <x:c r="AT33" s="32"/>
      <x:c r="AU33" s="32"/>
      <x:c r="AV33" s="32"/>
      <x:c r="AW33" s="32"/>
      <x:c r="AX33" s="32"/>
      <x:c r="AZ33" s="32"/>
      <x:c r="BA33" s="32"/>
      <x:c r="BB33" s="32"/>
      <x:c r="BC33" s="32"/>
      <x:c r="BD33" s="32"/>
      <x:c r="BE33" s="32"/>
      <x:c r="BF33" s="32"/>
      <x:c r="BG33" s="32"/>
      <x:c r="BH33" s="32"/>
      <x:c r="BI33" s="32"/>
      <x:c r="BJ33" s="32"/>
      <x:c r="BK33" s="32"/>
      <x:c r="BL33" s="32"/>
      <x:c r="BM33" s="32"/>
    </x:row>
    <x:row r="34">
      <x:c r="A34" s="32"/>
      <x:c r="B34" s="32"/>
      <x:c r="C34" s="42"/>
      <x:c r="D34" s="32"/>
      <x:c r="E34" s="32"/>
      <x:c r="F34" s="32"/>
      <x:c r="G34" s="32"/>
      <x:c r="H34" s="32"/>
      <x:c r="I34" s="32"/>
      <x:c r="J34" s="32"/>
      <x:c r="K34" s="32"/>
      <x:c r="L34" s="32"/>
      <x:c r="M34" s="32"/>
      <x:c r="N34" s="32"/>
      <x:c r="O34" s="32"/>
      <x:c r="P34" s="32"/>
      <x:c r="Q34" s="32"/>
      <x:c r="R34" s="32"/>
      <x:c r="S34" s="32"/>
      <x:c r="T34" s="43" t="str">
        <x:f>IFERROR(S34/L34,"")</x:f>
      </x:c>
      <x:c r="U34" s="32"/>
      <x:c r="V34" s="32"/>
      <x:c r="W34" s="32"/>
      <x:c r="X34" s="32"/>
      <x:c r="Y34" s="32"/>
      <x:c r="Z34" s="32"/>
      <x:c r="AA34" s="32"/>
      <x:c r="AB34" s="32"/>
      <x:c r="AC34" s="32"/>
      <x:c r="AD34" s="32"/>
      <x:c r="AE34" s="32"/>
      <x:c r="AF34" s="32"/>
      <x:c r="AG34" s="32"/>
      <x:c r="AH34" s="32"/>
      <x:c r="AI34" s="32"/>
      <x:c r="AJ34" s="32"/>
      <x:c r="AK34" s="32"/>
      <x:c r="AL34" s="32"/>
      <x:c r="AM34" s="32"/>
      <x:c r="AN34" s="32"/>
      <x:c r="AO34" s="32"/>
      <x:c r="AP34" s="32"/>
      <x:c r="AQ34" s="32"/>
      <x:c r="AR34" s="32"/>
      <x:c r="AS34" s="32"/>
      <x:c r="AT34" s="32"/>
      <x:c r="AU34" s="32"/>
      <x:c r="AV34" s="32"/>
      <x:c r="AW34" s="32"/>
      <x:c r="AX34" s="32"/>
      <x:c r="AZ34" s="32"/>
      <x:c r="BA34" s="32"/>
      <x:c r="BB34" s="32"/>
      <x:c r="BC34" s="32"/>
      <x:c r="BD34" s="32"/>
      <x:c r="BE34" s="32"/>
      <x:c r="BF34" s="32"/>
      <x:c r="BG34" s="32"/>
      <x:c r="BH34" s="32"/>
      <x:c r="BI34" s="32"/>
      <x:c r="BJ34" s="32"/>
      <x:c r="BK34" s="32"/>
      <x:c r="BL34" s="32"/>
      <x:c r="BM34" s="32"/>
    </x:row>
    <x:row r="35">
      <x:c r="A35" s="32"/>
      <x:c r="B35" s="32"/>
      <x:c r="C35" s="42"/>
      <x:c r="D35" s="32"/>
      <x:c r="E35" s="32"/>
      <x:c r="F35" s="32"/>
      <x:c r="G35" s="32"/>
      <x:c r="H35" s="32"/>
      <x:c r="I35" s="32"/>
      <x:c r="J35" s="32"/>
      <x:c r="K35" s="32"/>
      <x:c r="L35" s="32"/>
      <x:c r="M35" s="32"/>
      <x:c r="N35" s="32"/>
      <x:c r="O35" s="32"/>
      <x:c r="P35" s="32"/>
      <x:c r="Q35" s="32"/>
      <x:c r="R35" s="32"/>
      <x:c r="S35" s="32"/>
      <x:c r="T35" s="43" t="str">
        <x:f>IFERROR(S35/L35,"")</x:f>
      </x:c>
      <x:c r="U35" s="32"/>
      <x:c r="V35" s="32"/>
      <x:c r="W35" s="32"/>
      <x:c r="X35" s="32"/>
      <x:c r="Y35" s="32"/>
      <x:c r="Z35" s="32"/>
      <x:c r="AA35" s="32"/>
      <x:c r="AB35" s="32"/>
      <x:c r="AC35" s="32"/>
      <x:c r="AD35" s="32"/>
      <x:c r="AE35" s="32"/>
      <x:c r="AF35" s="32"/>
      <x:c r="AG35" s="32"/>
      <x:c r="AH35" s="32"/>
      <x:c r="AI35" s="32"/>
      <x:c r="AJ35" s="32"/>
      <x:c r="AK35" s="32"/>
      <x:c r="AL35" s="32"/>
      <x:c r="AM35" s="32"/>
      <x:c r="AN35" s="32"/>
      <x:c r="AO35" s="32"/>
      <x:c r="AP35" s="32"/>
      <x:c r="AQ35" s="32"/>
      <x:c r="AR35" s="32"/>
      <x:c r="AS35" s="32"/>
      <x:c r="AT35" s="32"/>
      <x:c r="AU35" s="32"/>
      <x:c r="AV35" s="32"/>
      <x:c r="AW35" s="32"/>
      <x:c r="AX35" s="32"/>
      <x:c r="AZ35" s="32"/>
      <x:c r="BA35" s="32"/>
      <x:c r="BB35" s="32"/>
      <x:c r="BC35" s="32"/>
      <x:c r="BD35" s="32"/>
      <x:c r="BE35" s="32"/>
      <x:c r="BF35" s="32"/>
      <x:c r="BG35" s="32"/>
      <x:c r="BH35" s="32"/>
      <x:c r="BI35" s="32"/>
      <x:c r="BJ35" s="32"/>
      <x:c r="BK35" s="32"/>
      <x:c r="BL35" s="32"/>
      <x:c r="BM35" s="32"/>
    </x:row>
    <x:row r="36">
      <x:c r="A36" s="32"/>
      <x:c r="B36" s="32"/>
      <x:c r="C36" s="42"/>
      <x:c r="D36" s="32"/>
      <x:c r="E36" s="32"/>
      <x:c r="F36" s="32"/>
      <x:c r="G36" s="32"/>
      <x:c r="H36" s="32"/>
      <x:c r="I36" s="32"/>
      <x:c r="J36" s="32"/>
      <x:c r="K36" s="32"/>
      <x:c r="L36" s="32"/>
      <x:c r="M36" s="32"/>
      <x:c r="N36" s="32"/>
      <x:c r="O36" s="32"/>
      <x:c r="P36" s="32"/>
      <x:c r="Q36" s="32"/>
      <x:c r="R36" s="32"/>
      <x:c r="S36" s="32"/>
      <x:c r="T36" s="43" t="str">
        <x:f>IFERROR(S36/L36,"")</x:f>
      </x:c>
      <x:c r="U36" s="32"/>
      <x:c r="V36" s="32"/>
      <x:c r="W36" s="32"/>
      <x:c r="X36" s="32"/>
      <x:c r="Y36" s="32"/>
      <x:c r="Z36" s="32"/>
      <x:c r="AA36" s="32"/>
      <x:c r="AB36" s="32"/>
      <x:c r="AC36" s="32"/>
      <x:c r="AD36" s="32"/>
      <x:c r="AE36" s="32"/>
      <x:c r="AF36" s="32"/>
      <x:c r="AG36" s="32"/>
      <x:c r="AH36" s="32"/>
      <x:c r="AI36" s="32"/>
      <x:c r="AJ36" s="32"/>
      <x:c r="AK36" s="32"/>
      <x:c r="AL36" s="32"/>
      <x:c r="AM36" s="32"/>
      <x:c r="AN36" s="32"/>
      <x:c r="AO36" s="32"/>
      <x:c r="AP36" s="32"/>
      <x:c r="AQ36" s="32"/>
      <x:c r="AR36" s="32"/>
      <x:c r="AS36" s="32"/>
      <x:c r="AT36" s="32"/>
      <x:c r="AU36" s="32"/>
      <x:c r="AV36" s="32"/>
      <x:c r="AW36" s="32"/>
      <x:c r="AX36" s="32"/>
      <x:c r="AZ36" s="32"/>
      <x:c r="BA36" s="32"/>
      <x:c r="BB36" s="32"/>
      <x:c r="BC36" s="32"/>
      <x:c r="BD36" s="32"/>
      <x:c r="BE36" s="32"/>
      <x:c r="BF36" s="32"/>
      <x:c r="BG36" s="32"/>
      <x:c r="BH36" s="32"/>
      <x:c r="BI36" s="32"/>
      <x:c r="BJ36" s="32"/>
      <x:c r="BK36" s="32"/>
      <x:c r="BL36" s="32"/>
      <x:c r="BM36" s="32"/>
    </x:row>
    <x:row r="37">
      <x:c r="A37" s="32"/>
      <x:c r="B37" s="32"/>
      <x:c r="C37" s="42"/>
      <x:c r="D37" s="32"/>
      <x:c r="E37" s="32"/>
      <x:c r="F37" s="32"/>
      <x:c r="G37" s="32"/>
      <x:c r="H37" s="32"/>
      <x:c r="I37" s="32"/>
      <x:c r="J37" s="32"/>
      <x:c r="K37" s="32"/>
      <x:c r="L37" s="32"/>
      <x:c r="M37" s="32"/>
      <x:c r="N37" s="32"/>
      <x:c r="O37" s="32"/>
      <x:c r="P37" s="32"/>
      <x:c r="Q37" s="32"/>
      <x:c r="R37" s="32"/>
      <x:c r="S37" s="32"/>
      <x:c r="T37" s="43" t="str">
        <x:f>IFERROR(S37/L37,"")</x:f>
      </x:c>
      <x:c r="U37" s="32"/>
      <x:c r="V37" s="32"/>
      <x:c r="W37" s="32"/>
      <x:c r="X37" s="32"/>
      <x:c r="Y37" s="32"/>
      <x:c r="Z37" s="32"/>
      <x:c r="AA37" s="32"/>
      <x:c r="AB37" s="32"/>
      <x:c r="AC37" s="32"/>
      <x:c r="AD37" s="32"/>
      <x:c r="AE37" s="32"/>
      <x:c r="AF37" s="32"/>
      <x:c r="AG37" s="32"/>
      <x:c r="AH37" s="32"/>
      <x:c r="AI37" s="32"/>
      <x:c r="AJ37" s="32"/>
      <x:c r="AK37" s="32"/>
      <x:c r="AL37" s="32"/>
      <x:c r="AM37" s="32"/>
      <x:c r="AN37" s="32"/>
      <x:c r="AO37" s="32"/>
      <x:c r="AP37" s="32"/>
      <x:c r="AQ37" s="32"/>
      <x:c r="AR37" s="32"/>
      <x:c r="AS37" s="32"/>
      <x:c r="AT37" s="32"/>
      <x:c r="AU37" s="32"/>
      <x:c r="AV37" s="32"/>
      <x:c r="AW37" s="32"/>
      <x:c r="AX37" s="32"/>
      <x:c r="AZ37" s="32"/>
      <x:c r="BA37" s="32"/>
      <x:c r="BB37" s="32"/>
      <x:c r="BC37" s="32"/>
      <x:c r="BD37" s="32"/>
      <x:c r="BE37" s="32"/>
      <x:c r="BF37" s="32"/>
      <x:c r="BG37" s="32"/>
      <x:c r="BH37" s="32"/>
      <x:c r="BI37" s="32"/>
      <x:c r="BJ37" s="32"/>
      <x:c r="BK37" s="32"/>
      <x:c r="BL37" s="32"/>
      <x:c r="BM37" s="32"/>
    </x:row>
    <x:row r="38">
      <x:c r="A38" s="32"/>
      <x:c r="B38" s="32"/>
      <x:c r="C38" s="42"/>
      <x:c r="D38" s="32"/>
      <x:c r="E38" s="32"/>
      <x:c r="F38" s="32"/>
      <x:c r="G38" s="32"/>
      <x:c r="H38" s="32"/>
      <x:c r="I38" s="32"/>
      <x:c r="J38" s="32"/>
      <x:c r="K38" s="32"/>
      <x:c r="L38" s="32"/>
      <x:c r="M38" s="32"/>
      <x:c r="N38" s="32"/>
      <x:c r="O38" s="32"/>
      <x:c r="P38" s="32"/>
      <x:c r="Q38" s="32"/>
      <x:c r="R38" s="32"/>
      <x:c r="S38" s="32"/>
      <x:c r="T38" s="43" t="str">
        <x:f>IFERROR(S38/L38,"")</x:f>
      </x:c>
      <x:c r="U38" s="32"/>
      <x:c r="V38" s="32"/>
      <x:c r="W38" s="32"/>
      <x:c r="X38" s="32"/>
      <x:c r="Y38" s="32"/>
      <x:c r="Z38" s="32"/>
      <x:c r="AA38" s="32"/>
      <x:c r="AB38" s="32"/>
      <x:c r="AC38" s="32"/>
      <x:c r="AD38" s="32"/>
      <x:c r="AE38" s="32"/>
      <x:c r="AF38" s="32"/>
      <x:c r="AG38" s="32"/>
      <x:c r="AH38" s="32"/>
      <x:c r="AI38" s="32"/>
      <x:c r="AJ38" s="32"/>
      <x:c r="AK38" s="32"/>
      <x:c r="AL38" s="32"/>
      <x:c r="AM38" s="32"/>
      <x:c r="AN38" s="32"/>
      <x:c r="AO38" s="32"/>
      <x:c r="AP38" s="32"/>
      <x:c r="AQ38" s="32"/>
      <x:c r="AR38" s="32"/>
      <x:c r="AS38" s="32"/>
      <x:c r="AT38" s="32"/>
      <x:c r="AU38" s="32"/>
      <x:c r="AV38" s="32"/>
      <x:c r="AW38" s="32"/>
      <x:c r="AX38" s="32"/>
      <x:c r="AZ38" s="32"/>
      <x:c r="BA38" s="32"/>
      <x:c r="BB38" s="32"/>
      <x:c r="BC38" s="32"/>
      <x:c r="BD38" s="32"/>
      <x:c r="BE38" s="32"/>
      <x:c r="BF38" s="32"/>
      <x:c r="BG38" s="32"/>
      <x:c r="BH38" s="32"/>
      <x:c r="BI38" s="32"/>
      <x:c r="BJ38" s="32"/>
      <x:c r="BK38" s="32"/>
      <x:c r="BL38" s="32"/>
      <x:c r="BM38" s="32"/>
    </x:row>
    <x:row r="39">
      <x:c r="A39" s="32"/>
      <x:c r="B39" s="32"/>
      <x:c r="C39" s="42"/>
      <x:c r="D39" s="32"/>
      <x:c r="E39" s="32"/>
      <x:c r="F39" s="32"/>
      <x:c r="G39" s="32"/>
      <x:c r="H39" s="32"/>
      <x:c r="I39" s="32"/>
      <x:c r="J39" s="32"/>
      <x:c r="K39" s="32"/>
      <x:c r="L39" s="32"/>
      <x:c r="M39" s="32"/>
      <x:c r="N39" s="32"/>
      <x:c r="O39" s="32"/>
      <x:c r="P39" s="32"/>
      <x:c r="Q39" s="32"/>
      <x:c r="R39" s="32"/>
      <x:c r="S39" s="32"/>
      <x:c r="T39" s="43" t="str">
        <x:f>IFERROR(S39/L39,"")</x:f>
      </x:c>
      <x:c r="U39" s="32"/>
      <x:c r="V39" s="32"/>
      <x:c r="W39" s="32"/>
      <x:c r="X39" s="32"/>
      <x:c r="Y39" s="32"/>
      <x:c r="Z39" s="32"/>
      <x:c r="AA39" s="32"/>
      <x:c r="AB39" s="32"/>
      <x:c r="AC39" s="32"/>
      <x:c r="AD39" s="32"/>
      <x:c r="AE39" s="32"/>
      <x:c r="AF39" s="32"/>
      <x:c r="AG39" s="32"/>
      <x:c r="AH39" s="32"/>
      <x:c r="AI39" s="32"/>
      <x:c r="AJ39" s="32"/>
      <x:c r="AK39" s="32"/>
      <x:c r="AL39" s="32"/>
      <x:c r="AM39" s="32"/>
      <x:c r="AN39" s="32"/>
      <x:c r="AO39" s="32"/>
      <x:c r="AP39" s="32"/>
      <x:c r="AQ39" s="32"/>
      <x:c r="AR39" s="32"/>
      <x:c r="AS39" s="32"/>
      <x:c r="AT39" s="32"/>
      <x:c r="AU39" s="32"/>
      <x:c r="AV39" s="32"/>
      <x:c r="AW39" s="32"/>
      <x:c r="AX39" s="32"/>
      <x:c r="AZ39" s="32"/>
      <x:c r="BA39" s="32"/>
      <x:c r="BB39" s="32"/>
      <x:c r="BC39" s="32"/>
      <x:c r="BD39" s="32"/>
      <x:c r="BE39" s="32"/>
      <x:c r="BF39" s="32"/>
      <x:c r="BG39" s="32"/>
      <x:c r="BH39" s="32"/>
      <x:c r="BI39" s="32"/>
      <x:c r="BJ39" s="32"/>
      <x:c r="BK39" s="32"/>
      <x:c r="BL39" s="32"/>
      <x:c r="BM39" s="32"/>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x:c r="B74" s="32"/>
      <x:c r="C74" s="32"/>
      <x:c r="D74" s="32"/>
      <x:c r="E74" s="32"/>
      <x:c r="F74" s="32"/>
      <x:c r="G74" s="32"/>
      <x:c r="H74" s="32"/>
      <x:c r="I74" s="32"/>
      <x:c r="J74" s="32"/>
      <x:c r="K74" s="32"/>
      <x:c r="L74" s="32"/>
    </x:row>
    <x:row r="75">
      <x:c r="A75" s="32"/>
      <x:c r="B75" s="32"/>
      <x:c r="C75" s="32"/>
      <x:c r="D75" s="32"/>
      <x:c r="E75" s="32"/>
      <x:c r="F75" s="32"/>
      <x:c r="G75" s="32"/>
      <x:c r="H75" s="32"/>
      <x:c r="I75" s="32"/>
      <x:c r="J75" s="32"/>
      <x:c r="K75" s="32"/>
      <x:c r="L75" s="32"/>
    </x:row>
    <x:row r="76">
      <x:c r="A76" s="32"/>
      <x:c r="B76" s="32"/>
      <x:c r="C76" s="32"/>
      <x:c r="D76" s="32"/>
      <x:c r="E76" s="32"/>
      <x:c r="F76" s="32"/>
      <x:c r="G76" s="32"/>
      <x:c r="H76" s="32"/>
      <x:c r="I76" s="32"/>
      <x:c r="J76" s="32"/>
      <x:c r="K76" s="32"/>
      <x:c r="L76" s="32"/>
    </x:row>
    <x:row r="77">
      <x:c r="A77" s="32"/>
      <x:c r="B77" s="32"/>
      <x:c r="C77" s="32"/>
      <x:c r="D77" s="32"/>
      <x:c r="E77" s="32"/>
      <x:c r="F77" s="32"/>
      <x:c r="G77" s="32"/>
      <x:c r="H77" s="32"/>
      <x:c r="I77" s="32"/>
      <x:c r="J77" s="32"/>
      <x:c r="K77" s="32"/>
      <x:c r="L77" s="32"/>
    </x:row>
    <x:row r="78">
      <x:c r="A78" s="32"/>
      <x:c r="B78" s="32"/>
      <x:c r="C78" s="32"/>
      <x:c r="D78" s="32"/>
      <x:c r="E78" s="32"/>
      <x:c r="F78" s="32"/>
      <x:c r="G78" s="32"/>
      <x:c r="H78" s="32"/>
      <x:c r="I78" s="32"/>
      <x:c r="J78" s="32"/>
      <x:c r="K78" s="32"/>
      <x:c r="L78" s="32"/>
    </x:row>
    <x:row r="79">
      <x:c r="A79" s="32"/>
      <x:c r="B79" s="32"/>
      <x:c r="C79" s="32"/>
      <x:c r="D79" s="32"/>
      <x:c r="E79" s="32"/>
      <x:c r="F79" s="32"/>
      <x:c r="G79" s="32"/>
      <x:c r="H79" s="32"/>
      <x:c r="I79" s="32"/>
      <x:c r="J79" s="32"/>
      <x:c r="K79" s="32"/>
      <x:c r="L79" s="32"/>
    </x:row>
    <x:row r="80">
      <x:c r="A80" s="32"/>
      <x:c r="B80" s="32"/>
      <x:c r="C80" s="32"/>
      <x:c r="D80" s="32"/>
      <x:c r="E80" s="32"/>
      <x:c r="F80" s="32"/>
      <x:c r="G80" s="32"/>
      <x:c r="H80" s="32"/>
      <x:c r="I80" s="32"/>
      <x:c r="J80" s="32"/>
      <x:c r="K80" s="32"/>
      <x:c r="L80" s="32"/>
    </x:row>
    <x:row r="81">
      <x:c r="A81" s="32"/>
      <x:c r="B81" s="32"/>
      <x:c r="C81" s="32"/>
      <x:c r="D81" s="32"/>
      <x:c r="E81" s="32"/>
      <x:c r="F81" s="32"/>
      <x:c r="G81" s="32"/>
      <x:c r="H81" s="32"/>
      <x:c r="I81" s="32"/>
      <x:c r="J81" s="32"/>
      <x:c r="K81" s="32"/>
      <x:c r="L81" s="32"/>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x:c r="B43" s="32"/>
      <x:c r="C43" s="32"/>
      <x:c r="D43" s="32"/>
      <x:c r="E43" s="32"/>
      <x:c r="F43" s="32"/>
      <x:c r="G43" s="32"/>
      <x:c r="H43" s="32"/>
      <x:c r="I43" s="32"/>
    </x:row>
    <x:row r="44">
      <x:c r="A44" s="32"/>
      <x:c r="B44" s="32"/>
      <x:c r="C44" s="32"/>
      <x:c r="D44" s="32"/>
      <x:c r="E44" s="32"/>
      <x:c r="F44" s="32"/>
      <x:c r="G44" s="32"/>
      <x:c r="H44" s="32"/>
      <x:c r="I44" s="32"/>
    </x:row>
    <x:row r="45">
      <x:c r="A45" s="32"/>
      <x:c r="B45" s="32"/>
      <x:c r="C45" s="32"/>
      <x:c r="D45" s="32"/>
      <x:c r="E45" s="32"/>
      <x:c r="F45" s="32"/>
      <x:c r="G45" s="32"/>
      <x:c r="H45" s="32"/>
      <x:c r="I45" s="32"/>
    </x:row>
    <x:row r="46">
      <x:c r="A46" s="32"/>
      <x:c r="B46" s="32"/>
      <x:c r="C46" s="32"/>
      <x:c r="D46" s="32"/>
      <x:c r="E46" s="32"/>
      <x:c r="F46" s="32"/>
      <x:c r="G46" s="32"/>
      <x:c r="H46" s="32"/>
      <x:c r="I46" s="32"/>
    </x:row>
    <x:row r="47">
      <x:c r="A47" s="32"/>
      <x:c r="B47" s="32"/>
      <x:c r="C47" s="32"/>
      <x:c r="D47" s="32"/>
      <x:c r="E47" s="32"/>
      <x:c r="F47" s="32"/>
      <x:c r="G47" s="32"/>
      <x:c r="H47" s="32"/>
      <x:c r="I47" s="32"/>
    </x:row>
    <x:row r="48">
      <x:c r="A48" s="32"/>
      <x:c r="B48" s="32"/>
      <x:c r="C48" s="32"/>
      <x:c r="D48" s="32"/>
      <x:c r="E48" s="32"/>
      <x:c r="F48" s="32"/>
      <x:c r="G48" s="32"/>
      <x:c r="H48" s="32"/>
      <x:c r="I48" s="32"/>
    </x:row>
    <x:row r="49">
      <x:c r="A49" s="32"/>
      <x:c r="B49" s="32"/>
      <x:c r="C49" s="32"/>
      <x:c r="D49" s="32"/>
      <x:c r="E49" s="32"/>
      <x:c r="F49" s="32"/>
      <x:c r="G49" s="32"/>
      <x:c r="H49" s="32"/>
      <x:c r="I49" s="32"/>
    </x:row>
    <x:row r="50">
      <x:c r="A50" s="32"/>
      <x:c r="B50" s="32"/>
      <x:c r="C50" s="32"/>
      <x:c r="D50" s="32"/>
      <x:c r="E50" s="32"/>
      <x:c r="F50" s="32"/>
      <x:c r="G50" s="32"/>
      <x:c r="H50" s="32"/>
      <x:c r="I50" s="32"/>
    </x:row>
    <x:row r="51">
      <x:c r="A51" s="32"/>
      <x:c r="B51" s="32"/>
      <x:c r="C51" s="32"/>
      <x:c r="D51" s="32"/>
      <x:c r="E51" s="32"/>
      <x:c r="F51" s="32"/>
      <x:c r="G51" s="32"/>
      <x:c r="H51" s="32"/>
      <x:c r="I51" s="32"/>
    </x:row>
    <x:row r="52">
      <x:c r="A52" s="32"/>
      <x:c r="B52" s="32"/>
      <x:c r="C52" s="32"/>
      <x:c r="D52" s="32"/>
      <x:c r="E52" s="32"/>
      <x:c r="F52" s="32"/>
      <x:c r="G52" s="32"/>
      <x:c r="H52" s="32"/>
      <x:c r="I52" s="32"/>
    </x:row>
    <x:row r="53">
      <x:c r="A53" s="32"/>
      <x:c r="B53" s="32"/>
      <x:c r="C53" s="32"/>
      <x:c r="D53" s="32"/>
      <x:c r="E53" s="32"/>
      <x:c r="F53" s="32"/>
      <x:c r="G53" s="32"/>
      <x:c r="H53" s="32"/>
      <x:c r="I53" s="32"/>
    </x:row>
    <x:row r="54">
      <x:c r="A54" s="32"/>
      <x:c r="B54" s="32"/>
      <x:c r="C54" s="32"/>
      <x:c r="D54" s="32"/>
      <x:c r="E54" s="32"/>
      <x:c r="F54" s="32"/>
      <x:c r="G54" s="32"/>
      <x:c r="H54" s="32"/>
      <x:c r="I54" s="32"/>
    </x:row>
    <x:row r="55">
      <x:c r="A55" s="32"/>
      <x:c r="B55" s="32"/>
      <x:c r="C55" s="32"/>
      <x:c r="D55" s="32"/>
      <x:c r="E55" s="32"/>
      <x:c r="F55" s="32"/>
      <x:c r="G55" s="32"/>
      <x:c r="H55" s="32"/>
      <x:c r="I55" s="32"/>
    </x:row>
    <x:row r="56">
      <x:c r="A56" s="32"/>
      <x:c r="B56" s="32"/>
      <x:c r="C56" s="32"/>
      <x:c r="D56" s="32"/>
      <x:c r="E56" s="32"/>
      <x:c r="F56" s="32"/>
      <x:c r="G56" s="32"/>
      <x:c r="H56" s="32"/>
      <x:c r="I56" s="32"/>
    </x:row>
    <x:row r="57">
      <x:c r="A57" s="32"/>
      <x:c r="B57" s="32"/>
      <x:c r="C57" s="32"/>
      <x:c r="D57" s="32"/>
      <x:c r="E57" s="32"/>
      <x:c r="F57" s="32"/>
      <x:c r="G57" s="32"/>
      <x:c r="H57" s="32"/>
      <x:c r="I57" s="32"/>
    </x:row>
    <x:row r="58">
      <x:c r="A58" s="32"/>
      <x:c r="B58" s="32"/>
      <x:c r="C58" s="32"/>
      <x:c r="D58" s="32"/>
      <x:c r="E58" s="32"/>
      <x:c r="F58" s="32"/>
      <x:c r="G58" s="32"/>
      <x:c r="H58" s="32"/>
      <x:c r="I58" s="32"/>
    </x:row>
    <x:row r="59">
      <x:c r="A59" s="32"/>
      <x:c r="B59" s="32"/>
      <x:c r="C59" s="32"/>
      <x:c r="D59" s="32"/>
      <x:c r="E59" s="32"/>
      <x:c r="F59" s="32"/>
      <x:c r="G59" s="32"/>
      <x:c r="H59" s="32"/>
      <x:c r="I59" s="32"/>
    </x:row>
    <x:row r="60">
      <x:c r="A60" s="32"/>
      <x:c r="B60" s="32"/>
      <x:c r="C60" s="32"/>
      <x:c r="D60" s="32"/>
      <x:c r="E60" s="32"/>
      <x:c r="F60" s="32"/>
      <x:c r="G60" s="32"/>
      <x:c r="H60" s="32"/>
      <x:c r="I60" s="32"/>
    </x:row>
    <x:row r="61">
      <x:c r="A61" s="32"/>
      <x:c r="B61" s="32"/>
      <x:c r="C61" s="32"/>
      <x:c r="D61" s="32"/>
      <x:c r="E61" s="32"/>
      <x:c r="F61" s="32"/>
      <x:c r="G61" s="32"/>
      <x:c r="H61" s="32"/>
      <x:c r="I61" s="32"/>
    </x:row>
    <x:row r="62">
      <x:c r="A62" s="32"/>
      <x:c r="B62" s="32"/>
      <x:c r="C62" s="32"/>
      <x:c r="D62" s="32"/>
      <x:c r="E62" s="32"/>
      <x:c r="F62" s="32"/>
      <x:c r="G62" s="32"/>
      <x:c r="H62" s="32"/>
      <x:c r="I62" s="32"/>
    </x:row>
    <x:row r="63">
      <x:c r="A63" s="32"/>
      <x:c r="B63" s="32"/>
      <x:c r="C63" s="32"/>
      <x:c r="D63" s="32"/>
      <x:c r="E63" s="32"/>
      <x:c r="F63" s="32"/>
      <x:c r="G63" s="32"/>
      <x:c r="H63" s="32"/>
      <x:c r="I63" s="32"/>
    </x:row>
    <x:row r="64">
      <x:c r="A64" s="32"/>
      <x:c r="B64" s="32"/>
      <x:c r="C64" s="32"/>
      <x:c r="D64" s="32"/>
      <x:c r="E64" s="32"/>
      <x:c r="F64" s="32"/>
      <x:c r="G64" s="32"/>
      <x:c r="H64" s="32"/>
      <x:c r="I64" s="32"/>
    </x:row>
    <x:row r="65">
      <x:c r="A65" s="32"/>
      <x:c r="B65" s="32"/>
      <x:c r="C65" s="32"/>
      <x:c r="D65" s="32"/>
      <x:c r="E65" s="32"/>
      <x:c r="F65" s="32"/>
      <x:c r="G65" s="32"/>
      <x:c r="H65" s="32"/>
      <x:c r="I65" s="32"/>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23</x:v>
      </x:c>
      <x:c r="J5" t="str">
        <x:v>GREEN</x:v>
      </x:c>
    </x:row>
    <x:row r="6">
      <x:c r="A6" s="21" t="str">
        <x:v>Completed</x:v>
      </x:c>
      <x:c r="B6" t="n">
        <x:v>26</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10</x:v>
      </x:c>
      <x:c r="H7" s="21" t="str">
        <x:v>FAIL</x:v>
      </x:c>
      <x:c r="I7" t="n">
        <x:f>COUNTIF('02_Run_Results'!AI5:AI500,"FAIL")</x:f>
        <x:v>0</x:v>
      </x:c>
      <x:c r="J7" t="str">
        <x:v>INVESTIGATE</x:v>
      </x:c>
    </x:row>
    <x:row r="8">
      <x:c r="A8" s="21" t="str">
        <x:v>Blocked</x:v>
      </x:c>
      <x:c r="B8" t="n">
        <x:f>COUNTIF('01_Test_Plan'!R5:R200,"Blocked")</x:f>
        <x:v>0</x:v>
      </x:c>
      <x:c r="D8" s="21" t="str">
        <x:v>R3.5D</x:v>
      </x:c>
      <x:c r="E8" t="n">
        <x:f>COUNTIF('01_Test_Plan'!B5:B200,D8)</x:f>
        <x:v>10</x:v>
      </x:c>
      <x:c r="F8" t="n">
        <x:f>COUNTIFS('01_Test_Plan'!B5:B200,D8,'01_Test_Plan'!R5:R200,"Completed")</x:f>
        <x:v>0</x:v>
      </x:c>
      <x:c r="H8" s="21" t="str">
        <x:v>OBSERVED</x:v>
      </x:c>
      <x:c r="I8" t="n">
        <x:f>COUNTIF('02_Run_Results'!AI5:AI500,"OBSERVED")</x:f>
        <x:v>0</x:v>
      </x:c>
      <x:c r="J8" t="str">
        <x:v>N/A</x:v>
      </x:c>
    </x:row>
    <x:row r="9">
      <x:c r="A9" s="21" t="str">
        <x:v>Completion %</x:v>
      </x:c>
      <x:c r="B9" s="38" t="n">
        <x:v>0.41935483870967744</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f>COUNTIFS('03_Findings'!F5:F500,"High",'03_Findings'!K5:K500,"Open")+COUNTIFS('03_Findings'!F5:F500,"High",'03_Findings'!K5:K500,"Investigating")+COUNTIFS('03_Findings'!F5:F500,"Critical",'03_Findings'!K5:K500,"Open")+COUNTIFS('03_Findings'!F5:F500,"Critical",'03_Findings'!K5:K500,"Investigating")</x:f>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x:c r="A43" s="108" t="str">
        <x:v>Adaptive campaign policy</x:v>
      </x:c>
      <x:c r="B43" s="108" t="str">
        <x:v>Action</x:v>
      </x:c>
      <x:c r="C43" s="108" t="str">
        <x:v>Reason</x:v>
      </x:c>
      <x:c r="D43" s="108"/>
      <x:c r="E43" s="108"/>
      <x:c r="F43" s="108"/>
      <x:c r="G43" s="108"/>
      <x:c r="H43" s="108"/>
      <x:c r="J43" t="str">
        <x:v>C-008 phases</x:v>
      </x:c>
      <x:c r="K43" t="str">
        <x:v>AC-1 90 s → AC-2 120 s / same volume</x:v>
      </x:c>
    </x:row>
    <x:row r="44">
      <x:c r="A44" s="32" t="str">
        <x:v>Large margin / low information</x:v>
      </x:c>
      <x:c r="B44" s="32" t="str">
        <x:v>Skip intermediate points</x:v>
      </x:c>
      <x:c r="C44" s="32" t="str">
        <x:v>Increase information per run</x:v>
      </x:c>
      <x:c r="D44"/>
      <x:c r="E44"/>
      <x:c r="F44"/>
      <x:c r="G44"/>
      <x:c r="H44"/>
      <x:c r="J44" t="str">
        <x:v>Expected removal</x:v>
      </x:c>
      <x:c r="K44" t="str">
        <x:v>3000 REMOVED = 1000 reached + 2000 pending</x:v>
      </x:c>
    </x:row>
    <x:row r="45">
      <x:c r="A45" s="32" t="str">
        <x:v>Material degradation, still GREEN</x:v>
      </x:c>
      <x:c r="B45" s="32" t="str">
        <x:v>Change dimension</x:v>
      </x:c>
      <x:c r="C45" s="32" t="str">
        <x:v>Test skew / heterogeneity before profiling</x:v>
      </x:c>
      <x:c r="D45"/>
      <x:c r="E45"/>
      <x:c r="F45"/>
      <x:c r="G45"/>
      <x:c r="H45"/>
    </x:row>
    <x:row r="46">
      <x:c r="A46" s="32" t="str">
        <x:v>Knee / integrity failure</x:v>
      </x:c>
      <x:c r="B46" s="32" t="str">
        <x:v>Narrow search or stop</x:v>
      </x:c>
      <x:c r="C46" s="32" t="str">
        <x:v>Localize boundary before continuing</x:v>
      </x:c>
      <x:c r="D46"/>
      <x:c r="E46"/>
      <x:c r="F46"/>
      <x:c r="G46"/>
      <x:c r="H46"/>
      <x:c r="J46" s="116" t="str">
        <x:v>B-008 gate closure</x:v>
      </x:c>
      <x:c r="K46" s="116" t="str">
        <x:v>Value</x:v>
      </x:c>
    </x:row>
    <x:row r="47">
      <x:c r="J47" t="str">
        <x:v>Raw B-008 result</x:v>
      </x:c>
      <x:c r="K47" t="str">
        <x:v>FAIL (audited)</x:v>
      </x:c>
    </x:row>
    <x:row r="48">
      <x:c r="J48" t="str">
        <x:v>Campaign adjudication</x:v>
      </x:c>
      <x:c r="K48" t="str">
        <x:v>PASS-WITH-FINDINGS</x:v>
      </x:c>
    </x:row>
    <x:row r="49">
      <x:c r="J49" t="str">
        <x:v>Gate smoke result</x:v>
      </x:c>
      <x:c r="K49" t="str">
        <x:v>PASS</x:v>
      </x:c>
    </x:row>
    <x:row r="50">
      <x:c r="J50" t="str">
        <x:v>Snapshot observed / expected</x:v>
      </x:c>
      <x:c r="K50" t="str">
        <x:v>880 / 880</x:v>
      </x:c>
    </x:row>
    <x:row r="51">
      <x:c r="J51" t="str">
        <x:v>Neutral INACTIVE alarms</x:v>
      </x:c>
      <x:c r="K51" t="str">
        <x:v>120</x:v>
      </x:c>
    </x:row>
    <x:row r="52">
      <x:c r="J52" t="str">
        <x:v>Harness</x:v>
      </x:c>
      <x:c r="K52" t="str">
        <x:v>C-008 0.1.0 READY</x:v>
      </x:c>
    </x:row>
    <x:row r="53">
      <x:c r="J53" t="str">
        <x:v>Next</x:v>
      </x:c>
      <x:c r="K53" t="str">
        <x:v>210 s two-window C2 REMOVED</x:v>
      </x:c>
    </x:row>
    <x:row r="54">
      <x:c r="A54" s="126" t="str">
        <x:v>Adaptive stress discovery</x:v>
      </x:c>
      <x:c r="B54" s="126" t="str">
        <x:v>Trigger</x:v>
      </x:c>
      <x:c r="C54" s="126" t="str">
        <x:v>Next action</x:v>
      </x:c>
      <x:c r="D54" s="126"/>
      <x:c r="E54" s="126"/>
      <x:c r="F54" s="126"/>
      <x:c r="G54" s="126"/>
      <x:c r="H54" s="126"/>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4efb80e9a62e425b"/>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sheetData>
  <x:mergeCells>
    <x:mergeCell ref="A1:F2"/>
  </x:mergeCells>
  <x:pageMargins left="0.7" right="0.7" top="0.75" bottom="0.75" header="0.3" footer="0.3"/>
</x:worksheet>
</file>