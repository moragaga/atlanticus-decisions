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e983867b0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746264e8155412c"/>
    <x:sheet xmlns:r="http://schemas.openxmlformats.org/officeDocument/2006/relationships" name="01_Test_Plan" sheetId="2" r:id="R8a6ac2945b15424b"/>
    <x:sheet xmlns:r="http://schemas.openxmlformats.org/officeDocument/2006/relationships" name="02_Run_Results" sheetId="3" r:id="R29f2393a47174328"/>
    <x:sheet xmlns:r="http://schemas.openxmlformats.org/officeDocument/2006/relationships" name="03_Findings" sheetId="4" r:id="R0e14f80bfc03497b"/>
    <x:sheet xmlns:r="http://schemas.openxmlformats.org/officeDocument/2006/relationships" name="04_Decisions" sheetId="5" r:id="R31a65fe0b09a4715"/>
    <x:sheet xmlns:r="http://schemas.openxmlformats.org/officeDocument/2006/relationships" name="05_Dashboard" sheetId="6" r:id="R1f8cb063030b4928"/>
    <x:sheet xmlns:r="http://schemas.openxmlformats.org/officeDocument/2006/relationships" name="06_Definitions" sheetId="7" r:id="Rac2f2211ef73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cbdb6c1664655" /><Relationship Type="http://schemas.openxmlformats.org/officeDocument/2006/relationships/theme" Target="/xl/theme/theme1.xml" Id="R89020e7316d64fda" /><Relationship Type="http://schemas.microsoft.com/office/2022/11/relationships/FeaturePropertyBag" Target="/xl/featurePropertyBag/featurePropertyBag.xml" Id="R2e5a8f54d37c4b6e" /><Relationship Type="http://schemas.openxmlformats.org/officeDocument/2006/relationships/sharedStrings" Target="/xl/sharedStrings.xml" Id="R167bf751ac33497d" /><Relationship Type="http://schemas.openxmlformats.org/officeDocument/2006/relationships/worksheet" Target="/xl/worksheets/sheet1.xml" Id="R9746264e8155412c" /><Relationship Type="http://schemas.openxmlformats.org/officeDocument/2006/relationships/worksheet" Target="/xl/worksheets/sheet2.xml" Id="R8a6ac2945b15424b" /><Relationship Type="http://schemas.openxmlformats.org/officeDocument/2006/relationships/worksheet" Target="/xl/worksheets/sheet3.xml" Id="R29f2393a47174328" /><Relationship Type="http://schemas.openxmlformats.org/officeDocument/2006/relationships/worksheet" Target="/xl/worksheets/sheet4.xml" Id="R0e14f80bfc03497b" /><Relationship Type="http://schemas.openxmlformats.org/officeDocument/2006/relationships/worksheet" Target="/xl/worksheets/sheet5.xml" Id="R31a65fe0b09a4715" /><Relationship Type="http://schemas.openxmlformats.org/officeDocument/2006/relationships/worksheet" Target="/xl/worksheets/sheet6.xml" Id="R1f8cb063030b4928" /><Relationship Type="http://schemas.openxmlformats.org/officeDocument/2006/relationships/worksheet" Target="/xl/worksheets/sheet7.xml" Id="Rac2f2211ef734a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5cd81da1d64f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5cd81da1d64f8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f6de12d7a42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34ffd1052534c9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1.0.13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ADAPTIVE STRESS DISCOVERY</x:v>
      </x:c>
    </x:row>
    <x:row r="27">
      <x:c r="A27" s="21" t="str">
        <x:v>Siguiente test sugerido</x:v>
      </x:c>
      <x:c r="B27" t="str">
        <x:v>B-009 Historical Stress Jump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&lt;3s: margen alto; 3–5s: zona interesante; &gt;=5s: regresar y aislar frontera</x:v>
      </x:c>
      <x:c r="R18" s="36" t="str">
        <x:v>Ready</x:v>
      </x:c>
      <x:c r="S18" s="36" t="str">
        <x:v>B-008 gate fixed</x:v>
      </x:c>
      <x:c r="T18" s="36" t="str">
        <x:v>1000 alarms; 1 Latest signal/alarm + 3 historical series/alarm; PI_INTERPOLATED/LATEST + PI_INTERPOLATED/DAILY; TimeWindow=60 min; 10 s step; 360 points/series; 3000 historical series; ~1,080,000 historical values per source materialization; 36 physical partitions per logical view (72 chunks total).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Heavy Jump — conditional</x:v>
      </x:c>
      <x:c r="E19" s="36" t="str">
        <x:v>Escalar histórico sólo si B-009 conserva margen amplio; si B-009 cruza 5 s, usar regresión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Conditional adaptive stress</x:v>
      </x:c>
      <x:c r="P19" s="36" t="str">
        <x:v>0 integrity errors</x:v>
      </x:c>
      <x:c r="Q19" s="36" t="str">
        <x:v>Ejecutar sólo si B-009 p95 &lt;3 s y no hay integrity/resource anomaly</x:v>
      </x:c>
      <x:c r="R19" s="36" t="str">
        <x:v>Conditional</x:v>
      </x:c>
      <x:c r="S19" s="36" t="str">
        <x:v>B-009</x:v>
      </x:c>
      <x:c r="T19" s="36" t="str">
        <x:v>Candidate only: 1000 alarms; 6 historical series/alarm; 180 min; 10 s step; 1080 points/series; ~6,480,000 historical values.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0f6de12d7a42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Z17" s="32"/>
      <x:c r="BA17" s="32"/>
      <x:c r="BB17" s="32"/>
      <x:c r="BC17" s="32"/>
      <x:c r="BD17" s="32"/>
      <x:c r="BE17" s="32"/>
      <x:c r="BF17" s="32"/>
      <x:c r="BG17" s="32"/>
      <x:c r="BH17" s="32"/>
      <x:c r="BI17" s="32"/>
      <x:c r="BJ17" s="32"/>
      <x:c r="BK17" s="32"/>
      <x:c r="BL17" s="32"/>
      <x:c r="BM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Z18" s="32"/>
      <x:c r="BA18" s="32"/>
      <x:c r="BB18" s="32"/>
      <x:c r="BC18" s="32"/>
      <x:c r="BD18" s="32"/>
      <x:c r="BE18" s="32"/>
      <x:c r="BF18" s="32"/>
      <x:c r="BG18" s="32"/>
      <x:c r="BH18" s="32"/>
      <x:c r="BI18" s="32"/>
      <x:c r="BJ18" s="32"/>
      <x:c r="BK18" s="32"/>
      <x:c r="BL18" s="32"/>
      <x:c r="BM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Z19" s="32"/>
      <x:c r="BA19" s="32"/>
      <x:c r="BB19" s="32"/>
      <x:c r="BC19" s="32"/>
      <x:c r="BD19" s="32"/>
      <x:c r="BE19" s="32"/>
      <x:c r="BF19" s="32"/>
      <x:c r="BG19" s="32"/>
      <x:c r="BH19" s="32"/>
      <x:c r="BI19" s="32"/>
      <x:c r="BJ19" s="32"/>
      <x:c r="BK19" s="32"/>
      <x:c r="BL19" s="32"/>
      <x:c r="BM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  <x:c r="BE20" s="32"/>
      <x:c r="BF20" s="32"/>
      <x:c r="BG20" s="32"/>
      <x:c r="BH20" s="32"/>
      <x:c r="BI20" s="32"/>
      <x:c r="BJ20" s="32"/>
      <x:c r="BK20" s="32"/>
      <x:c r="BL20" s="32"/>
      <x:c r="BM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  <x:c r="BE21" s="32"/>
      <x:c r="BF21" s="32"/>
      <x:c r="BG21" s="32"/>
      <x:c r="BH21" s="32"/>
      <x:c r="BI21" s="32"/>
      <x:c r="BJ21" s="32"/>
      <x:c r="BK21" s="32"/>
      <x:c r="BL21" s="32"/>
      <x:c r="BM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11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11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6</x:v>
      </x:c>
      <x:c r="H6" s="21" t="str">
        <x:v>PASS-WITH-FINDINGS</x:v>
      </x:c>
      <x:c r="I6" t="n">
        <x:f>COUNTIF('02_Run_Results'!AI5:AI500,"PASS-WITH-FINDINGS")</x:f>
        <x:v>1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0.18032786885245902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Cycle p95 budget</x:v>
      </x:c>
      <x:c r="K43" t="str">
        <x:v>38.0%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mixed / missing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Next</x:v>
      </x:c>
      <x:c r="K52" t="str">
        <x:v>B-009 READY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Large margin</x:v>
      </x:c>
      <x:c r="B55" s="32" t="str">
        <x:v>p95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Interesting zone</x:v>
      </x:c>
      <x:c r="B56" s="32" t="str">
        <x:v>3 s ≤ p95 &lt; 5 s</x:v>
      </x:c>
      <x:c r="C56" s="32" t="str">
        <x:v>Prefer new dimension or controlled escalation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f34ffd1052534c99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