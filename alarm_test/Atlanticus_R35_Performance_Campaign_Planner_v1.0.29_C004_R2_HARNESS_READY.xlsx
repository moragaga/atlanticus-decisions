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347df1e3414718" /></Relationships>
</file>

<file path=xl/workbook.xml><?xml version="1.0" encoding="utf-8"?>
<x:workbook xmlns:x="http://schemas.openxmlformats.org/spreadsheetml/2006/main">
  <x:sheets>
    <x:sheet xmlns:r="http://schemas.openxmlformats.org/officeDocument/2006/relationships" name="00_Control" sheetId="1" r:id="R1c167ace58d14858"/>
    <x:sheet xmlns:r="http://schemas.openxmlformats.org/officeDocument/2006/relationships" name="01_Test_Plan" sheetId="2" r:id="Rf8237e85d3b34219"/>
    <x:sheet xmlns:r="http://schemas.openxmlformats.org/officeDocument/2006/relationships" name="02_Run_Results" sheetId="3" r:id="R78ef4d76234e4b47"/>
    <x:sheet xmlns:r="http://schemas.openxmlformats.org/officeDocument/2006/relationships" name="03_Findings" sheetId="4" r:id="Rad9ad3b813424a51"/>
    <x:sheet xmlns:r="http://schemas.openxmlformats.org/officeDocument/2006/relationships" name="04_Decisions" sheetId="5" r:id="R5dac2f6096a54ade"/>
    <x:sheet xmlns:r="http://schemas.openxmlformats.org/officeDocument/2006/relationships" name="05_Dashboard" sheetId="6" r:id="Ra580953cfd7f447e"/>
    <x:sheet xmlns:r="http://schemas.openxmlformats.org/officeDocument/2006/relationships" name="06_Definitions" sheetId="7" r:id="Rfaa86374f38546e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881c4f031a4de5" /><Relationship Type="http://schemas.openxmlformats.org/officeDocument/2006/relationships/theme" Target="/xl/theme/theme1.xml" Id="R448facabbeb04e2d" /><Relationship Type="http://schemas.microsoft.com/office/2022/11/relationships/FeaturePropertyBag" Target="/xl/featurePropertyBag/featurePropertyBag.xml" Id="R981840012f334bb4" /><Relationship Type="http://schemas.openxmlformats.org/officeDocument/2006/relationships/sharedStrings" Target="/xl/sharedStrings.xml" Id="R9f6ecab6ac0e4e71" /><Relationship Type="http://schemas.openxmlformats.org/officeDocument/2006/relationships/worksheet" Target="/xl/worksheets/sheet1.xml" Id="R1c167ace58d14858" /><Relationship Type="http://schemas.openxmlformats.org/officeDocument/2006/relationships/worksheet" Target="/xl/worksheets/sheet2.xml" Id="Rf8237e85d3b34219" /><Relationship Type="http://schemas.openxmlformats.org/officeDocument/2006/relationships/worksheet" Target="/xl/worksheets/sheet3.xml" Id="R78ef4d76234e4b47" /><Relationship Type="http://schemas.openxmlformats.org/officeDocument/2006/relationships/worksheet" Target="/xl/worksheets/sheet4.xml" Id="Rad9ad3b813424a51" /><Relationship Type="http://schemas.openxmlformats.org/officeDocument/2006/relationships/worksheet" Target="/xl/worksheets/sheet5.xml" Id="R5dac2f6096a54ade" /><Relationship Type="http://schemas.openxmlformats.org/officeDocument/2006/relationships/worksheet" Target="/xl/worksheets/sheet6.xml" Id="Ra580953cfd7f447e" /><Relationship Type="http://schemas.openxmlformats.org/officeDocument/2006/relationships/worksheet" Target="/xl/worksheets/sheet7.xml" Id="Rfaa86374f38546e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dc515b10d0a46f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c515b10d0a46f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91b9af166b4b6f" /></Relationships>
</file>

<file path=xl/worksheets/_rels/sheet6.xml.rels>&#65279;<?xml version="1.0" encoding="utf-8"?><Relationships xmlns="http://schemas.openxmlformats.org/package/2006/relationships"><Relationship Type="http://schemas.openxmlformats.org/officeDocument/2006/relationships/drawing" Target="/xl/drawings/drawing1.xml" Id="R8b9d47bea29e4277"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1.0.29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C-004-R2 DURABLE HISTORY LOOKUP ISOLATION READY</x:v>
      </x:c>
    </x:row>
    <x:row r="27">
      <x:c r="A27" s="21" t="str">
        <x:v>Siguiente test sugerido</x:v>
      </x:c>
      <x:c r="B27" t="str">
        <x:v>C-004-R2 Indexed Durable History Lookup — end-to-end confirmation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should collapse from one per neutral group to at most one per cycle, while preserving missing-snapshot corruption semantics.</x:v>
      </x:c>
      <x:c r="Q27" s="36" t="str">
        <x:v>Run 180 s with fixed 50/50. The indexed POC is PERFORMANCE-HARNESS ONLY: it resets the durable-group set every iteration, rereads the durable journal once when a missing-snapshot group is first checked, and then uses set membership for the remaining neutral groups in that same iteration.</x:v>
      </x:c>
      <x:c r="R27" s="36" t="str">
        <x:v>Ready</x:v>
      </x:c>
      <x:c r="S27" s="36" t="str">
        <x:v>C-004-R1 + C-004-R2 harness patch 0.1.0</x:v>
      </x:c>
      <x:c r="T27" s="36" t="str">
        <x:v>Local isolated A/B used the authoritative C-004-R1 volume (50 durable records / 1.015 MB WAL). Three baseline lookup cycles over the 50 neutral groups took 6567.58, 6209.24 and 6406.58 ms; 150 full journal scans reprocessed 7500 record entries. The indexed POC took 127.79, 129.19 and 124.88 ms; only 3 journal scans processed 150 entries. Same false history result for all 50 neutral groups. This is ~50× lower lookup cost and matches the R1 ~6.4 s hotspot almost exactly. Validation local adapted: 37/37 performance harness tests and 232/232 alarms-runtime tests. No Core/Persistence/Runtime product code changed. Python 3.14.2 + UV/Ruff authoritative gate remains on host.</x:v>
      </x:c>
    </x:row>
    <x:row r="28">
      <x:c r="A28" s="36" t="str">
        <x:v>C-007</x:v>
      </x:c>
      <x:c r="B28" s="36" t="str">
        <x:v>R3.5C</x:v>
      </x:c>
      <x:c r="C28" s="36" t="n">
        <x:v>36</x:v>
      </x:c>
      <x:c r="D28" s="36" t="str">
        <x:v>50% state change</x:v>
      </x:c>
      <x:c r="E28" s="36" t="str">
        <x:v>Medir write churn alto</x:v>
      </x:c>
      <x:c r="F28" s="36" t="n">
        <x:v>1000</x:v>
      </x:c>
      <x:c r="G28" s="36" t="str">
        <x:v>Local FS</x:v>
      </x:c>
      <x:c r="H28" s="36" t="str">
        <x:v>50% change / refresh</x:v>
      </x:c>
      <x:c r="I28" s="36" t="str">
        <x:v>Balanced</x:v>
      </x:c>
      <x:c r="J28" s="36" t="str">
        <x:v>None</x:v>
      </x:c>
      <x:c r="K28" s="36" t="str">
        <x:v>Stable config</x:v>
      </x:c>
      <x:c r="L28" s="36" t="n">
        <x:v>10</x:v>
      </x:c>
      <x:c r="M28" s="36" t="n">
        <x:v>5</x:v>
      </x:c>
      <x:c r="N28" s="36" t="n">
        <x:v>10</x:v>
      </x:c>
      <x:c r="O28" s="36" t="str">
        <x:v>Stress</x:v>
      </x:c>
      <x:c r="P28" s="36" t="str">
        <x:v>0 integrity errors</x:v>
      </x:c>
      <x:c r="Q28" s="36" t="str">
        <x:v>Buscar I/O bound</x:v>
      </x:c>
      <x:c r="R28" s="36" t="str">
        <x:v>Planned</x:v>
      </x:c>
      <x:c r="S28" s="36" t="str">
        <x:v>C-006</x:v>
      </x:c>
      <x:c r="T28" s="36" t="str"/>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f91b9af166b4b6f"/>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row>
    <x:row r="27">
      <x:c r="A27" s="32"/>
      <x:c r="B27" s="32"/>
      <x:c r="C27" s="42"/>
      <x:c r="D27" s="32"/>
      <x:c r="E27" s="32"/>
      <x:c r="F27" s="32"/>
      <x:c r="G27" s="32"/>
      <x:c r="H27" s="32"/>
      <x:c r="I27" s="32"/>
      <x:c r="J27" s="32"/>
      <x:c r="K27" s="32"/>
      <x:c r="L27" s="32"/>
      <x:c r="M27" s="32"/>
      <x:c r="N27" s="32"/>
      <x:c r="O27" s="32"/>
      <x:c r="P27" s="32"/>
      <x:c r="Q27" s="32"/>
      <x:c r="R27" s="32"/>
      <x:c r="S27" s="32"/>
      <x:c r="T27" s="43" t="str">
        <x:f>IFERROR(S27/L27,"")</x:f>
      </x:c>
      <x:c r="U27" s="32"/>
      <x:c r="V27" s="32"/>
      <x:c r="W27" s="32"/>
      <x:c r="X27" s="32"/>
      <x:c r="Y27" s="32"/>
      <x:c r="Z27" s="32"/>
      <x:c r="AA27" s="32"/>
      <x:c r="AB27" s="32"/>
      <x:c r="AC27" s="32"/>
      <x:c r="AD27" s="32"/>
      <x:c r="AE27" s="32"/>
      <x:c r="AF27" s="32"/>
      <x:c r="AG27" s="32"/>
      <x:c r="AH27" s="32"/>
      <x:c r="AI27" s="32"/>
      <x:c r="AJ27" s="32"/>
      <x:c r="AK27" s="32"/>
      <x:c r="AL27" s="32"/>
      <x:c r="AM27" s="32"/>
      <x:c r="AN27" s="32"/>
      <x:c r="AO27" s="32"/>
      <x:c r="AP27" s="32"/>
      <x:c r="AQ27" s="32"/>
      <x:c r="AR27" s="32"/>
      <x:c r="AS27" s="32"/>
      <x:c r="AT27" s="32"/>
      <x:c r="AU27" s="32"/>
      <x:c r="AV27" s="32"/>
      <x:c r="AW27" s="32"/>
      <x:c r="AX27" s="32"/>
      <x:c r="AZ27" s="32"/>
      <x:c r="BA27" s="32"/>
      <x:c r="BB27" s="32"/>
      <x:c r="BC27" s="32"/>
      <x:c r="BD27" s="32"/>
      <x:c r="BE27" s="32"/>
      <x:c r="BF27" s="32"/>
      <x:c r="BG27" s="32"/>
      <x:c r="BH27" s="32"/>
      <x:c r="BI27" s="32"/>
      <x:c r="BJ27" s="32"/>
      <x:c r="BK27" s="32"/>
      <x:c r="BL27" s="32"/>
      <x:c r="BM27" s="32"/>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Open</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x:c r="B33" s="32"/>
      <x:c r="C33" s="32"/>
      <x:c r="D33" s="32"/>
      <x:c r="E33" s="32"/>
      <x:c r="F33" s="32"/>
      <x:c r="G33" s="32"/>
      <x:c r="H33" s="32"/>
      <x:c r="I33" s="32"/>
    </x:row>
    <x:row r="34">
      <x:c r="A34" s="32"/>
      <x:c r="B34" s="32"/>
      <x:c r="C34" s="32"/>
      <x:c r="D34" s="32"/>
      <x:c r="E34" s="32"/>
      <x:c r="F34" s="32"/>
      <x:c r="G34" s="32"/>
      <x:c r="H34" s="32"/>
      <x:c r="I34" s="32"/>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18</x:v>
      </x:c>
      <x:c r="J5" t="str">
        <x:v>GREEN</x:v>
      </x:c>
    </x:row>
    <x:row r="6">
      <x:c r="A6" s="21" t="str">
        <x:v>Completed</x:v>
      </x:c>
      <x:c r="B6" t="n">
        <x:v>21</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5</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0.3387096774193548</x:v>
      </x:c>
      <x:c r="D9" s="21" t="str">
        <x:v>R3.5E</x:v>
      </x:c>
      <x:c r="E9" t="n">
        <x:f>COUNTIF('01_Test_Plan'!B5:B200,D9)</x:f>
        <x:v>12</x:v>
      </x:c>
      <x:c r="F9" t="n">
        <x:f>COUNTIFS('01_Test_Plan'!B5:B200,D9,'01_Test_Plan'!R5:R200,"Completed")</x:f>
        <x:v>0</x:v>
      </x:c>
    </x:row>
    <x:row r="10">
      <x:c r="A10" s="21" t="str">
        <x:v>Open findings</x:v>
      </x:c>
      <x:c r="B10" t="n">
        <x:v>1</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R2 isolated lookup A/B</x:v>
      </x:c>
      <x:c r="K43" t="str">
        <x:v>~6394 ms → ~127 ms (~50×)</x:v>
      </x:c>
    </x:row>
    <x:row r="44">
      <x:c r="A44" s="32" t="str">
        <x:v>Large margin / low information</x:v>
      </x:c>
      <x:c r="B44" s="32" t="str">
        <x:v>Skip intermediate points</x:v>
      </x:c>
      <x:c r="C44" s="32" t="str">
        <x:v>Increase information per run</x:v>
      </x:c>
      <x:c r="D44"/>
      <x:c r="E44"/>
      <x:c r="F44"/>
      <x:c r="G44"/>
      <x:c r="H44"/>
      <x:c r="J44" t="str">
        <x:v>Journal scans / 3 cycles</x:v>
      </x:c>
      <x:c r="K44" t="str">
        <x:v>150 baseline → 3 indexed</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C-004-R2 0.1.0 READY</x:v>
      </x:c>
    </x:row>
    <x:row r="53">
      <x:c r="J53" t="str">
        <x:v>Next</x:v>
      </x:c>
      <x:c r="K53" t="str">
        <x:v>180 s indexed end-to-end confirmation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b9d47bea29e427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sheetData>
  <x:mergeCells>
    <x:mergeCell ref="A1:F2"/>
  </x:mergeCells>
  <x:pageMargins left="0.7" right="0.7" top="0.75" bottom="0.75" header="0.3" footer="0.3"/>
</x:worksheet>
</file>