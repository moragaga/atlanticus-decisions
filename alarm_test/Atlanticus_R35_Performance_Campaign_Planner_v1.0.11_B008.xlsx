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63f682701544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2a86d0224d224235"/>
    <x:sheet xmlns:r="http://schemas.openxmlformats.org/officeDocument/2006/relationships" name="01_Test_Plan" sheetId="2" r:id="R9656e0d7179c4e40"/>
    <x:sheet xmlns:r="http://schemas.openxmlformats.org/officeDocument/2006/relationships" name="02_Run_Results" sheetId="3" r:id="R1fdb52c8e4084655"/>
    <x:sheet xmlns:r="http://schemas.openxmlformats.org/officeDocument/2006/relationships" name="03_Findings" sheetId="4" r:id="R946b87f581214a32"/>
    <x:sheet xmlns:r="http://schemas.openxmlformats.org/officeDocument/2006/relationships" name="04_Decisions" sheetId="5" r:id="Ra07c873512e04705"/>
    <x:sheet xmlns:r="http://schemas.openxmlformats.org/officeDocument/2006/relationships" name="05_Dashboard" sheetId="6" r:id="Rb631ef6789db47a6"/>
    <x:sheet xmlns:r="http://schemas.openxmlformats.org/officeDocument/2006/relationships" name="06_Definitions" sheetId="7" r:id="Rdfd443a331e243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yyyy-mm-dd hh:mm"/>
    <x:numFmt numFmtId="203" formatCode="0.000"/>
    <x:numFmt numFmtId="204" formatCode="0.00"/>
    <x:numFmt numFmtId="205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D9EAF0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7C3E66"/>
      </x:patternFill>
    </x:fill>
  </x:fills>
  <x:borders count="2">
    <x:border/>
    <x:border/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4d099c1b1240fa" /><Relationship Type="http://schemas.openxmlformats.org/officeDocument/2006/relationships/theme" Target="/xl/theme/theme1.xml" Id="R6041582e643c4f3c" /><Relationship Type="http://schemas.microsoft.com/office/2022/11/relationships/FeaturePropertyBag" Target="/xl/featurePropertyBag/featurePropertyBag.xml" Id="Rc8a4ac644f834902" /><Relationship Type="http://schemas.openxmlformats.org/officeDocument/2006/relationships/sharedStrings" Target="/xl/sharedStrings.xml" Id="Ra5315ac22566412d" /><Relationship Type="http://schemas.openxmlformats.org/officeDocument/2006/relationships/worksheet" Target="/xl/worksheets/sheet1.xml" Id="R2a86d0224d224235" /><Relationship Type="http://schemas.openxmlformats.org/officeDocument/2006/relationships/worksheet" Target="/xl/worksheets/sheet2.xml" Id="R9656e0d7179c4e40" /><Relationship Type="http://schemas.openxmlformats.org/officeDocument/2006/relationships/worksheet" Target="/xl/worksheets/sheet3.xml" Id="R1fdb52c8e4084655" /><Relationship Type="http://schemas.openxmlformats.org/officeDocument/2006/relationships/worksheet" Target="/xl/worksheets/sheet4.xml" Id="R946b87f581214a32" /><Relationship Type="http://schemas.openxmlformats.org/officeDocument/2006/relationships/worksheet" Target="/xl/worksheets/sheet5.xml" Id="Ra07c873512e04705" /><Relationship Type="http://schemas.openxmlformats.org/officeDocument/2006/relationships/worksheet" Target="/xl/worksheets/sheet6.xml" Id="Rb631ef6789db47a6" /><Relationship Type="http://schemas.openxmlformats.org/officeDocument/2006/relationships/worksheet" Target="/xl/worksheets/sheet7.xml" Id="Rdfd443a331e243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0a3d2f21b494eb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a3d2f21b494eb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69cb503b4841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9706b9c6b905424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1.0.11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0.14.0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R3.5B IN PROGRESS — HARNESS GATE FIX</x:v>
      </x:c>
    </x:row>
    <x:row r="27">
      <x:c r="A27" s="21" t="str">
        <x:v>Siguiente test sugerido</x:v>
      </x:c>
      <x:c r="B27" t="str">
        <x:v>B-008 neutral snapshot gate validation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Completed</x:v>
      </x:c>
      <x:c r="S8" s="36" t="str">
        <x:v>A-003</x:v>
      </x:c>
      <x:c r="T8" s="36" t="str">
        <x:v>PASS / GREEN — 121 iterations; p50 585.99 ms; p95 645.03 ms; p99 888.15 ms; max 955.18 ms; 0 overruns; peak RSS 135.63 MB; journal aligned; 3 durable commits (bootstrap + periodic evidence at ~5m/~10m); 1 final snapshot / 750 alarms; drain 310.23 ms.</x:v>
      </x:c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Completed</x:v>
      </x:c>
      <x:c r="S9" s="36" t="str">
        <x:v>A-004</x:v>
      </x:c>
      <x:c r="T9" s="36" t="str">
        <x:v>PASS / GREEN — 121 iterations; p50 806.64 ms; p95 907.38 ms; p99 1230.24 ms; max 1274.60 ms; 0 overruns; peak RSS 139.62 MB; journal aligned; 3 durable commits (bootstrap + periodic evidence at ~5m/~10m); 1 final snapshot / 1000 alarms; drain 401.48 ms.</x:v>
      </x:c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Completed</x:v>
      </x:c>
      <x:c r="S10" s="36" t="str">
        <x:v>A-005</x:v>
      </x:c>
      <x:c r="T10" s="36" t="str">
        <x:v>PASS / GREEN — 121 iterations; p50 982.30 ms; p95 1285.54 ms; p99 1587.69 ms; max 1633.94 ms; 0 overruns; peak RSS 142.03 MB; Latest narrow = 1000 unique columns, 1 row, 1 view; source-load p95 7.69 ms; journal aligned; 3 durable commits; drain 418.61 ms.</x:v>
      </x:c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Completed</x:v>
      </x:c>
      <x:c r="S11" s="36" t="str">
        <x:v>B-001</x:v>
      </x:c>
      <x:c r="T11" s="36" t="str">
        <x:v>PASS / GREEN — 121 iterations; p50 1007.72 ms; p95 1084.95 ms; p99 1423.10 ms; max 1436.61 ms; 0 overruns; peak RSS 144.91 MB; Latest wide = 3000 unique columns, 1 row, 1 view; source-load p95 17.45 ms; journal aligned; 3 durable commits; drain 434.39 ms.</x:v>
      </x:c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Completed</x:v>
      </x:c>
      <x:c r="S12" s="36" t="str">
        <x:v>B-002</x:v>
      </x:c>
      <x:c r="T12" s="36" t="str">
        <x:v>PASS / GREEN — 121 iterations; p50 953.85 ms; p95 992.83 ms; p99 1352.17 ms; max 1387.57 ms; 0 overruns; peak RSS 142.14 MB; 4 physical partitions balanced 250/250/250/250 over 1 logical Latest view; source-load p95 8.09 ms; merge p95 0.175 ms; journal aligned; 3 durable commits; drain 395.64 ms.</x:v>
      </x:c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36 partitions balanced</x:v>
      </x:c>
      <x:c r="E13" s="36" t="str">
        <x:v>Salto adaptativo para detectar reacción material del particionamiento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36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contra B-003 y presupuesto de 5 s</x:v>
      </x:c>
      <x:c r="R13" s="36" t="str">
        <x:v>Completed</x:v>
      </x:c>
      <x:c r="S13" s="36" t="str">
        <x:v>B-003</x:v>
      </x:c>
      <x:c r="T13" s="36" t="str">
        <x:v>PASS / GREEN — adaptive jump 4→36 partitions; 121 iterations; p50 1646.51 ms; p95 1805.03 ms; p99 2263.77 ms; max 2412.45 ms; 0 overruns; peak RSS 141.50 MB; distribution = 28×28 + 8×27 columns; source-load p95 25.37 ms; merge p95 1.013 ms; journal aligned; 3 durable commits; drain 663.87 ms.</x:v>
      </x:c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 — superseded</x:v>
      </x:c>
      <x:c r="E14" s="36" t="str">
        <x:v>Omitido: el salto B-003→B-004 fue directamente de 4 a 36 particiones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Adaptive skip</x:v>
      </x:c>
      <x:c r="P14" s="36" t="str">
        <x:v>0 integrity errors</x:v>
      </x:c>
      <x:c r="Q14" s="36" t="str">
        <x:v>Sin ejecución; cubierto por salto 4→36</x:v>
      </x:c>
      <x:c r="R14" s="36" t="str">
        <x:v>Superseded</x:v>
      </x:c>
      <x:c r="S14" s="36" t="str">
        <x:v>B-004 adaptive jump</x:v>
      </x:c>
      <x:c r="T14" s="36" t="str">
        <x:v>No ejecutado por estrategia adaptativa; 36 particiones ya ejercieron una presión mayor.</x:v>
      </x:c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 — superseded</x:v>
      </x:c>
      <x:c r="E15" s="36" t="str">
        <x:v>Omitido: 36 particiones balanceadas reemplazan este punto intermedio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Adaptive skip</x:v>
      </x:c>
      <x:c r="P15" s="36" t="str">
        <x:v>0 integrity errors</x:v>
      </x:c>
      <x:c r="Q15" s="36" t="str">
        <x:v>Sin ejecución; cubierto por B-004 = 36 partitions</x:v>
      </x:c>
      <x:c r="R15" s="36" t="str">
        <x:v>Superseded</x:v>
      </x:c>
      <x:c r="S15" s="36" t="str">
        <x:v>B-004 adaptive jump</x:v>
      </x:c>
      <x:c r="T15" s="36" t="str">
        <x:v>No ejecutado por estrategia adaptativa; B-004 superó este nivel.</x:v>
      </x:c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36 partitions skewed</x:v>
      </x:c>
      <x:c r="E16" s="36" t="str">
        <x:v>Comparar distribución sesgada contra 36 particiones balanceadas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36 skewed (≈80/20)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B-004: cycle/load/merge/RSS</x:v>
      </x:c>
      <x:c r="R16" s="36" t="str">
        <x:v>Completed</x:v>
      </x:c>
      <x:c r="S16" s="36" t="str">
        <x:v>B-004</x:v>
      </x:c>
      <x:c r="T16" s="36" t="str">
        <x:v>PASS / GREEN — 36 partitions skewed (~80/20); 121 iterations; p50 1708.26 ms; p95 1899.99 ms; p99 2337.01 ms; max 2450.45 ms; 0 overruns; peak RSS 141.71 MB; layout = 8×100 hot + 4×8 + 24×7 cold; source-load p95 26.15 ms; merge p95 1.103 ms; journal aligned; 3 durable commits; drain 652.24 ms.</x:v>
      </x:c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36 partitions mixed empty/missing-column</x:v>
      </x:c>
      <x:c r="E17" s="36" t="str">
        <x:v>Presionar síntesis de nulls, particiones vacías y columnas ausentes a presión alta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36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Completed</x:v>
      </x:c>
      <x:c r="S17" s="36" t="str">
        <x:v>B-007</x:v>
      </x:c>
      <x:c r="T17" s="36" t="str">
        <x:v>PASS-WITH-FINDINGS / GREEN (raw harness reported FAIL) — 121 iterations; p50 936.54 ms; p95 1003.20 ms; p99 1333.51 ms; max 1381.55 ms; 0 overruns; peak RSS 140.87 MB; 36 mixed partitions with 4 empty and 120 synthesized-null primary signals. Snapshot 880 alarms == corrected expected 880 (120 initial INACTIVE neutral states are intentionally omitted from hot-state snapshot); journal durable==materialized; 3 durable commits; drain 370.40 ms.</x:v>
      </x:c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window short</x:v>
      </x:c>
      <x:c r="E18" s="36" t="str">
        <x:v>Medir costo de requerimiento histórico corto</x:v>
      </x:c>
      <x:c r="F18" s="36" t="n">
        <x:v>1000</x:v>
      </x:c>
      <x:c r="G18" s="36" t="str">
        <x:v>Local FS</x:v>
      </x:c>
      <x:c r="H18" s="36" t="str">
        <x:v>Historical short window</x:v>
      </x:c>
      <x:c r="I18" s="36" t="str">
        <x:v>Múltiples particiones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Data pressure</x:v>
      </x:c>
      <x:c r="P18" s="36" t="str">
        <x:v>0 integrity errors</x:v>
      </x:c>
      <x:c r="Q18" s="36" t="str">
        <x:v>Comparar con Latest</x:v>
      </x:c>
      <x:c r="R18" s="36" t="str">
        <x:v>Blocked</x:v>
      </x:c>
      <x:c r="S18" s="36" t="str">
        <x:v>B-008 harness gate fix validation</x:v>
      </x:c>
      <x:c r="T18" s="36" t="str">
        <x:v>Blocked only until the neutral-snapshot integrity gate fix passes the authoritative Python 3.14.2 gate; full B-008 rerun is not currently required.</x:v>
      </x:c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Multi-requirement historical</x:v>
      </x:c>
      <x:c r="E19" s="36" t="str">
        <x:v>Combinar varios requerimientos por alarma</x:v>
      </x:c>
      <x:c r="F19" s="36" t="n">
        <x:v>1000</x:v>
      </x:c>
      <x:c r="G19" s="36" t="str">
        <x:v>Local FS</x:v>
      </x:c>
      <x:c r="H19" s="36" t="str">
        <x:v>Latest + historical</x:v>
      </x:c>
      <x:c r="I19" s="36" t="str">
        <x:v>Múltiples particiones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Stress</x:v>
      </x:c>
      <x:c r="P19" s="36" t="str">
        <x:v>0 integrity errors</x:v>
      </x:c>
      <x:c r="Q19" s="36" t="str">
        <x:v>Observar crecimiento de RSS</x:v>
      </x:c>
      <x:c r="R19" s="36" t="str">
        <x:v>Planned</x:v>
      </x:c>
      <x:c r="S19" s="36" t="str">
        <x:v>B-009</x:v>
      </x:c>
      <x:c r="T19" s="36" t="str"/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Each available source isolated</x:v>
      </x:c>
      <x:c r="E20" s="36" t="str">
        <x:v>Caracterizar cada source adapter por separado</x:v>
      </x:c>
      <x:c r="F20" s="36" t="n">
        <x:v>1000</x:v>
      </x:c>
      <x:c r="G20" s="36" t="str">
        <x:v>Local FS</x:v>
      </x:c>
      <x:c r="H20" s="36" t="str">
        <x:v>Fuente aislada</x:v>
      </x:c>
      <x:c r="I20" s="36" t="str">
        <x:v>Todas las fuentes, una por corrida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Source characterization</x:v>
      </x:c>
      <x:c r="P20" s="36" t="str">
        <x:v>0 integrity errors</x:v>
      </x:c>
      <x:c r="Q20" s="36" t="str">
        <x:v>Registrar una corrida por fuente</x:v>
      </x:c>
      <x:c r="R20" s="36" t="str">
        <x:v>Conditional</x:v>
      </x:c>
      <x:c r="S20" s="36" t="str">
        <x:v>B-010</x:v>
      </x:c>
      <x:c r="T20" s="36" t="str"/>
    </x:row>
    <x:row r="21">
      <x:c r="A21" s="36" t="str">
        <x:v>B-012</x:v>
      </x:c>
      <x:c r="B21" s="36" t="str">
        <x:v>R3.5B</x:v>
      </x:c>
      <x:c r="C21" s="36" t="n">
        <x:v>21</x:v>
      </x:c>
      <x:c r="D21" s="36" t="str">
        <x:v>All available sources combined</x:v>
      </x:c>
      <x:c r="E21" s="36" t="str">
        <x:v>Medir carga de lectura combinada</x:v>
      </x:c>
      <x:c r="F21" s="36" t="n">
        <x:v>1000</x:v>
      </x:c>
      <x:c r="G21" s="36" t="str">
        <x:v>Local FS</x:v>
      </x:c>
      <x:c r="H21" s="36" t="str">
        <x:v>Latest + historical</x:v>
      </x:c>
      <x:c r="I21" s="36" t="str">
        <x:v>Todas las fuentes habilitadas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Stress</x:v>
      </x:c>
      <x:c r="P21" s="36" t="str">
        <x:v>0 integrity errors</x:v>
      </x:c>
      <x:c r="Q21" s="36" t="str">
        <x:v>Buscar cuello de preparación de datos</x:v>
      </x:c>
      <x:c r="R21" s="36" t="str">
        <x:v>Conditional</x:v>
      </x:c>
      <x:c r="S21" s="36" t="str">
        <x:v>B-011</x:v>
      </x:c>
      <x:c r="T21" s="36" t="str"/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Mixed lifecycle balanced</x:v>
      </x:c>
      <x:c r="E22" s="36" t="str">
        <x:v>Ejercitar estados variados con 1000 alarmas</x:v>
      </x:c>
      <x:c r="F22" s="36" t="n">
        <x:v>1000</x:v>
      </x:c>
      <x:c r="G22" s="36" t="str">
        <x:v>Local FS</x:v>
      </x:c>
      <x:c r="H22" s="36" t="str">
        <x:v>Operational churn 10%</x:v>
      </x:c>
      <x:c r="I22" s="36" t="str">
        <x:v>Balanced</x:v>
      </x:c>
      <x:c r="J22" s="36" t="str">
        <x:v>None</x:v>
      </x:c>
      <x:c r="K22" s="36" t="str">
        <x:v>Stable config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</x:v>
      </x:c>
      <x:c r="Q22" s="36" t="str">
        <x:v>Comparar con A-005</x:v>
      </x:c>
      <x:c r="R22" s="36" t="str">
        <x:v>Planned</x:v>
      </x:c>
      <x:c r="S22" s="36" t="str">
        <x:v>B-012 o baseline suficiente</x:v>
      </x:c>
      <x:c r="T22" s="36" t="str"/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C1-heavy</x:v>
      </x:c>
      <x:c r="E23" s="36" t="str">
        <x:v>Caracterizar routing C1</x:v>
      </x:c>
      <x:c r="F23" s="36" t="n">
        <x:v>1000</x:v>
      </x:c>
      <x:c r="G23" s="36" t="str">
        <x:v>Local FS</x:v>
      </x:c>
      <x:c r="H23" s="36" t="str">
        <x:v>Operational churn</x:v>
      </x:c>
      <x:c r="I23" s="36" t="str">
        <x:v>Balanced</x:v>
      </x:c>
      <x:c r="J23" s="36" t="str">
        <x:v>None</x:v>
      </x:c>
      <x:c r="K23" s="36" t="str">
        <x:v>Stable config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</x:v>
      </x:c>
      <x:c r="P23" s="36" t="str">
        <x:v>0 integrity errors</x:v>
      </x:c>
      <x:c r="Q23" s="36" t="str">
        <x:v>Comparar Core execution</x:v>
      </x:c>
      <x:c r="R23" s="36" t="str">
        <x:v>Planned</x:v>
      </x:c>
      <x:c r="S23" s="36" t="str">
        <x:v>C-001</x:v>
      </x:c>
      <x:c r="T23" s="36" t="str"/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69cb503b4841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3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  <x:c r="AK4" s="81" t="str">
        <x:v>Data Profile</x:v>
      </x:c>
      <x:c r="AL4" s="81" t="str">
        <x:v>Columns / Alarm</x:v>
      </x:c>
      <x:c r="AM4" s="81" t="str">
        <x:v>Source Views</x:v>
      </x:c>
      <x:c r="AN4" s="81" t="str">
        <x:v>Source Columns</x:v>
      </x:c>
      <x:c r="AO4" s="81" t="str">
        <x:v>Source Rows</x:v>
      </x:c>
      <x:c r="AP4" s="81" t="str">
        <x:v>Source Frame Bytes</x:v>
      </x:c>
      <x:c r="AQ4" s="81" t="str">
        <x:v>Source Load p50 (ms)</x:v>
      </x:c>
      <x:c r="AR4" s="81" t="str">
        <x:v>Source Load p95 (ms)</x:v>
      </x:c>
      <x:c r="AS4" s="81" t="str">
        <x:v>Source Load p99 (ms)</x:v>
      </x:c>
      <x:c r="AT4" s="93" t="str">
        <x:v>Physical Partition Count</x:v>
      </x:c>
      <x:c r="AU4" s="93" t="str">
        <x:v>Physical Partition Column Counts</x:v>
      </x:c>
      <x:c r="AV4" s="93" t="str">
        <x:v>Source Merge p50 (ms)</x:v>
      </x:c>
      <x:c r="AW4" s="93" t="str">
        <x:v>Source Merge p95 (ms)</x:v>
      </x:c>
      <x:c r="AX4" s="93" t="str">
        <x:v>Source Merge p99 (ms)</x:v>
      </x:c>
      <x:c r="AY4" s="103" t="str">
        <x:v>Physical Partition Layout</x:v>
      </x:c>
      <x:c r="AZ4" s="114" t="str">
        <x:v>Raw Harness Result</x:v>
      </x:c>
      <x:c r="BA4" s="114" t="str">
        <x:v>Expected Snapshot Alarms</x:v>
      </x:c>
      <x:c r="BB4" s="114" t="str">
        <x:v>Neutral Alarm Count</x:v>
      </x:c>
      <x:c r="BC4" s="114" t="str">
        <x:v>Adjudicated Integrity</x:v>
      </x:c>
      <x:c r="BD4" s="114" t="str">
        <x:v>Adjudication Note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  <x:c r="AK5" s="32" t="str">
        <x:v>shared-latest</x:v>
      </x:c>
      <x:c r="AL5" s="32" t="n">
        <x:v>1</x:v>
      </x:c>
      <x:c r="AM5" s="32" t="n">
        <x:v>1</x:v>
      </x:c>
      <x:c r="AN5" s="32" t="n">
        <x:v>1</x:v>
      </x:c>
      <x:c r="AO5" s="32" t="n">
        <x:v>1</x:v>
      </x:c>
      <x:c r="AP5" s="32"/>
      <x:c r="AQ5" s="32"/>
      <x:c r="AR5" s="32"/>
      <x:c r="AS5" s="32"/>
      <x:c r="AT5" s="32"/>
      <x:c r="AU5" s="32"/>
      <x:c r="AV5" s="32"/>
      <x:c r="AW5" s="32"/>
      <x:c r="AX5" s="32"/>
      <x:c r="AZ5" s="32"/>
      <x:c r="BA5" s="32"/>
      <x:c r="BB5" s="32"/>
      <x:c r="BC5" s="32"/>
      <x:c r="BD5" s="32"/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  <x:c r="AK6" s="32" t="str">
        <x:v>shared-latest</x:v>
      </x:c>
      <x:c r="AL6" s="32" t="n">
        <x:v>1</x:v>
      </x:c>
      <x:c r="AM6" s="32" t="n">
        <x:v>1</x:v>
      </x:c>
      <x:c r="AN6" s="32" t="n">
        <x:v>1</x:v>
      </x:c>
      <x:c r="AO6" s="32" t="n">
        <x:v>1</x:v>
      </x:c>
      <x:c r="AP6" s="32"/>
      <x:c r="AQ6" s="32"/>
      <x:c r="AR6" s="32"/>
      <x:c r="AS6" s="32"/>
      <x:c r="AT6" s="32"/>
      <x:c r="AU6" s="32"/>
      <x:c r="AV6" s="32"/>
      <x:c r="AW6" s="32"/>
      <x:c r="AX6" s="32"/>
      <x:c r="AZ6" s="32"/>
      <x:c r="BA6" s="32"/>
      <x:c r="BB6" s="32"/>
      <x:c r="BC6" s="32"/>
      <x:c r="BD6" s="32"/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  <x:c r="AK7" s="32" t="str">
        <x:v>shared-latest</x:v>
      </x:c>
      <x:c r="AL7" s="32" t="n">
        <x:v>1</x:v>
      </x:c>
      <x:c r="AM7" s="32" t="n">
        <x:v>1</x:v>
      </x:c>
      <x:c r="AN7" s="32" t="n">
        <x:v>1</x:v>
      </x:c>
      <x:c r="AO7" s="32" t="n">
        <x:v>1</x:v>
      </x:c>
      <x:c r="AP7" s="32"/>
      <x:c r="AQ7" s="32"/>
      <x:c r="AR7" s="32"/>
      <x:c r="AS7" s="32"/>
      <x:c r="AT7" s="32"/>
      <x:c r="AU7" s="32"/>
      <x:c r="AV7" s="32"/>
      <x:c r="AW7" s="32"/>
      <x:c r="AX7" s="32"/>
      <x:c r="AZ7" s="32"/>
      <x:c r="BA7" s="32"/>
      <x:c r="BB7" s="32"/>
      <x:c r="BC7" s="32"/>
      <x:c r="BD7" s="32"/>
    </x:row>
    <x:row r="8">
      <x:c r="A8" s="32" t="str">
        <x:v>79fff64c-2594-4e2d-958f-c32cb7f57d6c</x:v>
      </x:c>
      <x:c r="B8" s="32" t="str">
        <x:v>A-004</x:v>
      </x:c>
      <x:c r="C8" s="42" t="n">
        <x:v>46259.5750462963</x:v>
      </x:c>
      <x:c r="D8" s="32" t="str">
        <x:v>489b7424f5051f7a276dafe8d5f318ccf1368d87</x:v>
      </x:c>
      <x:c r="E8" s="32" t="str">
        <x:v>GLONBW11</x:v>
      </x:c>
      <x:c r="F8" s="32" t="str">
        <x:v>local-filesystem</x:v>
      </x:c>
      <x:c r="G8" s="32" t="str">
        <x:v>3.14.2</x:v>
      </x:c>
      <x:c r="H8" s="32" t="str">
        <x:v>deterministic</x:v>
      </x:c>
      <x:c r="I8" s="32" t="n">
        <x:v>750</x:v>
      </x:c>
      <x:c r="J8" s="32" t="n">
        <x:v>10</x:v>
      </x:c>
      <x:c r="K8" s="47" t="n">
        <x:v>10.02327265</x:v>
      </x:c>
      <x:c r="L8" s="32" t="n">
        <x:v>121</x:v>
      </x:c>
      <x:c r="M8" s="32" t="n">
        <x:v>5</x:v>
      </x:c>
      <x:c r="N8" s="32" t="n">
        <x:v>10</x:v>
      </x:c>
      <x:c r="O8" s="48" t="n">
        <x:v>585.9871780003232</x:v>
      </x:c>
      <x:c r="P8" s="48" t="n">
        <x:v>645.0332279991926</x:v>
      </x:c>
      <x:c r="Q8" s="48" t="n">
        <x:v>888.147127799857</x:v>
      </x:c>
      <x:c r="R8" s="48" t="n">
        <x:v>955.182177000097</x:v>
      </x:c>
      <x:c r="S8" s="32" t="n">
        <x:v>0</x:v>
      </x:c>
      <x:c r="T8" s="43" t="n">
        <x:v>0</x:v>
      </x:c>
      <x:c r="U8" s="48" t="n">
        <x:v>96.90615969732796</x:v>
      </x:c>
      <x:c r="V8" s="48" t="n">
        <x:v>102.23419021095788</x:v>
      </x:c>
      <x:c r="W8" s="48" t="n">
        <x:v>134.60314436983472</x:v>
      </x:c>
      <x:c r="X8" s="48" t="n">
        <x:v>135.6328125</x:v>
      </x:c>
      <x:c r="Y8" s="32"/>
      <x:c r="Z8" s="32"/>
      <x:c r="AA8" s="32"/>
      <x:c r="AB8" s="32"/>
      <x:c r="AC8" s="32" t="n">
        <x:v>0</x:v>
      </x:c>
      <x:c r="AD8" s="32" t="n">
        <x:v>0</x:v>
      </x:c>
      <x:c r="AE8" s="32" t="n">
        <x:v>0</x:v>
      </x:c>
      <x:c r="AF8" s="32"/>
      <x:c r="AG8" s="32"/>
      <x:c r="AH8" s="48" t="n">
        <x:v>310.23053099943354</x:v>
      </x:c>
      <x:c r="AI8" s="32" t="str">
        <x:v>PASS</x:v>
      </x:c>
      <x:c r="AJ8" s="32" t="str">
        <x:v>GREEN</x:v>
      </x:c>
      <x:c r="AK8" s="32" t="str">
        <x:v>shared-latest</x:v>
      </x:c>
      <x:c r="AL8" s="32" t="n">
        <x:v>1</x:v>
      </x:c>
      <x:c r="AM8" s="32" t="n">
        <x:v>1</x:v>
      </x:c>
      <x:c r="AN8" s="32" t="n">
        <x:v>1</x:v>
      </x:c>
      <x:c r="AO8" s="32" t="n">
        <x:v>1</x:v>
      </x:c>
      <x:c r="AP8" s="32"/>
      <x:c r="AQ8" s="32"/>
      <x:c r="AR8" s="32"/>
      <x:c r="AS8" s="32"/>
      <x:c r="AT8" s="32"/>
      <x:c r="AU8" s="32"/>
      <x:c r="AV8" s="32"/>
      <x:c r="AW8" s="32"/>
      <x:c r="AX8" s="32"/>
      <x:c r="AZ8" s="32"/>
      <x:c r="BA8" s="32"/>
      <x:c r="BB8" s="32"/>
      <x:c r="BC8" s="32"/>
      <x:c r="BD8" s="32"/>
    </x:row>
    <x:row r="9">
      <x:c r="A9" s="32" t="str">
        <x:v>c4128825-75f6-43a9-8c1d-ec8112d89cf3</x:v>
      </x:c>
      <x:c r="B9" s="32" t="str">
        <x:v>A-005</x:v>
      </x:c>
      <x:c r="C9" s="42" t="n">
        <x:v>46259.587905092594</x:v>
      </x:c>
      <x:c r="D9" s="32" t="str">
        <x:v>489b7424f5051f7a276dafe8d5f318ccf1368d87</x:v>
      </x:c>
      <x:c r="E9" s="32" t="str">
        <x:v>GLONBW11</x:v>
      </x:c>
      <x:c r="F9" s="32" t="str">
        <x:v>local-filesystem</x:v>
      </x:c>
      <x:c r="G9" s="32" t="str">
        <x:v>3.14.2</x:v>
      </x:c>
      <x:c r="H9" s="32" t="str">
        <x:v>deterministic</x:v>
      </x:c>
      <x:c r="I9" s="32" t="n">
        <x:v>1000</x:v>
      </x:c>
      <x:c r="J9" s="32" t="n">
        <x:v>10</x:v>
      </x:c>
      <x:c r="K9" s="47" t="n">
        <x:v>10.030038766666667</x:v>
      </x:c>
      <x:c r="L9" s="32" t="n">
        <x:v>121</x:v>
      </x:c>
      <x:c r="M9" s="32" t="n">
        <x:v>5</x:v>
      </x:c>
      <x:c r="N9" s="32" t="n">
        <x:v>10</x:v>
      </x:c>
      <x:c r="O9" s="48" t="n">
        <x:v>806.6423309992388</x:v>
      </x:c>
      <x:c r="P9" s="48" t="n">
        <x:v>907.3825960003887</x:v>
      </x:c>
      <x:c r="Q9" s="48" t="n">
        <x:v>1230.2396648003196</x:v>
      </x:c>
      <x:c r="R9" s="48" t="n">
        <x:v>1274.5961770015128</x:v>
      </x:c>
      <x:c r="S9" s="32" t="n">
        <x:v>0</x:v>
      </x:c>
      <x:c r="T9" s="43" t="n">
        <x:v>0</x:v>
      </x:c>
      <x:c r="U9" s="48" t="n">
        <x:v>97.9749689443221</x:v>
      </x:c>
      <x:c r="V9" s="48" t="n">
        <x:v>101.39052744181197</x:v>
      </x:c>
      <x:c r="W9" s="48" t="n">
        <x:v>136.5167549070248</x:v>
      </x:c>
      <x:c r="X9" s="48" t="n">
        <x:v>139.6171875</x:v>
      </x:c>
      <x:c r="Y9" s="32"/>
      <x:c r="Z9" s="32"/>
      <x:c r="AA9" s="32"/>
      <x:c r="AB9" s="32"/>
      <x:c r="AC9" s="32" t="n">
        <x:v>0</x:v>
      </x:c>
      <x:c r="AD9" s="32" t="n">
        <x:v>0</x:v>
      </x:c>
      <x:c r="AE9" s="32" t="n">
        <x:v>0</x:v>
      </x:c>
      <x:c r="AF9" s="32"/>
      <x:c r="AG9" s="32"/>
      <x:c r="AH9" s="48" t="n">
        <x:v>401.48390300055325</x:v>
      </x:c>
      <x:c r="AI9" s="32" t="str">
        <x:v>PASS</x:v>
      </x:c>
      <x:c r="AJ9" s="32" t="str">
        <x:v>GREEN</x:v>
      </x:c>
      <x:c r="AK9" s="32" t="str">
        <x:v>shared-latest</x:v>
      </x:c>
      <x:c r="AL9" s="32" t="n">
        <x:v>1</x:v>
      </x:c>
      <x:c r="AM9" s="32" t="n">
        <x:v>1</x:v>
      </x:c>
      <x:c r="AN9" s="32" t="n">
        <x:v>1</x:v>
      </x:c>
      <x:c r="AO9" s="32" t="n">
        <x:v>1</x:v>
      </x:c>
      <x:c r="AP9" s="32"/>
      <x:c r="AQ9" s="32"/>
      <x:c r="AR9" s="32"/>
      <x:c r="AS9" s="32"/>
      <x:c r="AT9" s="32"/>
      <x:c r="AU9" s="32"/>
      <x:c r="AV9" s="32"/>
      <x:c r="AW9" s="32"/>
      <x:c r="AX9" s="32"/>
      <x:c r="AZ9" s="32"/>
      <x:c r="BA9" s="32"/>
      <x:c r="BB9" s="32"/>
      <x:c r="BC9" s="32"/>
      <x:c r="BD9" s="32"/>
    </x:row>
    <x:row r="10">
      <x:c r="A10" s="32" t="str">
        <x:v>a6bf1f5d-5664-40ca-bd9f-257d7e022c46</x:v>
      </x:c>
      <x:c r="B10" s="32" t="str">
        <x:v>B-001</x:v>
      </x:c>
      <x:c r="C10" s="42" t="n">
        <x:v>46259.60527777778</x:v>
      </x:c>
      <x:c r="D10" s="32" t="str">
        <x:v>489b7424f5051f7a276dafe8d5f318ccf1368d87</x:v>
      </x:c>
      <x:c r="E10" s="32" t="str">
        <x:v>GLONBW11</x:v>
      </x:c>
      <x:c r="F10" s="32" t="str">
        <x:v>local-filesystem</x:v>
      </x:c>
      <x:c r="G10" s="32" t="str">
        <x:v>3.14.2</x:v>
      </x:c>
      <x:c r="H10" s="32" t="str">
        <x:v>deterministic</x:v>
      </x:c>
      <x:c r="I10" s="32" t="n">
        <x:v>1000</x:v>
      </x:c>
      <x:c r="J10" s="32" t="n">
        <x:v>10</x:v>
      </x:c>
      <x:c r="K10" s="47" t="n">
        <x:v>10.037309749999999</x:v>
      </x:c>
      <x:c r="L10" s="32" t="n">
        <x:v>121</x:v>
      </x:c>
      <x:c r="M10" s="32" t="n">
        <x:v>5</x:v>
      </x:c>
      <x:c r="N10" s="32" t="n">
        <x:v>10</x:v>
      </x:c>
      <x:c r="O10" s="48" t="n">
        <x:v>982.2968089993083</x:v>
      </x:c>
      <x:c r="P10" s="48" t="n">
        <x:v>1285.5415329995594</x:v>
      </x:c>
      <x:c r="Q10" s="48" t="n">
        <x:v>1587.6863376004615</x:v>
      </x:c>
      <x:c r="R10" s="48" t="n">
        <x:v>1633.9424289999442</x:v>
      </x:c>
      <x:c r="S10" s="32" t="n">
        <x:v>0</x:v>
      </x:c>
      <x:c r="T10" s="43" t="n">
        <x:v>0</x:v>
      </x:c>
      <x:c r="U10" s="48" t="n">
        <x:v>98.20538623182864</x:v>
      </x:c>
      <x:c r="V10" s="48" t="n">
        <x:v>100.85503377277843</x:v>
      </x:c>
      <x:c r="W10" s="48" t="n">
        <x:v>138.66231921487602</x:v>
      </x:c>
      <x:c r="X10" s="48" t="n">
        <x:v>142.03125</x:v>
      </x:c>
      <x:c r="Y10" s="32"/>
      <x:c r="Z10" s="32"/>
      <x:c r="AA10" s="32"/>
      <x:c r="AB10" s="32"/>
      <x:c r="AC10" s="32" t="n">
        <x:v>0</x:v>
      </x:c>
      <x:c r="AD10" s="32" t="n">
        <x:v>0</x:v>
      </x:c>
      <x:c r="AE10" s="32" t="n">
        <x:v>0</x:v>
      </x:c>
      <x:c r="AF10" s="32"/>
      <x:c r="AG10" s="32"/>
      <x:c r="AH10" s="48" t="n">
        <x:v>418.60777200054144</x:v>
      </x:c>
      <x:c r="AI10" s="32" t="str">
        <x:v>PASS</x:v>
      </x:c>
      <x:c r="AJ10" s="32" t="str">
        <x:v>GREEN</x:v>
      </x:c>
      <x:c r="AK10" s="32" t="str">
        <x:v>latest-narrow</x:v>
      </x:c>
      <x:c r="AL10" s="32" t="n">
        <x:v>1</x:v>
      </x:c>
      <x:c r="AM10" s="32" t="n">
        <x:v>1</x:v>
      </x:c>
      <x:c r="AN10" s="32" t="n">
        <x:v>1000</x:v>
      </x:c>
      <x:c r="AO10" s="32" t="n">
        <x:v>1</x:v>
      </x:c>
      <x:c r="AP10" s="82" t="n">
        <x:v>8132</x:v>
      </x:c>
      <x:c r="AQ10" s="48" t="n">
        <x:v>5.875147000551806</x:v>
      </x:c>
      <x:c r="AR10" s="48" t="n">
        <x:v>7.693696999922395</x:v>
      </x:c>
      <x:c r="AS10" s="48" t="n">
        <x:v>8.412352200321038</x:v>
      </x:c>
      <x:c r="AT10" s="32" t="n">
        <x:v>1</x:v>
      </x:c>
      <x:c r="AU10" s="32" t="str">
        <x:v>1000</x:v>
      </x:c>
      <x:c r="AV10" s="32"/>
      <x:c r="AW10" s="32"/>
      <x:c r="AX10" s="32"/>
      <x:c r="AY10" t="str">
        <x:v>single</x:v>
      </x:c>
      <x:c r="AZ10" s="32"/>
      <x:c r="BA10" s="32"/>
      <x:c r="BB10" s="32"/>
      <x:c r="BC10" s="32"/>
      <x:c r="BD10" s="32"/>
    </x:row>
    <x:row r="11">
      <x:c r="A11" s="32" t="str">
        <x:v>1d262dd1-8264-4644-8b7c-55968584b09a</x:v>
      </x:c>
      <x:c r="B11" s="32" t="str">
        <x:v>B-002</x:v>
      </x:c>
      <x:c r="C11" s="42" t="n">
        <x:v>46259.616944444446</x:v>
      </x:c>
      <x:c r="D11" s="32" t="str">
        <x:v>489b7424f5051f7a276dafe8d5f318ccf1368d87</x:v>
      </x:c>
      <x:c r="E11" s="32" t="str">
        <x:v>GLONBW11</x:v>
      </x:c>
      <x:c r="F11" s="32" t="str">
        <x:v>local-filesystem</x:v>
      </x:c>
      <x:c r="G11" s="32" t="str">
        <x:v>3.14.2</x:v>
      </x:c>
      <x:c r="H11" s="32" t="str">
        <x:v>deterministic</x:v>
      </x:c>
      <x:c r="I11" s="32" t="n">
        <x:v>1000</x:v>
      </x:c>
      <x:c r="J11" s="32" t="n">
        <x:v>10</x:v>
      </x:c>
      <x:c r="K11" s="47" t="n">
        <x:v>10.034565216666666</x:v>
      </x:c>
      <x:c r="L11" s="32" t="n">
        <x:v>121</x:v>
      </x:c>
      <x:c r="M11" s="32" t="n">
        <x:v>5</x:v>
      </x:c>
      <x:c r="N11" s="32" t="n">
        <x:v>10</x:v>
      </x:c>
      <x:c r="O11" s="48" t="n">
        <x:v>1007.7235590015334</x:v>
      </x:c>
      <x:c r="P11" s="48" t="n">
        <x:v>1084.9532180000097</x:v>
      </x:c>
      <x:c r="Q11" s="48" t="n">
        <x:v>1423.1032609997783</x:v>
      </x:c>
      <x:c r="R11" s="48" t="n">
        <x:v>1436.6099670005497</x:v>
      </x:c>
      <x:c r="S11" s="32" t="n">
        <x:v>0</x:v>
      </x:c>
      <x:c r="T11" s="43" t="n">
        <x:v>0</x:v>
      </x:c>
      <x:c r="U11" s="48" t="n">
        <x:v>98.3048785806633</x:v>
      </x:c>
      <x:c r="V11" s="48" t="n">
        <x:v>100.5421121003539</x:v>
      </x:c>
      <x:c r="W11" s="48" t="n">
        <x:v>140.61294227789256</x:v>
      </x:c>
      <x:c r="X11" s="48" t="n">
        <x:v>144.91015625</x:v>
      </x:c>
      <x:c r="Y11" s="32"/>
      <x:c r="Z11" s="32"/>
      <x:c r="AA11" s="32"/>
      <x:c r="AB11" s="32"/>
      <x:c r="AC11" s="32" t="n">
        <x:v>0</x:v>
      </x:c>
      <x:c r="AD11" s="32" t="n">
        <x:v>0</x:v>
      </x:c>
      <x:c r="AE11" s="32" t="n">
        <x:v>0</x:v>
      </x:c>
      <x:c r="AF11" s="32"/>
      <x:c r="AG11" s="32"/>
      <x:c r="AH11" s="48" t="n">
        <x:v>434.3891660009831</x:v>
      </x:c>
      <x:c r="AI11" s="32" t="str">
        <x:v>PASS</x:v>
      </x:c>
      <x:c r="AJ11" s="32" t="str">
        <x:v>GREEN</x:v>
      </x:c>
      <x:c r="AK11" s="32" t="str">
        <x:v>latest-wide</x:v>
      </x:c>
      <x:c r="AL11" s="32" t="n">
        <x:v>3</x:v>
      </x:c>
      <x:c r="AM11" s="32" t="n">
        <x:v>1</x:v>
      </x:c>
      <x:c r="AN11" s="32" t="n">
        <x:v>3000</x:v>
      </x:c>
      <x:c r="AO11" s="32" t="n">
        <x:v>1</x:v>
      </x:c>
      <x:c r="AP11" s="32" t="n">
        <x:v>24132</x:v>
      </x:c>
      <x:c r="AQ11" s="48" t="n">
        <x:v>14.97714899960556</x:v>
      </x:c>
      <x:c r="AR11" s="48" t="n">
        <x:v>17.446204999941983</x:v>
      </x:c>
      <x:c r="AS11" s="48" t="n">
        <x:v>18.51794359863561</x:v>
      </x:c>
      <x:c r="AT11" s="32" t="n">
        <x:v>1</x:v>
      </x:c>
      <x:c r="AU11" s="32" t="str">
        <x:v>3000</x:v>
      </x:c>
      <x:c r="AV11" s="32"/>
      <x:c r="AW11" s="32"/>
      <x:c r="AX11" s="32"/>
      <x:c r="AY11" t="str">
        <x:v>single</x:v>
      </x:c>
      <x:c r="AZ11" s="32"/>
      <x:c r="BA11" s="32"/>
      <x:c r="BB11" s="32"/>
      <x:c r="BC11" s="32"/>
      <x:c r="BD11" s="32"/>
    </x:row>
    <x:row r="12">
      <x:c r="A12" s="32" t="str">
        <x:v>71c0030e-e5dc-4a33-887c-1399328db030</x:v>
      </x:c>
      <x:c r="B12" s="32" t="str">
        <x:v>B-003</x:v>
      </x:c>
      <x:c r="C12" s="42" t="n">
        <x:v>46259.63543981482</x:v>
      </x:c>
      <x:c r="D12" s="32" t="str">
        <x:v>489b7424f5051f7a276dafe8d5f318ccf1368d87</x:v>
      </x:c>
      <x:c r="E12" s="32" t="str">
        <x:v>GLONBW11</x:v>
      </x:c>
      <x:c r="F12" s="32" t="str">
        <x:v>local-filesystem</x:v>
      </x:c>
      <x:c r="G12" s="32" t="str">
        <x:v>3.14.2</x:v>
      </x:c>
      <x:c r="H12" s="32" t="str">
        <x:v>deterministic</x:v>
      </x:c>
      <x:c r="I12" s="32" t="n">
        <x:v>1000</x:v>
      </x:c>
      <x:c r="J12" s="32" t="n">
        <x:v>10</x:v>
      </x:c>
      <x:c r="K12" s="47" t="n">
        <x:v>10.03332685</x:v>
      </x:c>
      <x:c r="L12" s="32" t="n">
        <x:v>121</x:v>
      </x:c>
      <x:c r="M12" s="32" t="n">
        <x:v>5</x:v>
      </x:c>
      <x:c r="N12" s="32" t="n">
        <x:v>10</x:v>
      </x:c>
      <x:c r="O12" s="48" t="n">
        <x:v>953.8477829992189</x:v>
      </x:c>
      <x:c r="P12" s="48" t="n">
        <x:v>992.8304490003939</x:v>
      </x:c>
      <x:c r="Q12" s="48" t="n">
        <x:v>1352.1661147988198</x:v>
      </x:c>
      <x:c r="R12" s="48" t="n">
        <x:v>1387.5659960012854</x:v>
      </x:c>
      <x:c r="S12" s="32" t="n">
        <x:v>0</x:v>
      </x:c>
      <x:c r="T12" s="43" t="n">
        <x:v>0</x:v>
      </x:c>
      <x:c r="U12" s="48" t="n">
        <x:v>98.01747077248838</x:v>
      </x:c>
      <x:c r="V12" s="48" t="n">
        <x:v>100.68892133688561</x:v>
      </x:c>
      <x:c r="W12" s="48" t="n">
        <x:v>137.48485924586777</x:v>
      </x:c>
      <x:c r="X12" s="48" t="n">
        <x:v>142.14453125</x:v>
      </x:c>
      <x:c r="Y12" s="32"/>
      <x:c r="Z12" s="32"/>
      <x:c r="AA12" s="32"/>
      <x:c r="AB12" s="32"/>
      <x:c r="AC12" s="32" t="n">
        <x:v>0</x:v>
      </x:c>
      <x:c r="AD12" s="32" t="n">
        <x:v>0</x:v>
      </x:c>
      <x:c r="AE12" s="32" t="n">
        <x:v>0</x:v>
      </x:c>
      <x:c r="AF12" s="32"/>
      <x:c r="AG12" s="32"/>
      <x:c r="AH12" s="48" t="n">
        <x:v>395.64447500015376</x:v>
      </x:c>
      <x:c r="AI12" s="32" t="str">
        <x:v>PASS</x:v>
      </x:c>
      <x:c r="AJ12" s="32" t="str">
        <x:v>GREEN</x:v>
      </x:c>
      <x:c r="AK12" s="32" t="str">
        <x:v>latest-narrow</x:v>
      </x:c>
      <x:c r="AL12" s="32" t="n">
        <x:v>1</x:v>
      </x:c>
      <x:c r="AM12" s="32" t="n">
        <x:v>1</x:v>
      </x:c>
      <x:c r="AN12" s="32" t="n">
        <x:v>1000</x:v>
      </x:c>
      <x:c r="AO12" s="32" t="n">
        <x:v>1</x:v>
      </x:c>
      <x:c r="AP12" s="32" t="n">
        <x:v>8132</x:v>
      </x:c>
      <x:c r="AQ12" s="48" t="n">
        <x:v>6.833281000581337</x:v>
      </x:c>
      <x:c r="AR12" s="48" t="n">
        <x:v>8.08684000003268</x:v>
      </x:c>
      <x:c r="AS12" s="48" t="n">
        <x:v>9.10076280051726</x:v>
      </x:c>
      <x:c r="AT12" s="32" t="n">
        <x:v>4</x:v>
      </x:c>
      <x:c r="AU12" s="32" t="str">
        <x:v>250 / 250 / 250 / 250</x:v>
      </x:c>
      <x:c r="AV12" s="47" t="n">
        <x:v>0.13567600035457872</x:v>
      </x:c>
      <x:c r="AW12" s="47" t="n">
        <x:v>0.1754949989845045</x:v>
      </x:c>
      <x:c r="AX12" s="47" t="n">
        <x:v>0.23444040016329365</x:v>
      </x:c>
      <x:c r="AY12" t="str">
        <x:v>balanced</x:v>
      </x:c>
      <x:c r="AZ12" s="32"/>
      <x:c r="BA12" s="32"/>
      <x:c r="BB12" s="32"/>
      <x:c r="BC12" s="32"/>
      <x:c r="BD12" s="32"/>
    </x:row>
    <x:row r="13">
      <x:c r="A13" s="32" t="str">
        <x:v>d613de53-a439-414b-a17a-e4d4d5a0bfe2</x:v>
      </x:c>
      <x:c r="B13" s="32" t="str">
        <x:v>B-004</x:v>
      </x:c>
      <x:c r="C13" s="42" t="n">
        <x:v>46259.65217592593</x:v>
      </x:c>
      <x:c r="D13" s="32" t="str">
        <x:v>489b7424f5051f7a276dafe8d5f318ccf1368d87</x:v>
      </x:c>
      <x:c r="E13" s="32" t="str">
        <x:v>GLONBW11</x:v>
      </x:c>
      <x:c r="F13" s="32" t="str">
        <x:v>local-filesystem</x:v>
      </x:c>
      <x:c r="G13" s="32" t="str">
        <x:v>3.14.2</x:v>
      </x:c>
      <x:c r="H13" s="32" t="str">
        <x:v>deterministic</x:v>
      </x:c>
      <x:c r="I13" s="32" t="n">
        <x:v>1000</x:v>
      </x:c>
      <x:c r="J13" s="32" t="n">
        <x:v>10</x:v>
      </x:c>
      <x:c r="K13" s="47" t="n">
        <x:v>10.055978516666666</x:v>
      </x:c>
      <x:c r="L13" s="32" t="n">
        <x:v>121</x:v>
      </x:c>
      <x:c r="M13" s="32" t="n">
        <x:v>5</x:v>
      </x:c>
      <x:c r="N13" s="32" t="n">
        <x:v>10</x:v>
      </x:c>
      <x:c r="O13" s="48" t="n">
        <x:v>1646.5075479991356</x:v>
      </x:c>
      <x:c r="P13" s="48" t="n">
        <x:v>1805.0333699993644</x:v>
      </x:c>
      <x:c r="Q13" s="48" t="n">
        <x:v>2263.7694310000356</x:v>
      </x:c>
      <x:c r="R13" s="48" t="n">
        <x:v>2412.4516349984333</x:v>
      </x:c>
      <x:c r="S13" s="32" t="n">
        <x:v>0</x:v>
      </x:c>
      <x:c r="T13" s="43" t="n">
        <x:v>0</x:v>
      </x:c>
      <x:c r="U13" s="48" t="n">
        <x:v>98.62687870027804</x:v>
      </x:c>
      <x:c r="V13" s="48" t="n">
        <x:v>100.72952651065177</x:v>
      </x:c>
      <x:c r="W13" s="48" t="n">
        <x:v>138.08072378615702</x:v>
      </x:c>
      <x:c r="X13" s="48" t="n">
        <x:v>141.50390625</x:v>
      </x:c>
      <x:c r="Y13" s="32"/>
      <x:c r="Z13" s="32"/>
      <x:c r="AA13" s="32"/>
      <x:c r="AB13" s="32"/>
      <x:c r="AC13" s="32" t="n">
        <x:v>0</x:v>
      </x:c>
      <x:c r="AD13" s="32" t="n">
        <x:v>0</x:v>
      </x:c>
      <x:c r="AE13" s="32" t="n">
        <x:v>0</x:v>
      </x:c>
      <x:c r="AF13" s="32"/>
      <x:c r="AG13" s="32"/>
      <x:c r="AH13" s="48" t="n">
        <x:v>663.871234999533</x:v>
      </x:c>
      <x:c r="AI13" s="32" t="str">
        <x:v>PASS</x:v>
      </x:c>
      <x:c r="AJ13" s="32" t="str">
        <x:v>GREEN</x:v>
      </x:c>
      <x:c r="AK13" s="32" t="str">
        <x:v>latest-narrow</x:v>
      </x:c>
      <x:c r="AL13" s="32" t="n">
        <x:v>1</x:v>
      </x:c>
      <x:c r="AM13" s="32" t="n">
        <x:v>1</x:v>
      </x:c>
      <x:c r="AN13" s="32" t="n">
        <x:v>1000</x:v>
      </x:c>
      <x:c r="AO13" s="32" t="n">
        <x:v>1</x:v>
      </x:c>
      <x:c r="AP13" s="32" t="n">
        <x:v>8132</x:v>
      </x:c>
      <x:c r="AQ13" s="48" t="n">
        <x:v>17.10492599886493</x:v>
      </x:c>
      <x:c r="AR13" s="48" t="n">
        <x:v>25.373956999828806</x:v>
      </x:c>
      <x:c r="AS13" s="48" t="n">
        <x:v>28.664585199658166</x:v>
      </x:c>
      <x:c r="AT13" s="32" t="n">
        <x:v>36</x:v>
      </x:c>
      <x:c r="AU13" s="32" t="str">
        <x:v>28×28 + 8×27</x:v>
      </x:c>
      <x:c r="AV13" s="47" t="n">
        <x:v>0.4888759995083092</x:v>
      </x:c>
      <x:c r="AW13" s="47" t="n">
        <x:v>1.012687000184087</x:v>
      </x:c>
      <x:c r="AX13" s="47" t="n">
        <x:v>1.1429793998104287</x:v>
      </x:c>
      <x:c r="AY13" t="str">
        <x:v>balanced</x:v>
      </x:c>
      <x:c r="AZ13" s="32"/>
      <x:c r="BA13" s="32"/>
      <x:c r="BB13" s="32"/>
      <x:c r="BC13" s="32"/>
      <x:c r="BD13" s="32"/>
    </x:row>
    <x:row r="14">
      <x:c r="A14" s="32" t="str">
        <x:v>89bc783e-94b8-470b-9f5e-09f4d9d5fa15</x:v>
      </x:c>
      <x:c r="B14" s="32" t="str">
        <x:v>B-007</x:v>
      </x:c>
      <x:c r="C14" s="42" t="n">
        <x:v>46259.670127314814</x:v>
      </x:c>
      <x:c r="D14" s="32" t="str">
        <x:v>489b7424f5051f7a276dafe8d5f318ccf1368d87</x:v>
      </x:c>
      <x:c r="E14" s="32" t="str">
        <x:v>GLONBW11</x:v>
      </x:c>
      <x:c r="F14" s="32" t="str">
        <x:v>local-filesystem</x:v>
      </x:c>
      <x:c r="G14" s="32" t="str">
        <x:v>3.14.2</x:v>
      </x:c>
      <x:c r="H14" s="32" t="str">
        <x:v>deterministic</x:v>
      </x:c>
      <x:c r="I14" s="32" t="n">
        <x:v>1000</x:v>
      </x:c>
      <x:c r="J14" s="32" t="n">
        <x:v>10</x:v>
      </x:c>
      <x:c r="K14" s="47" t="n">
        <x:v>10.0547462</x:v>
      </x:c>
      <x:c r="L14" s="32" t="n">
        <x:v>121</x:v>
      </x:c>
      <x:c r="M14" s="32" t="n">
        <x:v>5</x:v>
      </x:c>
      <x:c r="N14" s="32" t="n">
        <x:v>10</x:v>
      </x:c>
      <x:c r="O14" s="48" t="n">
        <x:v>1708.2552800002304</x:v>
      </x:c>
      <x:c r="P14" s="48" t="n">
        <x:v>1899.9880939991272</x:v>
      </x:c>
      <x:c r="Q14" s="48" t="n">
        <x:v>2337.0125198005553</x:v>
      </x:c>
      <x:c r="R14" s="48" t="n">
        <x:v>2450.4529160003585</x:v>
      </x:c>
      <x:c r="S14" s="32" t="n">
        <x:v>0</x:v>
      </x:c>
      <x:c r="T14" s="43" t="n">
        <x:v>0</x:v>
      </x:c>
      <x:c r="U14" s="48" t="n">
        <x:v>98.98859307278084</x:v>
      </x:c>
      <x:c r="V14" s="48" t="n">
        <x:v>100.34470767472925</x:v>
      </x:c>
      <x:c r="W14" s="48" t="n">
        <x:v>137.21197055785123</x:v>
      </x:c>
      <x:c r="X14" s="48" t="n">
        <x:v>141.70703125</x:v>
      </x:c>
      <x:c r="Y14" s="32"/>
      <x:c r="Z14" s="32"/>
      <x:c r="AA14" s="32"/>
      <x:c r="AB14" s="32"/>
      <x:c r="AC14" s="32" t="n">
        <x:v>0</x:v>
      </x:c>
      <x:c r="AD14" s="32" t="n">
        <x:v>0</x:v>
      </x:c>
      <x:c r="AE14" s="32" t="n">
        <x:v>0</x:v>
      </x:c>
      <x:c r="AF14" s="32"/>
      <x:c r="AG14" s="32"/>
      <x:c r="AH14" s="48" t="n">
        <x:v>652.2388529992895</x:v>
      </x:c>
      <x:c r="AI14" s="32" t="str">
        <x:v>PASS</x:v>
      </x:c>
      <x:c r="AJ14" s="32" t="str">
        <x:v>GREEN</x:v>
      </x:c>
      <x:c r="AK14" s="32" t="str">
        <x:v>latest-narrow</x:v>
      </x:c>
      <x:c r="AL14" s="32" t="n">
        <x:v>1</x:v>
      </x:c>
      <x:c r="AM14" s="32" t="n">
        <x:v>1</x:v>
      </x:c>
      <x:c r="AN14" s="32" t="n">
        <x:v>1000</x:v>
      </x:c>
      <x:c r="AO14" s="32" t="n">
        <x:v>1</x:v>
      </x:c>
      <x:c r="AP14" s="32" t="n">
        <x:v>8132</x:v>
      </x:c>
      <x:c r="AQ14" s="48" t="n">
        <x:v>20.15942999969411</x:v>
      </x:c>
      <x:c r="AR14" s="48" t="n">
        <x:v>26.14674100004777</x:v>
      </x:c>
      <x:c r="AS14" s="48" t="n">
        <x:v>28.747458600628303</x:v>
      </x:c>
      <x:c r="AT14" s="32" t="n">
        <x:v>36</x:v>
      </x:c>
      <x:c r="AU14" s="32" t="str">
        <x:v>8×100 + 4×8 + 24×7</x:v>
      </x:c>
      <x:c r="AV14" s="47" t="n">
        <x:v>0.6032910005160375</x:v>
      </x:c>
      <x:c r="AW14" s="47" t="n">
        <x:v>1.103362999856472</x:v>
      </x:c>
      <x:c r="AX14" s="47" t="n">
        <x:v>1.4093383993895254</x:v>
      </x:c>
      <x:c r="AY14" t="str">
        <x:v>skewed</x:v>
      </x:c>
      <x:c r="AZ14" s="32"/>
      <x:c r="BA14" s="32"/>
      <x:c r="BB14" s="32"/>
      <x:c r="BC14" s="32"/>
      <x:c r="BD14" s="32"/>
    </x:row>
    <x:row r="15">
      <x:c r="A15" s="32" t="str">
        <x:v>6ee6ed1a-e592-4e76-a95b-777f242eb996</x:v>
      </x:c>
      <x:c r="B15" s="32" t="str">
        <x:v>B-008</x:v>
      </x:c>
      <x:c r="C15" s="42" t="n">
        <x:v>46259.684537037036</x:v>
      </x:c>
      <x:c r="D15" s="32" t="str">
        <x:v>489b7424f5051f7a276dafe8d5f318ccf1368d87</x:v>
      </x:c>
      <x:c r="E15" s="32" t="str">
        <x:v>GLONBW11</x:v>
      </x:c>
      <x:c r="F15" s="32" t="str">
        <x:v>local-filesystem</x:v>
      </x:c>
      <x:c r="G15" s="32" t="str">
        <x:v>3.14.2</x:v>
      </x:c>
      <x:c r="H15" s="32" t="str">
        <x:v>deterministic</x:v>
      </x:c>
      <x:c r="I15" s="32" t="n">
        <x:v>1000</x:v>
      </x:c>
      <x:c r="J15" s="32" t="n">
        <x:v>10</x:v>
      </x:c>
      <x:c r="K15" s="47" t="n">
        <x:v>10.032809799999999</x:v>
      </x:c>
      <x:c r="L15" s="32" t="n">
        <x:v>121</x:v>
      </x:c>
      <x:c r="M15" s="32" t="n">
        <x:v>5</x:v>
      </x:c>
      <x:c r="N15" s="32" t="n">
        <x:v>10</x:v>
      </x:c>
      <x:c r="O15" s="48" t="n">
        <x:v>936.5432049999072</x:v>
      </x:c>
      <x:c r="P15" s="48" t="n">
        <x:v>1003.201858002285</x:v>
      </x:c>
      <x:c r="Q15" s="48" t="n">
        <x:v>1333.5118401992074</x:v>
      </x:c>
      <x:c r="R15" s="48" t="n">
        <x:v>1381.550330999744</x:v>
      </x:c>
      <x:c r="S15" s="32" t="n">
        <x:v>0</x:v>
      </x:c>
      <x:c r="T15" s="43" t="n">
        <x:v>0</x:v>
      </x:c>
      <x:c r="U15" s="48" t="n">
        <x:v>98.03874135100051</x:v>
      </x:c>
      <x:c r="V15" s="48" t="n">
        <x:v>101.07678453205288</x:v>
      </x:c>
      <x:c r="W15" s="48" t="n">
        <x:v>136.63321603822314</x:v>
      </x:c>
      <x:c r="X15" s="48" t="n">
        <x:v>140.8671875</x:v>
      </x:c>
      <x:c r="Y15" s="32"/>
      <x:c r="Z15" s="32"/>
      <x:c r="AA15" s="32"/>
      <x:c r="AB15" s="32"/>
      <x:c r="AC15" s="32" t="n">
        <x:v>0</x:v>
      </x:c>
      <x:c r="AD15" s="32" t="n">
        <x:v>0</x:v>
      </x:c>
      <x:c r="AE15" s="32" t="n">
        <x:v>0</x:v>
      </x:c>
      <x:c r="AF15" s="32"/>
      <x:c r="AG15" s="32"/>
      <x:c r="AH15" s="48" t="n">
        <x:v>370.3961600003822</x:v>
      </x:c>
      <x:c r="AI15" s="32" t="str">
        <x:v>PASS-WITH-FINDINGS</x:v>
      </x:c>
      <x:c r="AJ15" s="32" t="str">
        <x:v>GREEN</x:v>
      </x:c>
      <x:c r="AK15" s="32" t="str">
        <x:v>latest-narrow</x:v>
      </x:c>
      <x:c r="AL15" s="32" t="n">
        <x:v>1</x:v>
      </x:c>
      <x:c r="AM15" s="32" t="n">
        <x:v>1</x:v>
      </x:c>
      <x:c r="AN15" s="32" t="n">
        <x:v>1000</x:v>
      </x:c>
      <x:c r="AO15" s="32" t="n">
        <x:v>1</x:v>
      </x:c>
      <x:c r="AP15" s="32" t="n">
        <x:v>8132</x:v>
      </x:c>
      <x:c r="AQ15" s="48" t="n">
        <x:v>8.644762998301303</x:v>
      </x:c>
      <x:c r="AR15" s="48" t="n">
        <x:v>10.821471998497145</x:v>
      </x:c>
      <x:c r="AS15" s="48" t="n">
        <x:v>11.815924198162975</x:v>
      </x:c>
      <x:c r="AT15" s="32" t="n">
        <x:v>36</x:v>
      </x:c>
      <x:c r="AU15" s="32" t="str">
        <x:v>0 / 28 / 28 / 28 / 27 / 28 / 28 / 28 / 27 / 0 / 28 / 28 / 27 / 28 / 28 / 28 / 27 / 28 / 0 / 28 / 27 / 28 / 28 / 28 / 27 / 28 / 28 / 0 / 26 / 27 / 27 / 27 / 26 / 27 / 27 / 27</x:v>
      </x:c>
      <x:c r="AV15" s="47" t="n">
        <x:v>0.7519549981225282</x:v>
      </x:c>
      <x:c r="AW15" s="47" t="n">
        <x:v>1.0019420005846769</x:v>
      </x:c>
      <x:c r="AX15" s="47" t="n">
        <x:v>1.4330117999634238</x:v>
      </x:c>
      <x:c r="AY15" t="str">
        <x:v>mixed</x:v>
      </x:c>
      <x:c r="AZ15" s="32" t="str">
        <x:v>FAIL</x:v>
      </x:c>
      <x:c r="BA15" s="32" t="n">
        <x:v>880</x:v>
      </x:c>
      <x:c r="BB15" s="32" t="n">
        <x:v>120</x:v>
      </x:c>
      <x:c r="BC15" s="115" t="b">
        <x:v>1</x:v>
      </x:c>
      <x:c r="BD15" s="32" t="str">
        <x:v>Raw FAIL was caused solely by the legacy harness rule snapshot_alarm_count == alarm_count. Core neutral-state semantics intentionally omit the 120 initially INACTIVE alarms; observed 880 == expected 880 and journal is aligned.</x:v>
      </x:c>
    </x:row>
    <x:row r="16">
      <x:c r="A16" s="32"/>
      <x:c r="B16" s="32"/>
      <x:c r="C16" s="4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43" t="str">
        <x:f>IFERROR(S16/L16,"")</x:f>
      </x:c>
      <x:c r="U16" s="32"/>
      <x:c r="V16" s="32"/>
      <x:c r="W16" s="32"/>
      <x:c r="X16" s="32"/>
      <x:c r="Y16" s="32"/>
      <x:c r="Z16" s="32"/>
      <x:c r="AA16" s="32"/>
      <x:c r="AB16" s="32"/>
      <x:c r="AC16" s="32"/>
      <x:c r="AD16" s="32"/>
      <x:c r="AE16" s="32"/>
      <x:c r="AF16" s="32"/>
      <x:c r="AG16" s="32"/>
      <x:c r="AH16" s="32"/>
      <x:c r="AI16" s="32"/>
      <x:c r="AJ16" s="32"/>
      <x:c r="AK16" s="32"/>
      <x:c r="AL16" s="32"/>
      <x:c r="AM16" s="32"/>
      <x:c r="AN16" s="32"/>
      <x:c r="AO16" s="32"/>
      <x:c r="AP16" s="32"/>
      <x:c r="AQ16" s="32"/>
      <x:c r="AR16" s="32"/>
      <x:c r="AS16" s="32"/>
      <x:c r="AT16" s="32"/>
      <x:c r="AU16" s="32"/>
      <x:c r="AV16" s="32"/>
      <x:c r="AW16" s="32"/>
      <x:c r="AX16" s="32"/>
      <x:c r="AZ16" s="32"/>
      <x:c r="BA16" s="32"/>
      <x:c r="BB16" s="32"/>
      <x:c r="BC16" s="32"/>
      <x:c r="BD16" s="32"/>
    </x:row>
    <x:row r="17">
      <x:c r="A17" s="32"/>
      <x:c r="B17" s="32"/>
      <x:c r="C17" s="4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43" t="str">
        <x:f>IFERROR(S17/L17,"")</x:f>
      </x:c>
      <x:c r="U17" s="32"/>
      <x:c r="V17" s="32"/>
      <x:c r="W17" s="32"/>
      <x:c r="X17" s="32"/>
      <x:c r="Y17" s="32"/>
      <x:c r="Z17" s="32"/>
      <x:c r="AA17" s="32"/>
      <x:c r="AB17" s="32"/>
      <x:c r="AC17" s="32"/>
      <x:c r="AD17" s="32"/>
      <x:c r="AE17" s="32"/>
      <x:c r="AF17" s="32"/>
      <x:c r="AG17" s="32"/>
      <x:c r="AH17" s="32"/>
      <x:c r="AI17" s="32"/>
      <x:c r="AJ17" s="32"/>
      <x:c r="AK17" s="32"/>
      <x:c r="AL17" s="32"/>
      <x:c r="AM17" s="32"/>
      <x:c r="AN17" s="32"/>
      <x:c r="AO17" s="32"/>
      <x:c r="AP17" s="32"/>
      <x:c r="AQ17" s="32"/>
      <x:c r="AR17" s="32"/>
      <x:c r="AS17" s="32"/>
      <x:c r="AT17" s="32"/>
      <x:c r="AU17" s="32"/>
      <x:c r="AV17" s="32"/>
      <x:c r="AW17" s="32"/>
      <x:c r="AX17" s="32"/>
      <x:c r="AZ17" s="32"/>
      <x:c r="BA17" s="32"/>
      <x:c r="BB17" s="32"/>
      <x:c r="BC17" s="32"/>
      <x:c r="BD17" s="32"/>
    </x:row>
    <x:row r="18">
      <x:c r="A18" s="32"/>
      <x:c r="B18" s="32"/>
      <x:c r="C18" s="4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43" t="str">
        <x:f>IFERROR(S18/L18,"")</x:f>
      </x:c>
      <x:c r="U18" s="32"/>
      <x:c r="V18" s="32"/>
      <x:c r="W18" s="32"/>
      <x:c r="X18" s="32"/>
      <x:c r="Y18" s="32"/>
      <x:c r="Z18" s="32"/>
      <x:c r="AA18" s="32"/>
      <x:c r="AB18" s="32"/>
      <x:c r="AC18" s="32"/>
      <x:c r="AD18" s="32"/>
      <x:c r="AE18" s="32"/>
      <x:c r="AF18" s="32"/>
      <x:c r="AG18" s="32"/>
      <x:c r="AH18" s="32"/>
      <x:c r="AI18" s="32"/>
      <x:c r="AJ18" s="32"/>
      <x:c r="AK18" s="32"/>
      <x:c r="AL18" s="32"/>
      <x:c r="AM18" s="32"/>
      <x:c r="AN18" s="32"/>
      <x:c r="AO18" s="32"/>
      <x:c r="AP18" s="32"/>
      <x:c r="AQ18" s="32"/>
      <x:c r="AR18" s="32"/>
      <x:c r="AS18" s="32"/>
      <x:c r="AT18" s="32"/>
      <x:c r="AU18" s="32"/>
      <x:c r="AV18" s="32"/>
      <x:c r="AW18" s="32"/>
      <x:c r="AX18" s="32"/>
      <x:c r="AZ18" s="32"/>
      <x:c r="BA18" s="32"/>
      <x:c r="BB18" s="32"/>
      <x:c r="BC18" s="32"/>
      <x:c r="BD18" s="32"/>
    </x:row>
    <x:row r="19">
      <x:c r="A19" s="32"/>
      <x:c r="B19" s="32"/>
      <x:c r="C19" s="4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43" t="str">
        <x:f>IFERROR(S19/L19,"")</x:f>
      </x:c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/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  <x:c r="AT19" s="32"/>
      <x:c r="AU19" s="32"/>
      <x:c r="AV19" s="32"/>
      <x:c r="AW19" s="32"/>
      <x:c r="AX19" s="32"/>
      <x:c r="AZ19" s="32"/>
      <x:c r="BA19" s="32"/>
      <x:c r="BB19" s="32"/>
      <x:c r="BC19" s="32"/>
      <x:c r="BD19" s="32"/>
    </x:row>
    <x:row r="20">
      <x:c r="A20" s="32"/>
      <x:c r="B20" s="32"/>
      <x:c r="C20" s="4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43" t="str">
        <x:f>IFERROR(S20/L20,"")</x:f>
      </x:c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  <x:c r="AZ20" s="32"/>
      <x:c r="BA20" s="32"/>
      <x:c r="BB20" s="32"/>
      <x:c r="BC20" s="32"/>
      <x:c r="BD20" s="32"/>
    </x:row>
    <x:row r="21">
      <x:c r="A21" s="32"/>
      <x:c r="B21" s="32"/>
      <x:c r="C21" s="4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43" t="str">
        <x:f>IFERROR(S21/L21,"")</x:f>
      </x:c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  <x:c r="AZ21" s="32"/>
      <x:c r="BA21" s="32"/>
      <x:c r="BB21" s="32"/>
      <x:c r="BC21" s="32"/>
      <x:c r="BD21" s="32"/>
    </x:row>
    <x:row r="22">
      <x:c r="A22" s="32"/>
      <x:c r="B22" s="32"/>
      <x:c r="C22" s="4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43" t="str">
        <x:f>IFERROR(S22/L22,"")</x:f>
      </x:c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  <x:c r="AZ22" s="32"/>
      <x:c r="BA22" s="32"/>
      <x:c r="BB22" s="32"/>
      <x:c r="BC22" s="32"/>
      <x:c r="BD22" s="32"/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  <x:c r="AZ23" s="32"/>
      <x:c r="BA23" s="32"/>
      <x:c r="BB23" s="32"/>
      <x:c r="BC23" s="32"/>
      <x:c r="BD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Z24" s="32"/>
      <x:c r="BA24" s="32"/>
      <x:c r="BB24" s="32"/>
      <x:c r="BC24" s="32"/>
      <x:c r="BD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Z25" s="32"/>
      <x:c r="BA25" s="32"/>
      <x:c r="BB25" s="32"/>
      <x:c r="BC25" s="32"/>
      <x:c r="BD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Z26" s="32"/>
      <x:c r="BA26" s="32"/>
      <x:c r="BB26" s="32"/>
      <x:c r="BC26" s="32"/>
      <x:c r="BD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Z27" s="32"/>
      <x:c r="BA27" s="32"/>
      <x:c r="BB27" s="32"/>
      <x:c r="BC27" s="32"/>
      <x:c r="BD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Z28" s="32"/>
      <x:c r="BA28" s="32"/>
      <x:c r="BB28" s="32"/>
      <x:c r="BC28" s="32"/>
      <x:c r="BD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Z29" s="32"/>
      <x:c r="BA29" s="32"/>
      <x:c r="BB29" s="32"/>
      <x:c r="BC29" s="32"/>
      <x:c r="BD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Z30" s="32"/>
      <x:c r="BA30" s="32"/>
      <x:c r="BB30" s="32"/>
      <x:c r="BC30" s="32"/>
      <x:c r="BD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Z31" s="32"/>
      <x:c r="BA31" s="32"/>
      <x:c r="BB31" s="32"/>
      <x:c r="BC31" s="32"/>
      <x:c r="BD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Z32" s="32"/>
      <x:c r="BA32" s="32"/>
      <x:c r="BB32" s="32"/>
      <x:c r="BC32" s="32"/>
      <x:c r="BD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Z33" s="32"/>
      <x:c r="BA33" s="32"/>
      <x:c r="BB33" s="32"/>
      <x:c r="BC33" s="32"/>
      <x:c r="BD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Z34" s="32"/>
      <x:c r="BA34" s="32"/>
      <x:c r="BB34" s="32"/>
      <x:c r="BC34" s="32"/>
      <x:c r="BD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Z35" s="32"/>
      <x:c r="BA35" s="32"/>
      <x:c r="BB35" s="32"/>
      <x:c r="BC35" s="32"/>
      <x:c r="BD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Z36" s="32"/>
      <x:c r="BA36" s="32"/>
      <x:c r="BB36" s="32"/>
      <x:c r="BC36" s="32"/>
      <x:c r="BD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Z37" s="32"/>
      <x:c r="BA37" s="32"/>
      <x:c r="BB37" s="32"/>
      <x:c r="BC37" s="32"/>
      <x:c r="BD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Z38" s="32"/>
      <x:c r="BA38" s="32"/>
      <x:c r="BB38" s="32"/>
      <x:c r="BC38" s="32"/>
      <x:c r="BD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Z39" s="32"/>
      <x:c r="BA39" s="32"/>
      <x:c r="BB39" s="32"/>
      <x:c r="BC39" s="32"/>
      <x:c r="BD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Z40" s="32"/>
      <x:c r="BA40" s="32"/>
      <x:c r="BB40" s="32"/>
      <x:c r="BC40" s="32"/>
      <x:c r="BD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Z41" s="32"/>
      <x:c r="BA41" s="32"/>
      <x:c r="BB41" s="32"/>
      <x:c r="BC41" s="32"/>
      <x:c r="BD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Z42" s="32"/>
      <x:c r="BA42" s="32"/>
      <x:c r="BB42" s="32"/>
      <x:c r="BC42" s="32"/>
      <x:c r="BD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Z43" s="32"/>
      <x:c r="BA43" s="32"/>
      <x:c r="BB43" s="32"/>
      <x:c r="BC43" s="32"/>
      <x:c r="BD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Z44" s="32"/>
      <x:c r="BA44" s="32"/>
      <x:c r="BB44" s="32"/>
      <x:c r="BC44" s="32"/>
      <x:c r="BD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Z45" s="32"/>
      <x:c r="BA45" s="32"/>
      <x:c r="BB45" s="32"/>
      <x:c r="BC45" s="32"/>
      <x:c r="BD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Z46" s="32"/>
      <x:c r="BA46" s="32"/>
      <x:c r="BB46" s="32"/>
      <x:c r="BC46" s="32"/>
      <x:c r="BD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Z47" s="32"/>
      <x:c r="BA47" s="32"/>
      <x:c r="BB47" s="32"/>
      <x:c r="BC47" s="32"/>
      <x:c r="BD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Z48" s="32"/>
      <x:c r="BA48" s="32"/>
      <x:c r="BB48" s="32"/>
      <x:c r="BC48" s="32"/>
      <x:c r="BD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Z49" s="32"/>
      <x:c r="BA49" s="32"/>
      <x:c r="BB49" s="32"/>
      <x:c r="BC49" s="32"/>
      <x:c r="BD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Z50" s="32"/>
      <x:c r="BA50" s="32"/>
      <x:c r="BB50" s="32"/>
      <x:c r="BC50" s="32"/>
      <x:c r="BD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Z51" s="32"/>
      <x:c r="BA51" s="32"/>
      <x:c r="BB51" s="32"/>
      <x:c r="BC51" s="32"/>
      <x:c r="BD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Z52" s="32"/>
      <x:c r="BA52" s="32"/>
      <x:c r="BB52" s="32"/>
      <x:c r="BC52" s="32"/>
      <x:c r="BD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Z53" s="32"/>
      <x:c r="BA53" s="32"/>
      <x:c r="BB53" s="32"/>
      <x:c r="BC53" s="32"/>
      <x:c r="BD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Z54" s="32"/>
      <x:c r="BA54" s="32"/>
      <x:c r="BB54" s="32"/>
      <x:c r="BC54" s="32"/>
      <x:c r="BD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Z55" s="32"/>
      <x:c r="BA55" s="32"/>
      <x:c r="BB55" s="32"/>
      <x:c r="BC55" s="32"/>
      <x:c r="BD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Z56" s="32"/>
      <x:c r="BA56" s="32"/>
      <x:c r="BB56" s="32"/>
      <x:c r="BC56" s="32"/>
      <x:c r="BD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Z57" s="32"/>
      <x:c r="BA57" s="32"/>
      <x:c r="BB57" s="32"/>
      <x:c r="BC57" s="32"/>
      <x:c r="BD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Z58" s="32"/>
      <x:c r="BA58" s="32"/>
      <x:c r="BB58" s="32"/>
      <x:c r="BC58" s="32"/>
      <x:c r="BD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Z59" s="32"/>
      <x:c r="BA59" s="32"/>
      <x:c r="BB59" s="32"/>
      <x:c r="BC59" s="32"/>
      <x:c r="BD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Z60" s="32"/>
      <x:c r="BA60" s="32"/>
      <x:c r="BB60" s="32"/>
      <x:c r="BC60" s="32"/>
      <x:c r="BD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Z61" s="32"/>
      <x:c r="BA61" s="32"/>
      <x:c r="BB61" s="32"/>
      <x:c r="BC61" s="32"/>
      <x:c r="BD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Z62" s="32"/>
      <x:c r="BA62" s="32"/>
      <x:c r="BB62" s="32"/>
      <x:c r="BC62" s="32"/>
      <x:c r="BD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Z63" s="32"/>
      <x:c r="BA63" s="32"/>
      <x:c r="BB63" s="32"/>
      <x:c r="BC63" s="32"/>
      <x:c r="BD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Z64" s="32"/>
      <x:c r="BA64" s="32"/>
      <x:c r="BB64" s="32"/>
      <x:c r="BC64" s="32"/>
      <x:c r="BD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Z65" s="32"/>
      <x:c r="BA65" s="32"/>
      <x:c r="BB65" s="32"/>
      <x:c r="BC65" s="32"/>
      <x:c r="BD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Z66" s="32"/>
      <x:c r="BA66" s="32"/>
      <x:c r="BB66" s="32"/>
      <x:c r="BC66" s="32"/>
      <x:c r="BD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Z67" s="32"/>
      <x:c r="BA67" s="32"/>
      <x:c r="BB67" s="32"/>
      <x:c r="BC67" s="32"/>
      <x:c r="BD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Z68" s="32"/>
      <x:c r="BA68" s="32"/>
      <x:c r="BB68" s="32"/>
      <x:c r="BC68" s="32"/>
      <x:c r="BD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Z69" s="32"/>
      <x:c r="BA69" s="32"/>
      <x:c r="BB69" s="32"/>
      <x:c r="BC69" s="32"/>
      <x:c r="BD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Z70" s="32"/>
      <x:c r="BA70" s="32"/>
      <x:c r="BB70" s="32"/>
      <x:c r="BC70" s="32"/>
      <x:c r="BD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Z71" s="32"/>
      <x:c r="BA71" s="32"/>
      <x:c r="BB71" s="32"/>
      <x:c r="BC71" s="32"/>
      <x:c r="BD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Z72" s="32"/>
      <x:c r="BA72" s="32"/>
      <x:c r="BB72" s="32"/>
      <x:c r="BC72" s="32"/>
      <x:c r="BD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Z73" s="32"/>
      <x:c r="BA73" s="32"/>
      <x:c r="BB73" s="32"/>
      <x:c r="BC73" s="32"/>
      <x:c r="BD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Z74" s="32"/>
      <x:c r="BA74" s="32"/>
      <x:c r="BB74" s="32"/>
      <x:c r="BC74" s="32"/>
      <x:c r="BD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Z75" s="32"/>
      <x:c r="BA75" s="32"/>
      <x:c r="BB75" s="32"/>
      <x:c r="BC75" s="32"/>
      <x:c r="BD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Z76" s="32"/>
      <x:c r="BA76" s="32"/>
      <x:c r="BB76" s="32"/>
      <x:c r="BC76" s="32"/>
      <x:c r="BD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Z77" s="32"/>
      <x:c r="BA77" s="32"/>
      <x:c r="BB77" s="32"/>
      <x:c r="BC77" s="32"/>
      <x:c r="BD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Z78" s="32"/>
      <x:c r="BA78" s="32"/>
      <x:c r="BB78" s="32"/>
      <x:c r="BC78" s="32"/>
      <x:c r="BD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Z79" s="32"/>
      <x:c r="BA79" s="32"/>
      <x:c r="BB79" s="32"/>
      <x:c r="BC79" s="32"/>
      <x:c r="BD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Z80" s="32"/>
      <x:c r="BA80" s="32"/>
      <x:c r="BB80" s="32"/>
      <x:c r="BC80" s="32"/>
      <x:c r="BD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Z81" s="32"/>
      <x:c r="BA81" s="32"/>
      <x:c r="BB81" s="32"/>
      <x:c r="BC81" s="32"/>
      <x:c r="BD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Z82" s="32"/>
      <x:c r="BA82" s="32"/>
      <x:c r="BB82" s="32"/>
      <x:c r="BC82" s="32"/>
      <x:c r="BD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Z83" s="32"/>
      <x:c r="BA83" s="32"/>
      <x:c r="BB83" s="32"/>
      <x:c r="BC83" s="32"/>
      <x:c r="BD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Z84" s="32"/>
      <x:c r="BA84" s="32"/>
      <x:c r="BB84" s="32"/>
      <x:c r="BC84" s="32"/>
      <x:c r="BD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Z85" s="32"/>
      <x:c r="BA85" s="32"/>
      <x:c r="BB85" s="32"/>
      <x:c r="BC85" s="32"/>
      <x:c r="BD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Z86" s="32"/>
      <x:c r="BA86" s="32"/>
      <x:c r="BB86" s="32"/>
      <x:c r="BC86" s="32"/>
      <x:c r="BD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Z87" s="32"/>
      <x:c r="BA87" s="32"/>
      <x:c r="BB87" s="32"/>
      <x:c r="BC87" s="32"/>
      <x:c r="BD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Z88" s="32"/>
      <x:c r="BA88" s="32"/>
      <x:c r="BB88" s="32"/>
      <x:c r="BC88" s="32"/>
      <x:c r="BD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Z89" s="32"/>
      <x:c r="BA89" s="32"/>
      <x:c r="BB89" s="32"/>
      <x:c r="BC89" s="32"/>
      <x:c r="BD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Z90" s="32"/>
      <x:c r="BA90" s="32"/>
      <x:c r="BB90" s="32"/>
      <x:c r="BC90" s="32"/>
      <x:c r="BD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Z91" s="32"/>
      <x:c r="BA91" s="32"/>
      <x:c r="BB91" s="32"/>
      <x:c r="BC91" s="32"/>
      <x:c r="BD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Z92" s="32"/>
      <x:c r="BA92" s="32"/>
      <x:c r="BB92" s="32"/>
      <x:c r="BC92" s="32"/>
      <x:c r="BD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Z93" s="32"/>
      <x:c r="BA93" s="32"/>
      <x:c r="BB93" s="32"/>
      <x:c r="BC93" s="32"/>
      <x:c r="BD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Z94" s="32"/>
      <x:c r="BA94" s="32"/>
      <x:c r="BB94" s="32"/>
      <x:c r="BC94" s="32"/>
      <x:c r="BD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Z95" s="32"/>
      <x:c r="BA95" s="32"/>
      <x:c r="BB95" s="32"/>
      <x:c r="BC95" s="32"/>
      <x:c r="BD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Z96" s="32"/>
      <x:c r="BA96" s="32"/>
      <x:c r="BB96" s="32"/>
      <x:c r="BC96" s="32"/>
      <x:c r="BD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Z97" s="32"/>
      <x:c r="BA97" s="32"/>
      <x:c r="BB97" s="32"/>
      <x:c r="BC97" s="32"/>
      <x:c r="BD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Z98" s="32"/>
      <x:c r="BA98" s="32"/>
      <x:c r="BB98" s="32"/>
      <x:c r="BC98" s="32"/>
      <x:c r="BD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Z99" s="32"/>
      <x:c r="BA99" s="32"/>
      <x:c r="BB99" s="32"/>
      <x:c r="BC99" s="32"/>
      <x:c r="BD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Z100" s="32"/>
      <x:c r="BA100" s="32"/>
      <x:c r="BB100" s="32"/>
      <x:c r="BC100" s="32"/>
      <x:c r="BD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Z101" s="32"/>
      <x:c r="BA101" s="32"/>
      <x:c r="BB101" s="32"/>
      <x:c r="BC101" s="32"/>
      <x:c r="BD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Z102" s="32"/>
      <x:c r="BA102" s="32"/>
      <x:c r="BB102" s="32"/>
      <x:c r="BC102" s="32"/>
      <x:c r="BD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Z103" s="32"/>
      <x:c r="BA103" s="32"/>
      <x:c r="BB103" s="32"/>
      <x:c r="BC103" s="32"/>
      <x:c r="BD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Z104" s="32"/>
      <x:c r="BA104" s="32"/>
      <x:c r="BB104" s="32"/>
      <x:c r="BC104" s="32"/>
      <x:c r="BD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Z105" s="32"/>
      <x:c r="BA105" s="32"/>
      <x:c r="BB105" s="32"/>
      <x:c r="BC105" s="32"/>
      <x:c r="BD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Z106" s="32"/>
      <x:c r="BA106" s="32"/>
      <x:c r="BB106" s="32"/>
      <x:c r="BC106" s="32"/>
      <x:c r="BD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Z107" s="32"/>
      <x:c r="BA107" s="32"/>
      <x:c r="BB107" s="32"/>
      <x:c r="BC107" s="32"/>
      <x:c r="BD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Z108" s="32"/>
      <x:c r="BA108" s="32"/>
      <x:c r="BB108" s="32"/>
      <x:c r="BC108" s="32"/>
      <x:c r="BD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Z109" s="32"/>
      <x:c r="BA109" s="32"/>
      <x:c r="BB109" s="32"/>
      <x:c r="BC109" s="32"/>
      <x:c r="BD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Z110" s="32"/>
      <x:c r="BA110" s="32"/>
      <x:c r="BB110" s="32"/>
      <x:c r="BC110" s="32"/>
      <x:c r="BD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Z111" s="32"/>
      <x:c r="BA111" s="32"/>
      <x:c r="BB111" s="32"/>
      <x:c r="BC111" s="32"/>
      <x:c r="BD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Z112" s="32"/>
      <x:c r="BA112" s="32"/>
      <x:c r="BB112" s="32"/>
      <x:c r="BC112" s="32"/>
      <x:c r="BD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Z113" s="32"/>
      <x:c r="BA113" s="32"/>
      <x:c r="BB113" s="32"/>
      <x:c r="BC113" s="32"/>
      <x:c r="BD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Z114" s="32"/>
      <x:c r="BA114" s="32"/>
      <x:c r="BB114" s="32"/>
      <x:c r="BC114" s="32"/>
      <x:c r="BD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Z115" s="32"/>
      <x:c r="BA115" s="32"/>
      <x:c r="BB115" s="32"/>
      <x:c r="BC115" s="32"/>
      <x:c r="BD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Z116" s="32"/>
      <x:c r="BA116" s="32"/>
      <x:c r="BB116" s="32"/>
      <x:c r="BC116" s="32"/>
      <x:c r="BD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Z117" s="32"/>
      <x:c r="BA117" s="32"/>
      <x:c r="BB117" s="32"/>
      <x:c r="BC117" s="32"/>
      <x:c r="BD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Z118" s="32"/>
      <x:c r="BA118" s="32"/>
      <x:c r="BB118" s="32"/>
      <x:c r="BC118" s="32"/>
      <x:c r="BD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Z119" s="32"/>
      <x:c r="BA119" s="32"/>
      <x:c r="BB119" s="32"/>
      <x:c r="BC119" s="32"/>
      <x:c r="BD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Z120" s="32"/>
      <x:c r="BA120" s="32"/>
      <x:c r="BB120" s="32"/>
      <x:c r="BC120" s="32"/>
      <x:c r="BD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Z121" s="32"/>
      <x:c r="BA121" s="32"/>
      <x:c r="BB121" s="32"/>
      <x:c r="BC121" s="32"/>
      <x:c r="BD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Z122" s="32"/>
      <x:c r="BA122" s="32"/>
      <x:c r="BB122" s="32"/>
      <x:c r="BC122" s="32"/>
      <x:c r="BD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Z123" s="32"/>
      <x:c r="BA123" s="32"/>
      <x:c r="BB123" s="32"/>
      <x:c r="BC123" s="32"/>
      <x:c r="BD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Z124" s="32"/>
      <x:c r="BA124" s="32"/>
      <x:c r="BB124" s="32"/>
      <x:c r="BC124" s="32"/>
      <x:c r="BD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Z125" s="32"/>
      <x:c r="BA125" s="32"/>
      <x:c r="BB125" s="32"/>
      <x:c r="BC125" s="32"/>
      <x:c r="BD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Z126" s="32"/>
      <x:c r="BA126" s="32"/>
      <x:c r="BB126" s="32"/>
      <x:c r="BC126" s="32"/>
      <x:c r="BD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Z127" s="32"/>
      <x:c r="BA127" s="32"/>
      <x:c r="BB127" s="32"/>
      <x:c r="BC127" s="32"/>
      <x:c r="BD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Z128" s="32"/>
      <x:c r="BA128" s="32"/>
      <x:c r="BB128" s="32"/>
      <x:c r="BC128" s="32"/>
      <x:c r="BD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Z129" s="32"/>
      <x:c r="BA129" s="32"/>
      <x:c r="BB129" s="32"/>
      <x:c r="BC129" s="32"/>
      <x:c r="BD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Z130" s="32"/>
      <x:c r="BA130" s="32"/>
      <x:c r="BB130" s="32"/>
      <x:c r="BC130" s="32"/>
      <x:c r="BD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Z131" s="32"/>
      <x:c r="BA131" s="32"/>
      <x:c r="BB131" s="32"/>
      <x:c r="BC131" s="32"/>
      <x:c r="BD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Z132" s="32"/>
      <x:c r="BA132" s="32"/>
      <x:c r="BB132" s="32"/>
      <x:c r="BC132" s="32"/>
      <x:c r="BD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Z133" s="32"/>
      <x:c r="BA133" s="32"/>
      <x:c r="BB133" s="32"/>
      <x:c r="BC133" s="32"/>
      <x:c r="BD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Z134" s="32"/>
      <x:c r="BA134" s="32"/>
      <x:c r="BB134" s="32"/>
      <x:c r="BC134" s="32"/>
      <x:c r="BD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Z135" s="32"/>
      <x:c r="BA135" s="32"/>
      <x:c r="BB135" s="32"/>
      <x:c r="BC135" s="32"/>
      <x:c r="BD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Z136" s="32"/>
      <x:c r="BA136" s="32"/>
      <x:c r="BB136" s="32"/>
      <x:c r="BC136" s="32"/>
      <x:c r="BD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Z137" s="32"/>
      <x:c r="BA137" s="32"/>
      <x:c r="BB137" s="32"/>
      <x:c r="BC137" s="32"/>
      <x:c r="BD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Z138" s="32"/>
      <x:c r="BA138" s="32"/>
      <x:c r="BB138" s="32"/>
      <x:c r="BC138" s="32"/>
      <x:c r="BD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Z139" s="32"/>
      <x:c r="BA139" s="32"/>
      <x:c r="BB139" s="32"/>
      <x:c r="BC139" s="32"/>
      <x:c r="BD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Z140" s="32"/>
      <x:c r="BA140" s="32"/>
      <x:c r="BB140" s="32"/>
      <x:c r="BC140" s="32"/>
      <x:c r="BD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Z141" s="32"/>
      <x:c r="BA141" s="32"/>
      <x:c r="BB141" s="32"/>
      <x:c r="BC141" s="32"/>
      <x:c r="BD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Z142" s="32"/>
      <x:c r="BA142" s="32"/>
      <x:c r="BB142" s="32"/>
      <x:c r="BC142" s="32"/>
      <x:c r="BD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Z143" s="32"/>
      <x:c r="BA143" s="32"/>
      <x:c r="BB143" s="32"/>
      <x:c r="BC143" s="32"/>
      <x:c r="BD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Z144" s="32"/>
      <x:c r="BA144" s="32"/>
      <x:c r="BB144" s="32"/>
      <x:c r="BC144" s="32"/>
      <x:c r="BD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Z145" s="32"/>
      <x:c r="BA145" s="32"/>
      <x:c r="BB145" s="32"/>
      <x:c r="BC145" s="32"/>
      <x:c r="BD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Z146" s="32"/>
      <x:c r="BA146" s="32"/>
      <x:c r="BB146" s="32"/>
      <x:c r="BC146" s="32"/>
      <x:c r="BD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Z147" s="32"/>
      <x:c r="BA147" s="32"/>
      <x:c r="BB147" s="32"/>
      <x:c r="BC147" s="32"/>
      <x:c r="BD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Z148" s="32"/>
      <x:c r="BA148" s="32"/>
      <x:c r="BB148" s="32"/>
      <x:c r="BC148" s="32"/>
      <x:c r="BD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Z149" s="32"/>
      <x:c r="BA149" s="32"/>
      <x:c r="BB149" s="32"/>
      <x:c r="BC149" s="32"/>
      <x:c r="BD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Z150" s="32"/>
      <x:c r="BA150" s="32"/>
      <x:c r="BB150" s="32"/>
      <x:c r="BC150" s="32"/>
      <x:c r="BD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Z151" s="32"/>
      <x:c r="BA151" s="32"/>
      <x:c r="BB151" s="32"/>
      <x:c r="BC151" s="32"/>
      <x:c r="BD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Z152" s="32"/>
      <x:c r="BA152" s="32"/>
      <x:c r="BB152" s="32"/>
      <x:c r="BC152" s="32"/>
      <x:c r="BD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Z153" s="32"/>
      <x:c r="BA153" s="32"/>
      <x:c r="BB153" s="32"/>
      <x:c r="BC153" s="32"/>
      <x:c r="BD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Z154" s="32"/>
      <x:c r="BA154" s="32"/>
      <x:c r="BB154" s="32"/>
      <x:c r="BC154" s="32"/>
      <x:c r="BD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Z155" s="32"/>
      <x:c r="BA155" s="32"/>
      <x:c r="BB155" s="32"/>
      <x:c r="BC155" s="32"/>
      <x:c r="BD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Z156" s="32"/>
      <x:c r="BA156" s="32"/>
      <x:c r="BB156" s="32"/>
      <x:c r="BC156" s="32"/>
      <x:c r="BD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Z157" s="32"/>
      <x:c r="BA157" s="32"/>
      <x:c r="BB157" s="32"/>
      <x:c r="BC157" s="32"/>
      <x:c r="BD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Z158" s="32"/>
      <x:c r="BA158" s="32"/>
      <x:c r="BB158" s="32"/>
      <x:c r="BC158" s="32"/>
      <x:c r="BD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Z159" s="32"/>
      <x:c r="BA159" s="32"/>
      <x:c r="BB159" s="32"/>
      <x:c r="BC159" s="32"/>
      <x:c r="BD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Z160" s="32"/>
      <x:c r="BA160" s="32"/>
      <x:c r="BB160" s="32"/>
      <x:c r="BC160" s="32"/>
      <x:c r="BD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Z161" s="32"/>
      <x:c r="BA161" s="32"/>
      <x:c r="BB161" s="32"/>
      <x:c r="BC161" s="32"/>
      <x:c r="BD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Z162" s="32"/>
      <x:c r="BA162" s="32"/>
      <x:c r="BB162" s="32"/>
      <x:c r="BC162" s="32"/>
      <x:c r="BD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Z163" s="32"/>
      <x:c r="BA163" s="32"/>
      <x:c r="BB163" s="32"/>
      <x:c r="BC163" s="32"/>
      <x:c r="BD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Z164" s="32"/>
      <x:c r="BA164" s="32"/>
      <x:c r="BB164" s="32"/>
      <x:c r="BC164" s="32"/>
      <x:c r="BD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Z165" s="32"/>
      <x:c r="BA165" s="32"/>
      <x:c r="BB165" s="32"/>
      <x:c r="BC165" s="32"/>
      <x:c r="BD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Z166" s="32"/>
      <x:c r="BA166" s="32"/>
      <x:c r="BB166" s="32"/>
      <x:c r="BC166" s="32"/>
      <x:c r="BD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Z167" s="32"/>
      <x:c r="BA167" s="32"/>
      <x:c r="BB167" s="32"/>
      <x:c r="BC167" s="32"/>
      <x:c r="BD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Z168" s="32"/>
      <x:c r="BA168" s="32"/>
      <x:c r="BB168" s="32"/>
      <x:c r="BC168" s="32"/>
      <x:c r="BD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Z169" s="32"/>
      <x:c r="BA169" s="32"/>
      <x:c r="BB169" s="32"/>
      <x:c r="BC169" s="32"/>
      <x:c r="BD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Z170" s="32"/>
      <x:c r="BA170" s="32"/>
      <x:c r="BB170" s="32"/>
      <x:c r="BC170" s="32"/>
      <x:c r="BD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Z171" s="32"/>
      <x:c r="BA171" s="32"/>
      <x:c r="BB171" s="32"/>
      <x:c r="BC171" s="32"/>
      <x:c r="BD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Z172" s="32"/>
      <x:c r="BA172" s="32"/>
      <x:c r="BB172" s="32"/>
      <x:c r="BC172" s="32"/>
      <x:c r="BD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Z173" s="32"/>
      <x:c r="BA173" s="32"/>
      <x:c r="BB173" s="32"/>
      <x:c r="BC173" s="32"/>
      <x:c r="BD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Z174" s="32"/>
      <x:c r="BA174" s="32"/>
      <x:c r="BB174" s="32"/>
      <x:c r="BC174" s="32"/>
      <x:c r="BD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Z175" s="32"/>
      <x:c r="BA175" s="32"/>
      <x:c r="BB175" s="32"/>
      <x:c r="BC175" s="32"/>
      <x:c r="BD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Z176" s="32"/>
      <x:c r="BA176" s="32"/>
      <x:c r="BB176" s="32"/>
      <x:c r="BC176" s="32"/>
      <x:c r="BD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Z177" s="32"/>
      <x:c r="BA177" s="32"/>
      <x:c r="BB177" s="32"/>
      <x:c r="BC177" s="32"/>
      <x:c r="BD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Z178" s="32"/>
      <x:c r="BA178" s="32"/>
      <x:c r="BB178" s="32"/>
      <x:c r="BC178" s="32"/>
      <x:c r="BD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Z179" s="32"/>
      <x:c r="BA179" s="32"/>
      <x:c r="BB179" s="32"/>
      <x:c r="BC179" s="32"/>
      <x:c r="BD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Z180" s="32"/>
      <x:c r="BA180" s="32"/>
      <x:c r="BB180" s="32"/>
      <x:c r="BC180" s="32"/>
      <x:c r="BD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Z181" s="32"/>
      <x:c r="BA181" s="32"/>
      <x:c r="BB181" s="32"/>
      <x:c r="BC181" s="32"/>
      <x:c r="BD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Z182" s="32"/>
      <x:c r="BA182" s="32"/>
      <x:c r="BB182" s="32"/>
      <x:c r="BC182" s="32"/>
      <x:c r="BD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Z183" s="32"/>
      <x:c r="BA183" s="32"/>
      <x:c r="BB183" s="32"/>
      <x:c r="BC183" s="32"/>
      <x:c r="BD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Z184" s="32"/>
      <x:c r="BA184" s="32"/>
      <x:c r="BB184" s="32"/>
      <x:c r="BC184" s="32"/>
      <x:c r="BD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Z185" s="32"/>
      <x:c r="BA185" s="32"/>
      <x:c r="BB185" s="32"/>
      <x:c r="BC185" s="32"/>
      <x:c r="BD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Z186" s="32"/>
      <x:c r="BA186" s="32"/>
      <x:c r="BB186" s="32"/>
      <x:c r="BC186" s="32"/>
      <x:c r="BD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Z187" s="32"/>
      <x:c r="BA187" s="32"/>
      <x:c r="BB187" s="32"/>
      <x:c r="BC187" s="32"/>
      <x:c r="BD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Z188" s="32"/>
      <x:c r="BA188" s="32"/>
      <x:c r="BB188" s="32"/>
      <x:c r="BC188" s="32"/>
      <x:c r="BD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Z189" s="32"/>
      <x:c r="BA189" s="32"/>
      <x:c r="BB189" s="32"/>
      <x:c r="BC189" s="32"/>
      <x:c r="BD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Z190" s="32"/>
      <x:c r="BA190" s="32"/>
      <x:c r="BB190" s="32"/>
      <x:c r="BC190" s="32"/>
      <x:c r="BD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Z191" s="32"/>
      <x:c r="BA191" s="32"/>
      <x:c r="BB191" s="32"/>
      <x:c r="BC191" s="32"/>
      <x:c r="BD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Z192" s="32"/>
      <x:c r="BA192" s="32"/>
      <x:c r="BB192" s="32"/>
      <x:c r="BC192" s="32"/>
      <x:c r="BD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Z193" s="32"/>
      <x:c r="BA193" s="32"/>
      <x:c r="BB193" s="32"/>
      <x:c r="BC193" s="32"/>
      <x:c r="BD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Z194" s="32"/>
      <x:c r="BA194" s="32"/>
      <x:c r="BB194" s="32"/>
      <x:c r="BC194" s="32"/>
      <x:c r="BD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Z195" s="32"/>
      <x:c r="BA195" s="32"/>
      <x:c r="BB195" s="32"/>
      <x:c r="BC195" s="32"/>
      <x:c r="BD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Z196" s="32"/>
      <x:c r="BA196" s="32"/>
      <x:c r="BB196" s="32"/>
      <x:c r="BC196" s="32"/>
      <x:c r="BD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Z197" s="32"/>
      <x:c r="BA197" s="32"/>
      <x:c r="BB197" s="32"/>
      <x:c r="BC197" s="32"/>
      <x:c r="BD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Z198" s="32"/>
      <x:c r="BA198" s="32"/>
      <x:c r="BB198" s="32"/>
      <x:c r="BC198" s="32"/>
      <x:c r="BD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Z199" s="32"/>
      <x:c r="BA199" s="32"/>
      <x:c r="BB199" s="32"/>
      <x:c r="BC199" s="32"/>
      <x:c r="BD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Z200" s="32"/>
      <x:c r="BA200" s="32"/>
      <x:c r="BB200" s="32"/>
      <x:c r="BC200" s="32"/>
      <x:c r="BD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Z201" s="32"/>
      <x:c r="BA201" s="32"/>
      <x:c r="BB201" s="32"/>
      <x:c r="BC201" s="32"/>
      <x:c r="BD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Z202" s="32"/>
      <x:c r="BA202" s="32"/>
      <x:c r="BB202" s="32"/>
      <x:c r="BC202" s="32"/>
      <x:c r="BD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Z203" s="32"/>
      <x:c r="BA203" s="32"/>
      <x:c r="BB203" s="32"/>
      <x:c r="BC203" s="32"/>
      <x:c r="BD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Z204" s="32"/>
      <x:c r="BA204" s="32"/>
      <x:c r="BB204" s="32"/>
      <x:c r="BC204" s="32"/>
      <x:c r="BD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Z205" s="32"/>
      <x:c r="BA205" s="32"/>
      <x:c r="BB205" s="32"/>
      <x:c r="BC205" s="32"/>
      <x:c r="BD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Z206" s="32"/>
      <x:c r="BA206" s="32"/>
      <x:c r="BB206" s="32"/>
      <x:c r="BC206" s="32"/>
      <x:c r="BD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Z207" s="32"/>
      <x:c r="BA207" s="32"/>
      <x:c r="BB207" s="32"/>
      <x:c r="BC207" s="32"/>
      <x:c r="BD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Z208" s="32"/>
      <x:c r="BA208" s="32"/>
      <x:c r="BB208" s="32"/>
      <x:c r="BC208" s="32"/>
      <x:c r="BD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Z209" s="32"/>
      <x:c r="BA209" s="32"/>
      <x:c r="BB209" s="32"/>
      <x:c r="BC209" s="32"/>
      <x:c r="BD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Z210" s="32"/>
      <x:c r="BA210" s="32"/>
      <x:c r="BB210" s="32"/>
      <x:c r="BC210" s="32"/>
      <x:c r="BD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Z211" s="32"/>
      <x:c r="BA211" s="32"/>
      <x:c r="BB211" s="32"/>
      <x:c r="BC211" s="32"/>
      <x:c r="BD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Z212" s="32"/>
      <x:c r="BA212" s="32"/>
      <x:c r="BB212" s="32"/>
      <x:c r="BC212" s="32"/>
      <x:c r="BD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Z213" s="32"/>
      <x:c r="BA213" s="32"/>
      <x:c r="BB213" s="32"/>
      <x:c r="BC213" s="32"/>
      <x:c r="BD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Z214" s="32"/>
      <x:c r="BA214" s="32"/>
      <x:c r="BB214" s="32"/>
      <x:c r="BC214" s="32"/>
      <x:c r="BD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Z215" s="32"/>
      <x:c r="BA215" s="32"/>
      <x:c r="BB215" s="32"/>
      <x:c r="BC215" s="32"/>
      <x:c r="BD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Z216" s="32"/>
      <x:c r="BA216" s="32"/>
      <x:c r="BB216" s="32"/>
      <x:c r="BC216" s="32"/>
      <x:c r="BD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Z217" s="32"/>
      <x:c r="BA217" s="32"/>
      <x:c r="BB217" s="32"/>
      <x:c r="BC217" s="32"/>
      <x:c r="BD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Z218" s="32"/>
      <x:c r="BA218" s="32"/>
      <x:c r="BB218" s="32"/>
      <x:c r="BC218" s="32"/>
      <x:c r="BD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Z219" s="32"/>
      <x:c r="BA219" s="32"/>
      <x:c r="BB219" s="32"/>
      <x:c r="BC219" s="32"/>
      <x:c r="BD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Z220" s="32"/>
      <x:c r="BA220" s="32"/>
      <x:c r="BB220" s="32"/>
      <x:c r="BC220" s="32"/>
      <x:c r="BD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Z221" s="32"/>
      <x:c r="BA221" s="32"/>
      <x:c r="BB221" s="32"/>
      <x:c r="BC221" s="32"/>
      <x:c r="BD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Z222" s="32"/>
      <x:c r="BA222" s="32"/>
      <x:c r="BB222" s="32"/>
      <x:c r="BC222" s="32"/>
      <x:c r="BD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Z223" s="32"/>
      <x:c r="BA223" s="32"/>
      <x:c r="BB223" s="32"/>
      <x:c r="BC223" s="32"/>
      <x:c r="BD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Z224" s="32"/>
      <x:c r="BA224" s="32"/>
      <x:c r="BB224" s="32"/>
      <x:c r="BC224" s="32"/>
      <x:c r="BD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Z225" s="32"/>
      <x:c r="BA225" s="32"/>
      <x:c r="BB225" s="32"/>
      <x:c r="BC225" s="32"/>
      <x:c r="BD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Z226" s="32"/>
      <x:c r="BA226" s="32"/>
      <x:c r="BB226" s="32"/>
      <x:c r="BC226" s="32"/>
      <x:c r="BD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Z227" s="32"/>
      <x:c r="BA227" s="32"/>
      <x:c r="BB227" s="32"/>
      <x:c r="BC227" s="32"/>
      <x:c r="BD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Z228" s="32"/>
      <x:c r="BA228" s="32"/>
      <x:c r="BB228" s="32"/>
      <x:c r="BC228" s="32"/>
      <x:c r="BD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Z229" s="32"/>
      <x:c r="BA229" s="32"/>
      <x:c r="BB229" s="32"/>
      <x:c r="BC229" s="32"/>
      <x:c r="BD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Z230" s="32"/>
      <x:c r="BA230" s="32"/>
      <x:c r="BB230" s="32"/>
      <x:c r="BC230" s="32"/>
      <x:c r="BD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Z231" s="32"/>
      <x:c r="BA231" s="32"/>
      <x:c r="BB231" s="32"/>
      <x:c r="BC231" s="32"/>
      <x:c r="BD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Z232" s="32"/>
      <x:c r="BA232" s="32"/>
      <x:c r="BB232" s="32"/>
      <x:c r="BC232" s="32"/>
      <x:c r="BD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Z233" s="32"/>
      <x:c r="BA233" s="32"/>
      <x:c r="BB233" s="32"/>
      <x:c r="BC233" s="32"/>
      <x:c r="BD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Z234" s="32"/>
      <x:c r="BA234" s="32"/>
      <x:c r="BB234" s="32"/>
      <x:c r="BC234" s="32"/>
      <x:c r="BD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Z235" s="32"/>
      <x:c r="BA235" s="32"/>
      <x:c r="BB235" s="32"/>
      <x:c r="BC235" s="32"/>
      <x:c r="BD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Z236" s="32"/>
      <x:c r="BA236" s="32"/>
      <x:c r="BB236" s="32"/>
      <x:c r="BC236" s="32"/>
      <x:c r="BD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Z237" s="32"/>
      <x:c r="BA237" s="32"/>
      <x:c r="BB237" s="32"/>
      <x:c r="BC237" s="32"/>
      <x:c r="BD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Z238" s="32"/>
      <x:c r="BA238" s="32"/>
      <x:c r="BB238" s="32"/>
      <x:c r="BC238" s="32"/>
      <x:c r="BD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Z239" s="32"/>
      <x:c r="BA239" s="32"/>
      <x:c r="BB239" s="32"/>
      <x:c r="BC239" s="32"/>
      <x:c r="BD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Z240" s="32"/>
      <x:c r="BA240" s="32"/>
      <x:c r="BB240" s="32"/>
      <x:c r="BC240" s="32"/>
      <x:c r="BD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Z241" s="32"/>
      <x:c r="BA241" s="32"/>
      <x:c r="BB241" s="32"/>
      <x:c r="BC241" s="32"/>
      <x:c r="BD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Z242" s="32"/>
      <x:c r="BA242" s="32"/>
      <x:c r="BB242" s="32"/>
      <x:c r="BC242" s="32"/>
      <x:c r="BD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Z243" s="32"/>
      <x:c r="BA243" s="32"/>
      <x:c r="BB243" s="32"/>
      <x:c r="BC243" s="32"/>
      <x:c r="BD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Z244" s="32"/>
      <x:c r="BA244" s="32"/>
      <x:c r="BB244" s="32"/>
      <x:c r="BC244" s="32"/>
      <x:c r="BD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Z245" s="32"/>
      <x:c r="BA245" s="32"/>
      <x:c r="BB245" s="32"/>
      <x:c r="BC245" s="32"/>
      <x:c r="BD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Z246" s="32"/>
      <x:c r="BA246" s="32"/>
      <x:c r="BB246" s="32"/>
      <x:c r="BC246" s="32"/>
      <x:c r="BD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Z247" s="32"/>
      <x:c r="BA247" s="32"/>
      <x:c r="BB247" s="32"/>
      <x:c r="BC247" s="32"/>
      <x:c r="BD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Z248" s="32"/>
      <x:c r="BA248" s="32"/>
      <x:c r="BB248" s="32"/>
      <x:c r="BC248" s="32"/>
      <x:c r="BD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Z249" s="32"/>
      <x:c r="BA249" s="32"/>
      <x:c r="BB249" s="32"/>
      <x:c r="BC249" s="32"/>
      <x:c r="BD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Z250" s="32"/>
      <x:c r="BA250" s="32"/>
      <x:c r="BB250" s="32"/>
      <x:c r="BC250" s="32"/>
      <x:c r="BD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Z251" s="32"/>
      <x:c r="BA251" s="32"/>
      <x:c r="BB251" s="32"/>
      <x:c r="BC251" s="32"/>
      <x:c r="BD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Z252" s="32"/>
      <x:c r="BA252" s="32"/>
      <x:c r="BB252" s="32"/>
      <x:c r="BC252" s="32"/>
      <x:c r="BD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Z253" s="32"/>
      <x:c r="BA253" s="32"/>
      <x:c r="BB253" s="32"/>
      <x:c r="BC253" s="32"/>
      <x:c r="BD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Z254" s="32"/>
      <x:c r="BA254" s="32"/>
      <x:c r="BB254" s="32"/>
      <x:c r="BC254" s="32"/>
      <x:c r="BD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Z255" s="32"/>
      <x:c r="BA255" s="32"/>
      <x:c r="BB255" s="32"/>
      <x:c r="BC255" s="32"/>
      <x:c r="BD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Z256" s="32"/>
      <x:c r="BA256" s="32"/>
      <x:c r="BB256" s="32"/>
      <x:c r="BC256" s="32"/>
      <x:c r="BD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Z257" s="32"/>
      <x:c r="BA257" s="32"/>
      <x:c r="BB257" s="32"/>
      <x:c r="BC257" s="32"/>
      <x:c r="BD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Z258" s="32"/>
      <x:c r="BA258" s="32"/>
      <x:c r="BB258" s="32"/>
      <x:c r="BC258" s="32"/>
      <x:c r="BD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Z259" s="32"/>
      <x:c r="BA259" s="32"/>
      <x:c r="BB259" s="32"/>
      <x:c r="BC259" s="32"/>
      <x:c r="BD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Z260" s="32"/>
      <x:c r="BA260" s="32"/>
      <x:c r="BB260" s="32"/>
      <x:c r="BC260" s="32"/>
      <x:c r="BD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Z261" s="32"/>
      <x:c r="BA261" s="32"/>
      <x:c r="BB261" s="32"/>
      <x:c r="BC261" s="32"/>
      <x:c r="BD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Z262" s="32"/>
      <x:c r="BA262" s="32"/>
      <x:c r="BB262" s="32"/>
      <x:c r="BC262" s="32"/>
      <x:c r="BD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Z263" s="32"/>
      <x:c r="BA263" s="32"/>
      <x:c r="BB263" s="32"/>
      <x:c r="BC263" s="32"/>
      <x:c r="BD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Z264" s="32"/>
      <x:c r="BA264" s="32"/>
      <x:c r="BB264" s="32"/>
      <x:c r="BC264" s="32"/>
      <x:c r="BD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Z265" s="32"/>
      <x:c r="BA265" s="32"/>
      <x:c r="BB265" s="32"/>
      <x:c r="BC265" s="32"/>
      <x:c r="BD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Z266" s="32"/>
      <x:c r="BA266" s="32"/>
      <x:c r="BB266" s="32"/>
      <x:c r="BC266" s="32"/>
      <x:c r="BD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Z267" s="32"/>
      <x:c r="BA267" s="32"/>
      <x:c r="BB267" s="32"/>
      <x:c r="BC267" s="32"/>
      <x:c r="BD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Z268" s="32"/>
      <x:c r="BA268" s="32"/>
      <x:c r="BB268" s="32"/>
      <x:c r="BC268" s="32"/>
      <x:c r="BD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Z269" s="32"/>
      <x:c r="BA269" s="32"/>
      <x:c r="BB269" s="32"/>
      <x:c r="BC269" s="32"/>
      <x:c r="BD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Z270" s="32"/>
      <x:c r="BA270" s="32"/>
      <x:c r="BB270" s="32"/>
      <x:c r="BC270" s="32"/>
      <x:c r="BD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Z271" s="32"/>
      <x:c r="BA271" s="32"/>
      <x:c r="BB271" s="32"/>
      <x:c r="BC271" s="32"/>
      <x:c r="BD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Z272" s="32"/>
      <x:c r="BA272" s="32"/>
      <x:c r="BB272" s="32"/>
      <x:c r="BC272" s="32"/>
      <x:c r="BD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Z273" s="32"/>
      <x:c r="BA273" s="32"/>
      <x:c r="BB273" s="32"/>
      <x:c r="BC273" s="32"/>
      <x:c r="BD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Z274" s="32"/>
      <x:c r="BA274" s="32"/>
      <x:c r="BB274" s="32"/>
      <x:c r="BC274" s="32"/>
      <x:c r="BD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Z275" s="32"/>
      <x:c r="BA275" s="32"/>
      <x:c r="BB275" s="32"/>
      <x:c r="BC275" s="32"/>
      <x:c r="BD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Z276" s="32"/>
      <x:c r="BA276" s="32"/>
      <x:c r="BB276" s="32"/>
      <x:c r="BC276" s="32"/>
      <x:c r="BD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  <x:c r="AZ277" s="32"/>
      <x:c r="BA277" s="32"/>
      <x:c r="BB277" s="32"/>
      <x:c r="BC277" s="32"/>
      <x:c r="BD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  <x:c r="AZ278" s="32"/>
      <x:c r="BA278" s="32"/>
      <x:c r="BB278" s="32"/>
      <x:c r="BC278" s="32"/>
      <x:c r="BD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  <x:c r="AZ279" s="32"/>
      <x:c r="BA279" s="32"/>
      <x:c r="BB279" s="32"/>
      <x:c r="BC279" s="32"/>
      <x:c r="BD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  <x:c r="AZ280" s="32"/>
      <x:c r="BA280" s="32"/>
      <x:c r="BB280" s="32"/>
      <x:c r="BC280" s="32"/>
      <x:c r="BD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  <x:c r="AZ281" s="32"/>
      <x:c r="BA281" s="32"/>
      <x:c r="BB281" s="32"/>
      <x:c r="BC281" s="32"/>
      <x:c r="BD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  <x:c r="AZ282" s="32"/>
      <x:c r="BA282" s="32"/>
      <x:c r="BB282" s="32"/>
      <x:c r="BC282" s="32"/>
      <x:c r="BD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  <x:c r="AZ283" s="32"/>
      <x:c r="BA283" s="32"/>
      <x:c r="BB283" s="32"/>
      <x:c r="BC283" s="32"/>
      <x:c r="BD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  <x:c r="AZ284" s="32"/>
      <x:c r="BA284" s="32"/>
      <x:c r="BB284" s="32"/>
      <x:c r="BC284" s="32"/>
      <x:c r="BD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  <x:c r="AZ285" s="32"/>
      <x:c r="BA285" s="32"/>
      <x:c r="BB285" s="32"/>
      <x:c r="BC285" s="32"/>
      <x:c r="BD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  <x:c r="AZ286" s="32"/>
      <x:c r="BA286" s="32"/>
      <x:c r="BB286" s="32"/>
      <x:c r="BC286" s="32"/>
      <x:c r="BD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  <x:c r="AZ287" s="32"/>
      <x:c r="BA287" s="32"/>
      <x:c r="BB287" s="32"/>
      <x:c r="BC287" s="32"/>
      <x:c r="BD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  <x:c r="AZ288" s="32"/>
      <x:c r="BA288" s="32"/>
      <x:c r="BB288" s="32"/>
      <x:c r="BC288" s="32"/>
      <x:c r="BD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  <x:c r="AZ289" s="32"/>
      <x:c r="BA289" s="32"/>
      <x:c r="BB289" s="32"/>
      <x:c r="BC289" s="32"/>
      <x:c r="BD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  <x:c r="AZ290" s="32"/>
      <x:c r="BA290" s="32"/>
      <x:c r="BB290" s="32"/>
      <x:c r="BC290" s="32"/>
      <x:c r="BD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  <x:c r="AZ291" s="32"/>
      <x:c r="BA291" s="32"/>
      <x:c r="BB291" s="32"/>
      <x:c r="BC291" s="32"/>
      <x:c r="BD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  <x:c r="AZ292" s="32"/>
      <x:c r="BA292" s="32"/>
      <x:c r="BB292" s="32"/>
      <x:c r="BC292" s="32"/>
      <x:c r="BD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  <x:c r="AZ293" s="32"/>
      <x:c r="BA293" s="32"/>
      <x:c r="BB293" s="32"/>
      <x:c r="BC293" s="32"/>
      <x:c r="BD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  <x:c r="AZ294" s="32"/>
      <x:c r="BA294" s="32"/>
      <x:c r="BB294" s="32"/>
      <x:c r="BC294" s="32"/>
      <x:c r="BD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  <x:c r="AZ295" s="32"/>
      <x:c r="BA295" s="32"/>
      <x:c r="BB295" s="32"/>
      <x:c r="BC295" s="32"/>
      <x:c r="BD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  <x:c r="AZ296" s="32"/>
      <x:c r="BA296" s="32"/>
      <x:c r="BB296" s="32"/>
      <x:c r="BC296" s="32"/>
      <x:c r="BD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  <x:c r="AZ297" s="32"/>
      <x:c r="BA297" s="32"/>
      <x:c r="BB297" s="32"/>
      <x:c r="BC297" s="32"/>
      <x:c r="BD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  <x:c r="AZ298" s="32"/>
      <x:c r="BA298" s="32"/>
      <x:c r="BB298" s="32"/>
      <x:c r="BC298" s="32"/>
      <x:c r="BD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  <x:c r="AZ299" s="32"/>
      <x:c r="BA299" s="32"/>
      <x:c r="BB299" s="32"/>
      <x:c r="BC299" s="32"/>
      <x:c r="BD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  <x:c r="AZ300" s="32"/>
      <x:c r="BA300" s="32"/>
      <x:c r="BB300" s="32"/>
      <x:c r="BC300" s="32"/>
      <x:c r="BD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  <x:c r="AZ301" s="32"/>
      <x:c r="BA301" s="32"/>
      <x:c r="BB301" s="32"/>
      <x:c r="BC301" s="32"/>
      <x:c r="BD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  <x:c r="AZ302" s="32"/>
      <x:c r="BA302" s="32"/>
      <x:c r="BB302" s="32"/>
      <x:c r="BC302" s="32"/>
      <x:c r="BD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  <x:c r="AZ303" s="32"/>
      <x:c r="BA303" s="32"/>
      <x:c r="BB303" s="32"/>
      <x:c r="BC303" s="32"/>
      <x:c r="BD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  <x:c r="AZ304" s="32"/>
      <x:c r="BA304" s="32"/>
      <x:c r="BB304" s="32"/>
      <x:c r="BC304" s="32"/>
      <x:c r="BD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  <x:c r="AK305" s="32"/>
      <x:c r="AL305" s="32"/>
      <x:c r="AM305" s="32"/>
      <x:c r="AN305" s="32"/>
      <x:c r="AO305" s="32"/>
      <x:c r="AP305" s="32"/>
      <x:c r="AQ305" s="32"/>
      <x:c r="AR305" s="32"/>
      <x:c r="AS305" s="32"/>
      <x:c r="AT305" s="32"/>
      <x:c r="AU305" s="32"/>
      <x:c r="AV305" s="32"/>
      <x:c r="AW305" s="32"/>
      <x:c r="AX305" s="32"/>
      <x:c r="AZ305" s="32"/>
      <x:c r="BA305" s="32"/>
      <x:c r="BB305" s="32"/>
      <x:c r="BC305" s="32"/>
      <x:c r="BD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  <x:c r="AK306" s="32"/>
      <x:c r="AL306" s="32"/>
      <x:c r="AM306" s="32"/>
      <x:c r="AN306" s="32"/>
      <x:c r="AO306" s="32"/>
      <x:c r="AP306" s="32"/>
      <x:c r="AQ306" s="32"/>
      <x:c r="AR306" s="32"/>
      <x:c r="AS306" s="32"/>
      <x:c r="AT306" s="32"/>
      <x:c r="AU306" s="32"/>
      <x:c r="AV306" s="32"/>
      <x:c r="AW306" s="32"/>
      <x:c r="AX306" s="32"/>
      <x:c r="AZ306" s="32"/>
      <x:c r="BA306" s="32"/>
      <x:c r="BB306" s="32"/>
      <x:c r="BC306" s="32"/>
      <x:c r="BD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  <x:c r="AK307" s="32"/>
      <x:c r="AL307" s="32"/>
      <x:c r="AM307" s="32"/>
      <x:c r="AN307" s="32"/>
      <x:c r="AO307" s="32"/>
      <x:c r="AP307" s="32"/>
      <x:c r="AQ307" s="32"/>
      <x:c r="AR307" s="32"/>
      <x:c r="AS307" s="32"/>
      <x:c r="AT307" s="32"/>
      <x:c r="AU307" s="32"/>
      <x:c r="AV307" s="32"/>
      <x:c r="AW307" s="32"/>
      <x:c r="AX307" s="32"/>
      <x:c r="AZ307" s="32"/>
      <x:c r="BA307" s="32"/>
      <x:c r="BB307" s="32"/>
      <x:c r="BC307" s="32"/>
      <x:c r="BD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  <x:c r="AK308" s="32"/>
      <x:c r="AL308" s="32"/>
      <x:c r="AM308" s="32"/>
      <x:c r="AN308" s="32"/>
      <x:c r="AO308" s="32"/>
      <x:c r="AP308" s="32"/>
      <x:c r="AQ308" s="32"/>
      <x:c r="AR308" s="32"/>
      <x:c r="AS308" s="32"/>
      <x:c r="AT308" s="32"/>
      <x:c r="AU308" s="32"/>
      <x:c r="AV308" s="32"/>
      <x:c r="AW308" s="32"/>
      <x:c r="AX308" s="32"/>
      <x:c r="AZ308" s="32"/>
      <x:c r="BA308" s="32"/>
      <x:c r="BB308" s="32"/>
      <x:c r="BC308" s="32"/>
      <x:c r="BD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  <x:c r="AK309" s="32"/>
      <x:c r="AL309" s="32"/>
      <x:c r="AM309" s="32"/>
      <x:c r="AN309" s="32"/>
      <x:c r="AO309" s="32"/>
      <x:c r="AP309" s="32"/>
      <x:c r="AQ309" s="32"/>
      <x:c r="AR309" s="32"/>
      <x:c r="AS309" s="32"/>
      <x:c r="AT309" s="32"/>
      <x:c r="AU309" s="32"/>
      <x:c r="AV309" s="32"/>
      <x:c r="AW309" s="32"/>
      <x:c r="AX309" s="32"/>
      <x:c r="AZ309" s="32"/>
      <x:c r="BA309" s="32"/>
      <x:c r="BB309" s="32"/>
      <x:c r="BC309" s="32"/>
      <x:c r="BD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  <x:c r="AK310" s="32"/>
      <x:c r="AL310" s="32"/>
      <x:c r="AM310" s="32"/>
      <x:c r="AN310" s="32"/>
      <x:c r="AO310" s="32"/>
      <x:c r="AP310" s="32"/>
      <x:c r="AQ310" s="32"/>
      <x:c r="AR310" s="32"/>
      <x:c r="AS310" s="32"/>
      <x:c r="AT310" s="32"/>
      <x:c r="AU310" s="32"/>
      <x:c r="AV310" s="32"/>
      <x:c r="AW310" s="32"/>
      <x:c r="AX310" s="32"/>
      <x:c r="AZ310" s="32"/>
      <x:c r="BA310" s="32"/>
      <x:c r="BB310" s="32"/>
      <x:c r="BC310" s="32"/>
      <x:c r="BD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  <x:c r="AK311" s="32"/>
      <x:c r="AL311" s="32"/>
      <x:c r="AM311" s="32"/>
      <x:c r="AN311" s="32"/>
      <x:c r="AO311" s="32"/>
      <x:c r="AP311" s="32"/>
      <x:c r="AQ311" s="32"/>
      <x:c r="AR311" s="32"/>
      <x:c r="AS311" s="32"/>
      <x:c r="AT311" s="32"/>
      <x:c r="AU311" s="32"/>
      <x:c r="AV311" s="32"/>
      <x:c r="AW311" s="32"/>
      <x:c r="AX311" s="32"/>
      <x:c r="AZ311" s="32"/>
      <x:c r="BA311" s="32"/>
      <x:c r="BB311" s="32"/>
      <x:c r="BC311" s="32"/>
      <x:c r="BD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  <x:c r="AK312" s="32"/>
      <x:c r="AL312" s="32"/>
      <x:c r="AM312" s="32"/>
      <x:c r="AN312" s="32"/>
      <x:c r="AO312" s="32"/>
      <x:c r="AP312" s="32"/>
      <x:c r="AQ312" s="32"/>
      <x:c r="AR312" s="32"/>
      <x:c r="AS312" s="32"/>
      <x:c r="AT312" s="32"/>
      <x:c r="AU312" s="32"/>
      <x:c r="AV312" s="32"/>
      <x:c r="AW312" s="32"/>
      <x:c r="AX312" s="32"/>
      <x:c r="AZ312" s="32"/>
      <x:c r="BA312" s="32"/>
      <x:c r="BB312" s="32"/>
      <x:c r="BC312" s="32"/>
      <x:c r="BD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  <x:c r="AK313" s="32"/>
      <x:c r="AL313" s="32"/>
      <x:c r="AM313" s="32"/>
      <x:c r="AN313" s="32"/>
      <x:c r="AO313" s="32"/>
      <x:c r="AP313" s="32"/>
      <x:c r="AQ313" s="32"/>
      <x:c r="AR313" s="32"/>
      <x:c r="AS313" s="32"/>
      <x:c r="AT313" s="32"/>
      <x:c r="AU313" s="32"/>
      <x:c r="AV313" s="32"/>
      <x:c r="AW313" s="32"/>
      <x:c r="AX313" s="32"/>
      <x:c r="AZ313" s="32"/>
      <x:c r="BA313" s="32"/>
      <x:c r="BB313" s="32"/>
      <x:c r="BC313" s="32"/>
      <x:c r="BD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  <x:c r="AK314" s="32"/>
      <x:c r="AL314" s="32"/>
      <x:c r="AM314" s="32"/>
      <x:c r="AN314" s="32"/>
      <x:c r="AO314" s="32"/>
      <x:c r="AP314" s="32"/>
      <x:c r="AQ314" s="32"/>
      <x:c r="AR314" s="32"/>
      <x:c r="AS314" s="32"/>
      <x:c r="AT314" s="32"/>
      <x:c r="AU314" s="32"/>
      <x:c r="AV314" s="32"/>
      <x:c r="AW314" s="32"/>
      <x:c r="AX314" s="32"/>
      <x:c r="AZ314" s="32"/>
      <x:c r="BA314" s="32"/>
      <x:c r="BB314" s="32"/>
      <x:c r="BC314" s="32"/>
      <x:c r="BD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  <x:c r="AK315" s="32"/>
      <x:c r="AL315" s="32"/>
      <x:c r="AM315" s="32"/>
      <x:c r="AN315" s="32"/>
      <x:c r="AO315" s="32"/>
      <x:c r="AP315" s="32"/>
      <x:c r="AQ315" s="32"/>
      <x:c r="AR315" s="32"/>
      <x:c r="AS315" s="32"/>
      <x:c r="AT315" s="32"/>
      <x:c r="AU315" s="32"/>
      <x:c r="AV315" s="32"/>
      <x:c r="AW315" s="32"/>
      <x:c r="AX315" s="32"/>
      <x:c r="AZ315" s="32"/>
      <x:c r="BA315" s="32"/>
      <x:c r="BB315" s="32"/>
      <x:c r="BC315" s="32"/>
      <x:c r="BD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  <x:c r="AK316" s="32"/>
      <x:c r="AL316" s="32"/>
      <x:c r="AM316" s="32"/>
      <x:c r="AN316" s="32"/>
      <x:c r="AO316" s="32"/>
      <x:c r="AP316" s="32"/>
      <x:c r="AQ316" s="32"/>
      <x:c r="AR316" s="32"/>
      <x:c r="AS316" s="32"/>
      <x:c r="AT316" s="32"/>
      <x:c r="AU316" s="32"/>
      <x:c r="AV316" s="32"/>
      <x:c r="AW316" s="32"/>
      <x:c r="AX316" s="32"/>
      <x:c r="AZ316" s="32"/>
      <x:c r="BA316" s="32"/>
      <x:c r="BB316" s="32"/>
      <x:c r="BC316" s="32"/>
      <x:c r="BD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  <x:c r="AK317" s="32"/>
      <x:c r="AL317" s="32"/>
      <x:c r="AM317" s="32"/>
      <x:c r="AN317" s="32"/>
      <x:c r="AO317" s="32"/>
      <x:c r="AP317" s="32"/>
      <x:c r="AQ317" s="32"/>
      <x:c r="AR317" s="32"/>
      <x:c r="AS317" s="32"/>
      <x:c r="AT317" s="32"/>
      <x:c r="AU317" s="32"/>
      <x:c r="AV317" s="32"/>
      <x:c r="AW317" s="32"/>
      <x:c r="AX317" s="32"/>
      <x:c r="AZ317" s="32"/>
      <x:c r="BA317" s="32"/>
      <x:c r="BB317" s="32"/>
      <x:c r="BC317" s="32"/>
      <x:c r="BD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  <x:c r="AK318" s="32"/>
      <x:c r="AL318" s="32"/>
      <x:c r="AM318" s="32"/>
      <x:c r="AN318" s="32"/>
      <x:c r="AO318" s="32"/>
      <x:c r="AP318" s="32"/>
      <x:c r="AQ318" s="32"/>
      <x:c r="AR318" s="32"/>
      <x:c r="AS318" s="32"/>
      <x:c r="AT318" s="32"/>
      <x:c r="AU318" s="32"/>
      <x:c r="AV318" s="32"/>
      <x:c r="AW318" s="32"/>
      <x:c r="AX318" s="32"/>
      <x:c r="AZ318" s="32"/>
      <x:c r="BA318" s="32"/>
      <x:c r="BB318" s="32"/>
      <x:c r="BC318" s="32"/>
      <x:c r="BD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  <x:c r="AK319" s="32"/>
      <x:c r="AL319" s="32"/>
      <x:c r="AM319" s="32"/>
      <x:c r="AN319" s="32"/>
      <x:c r="AO319" s="32"/>
      <x:c r="AP319" s="32"/>
      <x:c r="AQ319" s="32"/>
      <x:c r="AR319" s="32"/>
      <x:c r="AS319" s="32"/>
      <x:c r="AT319" s="32"/>
      <x:c r="AU319" s="32"/>
      <x:c r="AV319" s="32"/>
      <x:c r="AW319" s="32"/>
      <x:c r="AX319" s="32"/>
      <x:c r="AZ319" s="32"/>
      <x:c r="BA319" s="32"/>
      <x:c r="BB319" s="32"/>
      <x:c r="BC319" s="32"/>
      <x:c r="BD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  <x:c r="AK320" s="32"/>
      <x:c r="AL320" s="32"/>
      <x:c r="AM320" s="32"/>
      <x:c r="AN320" s="32"/>
      <x:c r="AO320" s="32"/>
      <x:c r="AP320" s="32"/>
      <x:c r="AQ320" s="32"/>
      <x:c r="AR320" s="32"/>
      <x:c r="AS320" s="32"/>
      <x:c r="AT320" s="32"/>
      <x:c r="AU320" s="32"/>
      <x:c r="AV320" s="32"/>
      <x:c r="AW320" s="32"/>
      <x:c r="AX320" s="32"/>
      <x:c r="AZ320" s="32"/>
      <x:c r="BA320" s="32"/>
      <x:c r="BB320" s="32"/>
      <x:c r="BC320" s="32"/>
      <x:c r="BD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  <x:c r="AK321" s="32"/>
      <x:c r="AL321" s="32"/>
      <x:c r="AM321" s="32"/>
      <x:c r="AN321" s="32"/>
      <x:c r="AO321" s="32"/>
      <x:c r="AP321" s="32"/>
      <x:c r="AQ321" s="32"/>
      <x:c r="AR321" s="32"/>
      <x:c r="AS321" s="32"/>
      <x:c r="AT321" s="32"/>
      <x:c r="AU321" s="32"/>
      <x:c r="AV321" s="32"/>
      <x:c r="AW321" s="32"/>
      <x:c r="AX321" s="32"/>
      <x:c r="AZ321" s="32"/>
      <x:c r="BA321" s="32"/>
      <x:c r="BB321" s="32"/>
      <x:c r="BC321" s="32"/>
      <x:c r="BD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  <x:c r="AK322" s="32"/>
      <x:c r="AL322" s="32"/>
      <x:c r="AM322" s="32"/>
      <x:c r="AN322" s="32"/>
      <x:c r="AO322" s="32"/>
      <x:c r="AP322" s="32"/>
      <x:c r="AQ322" s="32"/>
      <x:c r="AR322" s="32"/>
      <x:c r="AS322" s="32"/>
      <x:c r="AT322" s="32"/>
      <x:c r="AU322" s="32"/>
      <x:c r="AV322" s="32"/>
      <x:c r="AW322" s="32"/>
      <x:c r="AX322" s="32"/>
      <x:c r="AZ322" s="32"/>
      <x:c r="BA322" s="32"/>
      <x:c r="BB322" s="32"/>
      <x:c r="BC322" s="32"/>
      <x:c r="BD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  <x:c r="AK323" s="32"/>
      <x:c r="AL323" s="32"/>
      <x:c r="AM323" s="32"/>
      <x:c r="AN323" s="32"/>
      <x:c r="AO323" s="32"/>
      <x:c r="AP323" s="32"/>
      <x:c r="AQ323" s="32"/>
      <x:c r="AR323" s="32"/>
      <x:c r="AS323" s="32"/>
      <x:c r="AT323" s="32"/>
      <x:c r="AU323" s="32"/>
      <x:c r="AV323" s="32"/>
      <x:c r="AW323" s="32"/>
      <x:c r="AX323" s="32"/>
      <x:c r="AZ323" s="32"/>
      <x:c r="BA323" s="32"/>
      <x:c r="BB323" s="32"/>
      <x:c r="BC323" s="32"/>
      <x:c r="BD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  <x:c r="AK324" s="32"/>
      <x:c r="AL324" s="32"/>
      <x:c r="AM324" s="32"/>
      <x:c r="AN324" s="32"/>
      <x:c r="AO324" s="32"/>
      <x:c r="AP324" s="32"/>
      <x:c r="AQ324" s="32"/>
      <x:c r="AR324" s="32"/>
      <x:c r="AS324" s="32"/>
      <x:c r="AT324" s="32"/>
      <x:c r="AU324" s="32"/>
      <x:c r="AV324" s="32"/>
      <x:c r="AW324" s="32"/>
      <x:c r="AX324" s="32"/>
      <x:c r="AZ324" s="32"/>
      <x:c r="BA324" s="32"/>
      <x:c r="BB324" s="32"/>
      <x:c r="BC324" s="32"/>
      <x:c r="BD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  <x:c r="AK325" s="32"/>
      <x:c r="AL325" s="32"/>
      <x:c r="AM325" s="32"/>
      <x:c r="AN325" s="32"/>
      <x:c r="AO325" s="32"/>
      <x:c r="AP325" s="32"/>
      <x:c r="AQ325" s="32"/>
      <x:c r="AR325" s="32"/>
      <x:c r="AS325" s="32"/>
      <x:c r="AT325" s="32"/>
      <x:c r="AU325" s="32"/>
      <x:c r="AV325" s="32"/>
      <x:c r="AW325" s="32"/>
      <x:c r="AX325" s="32"/>
      <x:c r="AZ325" s="32"/>
      <x:c r="BA325" s="32"/>
      <x:c r="BB325" s="32"/>
      <x:c r="BC325" s="32"/>
      <x:c r="BD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  <x:c r="AK326" s="32"/>
      <x:c r="AL326" s="32"/>
      <x:c r="AM326" s="32"/>
      <x:c r="AN326" s="32"/>
      <x:c r="AO326" s="32"/>
      <x:c r="AP326" s="32"/>
      <x:c r="AQ326" s="32"/>
      <x:c r="AR326" s="32"/>
      <x:c r="AS326" s="32"/>
      <x:c r="AT326" s="32"/>
      <x:c r="AU326" s="32"/>
      <x:c r="AV326" s="32"/>
      <x:c r="AW326" s="32"/>
      <x:c r="AX326" s="32"/>
      <x:c r="AZ326" s="32"/>
      <x:c r="BA326" s="32"/>
      <x:c r="BB326" s="32"/>
      <x:c r="BC326" s="32"/>
      <x:c r="BD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  <x:c r="AK327" s="32"/>
      <x:c r="AL327" s="32"/>
      <x:c r="AM327" s="32"/>
      <x:c r="AN327" s="32"/>
      <x:c r="AO327" s="32"/>
      <x:c r="AP327" s="32"/>
      <x:c r="AQ327" s="32"/>
      <x:c r="AR327" s="32"/>
      <x:c r="AS327" s="32"/>
      <x:c r="AT327" s="32"/>
      <x:c r="AU327" s="32"/>
      <x:c r="AV327" s="32"/>
      <x:c r="AW327" s="32"/>
      <x:c r="AX327" s="32"/>
      <x:c r="AZ327" s="32"/>
      <x:c r="BA327" s="32"/>
      <x:c r="BB327" s="32"/>
      <x:c r="BC327" s="32"/>
      <x:c r="BD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  <x:c r="AK328" s="32"/>
      <x:c r="AL328" s="32"/>
      <x:c r="AM328" s="32"/>
      <x:c r="AN328" s="32"/>
      <x:c r="AO328" s="32"/>
      <x:c r="AP328" s="32"/>
      <x:c r="AQ328" s="32"/>
      <x:c r="AR328" s="32"/>
      <x:c r="AS328" s="32"/>
      <x:c r="AT328" s="32"/>
      <x:c r="AU328" s="32"/>
      <x:c r="AV328" s="32"/>
      <x:c r="AW328" s="32"/>
      <x:c r="AX328" s="32"/>
      <x:c r="AZ328" s="32"/>
      <x:c r="BA328" s="32"/>
      <x:c r="BB328" s="32"/>
      <x:c r="BC328" s="32"/>
      <x:c r="BD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  <x:c r="AK329" s="32"/>
      <x:c r="AL329" s="32"/>
      <x:c r="AM329" s="32"/>
      <x:c r="AN329" s="32"/>
      <x:c r="AO329" s="32"/>
      <x:c r="AP329" s="32"/>
      <x:c r="AQ329" s="32"/>
      <x:c r="AR329" s="32"/>
      <x:c r="AS329" s="32"/>
      <x:c r="AT329" s="32"/>
      <x:c r="AU329" s="32"/>
      <x:c r="AV329" s="32"/>
      <x:c r="AW329" s="32"/>
      <x:c r="AX329" s="32"/>
      <x:c r="AZ329" s="32"/>
      <x:c r="BA329" s="32"/>
      <x:c r="BB329" s="32"/>
      <x:c r="BC329" s="32"/>
      <x:c r="BD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  <x:c r="AK330" s="32"/>
      <x:c r="AL330" s="32"/>
      <x:c r="AM330" s="32"/>
      <x:c r="AN330" s="32"/>
      <x:c r="AO330" s="32"/>
      <x:c r="AP330" s="32"/>
      <x:c r="AQ330" s="32"/>
      <x:c r="AR330" s="32"/>
      <x:c r="AS330" s="32"/>
      <x:c r="AT330" s="32"/>
      <x:c r="AU330" s="32"/>
      <x:c r="AV330" s="32"/>
      <x:c r="AW330" s="32"/>
      <x:c r="AX330" s="32"/>
      <x:c r="AZ330" s="32"/>
      <x:c r="BA330" s="32"/>
      <x:c r="BB330" s="32"/>
      <x:c r="BC330" s="32"/>
      <x:c r="BD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  <x:c r="AK331" s="32"/>
      <x:c r="AL331" s="32"/>
      <x:c r="AM331" s="32"/>
      <x:c r="AN331" s="32"/>
      <x:c r="AO331" s="32"/>
      <x:c r="AP331" s="32"/>
      <x:c r="AQ331" s="32"/>
      <x:c r="AR331" s="32"/>
      <x:c r="AS331" s="32"/>
      <x:c r="AT331" s="32"/>
      <x:c r="AU331" s="32"/>
      <x:c r="AV331" s="32"/>
      <x:c r="AW331" s="32"/>
      <x:c r="AX331" s="32"/>
      <x:c r="AZ331" s="32"/>
      <x:c r="BA331" s="32"/>
      <x:c r="BB331" s="32"/>
      <x:c r="BC331" s="32"/>
      <x:c r="BD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  <x:c r="AK332" s="32"/>
      <x:c r="AL332" s="32"/>
      <x:c r="AM332" s="32"/>
      <x:c r="AN332" s="32"/>
      <x:c r="AO332" s="32"/>
      <x:c r="AP332" s="32"/>
      <x:c r="AQ332" s="32"/>
      <x:c r="AR332" s="32"/>
      <x:c r="AS332" s="32"/>
      <x:c r="AT332" s="32"/>
      <x:c r="AU332" s="32"/>
      <x:c r="AV332" s="32"/>
      <x:c r="AW332" s="32"/>
      <x:c r="AX332" s="32"/>
      <x:c r="AZ332" s="32"/>
      <x:c r="BA332" s="32"/>
      <x:c r="BB332" s="32"/>
      <x:c r="BC332" s="32"/>
      <x:c r="BD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  <x:c r="AK333" s="32"/>
      <x:c r="AL333" s="32"/>
      <x:c r="AM333" s="32"/>
      <x:c r="AN333" s="32"/>
      <x:c r="AO333" s="32"/>
      <x:c r="AP333" s="32"/>
      <x:c r="AQ333" s="32"/>
      <x:c r="AR333" s="32"/>
      <x:c r="AS333" s="32"/>
      <x:c r="AT333" s="32"/>
      <x:c r="AU333" s="32"/>
      <x:c r="AV333" s="32"/>
      <x:c r="AW333" s="32"/>
      <x:c r="AX333" s="32"/>
      <x:c r="AZ333" s="32"/>
      <x:c r="BA333" s="32"/>
      <x:c r="BB333" s="32"/>
      <x:c r="BC333" s="32"/>
      <x:c r="BD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  <x:c r="AK334" s="32"/>
      <x:c r="AL334" s="32"/>
      <x:c r="AM334" s="32"/>
      <x:c r="AN334" s="32"/>
      <x:c r="AO334" s="32"/>
      <x:c r="AP334" s="32"/>
      <x:c r="AQ334" s="32"/>
      <x:c r="AR334" s="32"/>
      <x:c r="AS334" s="32"/>
      <x:c r="AT334" s="32"/>
      <x:c r="AU334" s="32"/>
      <x:c r="AV334" s="32"/>
      <x:c r="AW334" s="32"/>
      <x:c r="AX334" s="32"/>
      <x:c r="AZ334" s="32"/>
      <x:c r="BA334" s="32"/>
      <x:c r="BB334" s="32"/>
      <x:c r="BC334" s="32"/>
      <x:c r="BD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  <x:c r="AK335" s="32"/>
      <x:c r="AL335" s="32"/>
      <x:c r="AM335" s="32"/>
      <x:c r="AN335" s="32"/>
      <x:c r="AO335" s="32"/>
      <x:c r="AP335" s="32"/>
      <x:c r="AQ335" s="32"/>
      <x:c r="AR335" s="32"/>
      <x:c r="AS335" s="32"/>
      <x:c r="AT335" s="32"/>
      <x:c r="AU335" s="32"/>
      <x:c r="AV335" s="32"/>
      <x:c r="AW335" s="32"/>
      <x:c r="AX335" s="32"/>
      <x:c r="AZ335" s="32"/>
      <x:c r="BA335" s="32"/>
      <x:c r="BB335" s="32"/>
      <x:c r="BC335" s="32"/>
      <x:c r="BD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  <x:c r="AK336" s="32"/>
      <x:c r="AL336" s="32"/>
      <x:c r="AM336" s="32"/>
      <x:c r="AN336" s="32"/>
      <x:c r="AO336" s="32"/>
      <x:c r="AP336" s="32"/>
      <x:c r="AQ336" s="32"/>
      <x:c r="AR336" s="32"/>
      <x:c r="AS336" s="32"/>
      <x:c r="AT336" s="32"/>
      <x:c r="AU336" s="32"/>
      <x:c r="AV336" s="32"/>
      <x:c r="AW336" s="32"/>
      <x:c r="AX336" s="32"/>
      <x:c r="AZ336" s="32"/>
      <x:c r="BA336" s="32"/>
      <x:c r="BB336" s="32"/>
      <x:c r="BC336" s="32"/>
      <x:c r="BD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  <x:c r="AK337" s="32"/>
      <x:c r="AL337" s="32"/>
      <x:c r="AM337" s="32"/>
      <x:c r="AN337" s="32"/>
      <x:c r="AO337" s="32"/>
      <x:c r="AP337" s="32"/>
      <x:c r="AQ337" s="32"/>
      <x:c r="AR337" s="32"/>
      <x:c r="AS337" s="32"/>
      <x:c r="AT337" s="32"/>
      <x:c r="AU337" s="32"/>
      <x:c r="AV337" s="32"/>
      <x:c r="AW337" s="32"/>
      <x:c r="AX337" s="32"/>
      <x:c r="AZ337" s="32"/>
      <x:c r="BA337" s="32"/>
      <x:c r="BB337" s="32"/>
      <x:c r="BC337" s="32"/>
      <x:c r="BD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  <x:c r="AK338" s="32"/>
      <x:c r="AL338" s="32"/>
      <x:c r="AM338" s="32"/>
      <x:c r="AN338" s="32"/>
      <x:c r="AO338" s="32"/>
      <x:c r="AP338" s="32"/>
      <x:c r="AQ338" s="32"/>
      <x:c r="AR338" s="32"/>
      <x:c r="AS338" s="32"/>
      <x:c r="AT338" s="32"/>
      <x:c r="AU338" s="32"/>
      <x:c r="AV338" s="32"/>
      <x:c r="AW338" s="32"/>
      <x:c r="AX338" s="32"/>
      <x:c r="AZ338" s="32"/>
      <x:c r="BA338" s="32"/>
      <x:c r="BB338" s="32"/>
      <x:c r="BC338" s="32"/>
      <x:c r="BD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  <x:c r="AK339" s="32"/>
      <x:c r="AL339" s="32"/>
      <x:c r="AM339" s="32"/>
      <x:c r="AN339" s="32"/>
      <x:c r="AO339" s="32"/>
      <x:c r="AP339" s="32"/>
      <x:c r="AQ339" s="32"/>
      <x:c r="AR339" s="32"/>
      <x:c r="AS339" s="32"/>
      <x:c r="AT339" s="32"/>
      <x:c r="AU339" s="32"/>
      <x:c r="AV339" s="32"/>
      <x:c r="AW339" s="32"/>
      <x:c r="AX339" s="32"/>
      <x:c r="AZ339" s="32"/>
      <x:c r="BA339" s="32"/>
      <x:c r="BB339" s="32"/>
      <x:c r="BC339" s="32"/>
      <x:c r="BD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  <x:c r="AK340" s="32"/>
      <x:c r="AL340" s="32"/>
      <x:c r="AM340" s="32"/>
      <x:c r="AN340" s="32"/>
      <x:c r="AO340" s="32"/>
      <x:c r="AP340" s="32"/>
      <x:c r="AQ340" s="32"/>
      <x:c r="AR340" s="32"/>
      <x:c r="AS340" s="32"/>
      <x:c r="AT340" s="32"/>
      <x:c r="AU340" s="32"/>
      <x:c r="AV340" s="32"/>
      <x:c r="AW340" s="32"/>
      <x:c r="AX340" s="32"/>
      <x:c r="AZ340" s="32"/>
      <x:c r="BA340" s="32"/>
      <x:c r="BB340" s="32"/>
      <x:c r="BC340" s="32"/>
      <x:c r="BD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  <x:c r="AK341" s="32"/>
      <x:c r="AL341" s="32"/>
      <x:c r="AM341" s="32"/>
      <x:c r="AN341" s="32"/>
      <x:c r="AO341" s="32"/>
      <x:c r="AP341" s="32"/>
      <x:c r="AQ341" s="32"/>
      <x:c r="AR341" s="32"/>
      <x:c r="AS341" s="32"/>
      <x:c r="AT341" s="32"/>
      <x:c r="AU341" s="32"/>
      <x:c r="AV341" s="32"/>
      <x:c r="AW341" s="32"/>
      <x:c r="AX341" s="32"/>
      <x:c r="AZ341" s="32"/>
      <x:c r="BA341" s="32"/>
      <x:c r="BB341" s="32"/>
      <x:c r="BC341" s="32"/>
      <x:c r="BD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  <x:c r="AK342" s="32"/>
      <x:c r="AL342" s="32"/>
      <x:c r="AM342" s="32"/>
      <x:c r="AN342" s="32"/>
      <x:c r="AO342" s="32"/>
      <x:c r="AP342" s="32"/>
      <x:c r="AQ342" s="32"/>
      <x:c r="AR342" s="32"/>
      <x:c r="AS342" s="32"/>
      <x:c r="AT342" s="32"/>
      <x:c r="AU342" s="32"/>
      <x:c r="AV342" s="32"/>
      <x:c r="AW342" s="32"/>
      <x:c r="AX342" s="32"/>
      <x:c r="AZ342" s="32"/>
      <x:c r="BA342" s="32"/>
      <x:c r="BB342" s="32"/>
      <x:c r="BC342" s="32"/>
      <x:c r="BD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  <x:c r="AK343" s="32"/>
      <x:c r="AL343" s="32"/>
      <x:c r="AM343" s="32"/>
      <x:c r="AN343" s="32"/>
      <x:c r="AO343" s="32"/>
      <x:c r="AP343" s="32"/>
      <x:c r="AQ343" s="32"/>
      <x:c r="AR343" s="32"/>
      <x:c r="AS343" s="32"/>
      <x:c r="AT343" s="32"/>
      <x:c r="AU343" s="32"/>
      <x:c r="AV343" s="32"/>
      <x:c r="AW343" s="32"/>
      <x:c r="AX343" s="32"/>
      <x:c r="AZ343" s="32"/>
      <x:c r="BA343" s="32"/>
      <x:c r="BB343" s="32"/>
      <x:c r="BC343" s="32"/>
      <x:c r="BD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  <x:c r="AK344" s="32"/>
      <x:c r="AL344" s="32"/>
      <x:c r="AM344" s="32"/>
      <x:c r="AN344" s="32"/>
      <x:c r="AO344" s="32"/>
      <x:c r="AP344" s="32"/>
      <x:c r="AQ344" s="32"/>
      <x:c r="AR344" s="32"/>
      <x:c r="AS344" s="32"/>
      <x:c r="AT344" s="32"/>
      <x:c r="AU344" s="32"/>
      <x:c r="AV344" s="32"/>
      <x:c r="AW344" s="32"/>
      <x:c r="AX344" s="32"/>
      <x:c r="AZ344" s="32"/>
      <x:c r="BA344" s="32"/>
      <x:c r="BB344" s="32"/>
      <x:c r="BC344" s="32"/>
      <x:c r="BD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  <x:c r="AK345" s="32"/>
      <x:c r="AL345" s="32"/>
      <x:c r="AM345" s="32"/>
      <x:c r="AN345" s="32"/>
      <x:c r="AO345" s="32"/>
      <x:c r="AP345" s="32"/>
      <x:c r="AQ345" s="32"/>
      <x:c r="AR345" s="32"/>
      <x:c r="AS345" s="32"/>
      <x:c r="AT345" s="32"/>
      <x:c r="AU345" s="32"/>
      <x:c r="AV345" s="32"/>
      <x:c r="AW345" s="32"/>
      <x:c r="AX345" s="32"/>
      <x:c r="AZ345" s="32"/>
      <x:c r="BA345" s="32"/>
      <x:c r="BB345" s="32"/>
      <x:c r="BC345" s="32"/>
      <x:c r="BD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  <x:c r="AK346" s="32"/>
      <x:c r="AL346" s="32"/>
      <x:c r="AM346" s="32"/>
      <x:c r="AN346" s="32"/>
      <x:c r="AO346" s="32"/>
      <x:c r="AP346" s="32"/>
      <x:c r="AQ346" s="32"/>
      <x:c r="AR346" s="32"/>
      <x:c r="AS346" s="32"/>
      <x:c r="AT346" s="32"/>
      <x:c r="AU346" s="32"/>
      <x:c r="AV346" s="32"/>
      <x:c r="AW346" s="32"/>
      <x:c r="AX346" s="32"/>
      <x:c r="AZ346" s="32"/>
      <x:c r="BA346" s="32"/>
      <x:c r="BB346" s="32"/>
      <x:c r="BC346" s="32"/>
      <x:c r="BD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  <x:c r="AK347" s="32"/>
      <x:c r="AL347" s="32"/>
      <x:c r="AM347" s="32"/>
      <x:c r="AN347" s="32"/>
      <x:c r="AO347" s="32"/>
      <x:c r="AP347" s="32"/>
      <x:c r="AQ347" s="32"/>
      <x:c r="AR347" s="32"/>
      <x:c r="AS347" s="32"/>
      <x:c r="AT347" s="32"/>
      <x:c r="AU347" s="32"/>
      <x:c r="AV347" s="32"/>
      <x:c r="AW347" s="32"/>
      <x:c r="AX347" s="32"/>
      <x:c r="AZ347" s="32"/>
      <x:c r="BA347" s="32"/>
      <x:c r="BB347" s="32"/>
      <x:c r="BC347" s="32"/>
      <x:c r="BD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  <x:c r="AK348" s="32"/>
      <x:c r="AL348" s="32"/>
      <x:c r="AM348" s="32"/>
      <x:c r="AN348" s="32"/>
      <x:c r="AO348" s="32"/>
      <x:c r="AP348" s="32"/>
      <x:c r="AQ348" s="32"/>
      <x:c r="AR348" s="32"/>
      <x:c r="AS348" s="32"/>
      <x:c r="AT348" s="32"/>
      <x:c r="AU348" s="32"/>
      <x:c r="AV348" s="32"/>
      <x:c r="AW348" s="32"/>
      <x:c r="AX348" s="32"/>
      <x:c r="AZ348" s="32"/>
      <x:c r="BA348" s="32"/>
      <x:c r="BB348" s="32"/>
      <x:c r="BC348" s="32"/>
      <x:c r="BD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  <x:c r="AK349" s="32"/>
      <x:c r="AL349" s="32"/>
      <x:c r="AM349" s="32"/>
      <x:c r="AN349" s="32"/>
      <x:c r="AO349" s="32"/>
      <x:c r="AP349" s="32"/>
      <x:c r="AQ349" s="32"/>
      <x:c r="AR349" s="32"/>
      <x:c r="AS349" s="32"/>
      <x:c r="AT349" s="32"/>
      <x:c r="AU349" s="32"/>
      <x:c r="AV349" s="32"/>
      <x:c r="AW349" s="32"/>
      <x:c r="AX349" s="32"/>
      <x:c r="AZ349" s="32"/>
      <x:c r="BA349" s="32"/>
      <x:c r="BB349" s="32"/>
      <x:c r="BC349" s="32"/>
      <x:c r="BD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  <x:c r="AK350" s="32"/>
      <x:c r="AL350" s="32"/>
      <x:c r="AM350" s="32"/>
      <x:c r="AN350" s="32"/>
      <x:c r="AO350" s="32"/>
      <x:c r="AP350" s="32"/>
      <x:c r="AQ350" s="32"/>
      <x:c r="AR350" s="32"/>
      <x:c r="AS350" s="32"/>
      <x:c r="AT350" s="32"/>
      <x:c r="AU350" s="32"/>
      <x:c r="AV350" s="32"/>
      <x:c r="AW350" s="32"/>
      <x:c r="AX350" s="32"/>
      <x:c r="AZ350" s="32"/>
      <x:c r="BA350" s="32"/>
      <x:c r="BB350" s="32"/>
      <x:c r="BC350" s="32"/>
      <x:c r="BD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  <x:c r="AK351" s="32"/>
      <x:c r="AL351" s="32"/>
      <x:c r="AM351" s="32"/>
      <x:c r="AN351" s="32"/>
      <x:c r="AO351" s="32"/>
      <x:c r="AP351" s="32"/>
      <x:c r="AQ351" s="32"/>
      <x:c r="AR351" s="32"/>
      <x:c r="AS351" s="32"/>
      <x:c r="AT351" s="32"/>
      <x:c r="AU351" s="32"/>
      <x:c r="AV351" s="32"/>
      <x:c r="AW351" s="32"/>
      <x:c r="AX351" s="32"/>
      <x:c r="AZ351" s="32"/>
      <x:c r="BA351" s="32"/>
      <x:c r="BB351" s="32"/>
      <x:c r="BC351" s="32"/>
      <x:c r="BD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  <x:c r="AK352" s="32"/>
      <x:c r="AL352" s="32"/>
      <x:c r="AM352" s="32"/>
      <x:c r="AN352" s="32"/>
      <x:c r="AO352" s="32"/>
      <x:c r="AP352" s="32"/>
      <x:c r="AQ352" s="32"/>
      <x:c r="AR352" s="32"/>
      <x:c r="AS352" s="32"/>
      <x:c r="AT352" s="32"/>
      <x:c r="AU352" s="32"/>
      <x:c r="AV352" s="32"/>
      <x:c r="AW352" s="32"/>
      <x:c r="AX352" s="32"/>
      <x:c r="AZ352" s="32"/>
      <x:c r="BA352" s="32"/>
      <x:c r="BB352" s="32"/>
      <x:c r="BC352" s="32"/>
      <x:c r="BD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  <x:c r="AK353" s="32"/>
      <x:c r="AL353" s="32"/>
      <x:c r="AM353" s="32"/>
      <x:c r="AN353" s="32"/>
      <x:c r="AO353" s="32"/>
      <x:c r="AP353" s="32"/>
      <x:c r="AQ353" s="32"/>
      <x:c r="AR353" s="32"/>
      <x:c r="AS353" s="32"/>
      <x:c r="AT353" s="32"/>
      <x:c r="AU353" s="32"/>
      <x:c r="AV353" s="32"/>
      <x:c r="AW353" s="32"/>
      <x:c r="AX353" s="32"/>
      <x:c r="AZ353" s="32"/>
      <x:c r="BA353" s="32"/>
      <x:c r="BB353" s="32"/>
      <x:c r="BC353" s="32"/>
      <x:c r="BD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  <x:c r="AK354" s="32"/>
      <x:c r="AL354" s="32"/>
      <x:c r="AM354" s="32"/>
      <x:c r="AN354" s="32"/>
      <x:c r="AO354" s="32"/>
      <x:c r="AP354" s="32"/>
      <x:c r="AQ354" s="32"/>
      <x:c r="AR354" s="32"/>
      <x:c r="AS354" s="32"/>
      <x:c r="AT354" s="32"/>
      <x:c r="AU354" s="32"/>
      <x:c r="AV354" s="32"/>
      <x:c r="AW354" s="32"/>
      <x:c r="AX354" s="32"/>
      <x:c r="AZ354" s="32"/>
      <x:c r="BA354" s="32"/>
      <x:c r="BB354" s="32"/>
      <x:c r="BC354" s="32"/>
      <x:c r="BD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  <x:c r="AK355" s="32"/>
      <x:c r="AL355" s="32"/>
      <x:c r="AM355" s="32"/>
      <x:c r="AN355" s="32"/>
      <x:c r="AO355" s="32"/>
      <x:c r="AP355" s="32"/>
      <x:c r="AQ355" s="32"/>
      <x:c r="AR355" s="32"/>
      <x:c r="AS355" s="32"/>
      <x:c r="AT355" s="32"/>
      <x:c r="AU355" s="32"/>
      <x:c r="AV355" s="32"/>
      <x:c r="AW355" s="32"/>
      <x:c r="AX355" s="32"/>
      <x:c r="AZ355" s="32"/>
      <x:c r="BA355" s="32"/>
      <x:c r="BB355" s="32"/>
      <x:c r="BC355" s="32"/>
      <x:c r="BD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  <x:c r="AK356" s="32"/>
      <x:c r="AL356" s="32"/>
      <x:c r="AM356" s="32"/>
      <x:c r="AN356" s="32"/>
      <x:c r="AO356" s="32"/>
      <x:c r="AP356" s="32"/>
      <x:c r="AQ356" s="32"/>
      <x:c r="AR356" s="32"/>
      <x:c r="AS356" s="32"/>
      <x:c r="AT356" s="32"/>
      <x:c r="AU356" s="32"/>
      <x:c r="AV356" s="32"/>
      <x:c r="AW356" s="32"/>
      <x:c r="AX356" s="32"/>
      <x:c r="AZ356" s="32"/>
      <x:c r="BA356" s="32"/>
      <x:c r="BB356" s="32"/>
      <x:c r="BC356" s="32"/>
      <x:c r="BD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  <x:c r="AK357" s="32"/>
      <x:c r="AL357" s="32"/>
      <x:c r="AM357" s="32"/>
      <x:c r="AN357" s="32"/>
      <x:c r="AO357" s="32"/>
      <x:c r="AP357" s="32"/>
      <x:c r="AQ357" s="32"/>
      <x:c r="AR357" s="32"/>
      <x:c r="AS357" s="32"/>
      <x:c r="AT357" s="32"/>
      <x:c r="AU357" s="32"/>
      <x:c r="AV357" s="32"/>
      <x:c r="AW357" s="32"/>
      <x:c r="AX357" s="32"/>
      <x:c r="AZ357" s="32"/>
      <x:c r="BA357" s="32"/>
      <x:c r="BB357" s="32"/>
      <x:c r="BC357" s="32"/>
      <x:c r="BD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  <x:c r="AK358" s="32"/>
      <x:c r="AL358" s="32"/>
      <x:c r="AM358" s="32"/>
      <x:c r="AN358" s="32"/>
      <x:c r="AO358" s="32"/>
      <x:c r="AP358" s="32"/>
      <x:c r="AQ358" s="32"/>
      <x:c r="AR358" s="32"/>
      <x:c r="AS358" s="32"/>
      <x:c r="AT358" s="32"/>
      <x:c r="AU358" s="32"/>
      <x:c r="AV358" s="32"/>
      <x:c r="AW358" s="32"/>
      <x:c r="AX358" s="32"/>
      <x:c r="AZ358" s="32"/>
      <x:c r="BA358" s="32"/>
      <x:c r="BB358" s="32"/>
      <x:c r="BC358" s="32"/>
      <x:c r="BD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  <x:c r="AK359" s="32"/>
      <x:c r="AL359" s="32"/>
      <x:c r="AM359" s="32"/>
      <x:c r="AN359" s="32"/>
      <x:c r="AO359" s="32"/>
      <x:c r="AP359" s="32"/>
      <x:c r="AQ359" s="32"/>
      <x:c r="AR359" s="32"/>
      <x:c r="AS359" s="32"/>
      <x:c r="AT359" s="32"/>
      <x:c r="AU359" s="32"/>
      <x:c r="AV359" s="32"/>
      <x:c r="AW359" s="32"/>
      <x:c r="AX359" s="32"/>
      <x:c r="AZ359" s="32"/>
      <x:c r="BA359" s="32"/>
      <x:c r="BB359" s="32"/>
      <x:c r="BC359" s="32"/>
      <x:c r="BD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  <x:c r="AK360" s="32"/>
      <x:c r="AL360" s="32"/>
      <x:c r="AM360" s="32"/>
      <x:c r="AN360" s="32"/>
      <x:c r="AO360" s="32"/>
      <x:c r="AP360" s="32"/>
      <x:c r="AQ360" s="32"/>
      <x:c r="AR360" s="32"/>
      <x:c r="AS360" s="32"/>
      <x:c r="AT360" s="32"/>
      <x:c r="AU360" s="32"/>
      <x:c r="AV360" s="32"/>
      <x:c r="AW360" s="32"/>
      <x:c r="AX360" s="32"/>
      <x:c r="AZ360" s="32"/>
      <x:c r="BA360" s="32"/>
      <x:c r="BB360" s="32"/>
      <x:c r="BC360" s="32"/>
      <x:c r="BD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  <x:c r="AK361" s="32"/>
      <x:c r="AL361" s="32"/>
      <x:c r="AM361" s="32"/>
      <x:c r="AN361" s="32"/>
      <x:c r="AO361" s="32"/>
      <x:c r="AP361" s="32"/>
      <x:c r="AQ361" s="32"/>
      <x:c r="AR361" s="32"/>
      <x:c r="AS361" s="32"/>
      <x:c r="AT361" s="32"/>
      <x:c r="AU361" s="32"/>
      <x:c r="AV361" s="32"/>
      <x:c r="AW361" s="32"/>
      <x:c r="AX361" s="32"/>
      <x:c r="AZ361" s="32"/>
      <x:c r="BA361" s="32"/>
      <x:c r="BB361" s="32"/>
      <x:c r="BC361" s="32"/>
      <x:c r="BD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  <x:c r="AK362" s="32"/>
      <x:c r="AL362" s="32"/>
      <x:c r="AM362" s="32"/>
      <x:c r="AN362" s="32"/>
      <x:c r="AO362" s="32"/>
      <x:c r="AP362" s="32"/>
      <x:c r="AQ362" s="32"/>
      <x:c r="AR362" s="32"/>
      <x:c r="AS362" s="32"/>
      <x:c r="AT362" s="32"/>
      <x:c r="AU362" s="32"/>
      <x:c r="AV362" s="32"/>
      <x:c r="AW362" s="32"/>
      <x:c r="AX362" s="32"/>
      <x:c r="AZ362" s="32"/>
      <x:c r="BA362" s="32"/>
      <x:c r="BB362" s="32"/>
      <x:c r="BC362" s="32"/>
      <x:c r="BD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  <x:c r="AK363" s="32"/>
      <x:c r="AL363" s="32"/>
      <x:c r="AM363" s="32"/>
      <x:c r="AN363" s="32"/>
      <x:c r="AO363" s="32"/>
      <x:c r="AP363" s="32"/>
      <x:c r="AQ363" s="32"/>
      <x:c r="AR363" s="32"/>
      <x:c r="AS363" s="32"/>
      <x:c r="AT363" s="32"/>
      <x:c r="AU363" s="32"/>
      <x:c r="AV363" s="32"/>
      <x:c r="AW363" s="32"/>
      <x:c r="AX363" s="32"/>
      <x:c r="AZ363" s="32"/>
      <x:c r="BA363" s="32"/>
      <x:c r="BB363" s="32"/>
      <x:c r="BC363" s="32"/>
      <x:c r="BD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  <x:c r="AK364" s="32"/>
      <x:c r="AL364" s="32"/>
      <x:c r="AM364" s="32"/>
      <x:c r="AN364" s="32"/>
      <x:c r="AO364" s="32"/>
      <x:c r="AP364" s="32"/>
      <x:c r="AQ364" s="32"/>
      <x:c r="AR364" s="32"/>
      <x:c r="AS364" s="32"/>
      <x:c r="AT364" s="32"/>
      <x:c r="AU364" s="32"/>
      <x:c r="AV364" s="32"/>
      <x:c r="AW364" s="32"/>
      <x:c r="AX364" s="32"/>
      <x:c r="AZ364" s="32"/>
      <x:c r="BA364" s="32"/>
      <x:c r="BB364" s="32"/>
      <x:c r="BC364" s="32"/>
      <x:c r="BD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  <x:c r="AK365" s="32"/>
      <x:c r="AL365" s="32"/>
      <x:c r="AM365" s="32"/>
      <x:c r="AN365" s="32"/>
      <x:c r="AO365" s="32"/>
      <x:c r="AP365" s="32"/>
      <x:c r="AQ365" s="32"/>
      <x:c r="AR365" s="32"/>
      <x:c r="AS365" s="32"/>
      <x:c r="AT365" s="32"/>
      <x:c r="AU365" s="32"/>
      <x:c r="AV365" s="32"/>
      <x:c r="AW365" s="32"/>
      <x:c r="AX365" s="32"/>
      <x:c r="AZ365" s="32"/>
      <x:c r="BA365" s="32"/>
      <x:c r="BB365" s="32"/>
      <x:c r="BC365" s="32"/>
      <x:c r="BD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  <x:c r="AK366" s="32"/>
      <x:c r="AL366" s="32"/>
      <x:c r="AM366" s="32"/>
      <x:c r="AN366" s="32"/>
      <x:c r="AO366" s="32"/>
      <x:c r="AP366" s="32"/>
      <x:c r="AQ366" s="32"/>
      <x:c r="AR366" s="32"/>
      <x:c r="AS366" s="32"/>
      <x:c r="AT366" s="32"/>
      <x:c r="AU366" s="32"/>
      <x:c r="AV366" s="32"/>
      <x:c r="AW366" s="32"/>
      <x:c r="AX366" s="32"/>
      <x:c r="AZ366" s="32"/>
      <x:c r="BA366" s="32"/>
      <x:c r="BB366" s="32"/>
      <x:c r="BC366" s="32"/>
      <x:c r="BD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  <x:c r="AK367" s="32"/>
      <x:c r="AL367" s="32"/>
      <x:c r="AM367" s="32"/>
      <x:c r="AN367" s="32"/>
      <x:c r="AO367" s="32"/>
      <x:c r="AP367" s="32"/>
      <x:c r="AQ367" s="32"/>
      <x:c r="AR367" s="32"/>
      <x:c r="AS367" s="32"/>
      <x:c r="AT367" s="32"/>
      <x:c r="AU367" s="32"/>
      <x:c r="AV367" s="32"/>
      <x:c r="AW367" s="32"/>
      <x:c r="AX367" s="32"/>
      <x:c r="AZ367" s="32"/>
      <x:c r="BA367" s="32"/>
      <x:c r="BB367" s="32"/>
      <x:c r="BC367" s="32"/>
      <x:c r="BD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  <x:c r="AK368" s="32"/>
      <x:c r="AL368" s="32"/>
      <x:c r="AM368" s="32"/>
      <x:c r="AN368" s="32"/>
      <x:c r="AO368" s="32"/>
      <x:c r="AP368" s="32"/>
      <x:c r="AQ368" s="32"/>
      <x:c r="AR368" s="32"/>
      <x:c r="AS368" s="32"/>
      <x:c r="AT368" s="32"/>
      <x:c r="AU368" s="32"/>
      <x:c r="AV368" s="32"/>
      <x:c r="AW368" s="32"/>
      <x:c r="AX368" s="32"/>
      <x:c r="AZ368" s="32"/>
      <x:c r="BA368" s="32"/>
      <x:c r="BB368" s="32"/>
      <x:c r="BC368" s="32"/>
      <x:c r="BD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  <x:c r="AK369" s="32"/>
      <x:c r="AL369" s="32"/>
      <x:c r="AM369" s="32"/>
      <x:c r="AN369" s="32"/>
      <x:c r="AO369" s="32"/>
      <x:c r="AP369" s="32"/>
      <x:c r="AQ369" s="32"/>
      <x:c r="AR369" s="32"/>
      <x:c r="AS369" s="32"/>
      <x:c r="AT369" s="32"/>
      <x:c r="AU369" s="32"/>
      <x:c r="AV369" s="32"/>
      <x:c r="AW369" s="32"/>
      <x:c r="AX369" s="32"/>
      <x:c r="AZ369" s="32"/>
      <x:c r="BA369" s="32"/>
      <x:c r="BB369" s="32"/>
      <x:c r="BC369" s="32"/>
      <x:c r="BD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  <x:c r="AK370" s="32"/>
      <x:c r="AL370" s="32"/>
      <x:c r="AM370" s="32"/>
      <x:c r="AN370" s="32"/>
      <x:c r="AO370" s="32"/>
      <x:c r="AP370" s="32"/>
      <x:c r="AQ370" s="32"/>
      <x:c r="AR370" s="32"/>
      <x:c r="AS370" s="32"/>
      <x:c r="AT370" s="32"/>
      <x:c r="AU370" s="32"/>
      <x:c r="AV370" s="32"/>
      <x:c r="AW370" s="32"/>
      <x:c r="AX370" s="32"/>
      <x:c r="AZ370" s="32"/>
      <x:c r="BA370" s="32"/>
      <x:c r="BB370" s="32"/>
      <x:c r="BC370" s="32"/>
      <x:c r="BD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  <x:c r="AK371" s="32"/>
      <x:c r="AL371" s="32"/>
      <x:c r="AM371" s="32"/>
      <x:c r="AN371" s="32"/>
      <x:c r="AO371" s="32"/>
      <x:c r="AP371" s="32"/>
      <x:c r="AQ371" s="32"/>
      <x:c r="AR371" s="32"/>
      <x:c r="AS371" s="32"/>
      <x:c r="AT371" s="32"/>
      <x:c r="AU371" s="32"/>
      <x:c r="AV371" s="32"/>
      <x:c r="AW371" s="32"/>
      <x:c r="AX371" s="32"/>
      <x:c r="AZ371" s="32"/>
      <x:c r="BA371" s="32"/>
      <x:c r="BB371" s="32"/>
      <x:c r="BC371" s="32"/>
      <x:c r="BD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  <x:c r="AK372" s="32"/>
      <x:c r="AL372" s="32"/>
      <x:c r="AM372" s="32"/>
      <x:c r="AN372" s="32"/>
      <x:c r="AO372" s="32"/>
      <x:c r="AP372" s="32"/>
      <x:c r="AQ372" s="32"/>
      <x:c r="AR372" s="32"/>
      <x:c r="AS372" s="32"/>
      <x:c r="AT372" s="32"/>
      <x:c r="AU372" s="32"/>
      <x:c r="AV372" s="32"/>
      <x:c r="AW372" s="32"/>
      <x:c r="AX372" s="32"/>
      <x:c r="AZ372" s="32"/>
      <x:c r="BA372" s="32"/>
      <x:c r="BB372" s="32"/>
      <x:c r="BC372" s="32"/>
      <x:c r="BD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  <x:c r="AK373" s="32"/>
      <x:c r="AL373" s="32"/>
      <x:c r="AM373" s="32"/>
      <x:c r="AN373" s="32"/>
      <x:c r="AO373" s="32"/>
      <x:c r="AP373" s="32"/>
      <x:c r="AQ373" s="32"/>
      <x:c r="AR373" s="32"/>
      <x:c r="AS373" s="32"/>
      <x:c r="AT373" s="32"/>
      <x:c r="AU373" s="32"/>
      <x:c r="AV373" s="32"/>
      <x:c r="AW373" s="32"/>
      <x:c r="AX373" s="32"/>
      <x:c r="AZ373" s="32"/>
      <x:c r="BA373" s="32"/>
      <x:c r="BB373" s="32"/>
      <x:c r="BC373" s="32"/>
      <x:c r="BD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  <x:c r="AK374" s="32"/>
      <x:c r="AL374" s="32"/>
      <x:c r="AM374" s="32"/>
      <x:c r="AN374" s="32"/>
      <x:c r="AO374" s="32"/>
      <x:c r="AP374" s="32"/>
      <x:c r="AQ374" s="32"/>
      <x:c r="AR374" s="32"/>
      <x:c r="AS374" s="32"/>
      <x:c r="AT374" s="32"/>
      <x:c r="AU374" s="32"/>
      <x:c r="AV374" s="32"/>
      <x:c r="AW374" s="32"/>
      <x:c r="AX374" s="32"/>
      <x:c r="AZ374" s="32"/>
      <x:c r="BA374" s="32"/>
      <x:c r="BB374" s="32"/>
      <x:c r="BC374" s="32"/>
      <x:c r="BD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  <x:c r="AK375" s="32"/>
      <x:c r="AL375" s="32"/>
      <x:c r="AM375" s="32"/>
      <x:c r="AN375" s="32"/>
      <x:c r="AO375" s="32"/>
      <x:c r="AP375" s="32"/>
      <x:c r="AQ375" s="32"/>
      <x:c r="AR375" s="32"/>
      <x:c r="AS375" s="32"/>
      <x:c r="AT375" s="32"/>
      <x:c r="AU375" s="32"/>
      <x:c r="AV375" s="32"/>
      <x:c r="AW375" s="32"/>
      <x:c r="AX375" s="32"/>
      <x:c r="AZ375" s="32"/>
      <x:c r="BA375" s="32"/>
      <x:c r="BB375" s="32"/>
      <x:c r="BC375" s="32"/>
      <x:c r="BD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  <x:c r="AK376" s="32"/>
      <x:c r="AL376" s="32"/>
      <x:c r="AM376" s="32"/>
      <x:c r="AN376" s="32"/>
      <x:c r="AO376" s="32"/>
      <x:c r="AP376" s="32"/>
      <x:c r="AQ376" s="32"/>
      <x:c r="AR376" s="32"/>
      <x:c r="AS376" s="32"/>
      <x:c r="AT376" s="32"/>
      <x:c r="AU376" s="32"/>
      <x:c r="AV376" s="32"/>
      <x:c r="AW376" s="32"/>
      <x:c r="AX376" s="32"/>
      <x:c r="AZ376" s="32"/>
      <x:c r="BA376" s="32"/>
      <x:c r="BB376" s="32"/>
      <x:c r="BC376" s="32"/>
      <x:c r="BD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  <x:c r="AK377" s="32"/>
      <x:c r="AL377" s="32"/>
      <x:c r="AM377" s="32"/>
      <x:c r="AN377" s="32"/>
      <x:c r="AO377" s="32"/>
      <x:c r="AP377" s="32"/>
      <x:c r="AQ377" s="32"/>
      <x:c r="AR377" s="32"/>
      <x:c r="AS377" s="32"/>
      <x:c r="AT377" s="32"/>
      <x:c r="AU377" s="32"/>
      <x:c r="AV377" s="32"/>
      <x:c r="AW377" s="32"/>
      <x:c r="AX377" s="32"/>
      <x:c r="AZ377" s="32"/>
      <x:c r="BA377" s="32"/>
      <x:c r="BB377" s="32"/>
      <x:c r="BC377" s="32"/>
      <x:c r="BD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  <x:c r="AK378" s="32"/>
      <x:c r="AL378" s="32"/>
      <x:c r="AM378" s="32"/>
      <x:c r="AN378" s="32"/>
      <x:c r="AO378" s="32"/>
      <x:c r="AP378" s="32"/>
      <x:c r="AQ378" s="32"/>
      <x:c r="AR378" s="32"/>
      <x:c r="AS378" s="32"/>
      <x:c r="AT378" s="32"/>
      <x:c r="AU378" s="32"/>
      <x:c r="AV378" s="32"/>
      <x:c r="AW378" s="32"/>
      <x:c r="AX378" s="32"/>
      <x:c r="AZ378" s="32"/>
      <x:c r="BA378" s="32"/>
      <x:c r="BB378" s="32"/>
      <x:c r="BC378" s="32"/>
      <x:c r="BD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  <x:c r="AK379" s="32"/>
      <x:c r="AL379" s="32"/>
      <x:c r="AM379" s="32"/>
      <x:c r="AN379" s="32"/>
      <x:c r="AO379" s="32"/>
      <x:c r="AP379" s="32"/>
      <x:c r="AQ379" s="32"/>
      <x:c r="AR379" s="32"/>
      <x:c r="AS379" s="32"/>
      <x:c r="AT379" s="32"/>
      <x:c r="AU379" s="32"/>
      <x:c r="AV379" s="32"/>
      <x:c r="AW379" s="32"/>
      <x:c r="AX379" s="32"/>
      <x:c r="AZ379" s="32"/>
      <x:c r="BA379" s="32"/>
      <x:c r="BB379" s="32"/>
      <x:c r="BC379" s="32"/>
      <x:c r="BD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  <x:c r="AK380" s="32"/>
      <x:c r="AL380" s="32"/>
      <x:c r="AM380" s="32"/>
      <x:c r="AN380" s="32"/>
      <x:c r="AO380" s="32"/>
      <x:c r="AP380" s="32"/>
      <x:c r="AQ380" s="32"/>
      <x:c r="AR380" s="32"/>
      <x:c r="AS380" s="32"/>
      <x:c r="AT380" s="32"/>
      <x:c r="AU380" s="32"/>
      <x:c r="AV380" s="32"/>
      <x:c r="AW380" s="32"/>
      <x:c r="AX380" s="32"/>
      <x:c r="AZ380" s="32"/>
      <x:c r="BA380" s="32"/>
      <x:c r="BB380" s="32"/>
      <x:c r="BC380" s="32"/>
      <x:c r="BD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  <x:c r="AK381" s="32"/>
      <x:c r="AL381" s="32"/>
      <x:c r="AM381" s="32"/>
      <x:c r="AN381" s="32"/>
      <x:c r="AO381" s="32"/>
      <x:c r="AP381" s="32"/>
      <x:c r="AQ381" s="32"/>
      <x:c r="AR381" s="32"/>
      <x:c r="AS381" s="32"/>
      <x:c r="AT381" s="32"/>
      <x:c r="AU381" s="32"/>
      <x:c r="AV381" s="32"/>
      <x:c r="AW381" s="32"/>
      <x:c r="AX381" s="32"/>
      <x:c r="AZ381" s="32"/>
      <x:c r="BA381" s="32"/>
      <x:c r="BB381" s="32"/>
      <x:c r="BC381" s="32"/>
      <x:c r="BD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  <x:c r="AK382" s="32"/>
      <x:c r="AL382" s="32"/>
      <x:c r="AM382" s="32"/>
      <x:c r="AN382" s="32"/>
      <x:c r="AO382" s="32"/>
      <x:c r="AP382" s="32"/>
      <x:c r="AQ382" s="32"/>
      <x:c r="AR382" s="32"/>
      <x:c r="AS382" s="32"/>
      <x:c r="AT382" s="32"/>
      <x:c r="AU382" s="32"/>
      <x:c r="AV382" s="32"/>
      <x:c r="AW382" s="32"/>
      <x:c r="AX382" s="32"/>
      <x:c r="AZ382" s="32"/>
      <x:c r="BA382" s="32"/>
      <x:c r="BB382" s="32"/>
      <x:c r="BC382" s="32"/>
      <x:c r="BD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  <x:c r="AK383" s="32"/>
      <x:c r="AL383" s="32"/>
      <x:c r="AM383" s="32"/>
      <x:c r="AN383" s="32"/>
      <x:c r="AO383" s="32"/>
      <x:c r="AP383" s="32"/>
      <x:c r="AQ383" s="32"/>
      <x:c r="AR383" s="32"/>
      <x:c r="AS383" s="32"/>
      <x:c r="AT383" s="32"/>
      <x:c r="AU383" s="32"/>
      <x:c r="AV383" s="32"/>
      <x:c r="AW383" s="32"/>
      <x:c r="AX383" s="32"/>
      <x:c r="AZ383" s="32"/>
      <x:c r="BA383" s="32"/>
      <x:c r="BB383" s="32"/>
      <x:c r="BC383" s="32"/>
      <x:c r="BD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  <x:c r="AK384" s="32"/>
      <x:c r="AL384" s="32"/>
      <x:c r="AM384" s="32"/>
      <x:c r="AN384" s="32"/>
      <x:c r="AO384" s="32"/>
      <x:c r="AP384" s="32"/>
      <x:c r="AQ384" s="32"/>
      <x:c r="AR384" s="32"/>
      <x:c r="AS384" s="32"/>
      <x:c r="AT384" s="32"/>
      <x:c r="AU384" s="32"/>
      <x:c r="AV384" s="32"/>
      <x:c r="AW384" s="32"/>
      <x:c r="AX384" s="32"/>
      <x:c r="AZ384" s="32"/>
      <x:c r="BA384" s="32"/>
      <x:c r="BB384" s="32"/>
      <x:c r="BC384" s="32"/>
      <x:c r="BD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  <x:c r="AK385" s="32"/>
      <x:c r="AL385" s="32"/>
      <x:c r="AM385" s="32"/>
      <x:c r="AN385" s="32"/>
      <x:c r="AO385" s="32"/>
      <x:c r="AP385" s="32"/>
      <x:c r="AQ385" s="32"/>
      <x:c r="AR385" s="32"/>
      <x:c r="AS385" s="32"/>
      <x:c r="AT385" s="32"/>
      <x:c r="AU385" s="32"/>
      <x:c r="AV385" s="32"/>
      <x:c r="AW385" s="32"/>
      <x:c r="AX385" s="32"/>
      <x:c r="AZ385" s="32"/>
      <x:c r="BA385" s="32"/>
      <x:c r="BB385" s="32"/>
      <x:c r="BC385" s="32"/>
      <x:c r="BD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  <x:c r="AK386" s="32"/>
      <x:c r="AL386" s="32"/>
      <x:c r="AM386" s="32"/>
      <x:c r="AN386" s="32"/>
      <x:c r="AO386" s="32"/>
      <x:c r="AP386" s="32"/>
      <x:c r="AQ386" s="32"/>
      <x:c r="AR386" s="32"/>
      <x:c r="AS386" s="32"/>
      <x:c r="AT386" s="32"/>
      <x:c r="AU386" s="32"/>
      <x:c r="AV386" s="32"/>
      <x:c r="AW386" s="32"/>
      <x:c r="AX386" s="32"/>
      <x:c r="AZ386" s="32"/>
      <x:c r="BA386" s="32"/>
      <x:c r="BB386" s="32"/>
      <x:c r="BC386" s="32"/>
      <x:c r="BD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  <x:c r="AK387" s="32"/>
      <x:c r="AL387" s="32"/>
      <x:c r="AM387" s="32"/>
      <x:c r="AN387" s="32"/>
      <x:c r="AO387" s="32"/>
      <x:c r="AP387" s="32"/>
      <x:c r="AQ387" s="32"/>
      <x:c r="AR387" s="32"/>
      <x:c r="AS387" s="32"/>
      <x:c r="AT387" s="32"/>
      <x:c r="AU387" s="32"/>
      <x:c r="AV387" s="32"/>
      <x:c r="AW387" s="32"/>
      <x:c r="AX387" s="32"/>
      <x:c r="AZ387" s="32"/>
      <x:c r="BA387" s="32"/>
      <x:c r="BB387" s="32"/>
      <x:c r="BC387" s="32"/>
      <x:c r="BD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  <x:c r="AK388" s="32"/>
      <x:c r="AL388" s="32"/>
      <x:c r="AM388" s="32"/>
      <x:c r="AN388" s="32"/>
      <x:c r="AO388" s="32"/>
      <x:c r="AP388" s="32"/>
      <x:c r="AQ388" s="32"/>
      <x:c r="AR388" s="32"/>
      <x:c r="AS388" s="32"/>
      <x:c r="AT388" s="32"/>
      <x:c r="AU388" s="32"/>
      <x:c r="AV388" s="32"/>
      <x:c r="AW388" s="32"/>
      <x:c r="AX388" s="32"/>
      <x:c r="AZ388" s="32"/>
      <x:c r="BA388" s="32"/>
      <x:c r="BB388" s="32"/>
      <x:c r="BC388" s="32"/>
      <x:c r="BD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  <x:c r="AK389" s="32"/>
      <x:c r="AL389" s="32"/>
      <x:c r="AM389" s="32"/>
      <x:c r="AN389" s="32"/>
      <x:c r="AO389" s="32"/>
      <x:c r="AP389" s="32"/>
      <x:c r="AQ389" s="32"/>
      <x:c r="AR389" s="32"/>
      <x:c r="AS389" s="32"/>
      <x:c r="AT389" s="32"/>
      <x:c r="AU389" s="32"/>
      <x:c r="AV389" s="32"/>
      <x:c r="AW389" s="32"/>
      <x:c r="AX389" s="32"/>
      <x:c r="AZ389" s="32"/>
      <x:c r="BA389" s="32"/>
      <x:c r="BB389" s="32"/>
      <x:c r="BC389" s="32"/>
      <x:c r="BD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  <x:c r="AK390" s="32"/>
      <x:c r="AL390" s="32"/>
      <x:c r="AM390" s="32"/>
      <x:c r="AN390" s="32"/>
      <x:c r="AO390" s="32"/>
      <x:c r="AP390" s="32"/>
      <x:c r="AQ390" s="32"/>
      <x:c r="AR390" s="32"/>
      <x:c r="AS390" s="32"/>
      <x:c r="AT390" s="32"/>
      <x:c r="AU390" s="32"/>
      <x:c r="AV390" s="32"/>
      <x:c r="AW390" s="32"/>
      <x:c r="AX390" s="32"/>
      <x:c r="AZ390" s="32"/>
      <x:c r="BA390" s="32"/>
      <x:c r="BB390" s="32"/>
      <x:c r="BC390" s="32"/>
      <x:c r="BD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  <x:c r="AK391" s="32"/>
      <x:c r="AL391" s="32"/>
      <x:c r="AM391" s="32"/>
      <x:c r="AN391" s="32"/>
      <x:c r="AO391" s="32"/>
      <x:c r="AP391" s="32"/>
      <x:c r="AQ391" s="32"/>
      <x:c r="AR391" s="32"/>
      <x:c r="AS391" s="32"/>
      <x:c r="AT391" s="32"/>
      <x:c r="AU391" s="32"/>
      <x:c r="AV391" s="32"/>
      <x:c r="AW391" s="32"/>
      <x:c r="AX391" s="32"/>
      <x:c r="AZ391" s="32"/>
      <x:c r="BA391" s="32"/>
      <x:c r="BB391" s="32"/>
      <x:c r="BC391" s="32"/>
      <x:c r="BD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  <x:c r="AK392" s="32"/>
      <x:c r="AL392" s="32"/>
      <x:c r="AM392" s="32"/>
      <x:c r="AN392" s="32"/>
      <x:c r="AO392" s="32"/>
      <x:c r="AP392" s="32"/>
      <x:c r="AQ392" s="32"/>
      <x:c r="AR392" s="32"/>
      <x:c r="AS392" s="32"/>
      <x:c r="AT392" s="32"/>
      <x:c r="AU392" s="32"/>
      <x:c r="AV392" s="32"/>
      <x:c r="AW392" s="32"/>
      <x:c r="AX392" s="32"/>
      <x:c r="AZ392" s="32"/>
      <x:c r="BA392" s="32"/>
      <x:c r="BB392" s="32"/>
      <x:c r="BC392" s="32"/>
      <x:c r="BD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  <x:c r="AK393" s="32"/>
      <x:c r="AL393" s="32"/>
      <x:c r="AM393" s="32"/>
      <x:c r="AN393" s="32"/>
      <x:c r="AO393" s="32"/>
      <x:c r="AP393" s="32"/>
      <x:c r="AQ393" s="32"/>
      <x:c r="AR393" s="32"/>
      <x:c r="AS393" s="32"/>
      <x:c r="AT393" s="32"/>
      <x:c r="AU393" s="32"/>
      <x:c r="AV393" s="32"/>
      <x:c r="AW393" s="32"/>
      <x:c r="AX393" s="32"/>
      <x:c r="AZ393" s="32"/>
      <x:c r="BA393" s="32"/>
      <x:c r="BB393" s="32"/>
      <x:c r="BC393" s="32"/>
      <x:c r="BD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  <x:c r="AK394" s="32"/>
      <x:c r="AL394" s="32"/>
      <x:c r="AM394" s="32"/>
      <x:c r="AN394" s="32"/>
      <x:c r="AO394" s="32"/>
      <x:c r="AP394" s="32"/>
      <x:c r="AQ394" s="32"/>
      <x:c r="AR394" s="32"/>
      <x:c r="AS394" s="32"/>
      <x:c r="AT394" s="32"/>
      <x:c r="AU394" s="32"/>
      <x:c r="AV394" s="32"/>
      <x:c r="AW394" s="32"/>
      <x:c r="AX394" s="32"/>
      <x:c r="AZ394" s="32"/>
      <x:c r="BA394" s="32"/>
      <x:c r="BB394" s="32"/>
      <x:c r="BC394" s="32"/>
      <x:c r="BD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  <x:c r="AK395" s="32"/>
      <x:c r="AL395" s="32"/>
      <x:c r="AM395" s="32"/>
      <x:c r="AN395" s="32"/>
      <x:c r="AO395" s="32"/>
      <x:c r="AP395" s="32"/>
      <x:c r="AQ395" s="32"/>
      <x:c r="AR395" s="32"/>
      <x:c r="AS395" s="32"/>
      <x:c r="AT395" s="32"/>
      <x:c r="AU395" s="32"/>
      <x:c r="AV395" s="32"/>
      <x:c r="AW395" s="32"/>
      <x:c r="AX395" s="32"/>
      <x:c r="AZ395" s="32"/>
      <x:c r="BA395" s="32"/>
      <x:c r="BB395" s="32"/>
      <x:c r="BC395" s="32"/>
      <x:c r="BD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  <x:c r="AK396" s="32"/>
      <x:c r="AL396" s="32"/>
      <x:c r="AM396" s="32"/>
      <x:c r="AN396" s="32"/>
      <x:c r="AO396" s="32"/>
      <x:c r="AP396" s="32"/>
      <x:c r="AQ396" s="32"/>
      <x:c r="AR396" s="32"/>
      <x:c r="AS396" s="32"/>
      <x:c r="AT396" s="32"/>
      <x:c r="AU396" s="32"/>
      <x:c r="AV396" s="32"/>
      <x:c r="AW396" s="32"/>
      <x:c r="AX396" s="32"/>
      <x:c r="AZ396" s="32"/>
      <x:c r="BA396" s="32"/>
      <x:c r="BB396" s="32"/>
      <x:c r="BC396" s="32"/>
      <x:c r="BD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  <x:c r="AK397" s="32"/>
      <x:c r="AL397" s="32"/>
      <x:c r="AM397" s="32"/>
      <x:c r="AN397" s="32"/>
      <x:c r="AO397" s="32"/>
      <x:c r="AP397" s="32"/>
      <x:c r="AQ397" s="32"/>
      <x:c r="AR397" s="32"/>
      <x:c r="AS397" s="32"/>
      <x:c r="AT397" s="32"/>
      <x:c r="AU397" s="32"/>
      <x:c r="AV397" s="32"/>
      <x:c r="AW397" s="32"/>
      <x:c r="AX397" s="32"/>
      <x:c r="AZ397" s="32"/>
      <x:c r="BA397" s="32"/>
      <x:c r="BB397" s="32"/>
      <x:c r="BC397" s="32"/>
      <x:c r="BD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  <x:c r="AK398" s="32"/>
      <x:c r="AL398" s="32"/>
      <x:c r="AM398" s="32"/>
      <x:c r="AN398" s="32"/>
      <x:c r="AO398" s="32"/>
      <x:c r="AP398" s="32"/>
      <x:c r="AQ398" s="32"/>
      <x:c r="AR398" s="32"/>
      <x:c r="AS398" s="32"/>
      <x:c r="AT398" s="32"/>
      <x:c r="AU398" s="32"/>
      <x:c r="AV398" s="32"/>
      <x:c r="AW398" s="32"/>
      <x:c r="AX398" s="32"/>
      <x:c r="AZ398" s="32"/>
      <x:c r="BA398" s="32"/>
      <x:c r="BB398" s="32"/>
      <x:c r="BC398" s="32"/>
      <x:c r="BD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  <x:c r="AK399" s="32"/>
      <x:c r="AL399" s="32"/>
      <x:c r="AM399" s="32"/>
      <x:c r="AN399" s="32"/>
      <x:c r="AO399" s="32"/>
      <x:c r="AP399" s="32"/>
      <x:c r="AQ399" s="32"/>
      <x:c r="AR399" s="32"/>
      <x:c r="AS399" s="32"/>
      <x:c r="AT399" s="32"/>
      <x:c r="AU399" s="32"/>
      <x:c r="AV399" s="32"/>
      <x:c r="AW399" s="32"/>
      <x:c r="AX399" s="32"/>
      <x:c r="AZ399" s="32"/>
      <x:c r="BA399" s="32"/>
      <x:c r="BB399" s="32"/>
      <x:c r="BC399" s="32"/>
      <x:c r="BD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  <x:c r="AK400" s="32"/>
      <x:c r="AL400" s="32"/>
      <x:c r="AM400" s="32"/>
      <x:c r="AN400" s="32"/>
      <x:c r="AO400" s="32"/>
      <x:c r="AP400" s="32"/>
      <x:c r="AQ400" s="32"/>
      <x:c r="AR400" s="32"/>
      <x:c r="AS400" s="32"/>
      <x:c r="AT400" s="32"/>
      <x:c r="AU400" s="32"/>
      <x:c r="AV400" s="32"/>
      <x:c r="AW400" s="32"/>
      <x:c r="AX400" s="32"/>
      <x:c r="AZ400" s="32"/>
      <x:c r="BA400" s="32"/>
      <x:c r="BB400" s="32"/>
      <x:c r="BC400" s="32"/>
      <x:c r="BD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  <x:c r="AK401" s="32"/>
      <x:c r="AL401" s="32"/>
      <x:c r="AM401" s="32"/>
      <x:c r="AN401" s="32"/>
      <x:c r="AO401" s="32"/>
      <x:c r="AP401" s="32"/>
      <x:c r="AQ401" s="32"/>
      <x:c r="AR401" s="32"/>
      <x:c r="AS401" s="32"/>
      <x:c r="AT401" s="32"/>
      <x:c r="AU401" s="32"/>
      <x:c r="AV401" s="32"/>
      <x:c r="AW401" s="32"/>
      <x:c r="AX401" s="32"/>
      <x:c r="AZ401" s="32"/>
      <x:c r="BA401" s="32"/>
      <x:c r="BB401" s="32"/>
      <x:c r="BC401" s="32"/>
      <x:c r="BD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  <x:c r="AK402" s="32"/>
      <x:c r="AL402" s="32"/>
      <x:c r="AM402" s="32"/>
      <x:c r="AN402" s="32"/>
      <x:c r="AO402" s="32"/>
      <x:c r="AP402" s="32"/>
      <x:c r="AQ402" s="32"/>
      <x:c r="AR402" s="32"/>
      <x:c r="AS402" s="32"/>
      <x:c r="AT402" s="32"/>
      <x:c r="AU402" s="32"/>
      <x:c r="AV402" s="32"/>
      <x:c r="AW402" s="32"/>
      <x:c r="AX402" s="32"/>
      <x:c r="AZ402" s="32"/>
      <x:c r="BA402" s="32"/>
      <x:c r="BB402" s="32"/>
      <x:c r="BC402" s="32"/>
      <x:c r="BD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  <x:c r="AK403" s="32"/>
      <x:c r="AL403" s="32"/>
      <x:c r="AM403" s="32"/>
      <x:c r="AN403" s="32"/>
      <x:c r="AO403" s="32"/>
      <x:c r="AP403" s="32"/>
      <x:c r="AQ403" s="32"/>
      <x:c r="AR403" s="32"/>
      <x:c r="AS403" s="32"/>
      <x:c r="AT403" s="32"/>
      <x:c r="AU403" s="32"/>
      <x:c r="AV403" s="32"/>
      <x:c r="AW403" s="32"/>
      <x:c r="AX403" s="32"/>
      <x:c r="AZ403" s="32"/>
      <x:c r="BA403" s="32"/>
      <x:c r="BB403" s="32"/>
      <x:c r="BC403" s="32"/>
      <x:c r="BD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  <x:c r="AK404" s="32"/>
      <x:c r="AL404" s="32"/>
      <x:c r="AM404" s="32"/>
      <x:c r="AN404" s="32"/>
      <x:c r="AO404" s="32"/>
      <x:c r="AP404" s="32"/>
      <x:c r="AQ404" s="32"/>
      <x:c r="AR404" s="32"/>
      <x:c r="AS404" s="32"/>
      <x:c r="AT404" s="32"/>
      <x:c r="AU404" s="32"/>
      <x:c r="AV404" s="32"/>
      <x:c r="AW404" s="32"/>
      <x:c r="AX404" s="32"/>
      <x:c r="AZ404" s="32"/>
      <x:c r="BA404" s="32"/>
      <x:c r="BB404" s="32"/>
      <x:c r="BC404" s="32"/>
      <x:c r="BD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  <x:c r="AK405" s="32"/>
      <x:c r="AL405" s="32"/>
      <x:c r="AM405" s="32"/>
      <x:c r="AN405" s="32"/>
      <x:c r="AO405" s="32"/>
      <x:c r="AP405" s="32"/>
      <x:c r="AQ405" s="32"/>
      <x:c r="AR405" s="32"/>
      <x:c r="AS405" s="32"/>
      <x:c r="AT405" s="32"/>
      <x:c r="AU405" s="32"/>
      <x:c r="AV405" s="32"/>
      <x:c r="AW405" s="32"/>
      <x:c r="AX405" s="32"/>
      <x:c r="AZ405" s="32"/>
      <x:c r="BA405" s="32"/>
      <x:c r="BB405" s="32"/>
      <x:c r="BC405" s="32"/>
      <x:c r="BD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  <x:c r="AK406" s="32"/>
      <x:c r="AL406" s="32"/>
      <x:c r="AM406" s="32"/>
      <x:c r="AN406" s="32"/>
      <x:c r="AO406" s="32"/>
      <x:c r="AP406" s="32"/>
      <x:c r="AQ406" s="32"/>
      <x:c r="AR406" s="32"/>
      <x:c r="AS406" s="32"/>
      <x:c r="AT406" s="32"/>
      <x:c r="AU406" s="32"/>
      <x:c r="AV406" s="32"/>
      <x:c r="AW406" s="32"/>
      <x:c r="AX406" s="32"/>
      <x:c r="AZ406" s="32"/>
      <x:c r="BA406" s="32"/>
      <x:c r="BB406" s="32"/>
      <x:c r="BC406" s="32"/>
      <x:c r="BD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  <x:c r="AK407" s="32"/>
      <x:c r="AL407" s="32"/>
      <x:c r="AM407" s="32"/>
      <x:c r="AN407" s="32"/>
      <x:c r="AO407" s="32"/>
      <x:c r="AP407" s="32"/>
      <x:c r="AQ407" s="32"/>
      <x:c r="AR407" s="32"/>
      <x:c r="AS407" s="32"/>
      <x:c r="AT407" s="32"/>
      <x:c r="AU407" s="32"/>
      <x:c r="AV407" s="32"/>
      <x:c r="AW407" s="32"/>
      <x:c r="AX407" s="32"/>
      <x:c r="AZ407" s="32"/>
      <x:c r="BA407" s="32"/>
      <x:c r="BB407" s="32"/>
      <x:c r="BC407" s="32"/>
      <x:c r="BD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  <x:c r="AK408" s="32"/>
      <x:c r="AL408" s="32"/>
      <x:c r="AM408" s="32"/>
      <x:c r="AN408" s="32"/>
      <x:c r="AO408" s="32"/>
      <x:c r="AP408" s="32"/>
      <x:c r="AQ408" s="32"/>
      <x:c r="AR408" s="32"/>
      <x:c r="AS408" s="32"/>
      <x:c r="AT408" s="32"/>
      <x:c r="AU408" s="32"/>
      <x:c r="AV408" s="32"/>
      <x:c r="AW408" s="32"/>
      <x:c r="AX408" s="32"/>
      <x:c r="AZ408" s="32"/>
      <x:c r="BA408" s="32"/>
      <x:c r="BB408" s="32"/>
      <x:c r="BC408" s="32"/>
      <x:c r="BD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  <x:c r="AK409" s="32"/>
      <x:c r="AL409" s="32"/>
      <x:c r="AM409" s="32"/>
      <x:c r="AN409" s="32"/>
      <x:c r="AO409" s="32"/>
      <x:c r="AP409" s="32"/>
      <x:c r="AQ409" s="32"/>
      <x:c r="AR409" s="32"/>
      <x:c r="AS409" s="32"/>
      <x:c r="AT409" s="32"/>
      <x:c r="AU409" s="32"/>
      <x:c r="AV409" s="32"/>
      <x:c r="AW409" s="32"/>
      <x:c r="AX409" s="32"/>
      <x:c r="AZ409" s="32"/>
      <x:c r="BA409" s="32"/>
      <x:c r="BB409" s="32"/>
      <x:c r="BC409" s="32"/>
      <x:c r="BD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  <x:c r="AK410" s="32"/>
      <x:c r="AL410" s="32"/>
      <x:c r="AM410" s="32"/>
      <x:c r="AN410" s="32"/>
      <x:c r="AO410" s="32"/>
      <x:c r="AP410" s="32"/>
      <x:c r="AQ410" s="32"/>
      <x:c r="AR410" s="32"/>
      <x:c r="AS410" s="32"/>
      <x:c r="AT410" s="32"/>
      <x:c r="AU410" s="32"/>
      <x:c r="AV410" s="32"/>
      <x:c r="AW410" s="32"/>
      <x:c r="AX410" s="32"/>
      <x:c r="AZ410" s="32"/>
      <x:c r="BA410" s="32"/>
      <x:c r="BB410" s="32"/>
      <x:c r="BC410" s="32"/>
      <x:c r="BD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  <x:c r="AK411" s="32"/>
      <x:c r="AL411" s="32"/>
      <x:c r="AM411" s="32"/>
      <x:c r="AN411" s="32"/>
      <x:c r="AO411" s="32"/>
      <x:c r="AP411" s="32"/>
      <x:c r="AQ411" s="32"/>
      <x:c r="AR411" s="32"/>
      <x:c r="AS411" s="32"/>
      <x:c r="AT411" s="32"/>
      <x:c r="AU411" s="32"/>
      <x:c r="AV411" s="32"/>
      <x:c r="AW411" s="32"/>
      <x:c r="AX411" s="32"/>
      <x:c r="AZ411" s="32"/>
      <x:c r="BA411" s="32"/>
      <x:c r="BB411" s="32"/>
      <x:c r="BC411" s="32"/>
      <x:c r="BD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  <x:c r="AK412" s="32"/>
      <x:c r="AL412" s="32"/>
      <x:c r="AM412" s="32"/>
      <x:c r="AN412" s="32"/>
      <x:c r="AO412" s="32"/>
      <x:c r="AP412" s="32"/>
      <x:c r="AQ412" s="32"/>
      <x:c r="AR412" s="32"/>
      <x:c r="AS412" s="32"/>
      <x:c r="AT412" s="32"/>
      <x:c r="AU412" s="32"/>
      <x:c r="AV412" s="32"/>
      <x:c r="AW412" s="32"/>
      <x:c r="AX412" s="32"/>
      <x:c r="AZ412" s="32"/>
      <x:c r="BA412" s="32"/>
      <x:c r="BB412" s="32"/>
      <x:c r="BC412" s="32"/>
      <x:c r="BD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  <x:c r="AK413" s="32"/>
      <x:c r="AL413" s="32"/>
      <x:c r="AM413" s="32"/>
      <x:c r="AN413" s="32"/>
      <x:c r="AO413" s="32"/>
      <x:c r="AP413" s="32"/>
      <x:c r="AQ413" s="32"/>
      <x:c r="AR413" s="32"/>
      <x:c r="AS413" s="32"/>
      <x:c r="AT413" s="32"/>
      <x:c r="AU413" s="32"/>
      <x:c r="AV413" s="32"/>
      <x:c r="AW413" s="32"/>
      <x:c r="AX413" s="32"/>
      <x:c r="AZ413" s="32"/>
      <x:c r="BA413" s="32"/>
      <x:c r="BB413" s="32"/>
      <x:c r="BC413" s="32"/>
      <x:c r="BD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  <x:c r="AK414" s="32"/>
      <x:c r="AL414" s="32"/>
      <x:c r="AM414" s="32"/>
      <x:c r="AN414" s="32"/>
      <x:c r="AO414" s="32"/>
      <x:c r="AP414" s="32"/>
      <x:c r="AQ414" s="32"/>
      <x:c r="AR414" s="32"/>
      <x:c r="AS414" s="32"/>
      <x:c r="AT414" s="32"/>
      <x:c r="AU414" s="32"/>
      <x:c r="AV414" s="32"/>
      <x:c r="AW414" s="32"/>
      <x:c r="AX414" s="32"/>
      <x:c r="AZ414" s="32"/>
      <x:c r="BA414" s="32"/>
      <x:c r="BB414" s="32"/>
      <x:c r="BC414" s="32"/>
      <x:c r="BD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  <x:c r="AK415" s="32"/>
      <x:c r="AL415" s="32"/>
      <x:c r="AM415" s="32"/>
      <x:c r="AN415" s="32"/>
      <x:c r="AO415" s="32"/>
      <x:c r="AP415" s="32"/>
      <x:c r="AQ415" s="32"/>
      <x:c r="AR415" s="32"/>
      <x:c r="AS415" s="32"/>
      <x:c r="AT415" s="32"/>
      <x:c r="AU415" s="32"/>
      <x:c r="AV415" s="32"/>
      <x:c r="AW415" s="32"/>
      <x:c r="AX415" s="32"/>
      <x:c r="AZ415" s="32"/>
      <x:c r="BA415" s="32"/>
      <x:c r="BB415" s="32"/>
      <x:c r="BC415" s="32"/>
      <x:c r="BD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  <x:c r="AK416" s="32"/>
      <x:c r="AL416" s="32"/>
      <x:c r="AM416" s="32"/>
      <x:c r="AN416" s="32"/>
      <x:c r="AO416" s="32"/>
      <x:c r="AP416" s="32"/>
      <x:c r="AQ416" s="32"/>
      <x:c r="AR416" s="32"/>
      <x:c r="AS416" s="32"/>
      <x:c r="AT416" s="32"/>
      <x:c r="AU416" s="32"/>
      <x:c r="AV416" s="32"/>
      <x:c r="AW416" s="32"/>
      <x:c r="AX416" s="32"/>
      <x:c r="AZ416" s="32"/>
      <x:c r="BA416" s="32"/>
      <x:c r="BB416" s="32"/>
      <x:c r="BC416" s="32"/>
      <x:c r="BD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  <x:c r="AK417" s="32"/>
      <x:c r="AL417" s="32"/>
      <x:c r="AM417" s="32"/>
      <x:c r="AN417" s="32"/>
      <x:c r="AO417" s="32"/>
      <x:c r="AP417" s="32"/>
      <x:c r="AQ417" s="32"/>
      <x:c r="AR417" s="32"/>
      <x:c r="AS417" s="32"/>
      <x:c r="AT417" s="32"/>
      <x:c r="AU417" s="32"/>
      <x:c r="AV417" s="32"/>
      <x:c r="AW417" s="32"/>
      <x:c r="AX417" s="32"/>
      <x:c r="AZ417" s="32"/>
      <x:c r="BA417" s="32"/>
      <x:c r="BB417" s="32"/>
      <x:c r="BC417" s="32"/>
      <x:c r="BD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  <x:c r="AK418" s="32"/>
      <x:c r="AL418" s="32"/>
      <x:c r="AM418" s="32"/>
      <x:c r="AN418" s="32"/>
      <x:c r="AO418" s="32"/>
      <x:c r="AP418" s="32"/>
      <x:c r="AQ418" s="32"/>
      <x:c r="AR418" s="32"/>
      <x:c r="AS418" s="32"/>
      <x:c r="AT418" s="32"/>
      <x:c r="AU418" s="32"/>
      <x:c r="AV418" s="32"/>
      <x:c r="AW418" s="32"/>
      <x:c r="AX418" s="32"/>
      <x:c r="AZ418" s="32"/>
      <x:c r="BA418" s="32"/>
      <x:c r="BB418" s="32"/>
      <x:c r="BC418" s="32"/>
      <x:c r="BD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  <x:c r="AK419" s="32"/>
      <x:c r="AL419" s="32"/>
      <x:c r="AM419" s="32"/>
      <x:c r="AN419" s="32"/>
      <x:c r="AO419" s="32"/>
      <x:c r="AP419" s="32"/>
      <x:c r="AQ419" s="32"/>
      <x:c r="AR419" s="32"/>
      <x:c r="AS419" s="32"/>
      <x:c r="AT419" s="32"/>
      <x:c r="AU419" s="32"/>
      <x:c r="AV419" s="32"/>
      <x:c r="AW419" s="32"/>
      <x:c r="AX419" s="32"/>
      <x:c r="AZ419" s="32"/>
      <x:c r="BA419" s="32"/>
      <x:c r="BB419" s="32"/>
      <x:c r="BC419" s="32"/>
      <x:c r="BD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  <x:c r="AK420" s="32"/>
      <x:c r="AL420" s="32"/>
      <x:c r="AM420" s="32"/>
      <x:c r="AN420" s="32"/>
      <x:c r="AO420" s="32"/>
      <x:c r="AP420" s="32"/>
      <x:c r="AQ420" s="32"/>
      <x:c r="AR420" s="32"/>
      <x:c r="AS420" s="32"/>
      <x:c r="AT420" s="32"/>
      <x:c r="AU420" s="32"/>
      <x:c r="AV420" s="32"/>
      <x:c r="AW420" s="32"/>
      <x:c r="AX420" s="32"/>
      <x:c r="AZ420" s="32"/>
      <x:c r="BA420" s="32"/>
      <x:c r="BB420" s="32"/>
      <x:c r="BC420" s="32"/>
      <x:c r="BD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  <x:c r="AK421" s="32"/>
      <x:c r="AL421" s="32"/>
      <x:c r="AM421" s="32"/>
      <x:c r="AN421" s="32"/>
      <x:c r="AO421" s="32"/>
      <x:c r="AP421" s="32"/>
      <x:c r="AQ421" s="32"/>
      <x:c r="AR421" s="32"/>
      <x:c r="AS421" s="32"/>
      <x:c r="AT421" s="32"/>
      <x:c r="AU421" s="32"/>
      <x:c r="AV421" s="32"/>
      <x:c r="AW421" s="32"/>
      <x:c r="AX421" s="32"/>
      <x:c r="AZ421" s="32"/>
      <x:c r="BA421" s="32"/>
      <x:c r="BB421" s="32"/>
      <x:c r="BC421" s="32"/>
      <x:c r="BD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  <x:c r="AK422" s="32"/>
      <x:c r="AL422" s="32"/>
      <x:c r="AM422" s="32"/>
      <x:c r="AN422" s="32"/>
      <x:c r="AO422" s="32"/>
      <x:c r="AP422" s="32"/>
      <x:c r="AQ422" s="32"/>
      <x:c r="AR422" s="32"/>
      <x:c r="AS422" s="32"/>
      <x:c r="AT422" s="32"/>
      <x:c r="AU422" s="32"/>
      <x:c r="AV422" s="32"/>
      <x:c r="AW422" s="32"/>
      <x:c r="AX422" s="32"/>
      <x:c r="AZ422" s="32"/>
      <x:c r="BA422" s="32"/>
      <x:c r="BB422" s="32"/>
      <x:c r="BC422" s="32"/>
      <x:c r="BD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  <x:c r="AK423" s="32"/>
      <x:c r="AL423" s="32"/>
      <x:c r="AM423" s="32"/>
      <x:c r="AN423" s="32"/>
      <x:c r="AO423" s="32"/>
      <x:c r="AP423" s="32"/>
      <x:c r="AQ423" s="32"/>
      <x:c r="AR423" s="32"/>
      <x:c r="AS423" s="32"/>
      <x:c r="AT423" s="32"/>
      <x:c r="AU423" s="32"/>
      <x:c r="AV423" s="32"/>
      <x:c r="AW423" s="32"/>
      <x:c r="AX423" s="32"/>
      <x:c r="AZ423" s="32"/>
      <x:c r="BA423" s="32"/>
      <x:c r="BB423" s="32"/>
      <x:c r="BC423" s="32"/>
      <x:c r="BD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  <x:c r="AK424" s="32"/>
      <x:c r="AL424" s="32"/>
      <x:c r="AM424" s="32"/>
      <x:c r="AN424" s="32"/>
      <x:c r="AO424" s="32"/>
      <x:c r="AP424" s="32"/>
      <x:c r="AQ424" s="32"/>
      <x:c r="AR424" s="32"/>
      <x:c r="AS424" s="32"/>
      <x:c r="AT424" s="32"/>
      <x:c r="AU424" s="32"/>
      <x:c r="AV424" s="32"/>
      <x:c r="AW424" s="32"/>
      <x:c r="AX424" s="32"/>
      <x:c r="AZ424" s="32"/>
      <x:c r="BA424" s="32"/>
      <x:c r="BB424" s="32"/>
      <x:c r="BC424" s="32"/>
      <x:c r="BD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  <x:c r="AK425" s="32"/>
      <x:c r="AL425" s="32"/>
      <x:c r="AM425" s="32"/>
      <x:c r="AN425" s="32"/>
      <x:c r="AO425" s="32"/>
      <x:c r="AP425" s="32"/>
      <x:c r="AQ425" s="32"/>
      <x:c r="AR425" s="32"/>
      <x:c r="AS425" s="32"/>
      <x:c r="AT425" s="32"/>
      <x:c r="AU425" s="32"/>
      <x:c r="AV425" s="32"/>
      <x:c r="AW425" s="32"/>
      <x:c r="AX425" s="32"/>
      <x:c r="AZ425" s="32"/>
      <x:c r="BA425" s="32"/>
      <x:c r="BB425" s="32"/>
      <x:c r="BC425" s="32"/>
      <x:c r="BD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  <x:c r="AK426" s="32"/>
      <x:c r="AL426" s="32"/>
      <x:c r="AM426" s="32"/>
      <x:c r="AN426" s="32"/>
      <x:c r="AO426" s="32"/>
      <x:c r="AP426" s="32"/>
      <x:c r="AQ426" s="32"/>
      <x:c r="AR426" s="32"/>
      <x:c r="AS426" s="32"/>
      <x:c r="AT426" s="32"/>
      <x:c r="AU426" s="32"/>
      <x:c r="AV426" s="32"/>
      <x:c r="AW426" s="32"/>
      <x:c r="AX426" s="32"/>
      <x:c r="AZ426" s="32"/>
      <x:c r="BA426" s="32"/>
      <x:c r="BB426" s="32"/>
      <x:c r="BC426" s="32"/>
      <x:c r="BD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  <x:c r="AK427" s="32"/>
      <x:c r="AL427" s="32"/>
      <x:c r="AM427" s="32"/>
      <x:c r="AN427" s="32"/>
      <x:c r="AO427" s="32"/>
      <x:c r="AP427" s="32"/>
      <x:c r="AQ427" s="32"/>
      <x:c r="AR427" s="32"/>
      <x:c r="AS427" s="32"/>
      <x:c r="AT427" s="32"/>
      <x:c r="AU427" s="32"/>
      <x:c r="AV427" s="32"/>
      <x:c r="AW427" s="32"/>
      <x:c r="AX427" s="32"/>
      <x:c r="AZ427" s="32"/>
      <x:c r="BA427" s="32"/>
      <x:c r="BB427" s="32"/>
      <x:c r="BC427" s="32"/>
      <x:c r="BD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  <x:c r="AK428" s="32"/>
      <x:c r="AL428" s="32"/>
      <x:c r="AM428" s="32"/>
      <x:c r="AN428" s="32"/>
      <x:c r="AO428" s="32"/>
      <x:c r="AP428" s="32"/>
      <x:c r="AQ428" s="32"/>
      <x:c r="AR428" s="32"/>
      <x:c r="AS428" s="32"/>
      <x:c r="AT428" s="32"/>
      <x:c r="AU428" s="32"/>
      <x:c r="AV428" s="32"/>
      <x:c r="AW428" s="32"/>
      <x:c r="AX428" s="32"/>
      <x:c r="AZ428" s="32"/>
      <x:c r="BA428" s="32"/>
      <x:c r="BB428" s="32"/>
      <x:c r="BC428" s="32"/>
      <x:c r="BD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  <x:c r="AK429" s="32"/>
      <x:c r="AL429" s="32"/>
      <x:c r="AM429" s="32"/>
      <x:c r="AN429" s="32"/>
      <x:c r="AO429" s="32"/>
      <x:c r="AP429" s="32"/>
      <x:c r="AQ429" s="32"/>
      <x:c r="AR429" s="32"/>
      <x:c r="AS429" s="32"/>
      <x:c r="AT429" s="32"/>
      <x:c r="AU429" s="32"/>
      <x:c r="AV429" s="32"/>
      <x:c r="AW429" s="32"/>
      <x:c r="AX429" s="32"/>
      <x:c r="AZ429" s="32"/>
      <x:c r="BA429" s="32"/>
      <x:c r="BB429" s="32"/>
      <x:c r="BC429" s="32"/>
      <x:c r="BD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  <x:c r="AK430" s="32"/>
      <x:c r="AL430" s="32"/>
      <x:c r="AM430" s="32"/>
      <x:c r="AN430" s="32"/>
      <x:c r="AO430" s="32"/>
      <x:c r="AP430" s="32"/>
      <x:c r="AQ430" s="32"/>
      <x:c r="AR430" s="32"/>
      <x:c r="AS430" s="32"/>
      <x:c r="AT430" s="32"/>
      <x:c r="AU430" s="32"/>
      <x:c r="AV430" s="32"/>
      <x:c r="AW430" s="32"/>
      <x:c r="AX430" s="32"/>
      <x:c r="AZ430" s="32"/>
      <x:c r="BA430" s="32"/>
      <x:c r="BB430" s="32"/>
      <x:c r="BC430" s="32"/>
      <x:c r="BD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  <x:c r="AK431" s="32"/>
      <x:c r="AL431" s="32"/>
      <x:c r="AM431" s="32"/>
      <x:c r="AN431" s="32"/>
      <x:c r="AO431" s="32"/>
      <x:c r="AP431" s="32"/>
      <x:c r="AQ431" s="32"/>
      <x:c r="AR431" s="32"/>
      <x:c r="AS431" s="32"/>
      <x:c r="AT431" s="32"/>
      <x:c r="AU431" s="32"/>
      <x:c r="AV431" s="32"/>
      <x:c r="AW431" s="32"/>
      <x:c r="AX431" s="32"/>
      <x:c r="AZ431" s="32"/>
      <x:c r="BA431" s="32"/>
      <x:c r="BB431" s="32"/>
      <x:c r="BC431" s="32"/>
      <x:c r="BD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  <x:c r="AK432" s="32"/>
      <x:c r="AL432" s="32"/>
      <x:c r="AM432" s="32"/>
      <x:c r="AN432" s="32"/>
      <x:c r="AO432" s="32"/>
      <x:c r="AP432" s="32"/>
      <x:c r="AQ432" s="32"/>
      <x:c r="AR432" s="32"/>
      <x:c r="AS432" s="32"/>
      <x:c r="AT432" s="32"/>
      <x:c r="AU432" s="32"/>
      <x:c r="AV432" s="32"/>
      <x:c r="AW432" s="32"/>
      <x:c r="AX432" s="32"/>
      <x:c r="AZ432" s="32"/>
      <x:c r="BA432" s="32"/>
      <x:c r="BB432" s="32"/>
      <x:c r="BC432" s="32"/>
      <x:c r="BD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  <x:c r="AK433" s="32"/>
      <x:c r="AL433" s="32"/>
      <x:c r="AM433" s="32"/>
      <x:c r="AN433" s="32"/>
      <x:c r="AO433" s="32"/>
      <x:c r="AP433" s="32"/>
      <x:c r="AQ433" s="32"/>
      <x:c r="AR433" s="32"/>
      <x:c r="AS433" s="32"/>
      <x:c r="AT433" s="32"/>
      <x:c r="AU433" s="32"/>
      <x:c r="AV433" s="32"/>
      <x:c r="AW433" s="32"/>
      <x:c r="AX433" s="32"/>
      <x:c r="AZ433" s="32"/>
      <x:c r="BA433" s="32"/>
      <x:c r="BB433" s="32"/>
      <x:c r="BC433" s="32"/>
      <x:c r="BD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  <x:c r="AK434" s="32"/>
      <x:c r="AL434" s="32"/>
      <x:c r="AM434" s="32"/>
      <x:c r="AN434" s="32"/>
      <x:c r="AO434" s="32"/>
      <x:c r="AP434" s="32"/>
      <x:c r="AQ434" s="32"/>
      <x:c r="AR434" s="32"/>
      <x:c r="AS434" s="32"/>
      <x:c r="AT434" s="32"/>
      <x:c r="AU434" s="32"/>
      <x:c r="AV434" s="32"/>
      <x:c r="AW434" s="32"/>
      <x:c r="AX434" s="32"/>
      <x:c r="AZ434" s="32"/>
      <x:c r="BA434" s="32"/>
      <x:c r="BB434" s="32"/>
      <x:c r="BC434" s="32"/>
      <x:c r="BD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  <x:c r="AK435" s="32"/>
      <x:c r="AL435" s="32"/>
      <x:c r="AM435" s="32"/>
      <x:c r="AN435" s="32"/>
      <x:c r="AO435" s="32"/>
      <x:c r="AP435" s="32"/>
      <x:c r="AQ435" s="32"/>
      <x:c r="AR435" s="32"/>
      <x:c r="AS435" s="32"/>
      <x:c r="AT435" s="32"/>
      <x:c r="AU435" s="32"/>
      <x:c r="AV435" s="32"/>
      <x:c r="AW435" s="32"/>
      <x:c r="AX435" s="32"/>
      <x:c r="AZ435" s="32"/>
      <x:c r="BA435" s="32"/>
      <x:c r="BB435" s="32"/>
      <x:c r="BC435" s="32"/>
      <x:c r="BD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  <x:c r="AK436" s="32"/>
      <x:c r="AL436" s="32"/>
      <x:c r="AM436" s="32"/>
      <x:c r="AN436" s="32"/>
      <x:c r="AO436" s="32"/>
      <x:c r="AP436" s="32"/>
      <x:c r="AQ436" s="32"/>
      <x:c r="AR436" s="32"/>
      <x:c r="AS436" s="32"/>
      <x:c r="AT436" s="32"/>
      <x:c r="AU436" s="32"/>
      <x:c r="AV436" s="32"/>
      <x:c r="AW436" s="32"/>
      <x:c r="AX436" s="32"/>
      <x:c r="AZ436" s="32"/>
      <x:c r="BA436" s="32"/>
      <x:c r="BB436" s="32"/>
      <x:c r="BC436" s="32"/>
      <x:c r="BD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  <x:c r="AK437" s="32"/>
      <x:c r="AL437" s="32"/>
      <x:c r="AM437" s="32"/>
      <x:c r="AN437" s="32"/>
      <x:c r="AO437" s="32"/>
      <x:c r="AP437" s="32"/>
      <x:c r="AQ437" s="32"/>
      <x:c r="AR437" s="32"/>
      <x:c r="AS437" s="32"/>
      <x:c r="AT437" s="32"/>
      <x:c r="AU437" s="32"/>
      <x:c r="AV437" s="32"/>
      <x:c r="AW437" s="32"/>
      <x:c r="AX437" s="32"/>
      <x:c r="AZ437" s="32"/>
      <x:c r="BA437" s="32"/>
      <x:c r="BB437" s="32"/>
      <x:c r="BC437" s="32"/>
      <x:c r="BD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  <x:c r="AK438" s="32"/>
      <x:c r="AL438" s="32"/>
      <x:c r="AM438" s="32"/>
      <x:c r="AN438" s="32"/>
      <x:c r="AO438" s="32"/>
      <x:c r="AP438" s="32"/>
      <x:c r="AQ438" s="32"/>
      <x:c r="AR438" s="32"/>
      <x:c r="AS438" s="32"/>
      <x:c r="AT438" s="32"/>
      <x:c r="AU438" s="32"/>
      <x:c r="AV438" s="32"/>
      <x:c r="AW438" s="32"/>
      <x:c r="AX438" s="32"/>
      <x:c r="AZ438" s="32"/>
      <x:c r="BA438" s="32"/>
      <x:c r="BB438" s="32"/>
      <x:c r="BC438" s="32"/>
      <x:c r="BD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  <x:c r="AK439" s="32"/>
      <x:c r="AL439" s="32"/>
      <x:c r="AM439" s="32"/>
      <x:c r="AN439" s="32"/>
      <x:c r="AO439" s="32"/>
      <x:c r="AP439" s="32"/>
      <x:c r="AQ439" s="32"/>
      <x:c r="AR439" s="32"/>
      <x:c r="AS439" s="32"/>
      <x:c r="AT439" s="32"/>
      <x:c r="AU439" s="32"/>
      <x:c r="AV439" s="32"/>
      <x:c r="AW439" s="32"/>
      <x:c r="AX439" s="32"/>
      <x:c r="AZ439" s="32"/>
      <x:c r="BA439" s="32"/>
      <x:c r="BB439" s="32"/>
      <x:c r="BC439" s="32"/>
      <x:c r="BD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  <x:c r="AK440" s="32"/>
      <x:c r="AL440" s="32"/>
      <x:c r="AM440" s="32"/>
      <x:c r="AN440" s="32"/>
      <x:c r="AO440" s="32"/>
      <x:c r="AP440" s="32"/>
      <x:c r="AQ440" s="32"/>
      <x:c r="AR440" s="32"/>
      <x:c r="AS440" s="32"/>
      <x:c r="AT440" s="32"/>
      <x:c r="AU440" s="32"/>
      <x:c r="AV440" s="32"/>
      <x:c r="AW440" s="32"/>
      <x:c r="AX440" s="32"/>
      <x:c r="AZ440" s="32"/>
      <x:c r="BA440" s="32"/>
      <x:c r="BB440" s="32"/>
      <x:c r="BC440" s="32"/>
      <x:c r="BD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  <x:c r="AK441" s="32"/>
      <x:c r="AL441" s="32"/>
      <x:c r="AM441" s="32"/>
      <x:c r="AN441" s="32"/>
      <x:c r="AO441" s="32"/>
      <x:c r="AP441" s="32"/>
      <x:c r="AQ441" s="32"/>
      <x:c r="AR441" s="32"/>
      <x:c r="AS441" s="32"/>
      <x:c r="AT441" s="32"/>
      <x:c r="AU441" s="32"/>
      <x:c r="AV441" s="32"/>
      <x:c r="AW441" s="32"/>
      <x:c r="AX441" s="32"/>
      <x:c r="AZ441" s="32"/>
      <x:c r="BA441" s="32"/>
      <x:c r="BB441" s="32"/>
      <x:c r="BC441" s="32"/>
      <x:c r="BD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  <x:c r="AK442" s="32"/>
      <x:c r="AL442" s="32"/>
      <x:c r="AM442" s="32"/>
      <x:c r="AN442" s="32"/>
      <x:c r="AO442" s="32"/>
      <x:c r="AP442" s="32"/>
      <x:c r="AQ442" s="32"/>
      <x:c r="AR442" s="32"/>
      <x:c r="AS442" s="32"/>
      <x:c r="AT442" s="32"/>
      <x:c r="AU442" s="32"/>
      <x:c r="AV442" s="32"/>
      <x:c r="AW442" s="32"/>
      <x:c r="AX442" s="32"/>
      <x:c r="AZ442" s="32"/>
      <x:c r="BA442" s="32"/>
      <x:c r="BB442" s="32"/>
      <x:c r="BC442" s="32"/>
      <x:c r="BD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  <x:c r="AK443" s="32"/>
      <x:c r="AL443" s="32"/>
      <x:c r="AM443" s="32"/>
      <x:c r="AN443" s="32"/>
      <x:c r="AO443" s="32"/>
      <x:c r="AP443" s="32"/>
      <x:c r="AQ443" s="32"/>
      <x:c r="AR443" s="32"/>
      <x:c r="AS443" s="32"/>
      <x:c r="AT443" s="32"/>
      <x:c r="AU443" s="32"/>
      <x:c r="AV443" s="32"/>
      <x:c r="AW443" s="32"/>
      <x:c r="AX443" s="32"/>
      <x:c r="AZ443" s="32"/>
      <x:c r="BA443" s="32"/>
      <x:c r="BB443" s="32"/>
      <x:c r="BC443" s="32"/>
      <x:c r="BD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  <x:c r="AK444" s="32"/>
      <x:c r="AL444" s="32"/>
      <x:c r="AM444" s="32"/>
      <x:c r="AN444" s="32"/>
      <x:c r="AO444" s="32"/>
      <x:c r="AP444" s="32"/>
      <x:c r="AQ444" s="32"/>
      <x:c r="AR444" s="32"/>
      <x:c r="AS444" s="32"/>
      <x:c r="AT444" s="32"/>
      <x:c r="AU444" s="32"/>
      <x:c r="AV444" s="32"/>
      <x:c r="AW444" s="32"/>
      <x:c r="AX444" s="32"/>
      <x:c r="AZ444" s="32"/>
      <x:c r="BA444" s="32"/>
      <x:c r="BB444" s="32"/>
      <x:c r="BC444" s="32"/>
      <x:c r="BD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  <x:c r="AK445" s="32"/>
      <x:c r="AL445" s="32"/>
      <x:c r="AM445" s="32"/>
      <x:c r="AN445" s="32"/>
      <x:c r="AO445" s="32"/>
      <x:c r="AP445" s="32"/>
      <x:c r="AQ445" s="32"/>
      <x:c r="AR445" s="32"/>
      <x:c r="AS445" s="32"/>
      <x:c r="AT445" s="32"/>
      <x:c r="AU445" s="32"/>
      <x:c r="AV445" s="32"/>
      <x:c r="AW445" s="32"/>
      <x:c r="AX445" s="32"/>
      <x:c r="AZ445" s="32"/>
      <x:c r="BA445" s="32"/>
      <x:c r="BB445" s="32"/>
      <x:c r="BC445" s="32"/>
      <x:c r="BD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  <x:c r="AK446" s="32"/>
      <x:c r="AL446" s="32"/>
      <x:c r="AM446" s="32"/>
      <x:c r="AN446" s="32"/>
      <x:c r="AO446" s="32"/>
      <x:c r="AP446" s="32"/>
      <x:c r="AQ446" s="32"/>
      <x:c r="AR446" s="32"/>
      <x:c r="AS446" s="32"/>
      <x:c r="AT446" s="32"/>
      <x:c r="AU446" s="32"/>
      <x:c r="AV446" s="32"/>
      <x:c r="AW446" s="32"/>
      <x:c r="AX446" s="32"/>
      <x:c r="AZ446" s="32"/>
      <x:c r="BA446" s="32"/>
      <x:c r="BB446" s="32"/>
      <x:c r="BC446" s="32"/>
      <x:c r="BD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  <x:c r="AK447" s="32"/>
      <x:c r="AL447" s="32"/>
      <x:c r="AM447" s="32"/>
      <x:c r="AN447" s="32"/>
      <x:c r="AO447" s="32"/>
      <x:c r="AP447" s="32"/>
      <x:c r="AQ447" s="32"/>
      <x:c r="AR447" s="32"/>
      <x:c r="AS447" s="32"/>
      <x:c r="AT447" s="32"/>
      <x:c r="AU447" s="32"/>
      <x:c r="AV447" s="32"/>
      <x:c r="AW447" s="32"/>
      <x:c r="AX447" s="32"/>
      <x:c r="AZ447" s="32"/>
      <x:c r="BA447" s="32"/>
      <x:c r="BB447" s="32"/>
      <x:c r="BC447" s="32"/>
      <x:c r="BD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  <x:c r="AK448" s="32"/>
      <x:c r="AL448" s="32"/>
      <x:c r="AM448" s="32"/>
      <x:c r="AN448" s="32"/>
      <x:c r="AO448" s="32"/>
      <x:c r="AP448" s="32"/>
      <x:c r="AQ448" s="32"/>
      <x:c r="AR448" s="32"/>
      <x:c r="AS448" s="32"/>
      <x:c r="AT448" s="32"/>
      <x:c r="AU448" s="32"/>
      <x:c r="AV448" s="32"/>
      <x:c r="AW448" s="32"/>
      <x:c r="AX448" s="32"/>
      <x:c r="AZ448" s="32"/>
      <x:c r="BA448" s="32"/>
      <x:c r="BB448" s="32"/>
      <x:c r="BC448" s="32"/>
      <x:c r="BD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  <x:c r="AK449" s="32"/>
      <x:c r="AL449" s="32"/>
      <x:c r="AM449" s="32"/>
      <x:c r="AN449" s="32"/>
      <x:c r="AO449" s="32"/>
      <x:c r="AP449" s="32"/>
      <x:c r="AQ449" s="32"/>
      <x:c r="AR449" s="32"/>
      <x:c r="AS449" s="32"/>
      <x:c r="AT449" s="32"/>
      <x:c r="AU449" s="32"/>
      <x:c r="AV449" s="32"/>
      <x:c r="AW449" s="32"/>
      <x:c r="AX449" s="32"/>
      <x:c r="AZ449" s="32"/>
      <x:c r="BA449" s="32"/>
      <x:c r="BB449" s="32"/>
      <x:c r="BC449" s="32"/>
      <x:c r="BD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  <x:c r="AK450" s="32"/>
      <x:c r="AL450" s="32"/>
      <x:c r="AM450" s="32"/>
      <x:c r="AN450" s="32"/>
      <x:c r="AO450" s="32"/>
      <x:c r="AP450" s="32"/>
      <x:c r="AQ450" s="32"/>
      <x:c r="AR450" s="32"/>
      <x:c r="AS450" s="32"/>
      <x:c r="AT450" s="32"/>
      <x:c r="AU450" s="32"/>
      <x:c r="AV450" s="32"/>
      <x:c r="AW450" s="32"/>
      <x:c r="AX450" s="32"/>
      <x:c r="AZ450" s="32"/>
      <x:c r="BA450" s="32"/>
      <x:c r="BB450" s="32"/>
      <x:c r="BC450" s="32"/>
      <x:c r="BD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  <x:c r="AK451" s="32"/>
      <x:c r="AL451" s="32"/>
      <x:c r="AM451" s="32"/>
      <x:c r="AN451" s="32"/>
      <x:c r="AO451" s="32"/>
      <x:c r="AP451" s="32"/>
      <x:c r="AQ451" s="32"/>
      <x:c r="AR451" s="32"/>
      <x:c r="AS451" s="32"/>
      <x:c r="AT451" s="32"/>
      <x:c r="AU451" s="32"/>
      <x:c r="AV451" s="32"/>
      <x:c r="AW451" s="32"/>
      <x:c r="AX451" s="32"/>
      <x:c r="AZ451" s="32"/>
      <x:c r="BA451" s="32"/>
      <x:c r="BB451" s="32"/>
      <x:c r="BC451" s="32"/>
      <x:c r="BD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  <x:c r="AK452" s="32"/>
      <x:c r="AL452" s="32"/>
      <x:c r="AM452" s="32"/>
      <x:c r="AN452" s="32"/>
      <x:c r="AO452" s="32"/>
      <x:c r="AP452" s="32"/>
      <x:c r="AQ452" s="32"/>
      <x:c r="AR452" s="32"/>
      <x:c r="AS452" s="32"/>
      <x:c r="AT452" s="32"/>
      <x:c r="AU452" s="32"/>
      <x:c r="AV452" s="32"/>
      <x:c r="AW452" s="32"/>
      <x:c r="AX452" s="32"/>
      <x:c r="AZ452" s="32"/>
      <x:c r="BA452" s="32"/>
      <x:c r="BB452" s="32"/>
      <x:c r="BC452" s="32"/>
      <x:c r="BD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  <x:c r="AK453" s="32"/>
      <x:c r="AL453" s="32"/>
      <x:c r="AM453" s="32"/>
      <x:c r="AN453" s="32"/>
      <x:c r="AO453" s="32"/>
      <x:c r="AP453" s="32"/>
      <x:c r="AQ453" s="32"/>
      <x:c r="AR453" s="32"/>
      <x:c r="AS453" s="32"/>
      <x:c r="AT453" s="32"/>
      <x:c r="AU453" s="32"/>
      <x:c r="AV453" s="32"/>
      <x:c r="AW453" s="32"/>
      <x:c r="AX453" s="32"/>
      <x:c r="AZ453" s="32"/>
      <x:c r="BA453" s="32"/>
      <x:c r="BB453" s="32"/>
      <x:c r="BC453" s="32"/>
      <x:c r="BD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  <x:c r="AK454" s="32"/>
      <x:c r="AL454" s="32"/>
      <x:c r="AM454" s="32"/>
      <x:c r="AN454" s="32"/>
      <x:c r="AO454" s="32"/>
      <x:c r="AP454" s="32"/>
      <x:c r="AQ454" s="32"/>
      <x:c r="AR454" s="32"/>
      <x:c r="AS454" s="32"/>
      <x:c r="AT454" s="32"/>
      <x:c r="AU454" s="32"/>
      <x:c r="AV454" s="32"/>
      <x:c r="AW454" s="32"/>
      <x:c r="AX454" s="32"/>
      <x:c r="AZ454" s="32"/>
      <x:c r="BA454" s="32"/>
      <x:c r="BB454" s="32"/>
      <x:c r="BC454" s="32"/>
      <x:c r="BD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  <x:c r="AK455" s="32"/>
      <x:c r="AL455" s="32"/>
      <x:c r="AM455" s="32"/>
      <x:c r="AN455" s="32"/>
      <x:c r="AO455" s="32"/>
      <x:c r="AP455" s="32"/>
      <x:c r="AQ455" s="32"/>
      <x:c r="AR455" s="32"/>
      <x:c r="AS455" s="32"/>
      <x:c r="AT455" s="32"/>
      <x:c r="AU455" s="32"/>
      <x:c r="AV455" s="32"/>
      <x:c r="AW455" s="32"/>
      <x:c r="AX455" s="32"/>
      <x:c r="AZ455" s="32"/>
      <x:c r="BA455" s="32"/>
      <x:c r="BB455" s="32"/>
      <x:c r="BC455" s="32"/>
      <x:c r="BD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  <x:c r="AK456" s="32"/>
      <x:c r="AL456" s="32"/>
      <x:c r="AM456" s="32"/>
      <x:c r="AN456" s="32"/>
      <x:c r="AO456" s="32"/>
      <x:c r="AP456" s="32"/>
      <x:c r="AQ456" s="32"/>
      <x:c r="AR456" s="32"/>
      <x:c r="AS456" s="32"/>
      <x:c r="AT456" s="32"/>
      <x:c r="AU456" s="32"/>
      <x:c r="AV456" s="32"/>
      <x:c r="AW456" s="32"/>
      <x:c r="AX456" s="32"/>
      <x:c r="AZ456" s="32"/>
      <x:c r="BA456" s="32"/>
      <x:c r="BB456" s="32"/>
      <x:c r="BC456" s="32"/>
      <x:c r="BD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  <x:c r="AK457" s="32"/>
      <x:c r="AL457" s="32"/>
      <x:c r="AM457" s="32"/>
      <x:c r="AN457" s="32"/>
      <x:c r="AO457" s="32"/>
      <x:c r="AP457" s="32"/>
      <x:c r="AQ457" s="32"/>
      <x:c r="AR457" s="32"/>
      <x:c r="AS457" s="32"/>
      <x:c r="AT457" s="32"/>
      <x:c r="AU457" s="32"/>
      <x:c r="AV457" s="32"/>
      <x:c r="AW457" s="32"/>
      <x:c r="AX457" s="32"/>
      <x:c r="AZ457" s="32"/>
      <x:c r="BA457" s="32"/>
      <x:c r="BB457" s="32"/>
      <x:c r="BC457" s="32"/>
      <x:c r="BD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  <x:c r="AK458" s="32"/>
      <x:c r="AL458" s="32"/>
      <x:c r="AM458" s="32"/>
      <x:c r="AN458" s="32"/>
      <x:c r="AO458" s="32"/>
      <x:c r="AP458" s="32"/>
      <x:c r="AQ458" s="32"/>
      <x:c r="AR458" s="32"/>
      <x:c r="AS458" s="32"/>
      <x:c r="AT458" s="32"/>
      <x:c r="AU458" s="32"/>
      <x:c r="AV458" s="32"/>
      <x:c r="AW458" s="32"/>
      <x:c r="AX458" s="32"/>
      <x:c r="AZ458" s="32"/>
      <x:c r="BA458" s="32"/>
      <x:c r="BB458" s="32"/>
      <x:c r="BC458" s="32"/>
      <x:c r="BD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  <x:c r="AK459" s="32"/>
      <x:c r="AL459" s="32"/>
      <x:c r="AM459" s="32"/>
      <x:c r="AN459" s="32"/>
      <x:c r="AO459" s="32"/>
      <x:c r="AP459" s="32"/>
      <x:c r="AQ459" s="32"/>
      <x:c r="AR459" s="32"/>
      <x:c r="AS459" s="32"/>
      <x:c r="AT459" s="32"/>
      <x:c r="AU459" s="32"/>
      <x:c r="AV459" s="32"/>
      <x:c r="AW459" s="32"/>
      <x:c r="AX459" s="32"/>
      <x:c r="AZ459" s="32"/>
      <x:c r="BA459" s="32"/>
      <x:c r="BB459" s="32"/>
      <x:c r="BC459" s="32"/>
      <x:c r="BD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  <x:c r="AK460" s="32"/>
      <x:c r="AL460" s="32"/>
      <x:c r="AM460" s="32"/>
      <x:c r="AN460" s="32"/>
      <x:c r="AO460" s="32"/>
      <x:c r="AP460" s="32"/>
      <x:c r="AQ460" s="32"/>
      <x:c r="AR460" s="32"/>
      <x:c r="AS460" s="32"/>
      <x:c r="AT460" s="32"/>
      <x:c r="AU460" s="32"/>
      <x:c r="AV460" s="32"/>
      <x:c r="AW460" s="32"/>
      <x:c r="AX460" s="32"/>
      <x:c r="AZ460" s="32"/>
      <x:c r="BA460" s="32"/>
      <x:c r="BB460" s="32"/>
      <x:c r="BC460" s="32"/>
      <x:c r="BD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  <x:c r="AK461" s="32"/>
      <x:c r="AL461" s="32"/>
      <x:c r="AM461" s="32"/>
      <x:c r="AN461" s="32"/>
      <x:c r="AO461" s="32"/>
      <x:c r="AP461" s="32"/>
      <x:c r="AQ461" s="32"/>
      <x:c r="AR461" s="32"/>
      <x:c r="AS461" s="32"/>
      <x:c r="AT461" s="32"/>
      <x:c r="AU461" s="32"/>
      <x:c r="AV461" s="32"/>
      <x:c r="AW461" s="32"/>
      <x:c r="AX461" s="32"/>
      <x:c r="AZ461" s="32"/>
      <x:c r="BA461" s="32"/>
      <x:c r="BB461" s="32"/>
      <x:c r="BC461" s="32"/>
      <x:c r="BD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  <x:c r="AK462" s="32"/>
      <x:c r="AL462" s="32"/>
      <x:c r="AM462" s="32"/>
      <x:c r="AN462" s="32"/>
      <x:c r="AO462" s="32"/>
      <x:c r="AP462" s="32"/>
      <x:c r="AQ462" s="32"/>
      <x:c r="AR462" s="32"/>
      <x:c r="AS462" s="32"/>
      <x:c r="AT462" s="32"/>
      <x:c r="AU462" s="32"/>
      <x:c r="AV462" s="32"/>
      <x:c r="AW462" s="32"/>
      <x:c r="AX462" s="32"/>
      <x:c r="AZ462" s="32"/>
      <x:c r="BA462" s="32"/>
      <x:c r="BB462" s="32"/>
      <x:c r="BC462" s="32"/>
      <x:c r="BD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  <x:c r="AK463" s="32"/>
      <x:c r="AL463" s="32"/>
      <x:c r="AM463" s="32"/>
      <x:c r="AN463" s="32"/>
      <x:c r="AO463" s="32"/>
      <x:c r="AP463" s="32"/>
      <x:c r="AQ463" s="32"/>
      <x:c r="AR463" s="32"/>
      <x:c r="AS463" s="32"/>
      <x:c r="AT463" s="32"/>
      <x:c r="AU463" s="32"/>
      <x:c r="AV463" s="32"/>
      <x:c r="AW463" s="32"/>
      <x:c r="AX463" s="32"/>
      <x:c r="AZ463" s="32"/>
      <x:c r="BA463" s="32"/>
      <x:c r="BB463" s="32"/>
      <x:c r="BC463" s="32"/>
      <x:c r="BD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  <x:c r="AK464" s="32"/>
      <x:c r="AL464" s="32"/>
      <x:c r="AM464" s="32"/>
      <x:c r="AN464" s="32"/>
      <x:c r="AO464" s="32"/>
      <x:c r="AP464" s="32"/>
      <x:c r="AQ464" s="32"/>
      <x:c r="AR464" s="32"/>
      <x:c r="AS464" s="32"/>
      <x:c r="AT464" s="32"/>
      <x:c r="AU464" s="32"/>
      <x:c r="AV464" s="32"/>
      <x:c r="AW464" s="32"/>
      <x:c r="AX464" s="32"/>
      <x:c r="AZ464" s="32"/>
      <x:c r="BA464" s="32"/>
      <x:c r="BB464" s="32"/>
      <x:c r="BC464" s="32"/>
      <x:c r="BD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  <x:c r="AK465" s="32"/>
      <x:c r="AL465" s="32"/>
      <x:c r="AM465" s="32"/>
      <x:c r="AN465" s="32"/>
      <x:c r="AO465" s="32"/>
      <x:c r="AP465" s="32"/>
      <x:c r="AQ465" s="32"/>
      <x:c r="AR465" s="32"/>
      <x:c r="AS465" s="32"/>
      <x:c r="AT465" s="32"/>
      <x:c r="AU465" s="32"/>
      <x:c r="AV465" s="32"/>
      <x:c r="AW465" s="32"/>
      <x:c r="AX465" s="32"/>
      <x:c r="AZ465" s="32"/>
      <x:c r="BA465" s="32"/>
      <x:c r="BB465" s="32"/>
      <x:c r="BC465" s="32"/>
      <x:c r="BD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  <x:c r="AK466" s="32"/>
      <x:c r="AL466" s="32"/>
      <x:c r="AM466" s="32"/>
      <x:c r="AN466" s="32"/>
      <x:c r="AO466" s="32"/>
      <x:c r="AP466" s="32"/>
      <x:c r="AQ466" s="32"/>
      <x:c r="AR466" s="32"/>
      <x:c r="AS466" s="32"/>
      <x:c r="AT466" s="32"/>
      <x:c r="AU466" s="32"/>
      <x:c r="AV466" s="32"/>
      <x:c r="AW466" s="32"/>
      <x:c r="AX466" s="32"/>
      <x:c r="AZ466" s="32"/>
      <x:c r="BA466" s="32"/>
      <x:c r="BB466" s="32"/>
      <x:c r="BC466" s="32"/>
      <x:c r="BD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  <x:c r="AK467" s="32"/>
      <x:c r="AL467" s="32"/>
      <x:c r="AM467" s="32"/>
      <x:c r="AN467" s="32"/>
      <x:c r="AO467" s="32"/>
      <x:c r="AP467" s="32"/>
      <x:c r="AQ467" s="32"/>
      <x:c r="AR467" s="32"/>
      <x:c r="AS467" s="32"/>
      <x:c r="AT467" s="32"/>
      <x:c r="AU467" s="32"/>
      <x:c r="AV467" s="32"/>
      <x:c r="AW467" s="32"/>
      <x:c r="AX467" s="32"/>
      <x:c r="AZ467" s="32"/>
      <x:c r="BA467" s="32"/>
      <x:c r="BB467" s="32"/>
      <x:c r="BC467" s="32"/>
      <x:c r="BD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  <x:c r="AK468" s="32"/>
      <x:c r="AL468" s="32"/>
      <x:c r="AM468" s="32"/>
      <x:c r="AN468" s="32"/>
      <x:c r="AO468" s="32"/>
      <x:c r="AP468" s="32"/>
      <x:c r="AQ468" s="32"/>
      <x:c r="AR468" s="32"/>
      <x:c r="AS468" s="32"/>
      <x:c r="AT468" s="32"/>
      <x:c r="AU468" s="32"/>
      <x:c r="AV468" s="32"/>
      <x:c r="AW468" s="32"/>
      <x:c r="AX468" s="32"/>
      <x:c r="AZ468" s="32"/>
      <x:c r="BA468" s="32"/>
      <x:c r="BB468" s="32"/>
      <x:c r="BC468" s="32"/>
      <x:c r="BD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  <x:c r="AK469" s="32"/>
      <x:c r="AL469" s="32"/>
      <x:c r="AM469" s="32"/>
      <x:c r="AN469" s="32"/>
      <x:c r="AO469" s="32"/>
      <x:c r="AP469" s="32"/>
      <x:c r="AQ469" s="32"/>
      <x:c r="AR469" s="32"/>
      <x:c r="AS469" s="32"/>
      <x:c r="AT469" s="32"/>
      <x:c r="AU469" s="32"/>
      <x:c r="AV469" s="32"/>
      <x:c r="AW469" s="32"/>
      <x:c r="AX469" s="32"/>
      <x:c r="AZ469" s="32"/>
      <x:c r="BA469" s="32"/>
      <x:c r="BB469" s="32"/>
      <x:c r="BC469" s="32"/>
      <x:c r="BD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  <x:c r="AK470" s="32"/>
      <x:c r="AL470" s="32"/>
      <x:c r="AM470" s="32"/>
      <x:c r="AN470" s="32"/>
      <x:c r="AO470" s="32"/>
      <x:c r="AP470" s="32"/>
      <x:c r="AQ470" s="32"/>
      <x:c r="AR470" s="32"/>
      <x:c r="AS470" s="32"/>
      <x:c r="AT470" s="32"/>
      <x:c r="AU470" s="32"/>
      <x:c r="AV470" s="32"/>
      <x:c r="AW470" s="32"/>
      <x:c r="AX470" s="32"/>
      <x:c r="AZ470" s="32"/>
      <x:c r="BA470" s="32"/>
      <x:c r="BB470" s="32"/>
      <x:c r="BC470" s="32"/>
      <x:c r="BD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  <x:c r="AK471" s="32"/>
      <x:c r="AL471" s="32"/>
      <x:c r="AM471" s="32"/>
      <x:c r="AN471" s="32"/>
      <x:c r="AO471" s="32"/>
      <x:c r="AP471" s="32"/>
      <x:c r="AQ471" s="32"/>
      <x:c r="AR471" s="32"/>
      <x:c r="AS471" s="32"/>
      <x:c r="AT471" s="32"/>
      <x:c r="AU471" s="32"/>
      <x:c r="AV471" s="32"/>
      <x:c r="AW471" s="32"/>
      <x:c r="AX471" s="32"/>
      <x:c r="AZ471" s="32"/>
      <x:c r="BA471" s="32"/>
      <x:c r="BB471" s="32"/>
      <x:c r="BC471" s="32"/>
      <x:c r="BD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  <x:c r="AK472" s="32"/>
      <x:c r="AL472" s="32"/>
      <x:c r="AM472" s="32"/>
      <x:c r="AN472" s="32"/>
      <x:c r="AO472" s="32"/>
      <x:c r="AP472" s="32"/>
      <x:c r="AQ472" s="32"/>
      <x:c r="AR472" s="32"/>
      <x:c r="AS472" s="32"/>
      <x:c r="AT472" s="32"/>
      <x:c r="AU472" s="32"/>
      <x:c r="AV472" s="32"/>
      <x:c r="AW472" s="32"/>
      <x:c r="AX472" s="32"/>
      <x:c r="AZ472" s="32"/>
      <x:c r="BA472" s="32"/>
      <x:c r="BB472" s="32"/>
      <x:c r="BC472" s="32"/>
      <x:c r="BD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  <x:c r="AK473" s="32"/>
      <x:c r="AL473" s="32"/>
      <x:c r="AM473" s="32"/>
      <x:c r="AN473" s="32"/>
      <x:c r="AO473" s="32"/>
      <x:c r="AP473" s="32"/>
      <x:c r="AQ473" s="32"/>
      <x:c r="AR473" s="32"/>
      <x:c r="AS473" s="32"/>
      <x:c r="AT473" s="32"/>
      <x:c r="AU473" s="32"/>
      <x:c r="AV473" s="32"/>
      <x:c r="AW473" s="32"/>
      <x:c r="AX473" s="32"/>
      <x:c r="AZ473" s="32"/>
      <x:c r="BA473" s="32"/>
      <x:c r="BB473" s="32"/>
      <x:c r="BC473" s="32"/>
      <x:c r="BD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  <x:c r="AK474" s="32"/>
      <x:c r="AL474" s="32"/>
      <x:c r="AM474" s="32"/>
      <x:c r="AN474" s="32"/>
      <x:c r="AO474" s="32"/>
      <x:c r="AP474" s="32"/>
      <x:c r="AQ474" s="32"/>
      <x:c r="AR474" s="32"/>
      <x:c r="AS474" s="32"/>
      <x:c r="AT474" s="32"/>
      <x:c r="AU474" s="32"/>
      <x:c r="AV474" s="32"/>
      <x:c r="AW474" s="32"/>
      <x:c r="AX474" s="32"/>
      <x:c r="AZ474" s="32"/>
      <x:c r="BA474" s="32"/>
      <x:c r="BB474" s="32"/>
      <x:c r="BC474" s="32"/>
      <x:c r="BD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  <x:c r="AK475" s="32"/>
      <x:c r="AL475" s="32"/>
      <x:c r="AM475" s="32"/>
      <x:c r="AN475" s="32"/>
      <x:c r="AO475" s="32"/>
      <x:c r="AP475" s="32"/>
      <x:c r="AQ475" s="32"/>
      <x:c r="AR475" s="32"/>
      <x:c r="AS475" s="32"/>
      <x:c r="AT475" s="32"/>
      <x:c r="AU475" s="32"/>
      <x:c r="AV475" s="32"/>
      <x:c r="AW475" s="32"/>
      <x:c r="AX475" s="32"/>
      <x:c r="AZ475" s="32"/>
      <x:c r="BA475" s="32"/>
      <x:c r="BB475" s="32"/>
      <x:c r="BC475" s="32"/>
      <x:c r="BD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  <x:c r="AK476" s="32"/>
      <x:c r="AL476" s="32"/>
      <x:c r="AM476" s="32"/>
      <x:c r="AN476" s="32"/>
      <x:c r="AO476" s="32"/>
      <x:c r="AP476" s="32"/>
      <x:c r="AQ476" s="32"/>
      <x:c r="AR476" s="32"/>
      <x:c r="AS476" s="32"/>
      <x:c r="AT476" s="32"/>
      <x:c r="AU476" s="32"/>
      <x:c r="AV476" s="32"/>
      <x:c r="AW476" s="32"/>
      <x:c r="AX476" s="32"/>
      <x:c r="AZ476" s="32"/>
      <x:c r="BA476" s="32"/>
      <x:c r="BB476" s="32"/>
      <x:c r="BC476" s="32"/>
      <x:c r="BD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  <x:c r="AK477" s="32"/>
      <x:c r="AL477" s="32"/>
      <x:c r="AM477" s="32"/>
      <x:c r="AN477" s="32"/>
      <x:c r="AO477" s="32"/>
      <x:c r="AP477" s="32"/>
      <x:c r="AQ477" s="32"/>
      <x:c r="AR477" s="32"/>
      <x:c r="AS477" s="32"/>
      <x:c r="AT477" s="32"/>
      <x:c r="AU477" s="32"/>
      <x:c r="AV477" s="32"/>
      <x:c r="AW477" s="32"/>
      <x:c r="AX477" s="32"/>
      <x:c r="AZ477" s="32"/>
      <x:c r="BA477" s="32"/>
      <x:c r="BB477" s="32"/>
      <x:c r="BC477" s="32"/>
      <x:c r="BD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  <x:c r="AK478" s="32"/>
      <x:c r="AL478" s="32"/>
      <x:c r="AM478" s="32"/>
      <x:c r="AN478" s="32"/>
      <x:c r="AO478" s="32"/>
      <x:c r="AP478" s="32"/>
      <x:c r="AQ478" s="32"/>
      <x:c r="AR478" s="32"/>
      <x:c r="AS478" s="32"/>
      <x:c r="AT478" s="32"/>
      <x:c r="AU478" s="32"/>
      <x:c r="AV478" s="32"/>
      <x:c r="AW478" s="32"/>
      <x:c r="AX478" s="32"/>
      <x:c r="AZ478" s="32"/>
      <x:c r="BA478" s="32"/>
      <x:c r="BB478" s="32"/>
      <x:c r="BC478" s="32"/>
      <x:c r="BD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  <x:c r="AK479" s="32"/>
      <x:c r="AL479" s="32"/>
      <x:c r="AM479" s="32"/>
      <x:c r="AN479" s="32"/>
      <x:c r="AO479" s="32"/>
      <x:c r="AP479" s="32"/>
      <x:c r="AQ479" s="32"/>
      <x:c r="AR479" s="32"/>
      <x:c r="AS479" s="32"/>
      <x:c r="AT479" s="32"/>
      <x:c r="AU479" s="32"/>
      <x:c r="AV479" s="32"/>
      <x:c r="AW479" s="32"/>
      <x:c r="AX479" s="32"/>
      <x:c r="AZ479" s="32"/>
      <x:c r="BA479" s="32"/>
      <x:c r="BB479" s="32"/>
      <x:c r="BC479" s="32"/>
      <x:c r="BD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  <x:c r="AK480" s="32"/>
      <x:c r="AL480" s="32"/>
      <x:c r="AM480" s="32"/>
      <x:c r="AN480" s="32"/>
      <x:c r="AO480" s="32"/>
      <x:c r="AP480" s="32"/>
      <x:c r="AQ480" s="32"/>
      <x:c r="AR480" s="32"/>
      <x:c r="AS480" s="32"/>
      <x:c r="AT480" s="32"/>
      <x:c r="AU480" s="32"/>
      <x:c r="AV480" s="32"/>
      <x:c r="AW480" s="32"/>
      <x:c r="AX480" s="32"/>
      <x:c r="AZ480" s="32"/>
      <x:c r="BA480" s="32"/>
      <x:c r="BB480" s="32"/>
      <x:c r="BC480" s="32"/>
      <x:c r="BD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  <x:c r="AK481" s="32"/>
      <x:c r="AL481" s="32"/>
      <x:c r="AM481" s="32"/>
      <x:c r="AN481" s="32"/>
      <x:c r="AO481" s="32"/>
      <x:c r="AP481" s="32"/>
      <x:c r="AQ481" s="32"/>
      <x:c r="AR481" s="32"/>
      <x:c r="AS481" s="32"/>
      <x:c r="AT481" s="32"/>
      <x:c r="AU481" s="32"/>
      <x:c r="AV481" s="32"/>
      <x:c r="AW481" s="32"/>
      <x:c r="AX481" s="32"/>
      <x:c r="AZ481" s="32"/>
      <x:c r="BA481" s="32"/>
      <x:c r="BB481" s="32"/>
      <x:c r="BC481" s="32"/>
      <x:c r="BD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  <x:c r="AK482" s="32"/>
      <x:c r="AL482" s="32"/>
      <x:c r="AM482" s="32"/>
      <x:c r="AN482" s="32"/>
      <x:c r="AO482" s="32"/>
      <x:c r="AP482" s="32"/>
      <x:c r="AQ482" s="32"/>
      <x:c r="AR482" s="32"/>
      <x:c r="AS482" s="32"/>
      <x:c r="AT482" s="32"/>
      <x:c r="AU482" s="32"/>
      <x:c r="AV482" s="32"/>
      <x:c r="AW482" s="32"/>
      <x:c r="AX482" s="32"/>
      <x:c r="AZ482" s="32"/>
      <x:c r="BA482" s="32"/>
      <x:c r="BB482" s="32"/>
      <x:c r="BC482" s="32"/>
      <x:c r="BD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  <x:c r="AK483" s="32"/>
      <x:c r="AL483" s="32"/>
      <x:c r="AM483" s="32"/>
      <x:c r="AN483" s="32"/>
      <x:c r="AO483" s="32"/>
      <x:c r="AP483" s="32"/>
      <x:c r="AQ483" s="32"/>
      <x:c r="AR483" s="32"/>
      <x:c r="AS483" s="32"/>
      <x:c r="AT483" s="32"/>
      <x:c r="AU483" s="32"/>
      <x:c r="AV483" s="32"/>
      <x:c r="AW483" s="32"/>
      <x:c r="AX483" s="32"/>
      <x:c r="AZ483" s="32"/>
      <x:c r="BA483" s="32"/>
      <x:c r="BB483" s="32"/>
      <x:c r="BC483" s="32"/>
      <x:c r="BD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  <x:c r="AK484" s="32"/>
      <x:c r="AL484" s="32"/>
      <x:c r="AM484" s="32"/>
      <x:c r="AN484" s="32"/>
      <x:c r="AO484" s="32"/>
      <x:c r="AP484" s="32"/>
      <x:c r="AQ484" s="32"/>
      <x:c r="AR484" s="32"/>
      <x:c r="AS484" s="32"/>
      <x:c r="AT484" s="32"/>
      <x:c r="AU484" s="32"/>
      <x:c r="AV484" s="32"/>
      <x:c r="AW484" s="32"/>
      <x:c r="AX484" s="32"/>
      <x:c r="AZ484" s="32"/>
      <x:c r="BA484" s="32"/>
      <x:c r="BB484" s="32"/>
      <x:c r="BC484" s="32"/>
      <x:c r="BD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  <x:c r="AK485" s="32"/>
      <x:c r="AL485" s="32"/>
      <x:c r="AM485" s="32"/>
      <x:c r="AN485" s="32"/>
      <x:c r="AO485" s="32"/>
      <x:c r="AP485" s="32"/>
      <x:c r="AQ485" s="32"/>
      <x:c r="AR485" s="32"/>
      <x:c r="AS485" s="32"/>
      <x:c r="AT485" s="32"/>
      <x:c r="AU485" s="32"/>
      <x:c r="AV485" s="32"/>
      <x:c r="AW485" s="32"/>
      <x:c r="AX485" s="32"/>
      <x:c r="AZ485" s="32"/>
      <x:c r="BA485" s="32"/>
      <x:c r="BB485" s="32"/>
      <x:c r="BC485" s="32"/>
      <x:c r="BD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  <x:c r="AK486" s="32"/>
      <x:c r="AL486" s="32"/>
      <x:c r="AM486" s="32"/>
      <x:c r="AN486" s="32"/>
      <x:c r="AO486" s="32"/>
      <x:c r="AP486" s="32"/>
      <x:c r="AQ486" s="32"/>
      <x:c r="AR486" s="32"/>
      <x:c r="AS486" s="32"/>
      <x:c r="AT486" s="32"/>
      <x:c r="AU486" s="32"/>
      <x:c r="AV486" s="32"/>
      <x:c r="AW486" s="32"/>
      <x:c r="AX486" s="32"/>
      <x:c r="AZ486" s="32"/>
      <x:c r="BA486" s="32"/>
      <x:c r="BB486" s="32"/>
      <x:c r="BC486" s="32"/>
      <x:c r="BD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  <x:c r="AK487" s="32"/>
      <x:c r="AL487" s="32"/>
      <x:c r="AM487" s="32"/>
      <x:c r="AN487" s="32"/>
      <x:c r="AO487" s="32"/>
      <x:c r="AP487" s="32"/>
      <x:c r="AQ487" s="32"/>
      <x:c r="AR487" s="32"/>
      <x:c r="AS487" s="32"/>
      <x:c r="AT487" s="32"/>
      <x:c r="AU487" s="32"/>
      <x:c r="AV487" s="32"/>
      <x:c r="AW487" s="32"/>
      <x:c r="AX487" s="32"/>
      <x:c r="AZ487" s="32"/>
      <x:c r="BA487" s="32"/>
      <x:c r="BB487" s="32"/>
      <x:c r="BC487" s="32"/>
      <x:c r="BD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  <x:c r="AK488" s="32"/>
      <x:c r="AL488" s="32"/>
      <x:c r="AM488" s="32"/>
      <x:c r="AN488" s="32"/>
      <x:c r="AO488" s="32"/>
      <x:c r="AP488" s="32"/>
      <x:c r="AQ488" s="32"/>
      <x:c r="AR488" s="32"/>
      <x:c r="AS488" s="32"/>
      <x:c r="AT488" s="32"/>
      <x:c r="AU488" s="32"/>
      <x:c r="AV488" s="32"/>
      <x:c r="AW488" s="32"/>
      <x:c r="AX488" s="32"/>
      <x:c r="AZ488" s="32"/>
      <x:c r="BA488" s="32"/>
      <x:c r="BB488" s="32"/>
      <x:c r="BC488" s="32"/>
      <x:c r="BD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  <x:c r="AK489" s="32"/>
      <x:c r="AL489" s="32"/>
      <x:c r="AM489" s="32"/>
      <x:c r="AN489" s="32"/>
      <x:c r="AO489" s="32"/>
      <x:c r="AP489" s="32"/>
      <x:c r="AQ489" s="32"/>
      <x:c r="AR489" s="32"/>
      <x:c r="AS489" s="32"/>
      <x:c r="AT489" s="32"/>
      <x:c r="AU489" s="32"/>
      <x:c r="AV489" s="32"/>
      <x:c r="AW489" s="32"/>
      <x:c r="AX489" s="32"/>
      <x:c r="AZ489" s="32"/>
      <x:c r="BA489" s="32"/>
      <x:c r="BB489" s="32"/>
      <x:c r="BC489" s="32"/>
      <x:c r="BD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  <x:c r="AK490" s="32"/>
      <x:c r="AL490" s="32"/>
      <x:c r="AM490" s="32"/>
      <x:c r="AN490" s="32"/>
      <x:c r="AO490" s="32"/>
      <x:c r="AP490" s="32"/>
      <x:c r="AQ490" s="32"/>
      <x:c r="AR490" s="32"/>
      <x:c r="AS490" s="32"/>
      <x:c r="AT490" s="32"/>
      <x:c r="AU490" s="32"/>
      <x:c r="AV490" s="32"/>
      <x:c r="AW490" s="32"/>
      <x:c r="AX490" s="32"/>
      <x:c r="AZ490" s="32"/>
      <x:c r="BA490" s="32"/>
      <x:c r="BB490" s="32"/>
      <x:c r="BC490" s="32"/>
      <x:c r="BD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  <x:c r="AK491" s="32"/>
      <x:c r="AL491" s="32"/>
      <x:c r="AM491" s="32"/>
      <x:c r="AN491" s="32"/>
      <x:c r="AO491" s="32"/>
      <x:c r="AP491" s="32"/>
      <x:c r="AQ491" s="32"/>
      <x:c r="AR491" s="32"/>
      <x:c r="AS491" s="32"/>
      <x:c r="AT491" s="32"/>
      <x:c r="AU491" s="32"/>
      <x:c r="AV491" s="32"/>
      <x:c r="AW491" s="32"/>
      <x:c r="AX491" s="32"/>
      <x:c r="AZ491" s="32"/>
      <x:c r="BA491" s="32"/>
      <x:c r="BB491" s="32"/>
      <x:c r="BC491" s="32"/>
      <x:c r="BD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  <x:c r="AK492" s="32"/>
      <x:c r="AL492" s="32"/>
      <x:c r="AM492" s="32"/>
      <x:c r="AN492" s="32"/>
      <x:c r="AO492" s="32"/>
      <x:c r="AP492" s="32"/>
      <x:c r="AQ492" s="32"/>
      <x:c r="AR492" s="32"/>
      <x:c r="AS492" s="32"/>
      <x:c r="AT492" s="32"/>
      <x:c r="AU492" s="32"/>
      <x:c r="AV492" s="32"/>
      <x:c r="AW492" s="32"/>
      <x:c r="AX492" s="32"/>
      <x:c r="AZ492" s="32"/>
      <x:c r="BA492" s="32"/>
      <x:c r="BB492" s="32"/>
      <x:c r="BC492" s="32"/>
      <x:c r="BD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  <x:c r="AK493" s="32"/>
      <x:c r="AL493" s="32"/>
      <x:c r="AM493" s="32"/>
      <x:c r="AN493" s="32"/>
      <x:c r="AO493" s="32"/>
      <x:c r="AP493" s="32"/>
      <x:c r="AQ493" s="32"/>
      <x:c r="AR493" s="32"/>
      <x:c r="AS493" s="32"/>
      <x:c r="AT493" s="32"/>
      <x:c r="AU493" s="32"/>
      <x:c r="AV493" s="32"/>
      <x:c r="AW493" s="32"/>
      <x:c r="AX493" s="32"/>
      <x:c r="AZ493" s="32"/>
      <x:c r="BA493" s="32"/>
      <x:c r="BB493" s="32"/>
      <x:c r="BC493" s="32"/>
      <x:c r="BD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  <x:c r="AK494" s="32"/>
      <x:c r="AL494" s="32"/>
      <x:c r="AM494" s="32"/>
      <x:c r="AN494" s="32"/>
      <x:c r="AO494" s="32"/>
      <x:c r="AP494" s="32"/>
      <x:c r="AQ494" s="32"/>
      <x:c r="AR494" s="32"/>
      <x:c r="AS494" s="32"/>
      <x:c r="AT494" s="32"/>
      <x:c r="AU494" s="32"/>
      <x:c r="AV494" s="32"/>
      <x:c r="AW494" s="32"/>
      <x:c r="AX494" s="32"/>
      <x:c r="AZ494" s="32"/>
      <x:c r="BA494" s="32"/>
      <x:c r="BB494" s="32"/>
      <x:c r="BC494" s="32"/>
      <x:c r="BD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  <x:c r="AK495" s="32"/>
      <x:c r="AL495" s="32"/>
      <x:c r="AM495" s="32"/>
      <x:c r="AN495" s="32"/>
      <x:c r="AO495" s="32"/>
      <x:c r="AP495" s="32"/>
      <x:c r="AQ495" s="32"/>
      <x:c r="AR495" s="32"/>
      <x:c r="AS495" s="32"/>
      <x:c r="AT495" s="32"/>
      <x:c r="AU495" s="32"/>
      <x:c r="AV495" s="32"/>
      <x:c r="AW495" s="32"/>
      <x:c r="AX495" s="32"/>
      <x:c r="AZ495" s="32"/>
      <x:c r="BA495" s="32"/>
      <x:c r="BB495" s="32"/>
      <x:c r="BC495" s="32"/>
      <x:c r="BD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  <x:c r="AK496" s="32"/>
      <x:c r="AL496" s="32"/>
      <x:c r="AM496" s="32"/>
      <x:c r="AN496" s="32"/>
      <x:c r="AO496" s="32"/>
      <x:c r="AP496" s="32"/>
      <x:c r="AQ496" s="32"/>
      <x:c r="AR496" s="32"/>
      <x:c r="AS496" s="32"/>
      <x:c r="AT496" s="32"/>
      <x:c r="AU496" s="32"/>
      <x:c r="AV496" s="32"/>
      <x:c r="AW496" s="32"/>
      <x:c r="AX496" s="32"/>
      <x:c r="AZ496" s="32"/>
      <x:c r="BA496" s="32"/>
      <x:c r="BB496" s="32"/>
      <x:c r="BC496" s="32"/>
      <x:c r="BD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  <x:c r="AK497" s="32"/>
      <x:c r="AL497" s="32"/>
      <x:c r="AM497" s="32"/>
      <x:c r="AN497" s="32"/>
      <x:c r="AO497" s="32"/>
      <x:c r="AP497" s="32"/>
      <x:c r="AQ497" s="32"/>
      <x:c r="AR497" s="32"/>
      <x:c r="AS497" s="32"/>
      <x:c r="AT497" s="32"/>
      <x:c r="AU497" s="32"/>
      <x:c r="AV497" s="32"/>
      <x:c r="AW497" s="32"/>
      <x:c r="AX497" s="32"/>
      <x:c r="AZ497" s="32"/>
      <x:c r="BA497" s="32"/>
      <x:c r="BB497" s="32"/>
      <x:c r="BC497" s="32"/>
      <x:c r="BD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  <x:c r="AK498" s="32"/>
      <x:c r="AL498" s="32"/>
      <x:c r="AM498" s="32"/>
      <x:c r="AN498" s="32"/>
      <x:c r="AO498" s="32"/>
      <x:c r="AP498" s="32"/>
      <x:c r="AQ498" s="32"/>
      <x:c r="AR498" s="32"/>
      <x:c r="AS498" s="32"/>
      <x:c r="AT498" s="32"/>
      <x:c r="AU498" s="32"/>
      <x:c r="AV498" s="32"/>
      <x:c r="AW498" s="32"/>
      <x:c r="AX498" s="32"/>
      <x:c r="AZ498" s="32"/>
      <x:c r="BA498" s="32"/>
      <x:c r="BB498" s="32"/>
      <x:c r="BC498" s="32"/>
      <x:c r="BD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  <x:c r="AK499" s="32"/>
      <x:c r="AL499" s="32"/>
      <x:c r="AM499" s="32"/>
      <x:c r="AN499" s="32"/>
      <x:c r="AO499" s="32"/>
      <x:c r="AP499" s="32"/>
      <x:c r="AQ499" s="32"/>
      <x:c r="AR499" s="32"/>
      <x:c r="AS499" s="32"/>
      <x:c r="AT499" s="32"/>
      <x:c r="AU499" s="32"/>
      <x:c r="AV499" s="32"/>
      <x:c r="AW499" s="32"/>
      <x:c r="AX499" s="32"/>
      <x:c r="AZ499" s="32"/>
      <x:c r="BA499" s="32"/>
      <x:c r="BB499" s="32"/>
      <x:c r="BC499" s="32"/>
      <x:c r="BD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  <x:c r="AK500" s="32"/>
      <x:c r="AL500" s="32"/>
      <x:c r="AM500" s="32"/>
      <x:c r="AN500" s="32"/>
      <x:c r="AO500" s="32"/>
      <x:c r="AP500" s="32"/>
      <x:c r="AQ500" s="32"/>
      <x:c r="AR500" s="32"/>
      <x:c r="AS500" s="32"/>
      <x:c r="AT500" s="32"/>
      <x:c r="AU500" s="32"/>
      <x:c r="AV500" s="32"/>
      <x:c r="AW500" s="32"/>
      <x:c r="AX500" s="32"/>
      <x:c r="AZ500" s="32"/>
      <x:c r="BA500" s="32"/>
      <x:c r="BB500" s="32"/>
      <x:c r="BC500" s="32"/>
      <x:c r="BD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 t="str">
        <x:v>F-A004-001</x:v>
      </x:c>
      <x:c r="B14" s="32" t="str">
        <x:v>79fff64c-2594-4e2d-958f-c32cb7f57d6c</x:v>
      </x:c>
      <x:c r="C14" s="32" t="str">
        <x:v>A-004</x:v>
      </x:c>
      <x:c r="D14" s="32" t="n">
        <x:v>46259.5750462963</x:v>
      </x:c>
      <x:c r="E14" s="32" t="str">
        <x:v>Correctness</x:v>
      </x:c>
      <x:c r="F14" s="32" t="str">
        <x:v>Info</x:v>
      </x:c>
      <x:c r="G14" s="32" t="str">
        <x:v>Con 750 alarmas se mantiene exactamente el patrón durable esperado: bootstrap y evidencia periódica aproximadamente a los 5 y 10 minutos.</x:v>
      </x:c>
      <x:c r="H14" s="32" t="str">
        <x:v>121 iterations: 118 empty y 3 work iterations (1, 61, 121). Journal con 3 records; bootstrap: 750 occurrence changes, 750 assignment changes, 1500 journey events y 750 evidence records; los dos commits siguientes: 750 evidence records cada uno.</x:v>
      </x:c>
      <x:c r="I14" s="32" t="str">
        <x:v>El periodo de 5 s continúa sin generar escrituras espurias; la persistencia sólo aparece cuando existe consecuencia durable.</x:v>
      </x:c>
      <x:c r="J14" s="32" t="str">
        <x:v>Mantener el escenario congelado para A-005 y verificar el mismo patrón con 1000 alarmas.</x:v>
      </x:c>
      <x:c r="K14" s="32" t="str">
        <x:v>Accepted</x:v>
      </x:c>
      <x:c r="L14" s="32" t="str">
        <x:v>DEC-R35-004</x:v>
      </x:c>
    </x:row>
    <x:row r="15">
      <x:c r="A15" s="32" t="str">
        <x:v>F-A004-002</x:v>
      </x:c>
      <x:c r="B15" s="32" t="str">
        <x:v>79fff64c-2594-4e2d-958f-c32cb7f57d6c</x:v>
      </x:c>
      <x:c r="C15" s="32" t="str">
        <x:v>A-004</x:v>
      </x:c>
      <x:c r="D15" s="32" t="n">
        <x:v>46259.5750462963</x:v>
      </x:c>
      <x:c r="E15" s="32" t="str">
        <x:v>Memory</x:v>
      </x:c>
      <x:c r="F15" s="32" t="str">
        <x:v>Info</x:v>
      </x:c>
      <x:c r="G15" s="32" t="str">
        <x:v>La memoria vuelve a alcanzar una meseta estable después del bootstrap con 750 alarmas.</x:v>
      </x:c>
      <x:c r="H15" s="32" t="str">
        <x:v>RSS before bootstrap 116.75 MB; post-bootstrap 134.63 MB; peak/final 135.63 MB. Job Runtime reportó memory_peak_percent 0.887 y 0 resource_pressure_events.</x:v>
      </x:c>
      <x:c r="I15" s="32" t="str">
        <x:v>El aumento respecto de 500 alarmas sigue siendo pequeño y no se observa crecimiento acumulativo en 10 minutos.</x:v>
      </x:c>
      <x:c r="J15" s="32" t="str">
        <x:v>Continuar a 1000 alarmas sin profiling granular de memoria.</x:v>
      </x:c>
      <x:c r="K15" s="32" t="str">
        <x:v>Accepted</x:v>
      </x:c>
      <x:c r="L15" s="32" t="str">
        <x:v>DEC-R35-004</x:v>
      </x:c>
    </x:row>
    <x:row r="16">
      <x:c r="A16" s="32" t="str">
        <x:v>F-A004-003</x:v>
      </x:c>
      <x:c r="B16" s="32" t="str">
        <x:v>79fff64c-2594-4e2d-958f-c32cb7f57d6c</x:v>
      </x:c>
      <x:c r="C16" s="32" t="str">
        <x:v>A-004</x:v>
      </x:c>
      <x:c r="D16" s="32" t="n">
        <x:v>46259.5750462963</x:v>
      </x:c>
      <x:c r="E16" s="32" t="str">
        <x:v>CPU</x:v>
      </x:c>
      <x:c r="F16" s="32" t="str">
        <x:v>Info</x:v>
      </x:c>
      <x:c r="G16" s="32" t="str">
        <x:v>La curva 500→750 sigue aproximadamente proporcional y sin evidencia de inflexión.</x:v>
      </x:c>
      <x:c r="H16" s="32" t="str">
        <x:v>Alarm count +50%; p50 387.47→585.99 ms (~1.51×), p95 437.59→645.03 ms (~1.47×), p99 618.82→888.15 ms (~1.44×); 0 overruns. Las 118 iterations sin commit tuvieron p95 ~624.51 ms y max ~755.05 ms. CPU-time granular equivale aproximadamente a 11.63% de un core promediado sobre el run.</x:v>
      </x:c>
      <x:c r="I16" s="32" t="str">
        <x:v>Los máximos de 955/895 ms coinciden con evidence commits de iterations 61/121; no hay patrón de saturación.</x:v>
      </x:c>
      <x:c r="J16" s="32" t="str">
        <x:v>Avanzar a A-005 antes de introducir profiling.</x:v>
      </x:c>
      <x:c r="K16" s="32" t="str">
        <x:v>Accepted</x:v>
      </x:c>
      <x:c r="L16" s="32" t="str">
        <x:v>DEC-R35-004</x:v>
      </x:c>
    </x:row>
    <x:row r="17">
      <x:c r="A17" s="32" t="str">
        <x:v>F-A005-001</x:v>
      </x:c>
      <x:c r="B17" s="32" t="str">
        <x:v>c4128825-75f6-43a9-8c1d-ec8112d89cf3</x:v>
      </x:c>
      <x:c r="C17" s="32" t="str">
        <x:v>A-005</x:v>
      </x:c>
      <x:c r="D17" s="32" t="n">
        <x:v>46259.587905092594</x:v>
      </x:c>
      <x:c r="E17" s="32" t="str">
        <x:v>Correctness</x:v>
      </x:c>
      <x:c r="F17" s="32" t="str">
        <x:v>Info</x:v>
      </x:c>
      <x:c r="G17" s="32" t="str">
        <x:v>Con 1000 alarmas se mantiene el patrón durable esperado y R3.5A completa el baseline sin escrituras espurias.</x:v>
      </x:c>
      <x:c r="H17" s="32" t="str">
        <x:v>121 iterations: 118 empty y 3 work iterations (1, 61, 121). Bootstrap: 1000 occurrence changes, 1000 assignment changes, 2000 journey events y 1000 evidence records; los commits de ~5/~10 min contienen 1000 evidence records cada uno. Journal durable==materialized.</x:v>
      </x:c>
      <x:c r="I17" s="32" t="str">
        <x:v>La cadencia de 5 s sigue desacoplada de la escritura: sólo se persiste cuando existe consecuencia durable real.</x:v>
      </x:c>
      <x:c r="J17" s="32" t="str">
        <x:v>Conservar esta propiedad como baseline al entrar a R3.5B.</x:v>
      </x:c>
      <x:c r="K17" s="32" t="str">
        <x:v>Accepted</x:v>
      </x:c>
      <x:c r="L17" s="32" t="str">
        <x:v>DEC-R35-005</x:v>
      </x:c>
    </x:row>
    <x:row r="18">
      <x:c r="A18" s="32" t="str">
        <x:v>F-A005-002</x:v>
      </x:c>
      <x:c r="B18" s="32" t="str">
        <x:v>c4128825-75f6-43a9-8c1d-ec8112d89cf3</x:v>
      </x:c>
      <x:c r="C18" s="32" t="str">
        <x:v>A-005</x:v>
      </x:c>
      <x:c r="D18" s="32" t="n">
        <x:v>46259.587905092594</x:v>
      </x:c>
      <x:c r="E18" s="32" t="str">
        <x:v>CPU</x:v>
      </x:c>
      <x:c r="F18" s="32" t="str">
        <x:v>Info</x:v>
      </x:c>
      <x:c r="G18" s="32" t="str">
        <x:v>La curva de 750→1000 alarmas continúa cercana a proporcional y sin rodilla de capacidad.</x:v>
      </x:c>
      <x:c r="H18" s="32" t="str">
        <x:v>Alarm count +33%; p50 585.99→806.64 ms (~1.38×), p95 645.03→907.38 ms (~1.41×), p99 888.15→1230.24 ms (~1.39×); máximo 1274.60 ms; 0 overruns. Las 118 iterations sin commit tuvieron p95 ~862.40 ms y max ~984.20 ms. CPU-time granular equivale aproximadamente a 16.20% de un core promediado sobre el run.</x:v>
      </x:c>
      <x:c r="I18" s="32" t="str">
        <x:v>El baseline de 1000 alarmas conserva margen amplio frente al periodo de 5 s; no hay evidencia que justifique profiling granular aún.</x:v>
      </x:c>
      <x:c r="J18" s="32" t="str">
        <x:v>Cerrar R3.5A y pasar a presión de datos/particiones.</x:v>
      </x:c>
      <x:c r="K18" s="32" t="str">
        <x:v>Accepted</x:v>
      </x:c>
      <x:c r="L18" s="32" t="str">
        <x:v>DEC-R35-005</x:v>
      </x:c>
    </x:row>
    <x:row r="19">
      <x:c r="A19" s="32" t="str">
        <x:v>F-A005-003</x:v>
      </x:c>
      <x:c r="B19" s="32" t="str">
        <x:v>c4128825-75f6-43a9-8c1d-ec8112d89cf3</x:v>
      </x:c>
      <x:c r="C19" s="32" t="str">
        <x:v>A-005</x:v>
      </x:c>
      <x:c r="D19" s="32" t="n">
        <x:v>46259.587905092594</x:v>
      </x:c>
      <x:c r="E19" s="32" t="str">
        <x:v>Memory</x:v>
      </x:c>
      <x:c r="F19" s="32" t="str">
        <x:v>Info</x:v>
      </x:c>
      <x:c r="G19" s="32" t="str">
        <x:v>El RSS no crece por iteration, pero muestra escalones de high-water coincidentes con commits grandes de evidencia.</x:v>
      </x:c>
      <x:c r="H19" s="32" t="str">
        <x:v>RSS pre-bootstrap 116.81 MB; post-bootstrap 135.68 MB. Entre iterations 2–60 se estabiliza ~133.4–135.4 MB; tras el commit de iteration 61 queda ~138.60 MB hasta iteration 120; al cierre alcanza 139.62 MB. Job Runtime: memory_peak_percent 0.909 y 0 resource_pressure_events.</x:v>
      </x:c>
      <x:c r="I19" s="32" t="str">
        <x:v>La señal es compatible con retención del allocator/high-water tras serialización/materialización, pero dos evidence refresh no bastan para distinguirla de crecimiento real.</x:v>
      </x:c>
      <x:c r="J19" s="32" t="str">
        <x:v>No marcar FAIL ni activar profiling ahora; verificar tendencia explícitamente en soak R3.5F y, si persiste, usar profiling granular.</x:v>
      </x:c>
      <x:c r="K19" s="32" t="str">
        <x:v>Accepted</x:v>
      </x:c>
      <x:c r="L19" s="32" t="str">
        <x:v>DEC-R35-005</x:v>
      </x:c>
    </x:row>
    <x:row r="20">
      <x:c r="A20" s="32" t="str">
        <x:v>F-B001-001</x:v>
      </x:c>
      <x:c r="B20" s="32" t="str">
        <x:v>a6bf1f5d-5664-40ca-bd9f-257d7e022c46</x:v>
      </x:c>
      <x:c r="C20" s="32" t="str">
        <x:v>B-001</x:v>
      </x:c>
      <x:c r="D20" s="32" t="n">
        <x:v>46259.60527777778</x:v>
      </x:c>
      <x:c r="E20" s="32" t="str">
        <x:v>Data Load</x:v>
      </x:c>
      <x:c r="F20" s="32" t="str">
        <x:v>Info</x:v>
      </x:c>
      <x:c r="G20" s="32" t="str">
        <x:v>Pasar de una señal Latest compartida a 1000 señales únicas aumenta el costo del ciclo, pero mantiene margen amplio y 0 overruns.</x:v>
      </x:c>
      <x:c r="H20" s="32" t="str">
        <x:v>A-005→B-001 con 1000 alarmas constantes: p50 806.64→982.30 ms (+21.8%), p95 907.38→1285.54 ms (+41.7%), p99 1230.24→1587.69 ms (+29.1%), max 1274.60→1633.94 ms (+28.2%).</x:v>
      </x:c>
      <x:c r="I20" s="32" t="str">
        <x:v>El costo adicional de requisitos/señales independientes es observable, pero no hay evidencia de saturación.</x:v>
      </x:c>
      <x:c r="J20" s="32" t="str">
        <x:v>Avanzar a B-002 para aumentar ancho por alarma manteniendo 1 source/1 partition.</x:v>
      </x:c>
      <x:c r="K20" s="32" t="str">
        <x:v>Accepted</x:v>
      </x:c>
      <x:c r="L20" s="32" t="str">
        <x:v>DEC-R35-006</x:v>
      </x:c>
    </x:row>
    <x:row r="21">
      <x:c r="A21" s="32" t="str">
        <x:v>F-B001-002</x:v>
      </x:c>
      <x:c r="B21" s="32" t="str">
        <x:v>a6bf1f5d-5664-40ca-bd9f-257d7e022c46</x:v>
      </x:c>
      <x:c r="C21" s="32" t="str">
        <x:v>B-001</x:v>
      </x:c>
      <x:c r="D21" s="32" t="n">
        <x:v>46259.60527777778</x:v>
      </x:c>
      <x:c r="E21" s="32" t="str">
        <x:v>Data Load</x:v>
      </x:c>
      <x:c r="F21" s="32" t="str">
        <x:v>Info</x:v>
      </x:c>
      <x:c r="G21" s="32" t="str">
        <x:v>El tiempo medido del source loader es muy pequeño frente al ciclo completo.</x:v>
      </x:c>
      <x:c r="H21" s="32" t="str">
        <x:v>Latest narrow: 1 view, 1000 columns, 1 row; source-load p50 5.88 ms, p95 7.69 ms, p99 8.41 ms. El p95 del loader representa ~0.60% del p95 total de 1285.54 ms.</x:v>
      </x:c>
      <x:c r="I21" s="32" t="str">
        <x:v>El incremento frente a A-005 ocurre principalmente después de construir/cargar la vista, probablemente en resolución/uso de requisitos y evaluación por alarma; B-001 no instrumenta fronteras internas suficientes para atribuirlo con mayor precisión.</x:v>
      </x:c>
      <x:c r="J21" s="32" t="str">
        <x:v>No activar profiling todavía; usar B-002/B-003 para determinar si el costo escala con ancho o particiones antes de instrumentar.</x:v>
      </x:c>
      <x:c r="K21" s="32" t="str">
        <x:v>Accepted</x:v>
      </x:c>
      <x:c r="L21" s="32" t="str">
        <x:v>DEC-R35-006</x:v>
      </x:c>
    </x:row>
    <x:row r="22">
      <x:c r="A22" s="32" t="str">
        <x:v>F-B001-003</x:v>
      </x:c>
      <x:c r="B22" s="32" t="str">
        <x:v>a6bf1f5d-5664-40ca-bd9f-257d7e022c46</x:v>
      </x:c>
      <x:c r="C22" s="32" t="str">
        <x:v>B-001</x:v>
      </x:c>
      <x:c r="D22" s="32" t="n">
        <x:v>46259.60527777778</x:v>
      </x:c>
      <x:c r="E22" s="32" t="str">
        <x:v>Memory</x:v>
      </x:c>
      <x:c r="F22" s="32" t="str">
        <x:v>Info</x:v>
      </x:c>
      <x:c r="G22" s="32" t="str">
        <x:v>RSS sigue estable por tramos; aparecen escalones alrededor de commits grandes, consistente con la observación de A-005.</x:v>
      </x:c>
      <x:c r="H22" s="32" t="str">
        <x:v>RSS pre-bootstrap 117.86 MB; post-bootstrap 139.27 MB; pre/post commit ~5m 136.98→141.05 MB; pre/post commit ~10m 140.07→142.03 MB; peak/final 142.03 MB. Job Runtime memory_peak_percent 0.899 y 0 resource_pressure_events.</x:v>
      </x:c>
      <x:c r="I22" s="32" t="str">
        <x:v>La señal sigue siendo compatible con high-water/allocator retention y no con crecimiento por cada iteration.</x:v>
      </x:c>
      <x:c r="J22" s="32" t="str">
        <x:v>Mantener como observación para soak R3.5F; no marcar FAIL.</x:v>
      </x:c>
      <x:c r="K22" s="32" t="str">
        <x:v>Accepted</x:v>
      </x:c>
      <x:c r="L22" s="32" t="str">
        <x:v>DEC-R35-006</x:v>
      </x:c>
    </x:row>
    <x:row r="23">
      <x:c r="A23" s="32" t="str">
        <x:v>F-B002-001</x:v>
      </x:c>
      <x:c r="B23" s="32" t="str">
        <x:v>1d262dd1-8264-4644-8b7c-55968584b09a</x:v>
      </x:c>
      <x:c r="C23" s="32" t="str">
        <x:v>B-002</x:v>
      </x:c>
      <x:c r="D23" s="32" t="n">
        <x:v>46259.616944444446</x:v>
      </x:c>
      <x:c r="E23" s="32" t="str">
        <x:v>Data Load</x:v>
      </x:c>
      <x:c r="F23" s="32" t="str">
        <x:v>Info</x:v>
      </x:c>
      <x:c r="G23" s="32" t="str">
        <x:v>Triplicar el ancho de Latest de 1000 a 3000 columnas no produce degradación del ciclo total ni overruns.</x:v>
      </x:c>
      <x:c r="H23" s="32" t="str">
        <x:v>B-001→B-002: source columns 1000→3000 (3×), frame bytes 8132→24132 (~2.97×), source-load p95 7.69→17.45 ms (~2.27×). Sin embargo p95 total 1285.54→1084.95 ms (-15.6%) y p99 1587.69→1423.10 ms (-10.4%).</x:v>
      </x:c>
      <x:c r="I23" s="32" t="str">
        <x:v>El ancho bruto aumenta el costo del loader de forma visible pero todavía pequeña frente al ciclo; la mejora total entre corridas puede incluir variación del host y no debe interpretarse como que más columnas hacen al Runtime más rápido.</x:v>
      </x:c>
      <x:c r="J23" s="32" t="str">
        <x:v>No activar profiling; pasar a múltiples particiones para probar una dimensión estructural distinta.</x:v>
      </x:c>
      <x:c r="K23" s="32" t="str">
        <x:v>Accepted</x:v>
      </x:c>
      <x:c r="L23" s="32" t="str">
        <x:v>DEC-R35-007</x:v>
      </x:c>
    </x:row>
    <x:row r="24">
      <x:c r="A24" s="32" t="str">
        <x:v>F-B002-002</x:v>
      </x:c>
      <x:c r="B24" s="32" t="str">
        <x:v>1d262dd1-8264-4644-8b7c-55968584b09a</x:v>
      </x:c>
      <x:c r="C24" s="32" t="str">
        <x:v>B-002</x:v>
      </x:c>
      <x:c r="D24" s="32" t="n">
        <x:v>46259.616944444446</x:v>
      </x:c>
      <x:c r="E24" s="32" t="str">
        <x:v>Data Load</x:v>
      </x:c>
      <x:c r="F24" s="32" t="str">
        <x:v>Info</x:v>
      </x:c>
      <x:c r="G24" s="32" t="str">
        <x:v>El source loader sigue siendo una fracción menor del tiempo total aun con 3000 columnas.</x:v>
      </x:c>
      <x:c r="H24" s="32" t="str">
        <x:v>Source-load p50 14.98 ms, p95 17.45 ms, p99 18.52 ms. El p95 del loader equivale a ~1.61% del p95 total de 1084.95 ms.</x:v>
      </x:c>
      <x:c r="I24" s="32" t="str">
        <x:v>En este rango, la preparación de la vista Latest no es el cuello dominante; el costo principal continúa después de la carga de la vista.</x:v>
      </x:c>
      <x:c r="J24" s="32" t="str">
        <x:v>Mantener medición del loader y observar cómo cambia al introducir particiones en B-003/B-004.</x:v>
      </x:c>
      <x:c r="K24" s="32" t="str">
        <x:v>Accepted</x:v>
      </x:c>
      <x:c r="L24" s="32" t="str">
        <x:v>DEC-R35-007</x:v>
      </x:c>
    </x:row>
    <x:row r="25">
      <x:c r="A25" s="32" t="str">
        <x:v>F-B002-003</x:v>
      </x:c>
      <x:c r="B25" s="32" t="str">
        <x:v>1d262dd1-8264-4644-8b7c-55968584b09a</x:v>
      </x:c>
      <x:c r="C25" s="32" t="str">
        <x:v>B-002</x:v>
      </x:c>
      <x:c r="D25" s="32" t="n">
        <x:v>46259.616944444446</x:v>
      </x:c>
      <x:c r="E25" s="32" t="str">
        <x:v>Memory</x:v>
      </x:c>
      <x:c r="F25" s="32" t="str">
        <x:v>Info</x:v>
      </x:c>
      <x:c r="G25" s="32" t="str">
        <x:v>RSS mantiene comportamiento por mesetas y escalones alrededor de commits grandes, sin crecimiento por cada iteration.</x:v>
      </x:c>
      <x:c r="H25" s="32" t="str">
        <x:v>RSS pre-bootstrap 117.88 MB; post-bootstrap 142.58 MB; iterations 2–60 ~139.26–139.35 MB; tras commit ~5m ~143.44 MB; iterations 62–120 ~141.96 MB; final/peak 144.91 MB. Job Runtime memory_peak_percent 0.917 y 0 resource_pressure_events.</x:v>
      </x:c>
      <x:c r="I25" s="32" t="str">
        <x:v>El aumento de ~2.88 MB de peak RSS frente a B-001 es pequeño frente al incremento de 3× columnas y sigue siendo compatible con high-water/allocator retention.</x:v>
      </x:c>
      <x:c r="J25" s="32" t="str">
        <x:v>Mantener como observación para soak; no marcar FAIL.</x:v>
      </x:c>
      <x:c r="K25" s="32" t="str">
        <x:v>Accepted</x:v>
      </x:c>
      <x:c r="L25" s="32" t="str">
        <x:v>DEC-R35-007</x:v>
      </x:c>
    </x:row>
    <x:row r="26">
      <x:c r="A26" s="32" t="str">
        <x:v>F-B003-001</x:v>
      </x:c>
      <x:c r="B26" s="32" t="str">
        <x:v>71c0030e-e5dc-4a33-887c-1399328db030</x:v>
      </x:c>
      <x:c r="C26" s="32" t="str">
        <x:v>B-003</x:v>
      </x:c>
      <x:c r="D26" s="32" t="n">
        <x:v>46259.63543981482</x:v>
      </x:c>
      <x:c r="E26" s="32" t="str">
        <x:v>Data Load</x:v>
      </x:c>
      <x:c r="F26" s="32" t="str">
        <x:v>Info</x:v>
      </x:c>
      <x:c r="G26" s="32" t="str">
        <x:v>Cuatro particiones físicas balanceadas no introducen presión relevante frente al baseline B-001 de una sola partición.</x:v>
      </x:c>
      <x:c r="H26" s="32" t="str">
        <x:v>B-001→B-003 mantiene 1000 alarmas/1000 columnas: source-load p95 7.69→8.09 ms (+~5.1%); merge p95 0.175 ms; cycle p95 1285.54→992.83 ms (-22.8%); p99 1587.69→1352.17 ms (-14.8%); 0 overruns.</x:v>
      </x:c>
      <x:c r="I26" s="32" t="str">
        <x:v>El costo específico de merge es despreciable en 4 particiones. La mejora del cycle entre runs puede contener variación del host y no prueba que particionar acelere el Runtime.</x:v>
      </x:c>
      <x:c r="J26" s="32" t="str">
        <x:v>Avanzar a 8 particiones balanceadas manteniendo el mismo harness y escenario.</x:v>
      </x:c>
      <x:c r="K26" s="32" t="str">
        <x:v>Accepted</x:v>
      </x:c>
      <x:c r="L26" s="32" t="str">
        <x:v>DEC-R35-008</x:v>
      </x:c>
    </x:row>
    <x:row r="27">
      <x:c r="A27" s="32" t="str">
        <x:v>F-B003-002</x:v>
      </x:c>
      <x:c r="B27" s="32" t="str">
        <x:v>71c0030e-e5dc-4a33-887c-1399328db030</x:v>
      </x:c>
      <x:c r="C27" s="32" t="str">
        <x:v>B-003</x:v>
      </x:c>
      <x:c r="D27" s="32" t="n">
        <x:v>46259.63543981482</x:v>
      </x:c>
      <x:c r="E27" s="32" t="str">
        <x:v>Correctness</x:v>
      </x:c>
      <x:c r="F27" s="32" t="str">
        <x:v>Info</x:v>
      </x:c>
      <x:c r="G27" s="32" t="str">
        <x:v>El reparto físico quedó exactamente balanceado y preservó una sola vista lógica Latest con integridad durable/materializada.</x:v>
      </x:c>
      <x:c r="H27" s="32" t="str">
        <x:v>physical_partition_count=4; column_counts=250/250/250/250; source_view_count=1; source_column_count=1000; journal durable offset=materialized offset=3,582,045. Journal: bootstrap + evidence ~5m + evidence ~10m.</x:v>
      </x:c>
      <x:c r="I27" s="32" t="str">
        <x:v>El particionamiento físico/merge no altera el contrato lógico ni la semántica durable.</x:v>
      </x:c>
      <x:c r="J27" s="32" t="str">
        <x:v>Conservar esta estructura para B-004 y comparar sólo el incremento 4→8 particiones.</x:v>
      </x:c>
      <x:c r="K27" s="32" t="str">
        <x:v>Accepted</x:v>
      </x:c>
      <x:c r="L27" s="32" t="str">
        <x:v>DEC-R35-008</x:v>
      </x:c>
    </x:row>
    <x:row r="28">
      <x:c r="A28" s="32" t="str">
        <x:v>F-B003-003</x:v>
      </x:c>
      <x:c r="B28" s="32" t="str">
        <x:v>71c0030e-e5dc-4a33-887c-1399328db030</x:v>
      </x:c>
      <x:c r="C28" s="32" t="str">
        <x:v>B-003</x:v>
      </x:c>
      <x:c r="D28" s="32" t="n">
        <x:v>46259.63543981482</x:v>
      </x:c>
      <x:c r="E28" s="32" t="str">
        <x:v>Memory</x:v>
      </x:c>
      <x:c r="F28" s="32" t="str">
        <x:v>Info</x:v>
      </x:c>
      <x:c r="G28" s="32" t="str">
        <x:v>RSS permanece en el mismo rango observado en B-001 pese a introducir cuatro particiones físicas.</x:v>
      </x:c>
      <x:c r="H28" s="32" t="str">
        <x:v>RSS pre-bootstrap 117.79 MB; post-bootstrap 138.14 MB; antes/después commit ~5m 135.80→141.12 MB; antes/después commit ~10m 139.12→142.14 MB; peak 142.14 MB. Job Runtime memory_peak_percent 0.894 y 0 resource_pressure_events.</x:v>
      </x:c>
      <x:c r="I28" s="32" t="str">
        <x:v>No hay evidencia de costo de memoria relevante por 4 particiones; persiste el patrón de high-water alrededor de commits grandes.</x:v>
      </x:c>
      <x:c r="J28" s="32" t="str">
        <x:v>Mantener observación para soak y continuar a B-004.</x:v>
      </x:c>
      <x:c r="K28" s="32" t="str">
        <x:v>Accepted</x:v>
      </x:c>
      <x:c r="L28" s="32" t="str">
        <x:v>DEC-R35-008</x:v>
      </x:c>
    </x:row>
    <x:row r="29">
      <x:c r="A29" s="32" t="str">
        <x:v>F-B004-001</x:v>
      </x:c>
      <x:c r="B29" s="32" t="str">
        <x:v>d613de53-a439-414b-a17a-e4d4d5a0bfe2</x:v>
      </x:c>
      <x:c r="C29" s="32" t="str">
        <x:v>B-004</x:v>
      </x:c>
      <x:c r="D29" s="32" t="n">
        <x:v>46259.65217592593</x:v>
      </x:c>
      <x:c r="E29" s="32" t="str">
        <x:v>Performance</x:v>
      </x:c>
      <x:c r="F29" s="32" t="str">
        <x:v>Info</x:v>
      </x:c>
      <x:c r="G29" s="32" t="str">
        <x:v>El salto adaptativo de 4 a 36 particiones produce por primera vez una degradación temporal material, pero el escenario sigue GREEN y sin overruns.</x:v>
      </x:c>
      <x:c r="H29" s="32" t="str">
        <x:v>B-003→B-004: partitions 4→36 (9×); p50 953.85→1646.51 ms (+72.6%); p95 992.83→1805.03 ms (+81.8%); p99 1352.17→2263.77 ms (+67.4%); max 1387.57→2412.45 ms (+73.9%). Empty-iteration p95 ~1791.36 ms; 0 overruns.</x:v>
      </x:c>
      <x:c r="I29" s="32" t="str">
        <x:v>La presión ya es visible en el ciclo base, no sólo en commits. Aun así, p95 usa ~36.1% del periodo de 5 s y conserva margen operacional.</x:v>
      </x:c>
      <x:c r="J29" s="32" t="str">
        <x:v>Cambiar de dimensión: comparar skewed vs balanced en las mismas 36 particiones, en lugar de ejecutar 8/16/32.</x:v>
      </x:c>
      <x:c r="K29" s="32" t="str">
        <x:v>Accepted</x:v>
      </x:c>
      <x:c r="L29" s="32" t="str">
        <x:v>DEC-R35-009</x:v>
      </x:c>
    </x:row>
    <x:row r="30">
      <x:c r="A30" s="32" t="str">
        <x:v>F-B004-002</x:v>
      </x:c>
      <x:c r="B30" s="32" t="str">
        <x:v>d613de53-a439-414b-a17a-e4d4d5a0bfe2</x:v>
      </x:c>
      <x:c r="C30" s="32" t="str">
        <x:v>B-004</x:v>
      </x:c>
      <x:c r="D30" s="32" t="n">
        <x:v>46259.65217592593</x:v>
      </x:c>
      <x:c r="E30" s="32" t="str">
        <x:v>Data Load</x:v>
      </x:c>
      <x:c r="F30" s="32" t="str">
        <x:v>Info</x:v>
      </x:c>
      <x:c r="G30" s="32" t="str">
        <x:v>El costo de source-load/merge crece con 36 particiones, pero sigue siendo demasiado pequeño para explicar por sí solo el incremento del ciclo.</x:v>
      </x:c>
      <x:c r="H30" s="32" t="str">
        <x:v>B-003→B-004: source-load p95 8.09→25.37 ms (~3.14×); merge p95 0.175→1.013 ms (~5.77×). En B-004, source-load p95 es ~1.41% del cycle p95 y merge p95 ~0.056%.</x:v>
      </x:c>
      <x:c r="I30" s="32" t="str">
        <x:v>La mayor duración ocurre después de la materialización/merge de la vista o refleja overhead de orquestación/objetos por partición y variabilidad del host; aún no hay evidencia suficiente para localizar una frontera interna.</x:v>
      </x:c>
      <x:c r="J30" s="32" t="str">
        <x:v>No activar profiling granular todavía; usar el contraste balanced→skewed para obtener más información estructural.</x:v>
      </x:c>
      <x:c r="K30" s="32" t="str">
        <x:v>Accepted</x:v>
      </x:c>
      <x:c r="L30" s="32" t="str">
        <x:v>DEC-R35-009</x:v>
      </x:c>
    </x:row>
    <x:row r="31">
      <x:c r="A31" s="32" t="str">
        <x:v>F-B004-003</x:v>
      </x:c>
      <x:c r="B31" s="32" t="str">
        <x:v>d613de53-a439-414b-a17a-e4d4d5a0bfe2</x:v>
      </x:c>
      <x:c r="C31" s="32" t="str">
        <x:v>B-004</x:v>
      </x:c>
      <x:c r="D31" s="32" t="n">
        <x:v>46259.65217592593</x:v>
      </x:c>
      <x:c r="E31" s="32" t="str">
        <x:v>Correctness / Memory</x:v>
      </x:c>
      <x:c r="F31" s="32" t="str">
        <x:v>Info</x:v>
      </x:c>
      <x:c r="G31" s="32" t="str">
        <x:v>La degradación temporal no viene acompañada de presión de memoria, corrupción ni cambios en la semántica durable.</x:v>
      </x:c>
      <x:c r="H31" s="32" t="str">
        <x:v>36 partitions = 28 partitions×28 columns + 8×27; snapshot 1000/1000; journal durable==materialized at byte_offset 3,582,045; 3 commits exactos. Peak RSS 141.50 MB vs 142.14 MB en B-003; Job Runtime: memory_peak 0.896%, resource_pressure_events=0, errors=0, warnings=0.</x:v>
      </x:c>
      <x:c r="I31" s="32" t="str">
        <x:v>El particionamiento alto afecta principalmente tiempo de ejecución/CPU activo en este escenario, no footprint durable ni RSS.</x:v>
      </x:c>
      <x:c r="J31" s="32" t="str">
        <x:v>Mantener Runtime sin cambios y continuar con skew.</x:v>
      </x:c>
      <x:c r="K31" s="32" t="str">
        <x:v>Accepted</x:v>
      </x:c>
      <x:c r="L31" s="32" t="str">
        <x:v>DEC-R35-009</x:v>
      </x:c>
    </x:row>
    <x:row r="32">
      <x:c r="A32" s="32" t="str">
        <x:v>F-B007-001</x:v>
      </x:c>
      <x:c r="B32" s="32" t="str">
        <x:v>89bc783e-94b8-470b-9f5e-09f4d9d5fa15</x:v>
      </x:c>
      <x:c r="C32" s="32" t="str">
        <x:v>B-007</x:v>
      </x:c>
      <x:c r="D32" s="32" t="n">
        <x:v>46259.670127314814</x:v>
      </x:c>
      <x:c r="E32" s="32" t="str">
        <x:v>Performance</x:v>
      </x:c>
      <x:c r="F32" s="32" t="str">
        <x:v>Info</x:v>
      </x:c>
      <x:c r="G32" s="32" t="str">
        <x:v>El skew ~80/20 sobre 36 particiones produce sólo una degradación pequeña frente al mismo número de particiones balanceadas.</x:v>
      </x:c>
      <x:c r="H32" s="32" t="str">
        <x:v>B-004→B-007: p50 1646.51→1708.26 ms (+3.8%); p95 1805.03→1899.99 ms (+5.3%); p99 2263.77→2337.01 ms (+3.2%); max 2412.45→2450.45 ms (+1.6%); 0 overruns.</x:v>
      </x:c>
      <x:c r="I32" s="32" t="str">
        <x:v>La geometría skewed no altera materialmente la capacidad; el costo dominante continúa asociado al escenario de 36 particiones, no a cómo se distribuyen las 1000 columnas.</x:v>
      </x:c>
      <x:c r="J32" s="32" t="str">
        <x:v>No ejecutar más variantes de skew; pasar a heterogeneidad/vacíos/missing-columns.</x:v>
      </x:c>
      <x:c r="K32" s="32" t="str">
        <x:v>Accepted</x:v>
      </x:c>
      <x:c r="L32" s="32" t="str">
        <x:v>DEC-R35-010</x:v>
      </x:c>
    </x:row>
    <x:row r="33">
      <x:c r="A33" s="32" t="str">
        <x:v>F-B007-002</x:v>
      </x:c>
      <x:c r="B33" s="32" t="str">
        <x:v>89bc783e-94b8-470b-9f5e-09f4d9d5fa15</x:v>
      </x:c>
      <x:c r="C33" s="32" t="str">
        <x:v>B-007</x:v>
      </x:c>
      <x:c r="D33" s="32" t="n">
        <x:v>46259.670127314814</x:v>
      </x:c>
      <x:c r="E33" s="32" t="str">
        <x:v>Data Load</x:v>
      </x:c>
      <x:c r="F33" s="32" t="str">
        <x:v>Info</x:v>
      </x:c>
      <x:c r="G33" s="32" t="str">
        <x:v>Source-load y merge cambian muy poco entre 36 balanced y 36 skewed.</x:v>
      </x:c>
      <x:c r="H33" s="32" t="str">
        <x:v>B-004→B-007: source-load p95 25.37→26.15 ms (+3.0%); merge p95 1.013→1.103 ms (+8.9%, +0.091 ms absolutos). En B-007, loader p95 ≈1.38% del cycle p95 y merge ≈0.058%.</x:v>
      </x:c>
      <x:c r="I33" s="32" t="str">
        <x:v>Ni el merge ni el loader explican una presión relevante por skew; el incremento absoluto es mínimo.</x:v>
      </x:c>
      <x:c r="J33" s="32" t="str">
        <x:v>Mantener instrumentación actual; no activar profiling granular.</x:v>
      </x:c>
      <x:c r="K33" s="32" t="str">
        <x:v>Accepted</x:v>
      </x:c>
      <x:c r="L33" s="32" t="str">
        <x:v>DEC-R35-010</x:v>
      </x:c>
    </x:row>
    <x:row r="34">
      <x:c r="A34" s="32" t="str">
        <x:v>F-B007-003</x:v>
      </x:c>
      <x:c r="B34" s="32" t="str">
        <x:v>89bc783e-94b8-470b-9f5e-09f4d9d5fa15</x:v>
      </x:c>
      <x:c r="C34" s="32" t="str">
        <x:v>B-007</x:v>
      </x:c>
      <x:c r="D34" s="32" t="n">
        <x:v>46259.670127314814</x:v>
      </x:c>
      <x:c r="E34" s="32" t="str">
        <x:v>Correctness / Memory</x:v>
      </x:c>
      <x:c r="F34" s="32" t="str">
        <x:v>Info</x:v>
      </x:c>
      <x:c r="G34" s="32" t="str">
        <x:v>El skew conserva integridad durable/materializada y no introduce presión adicional de memoria.</x:v>
      </x:c>
      <x:c r="H34" s="32" t="str">
        <x:v>36 partitions = 8×100 hot + 4×8 + 24×7 cold; snapshot 1000/1000; 3 durable records; appended journal bytes 3,582,045; journal head durable==materialized. Peak RSS 141.71 MB vs 141.50 MB en B-004. Job Runtime: memory_peak 0.921%, resource_pressure_events=0, errors=0, warnings=0.</x:v>
      </x:c>
      <x:c r="I34" s="32" t="str">
        <x:v>No existe señal de corrupción, pérdida durable, duplicación ni crecimiento de RSS atribuible al skew.</x:v>
      </x:c>
      <x:c r="J34" s="32" t="str">
        <x:v>Avanzar a B-008 para introducir heterogeneidad real de contenido.</x:v>
      </x:c>
      <x:c r="K34" s="32" t="str">
        <x:v>Accepted</x:v>
      </x:c>
      <x:c r="L34" s="32" t="str">
        <x:v>DEC-R35-010</x:v>
      </x:c>
    </x:row>
    <x:row r="35">
      <x:c r="A35" s="32" t="str">
        <x:v>F-B008-001</x:v>
      </x:c>
      <x:c r="B35" s="32" t="str">
        <x:v>6ee6ed1a-e592-4e76-a95b-777f242eb996</x:v>
      </x:c>
      <x:c r="C35" s="32" t="str">
        <x:v>B-008</x:v>
      </x:c>
      <x:c r="D35" s="32" t="n">
        <x:v>46259.684537037036</x:v>
      </x:c>
      <x:c r="E35" s="32" t="str">
        <x:v>Harness / Integrity Gate</x:v>
      </x:c>
      <x:c r="F35" s="32" t="str">
        <x:v>Medium</x:v>
      </x:c>
      <x:c r="G35" s="32" t="str">
        <x:v>El harness emitió un falso FAIL al exigir snapshot_alarm_count == alarm_count en un escenario que produce estados iniciales INACTIVE neutrales.</x:v>
      </x:c>
      <x:c r="H35" s="32" t="str">
        <x:v>Raw report: result=FAIL, snapshot_alarm_count=880, alarm_count=1000. El escenario reporta 120 missing_source_columns y 120 synthesized_null columns. El Core omite del snapshot cualquier AlarmRuntimeState neutral (sin occurrence, management_effect ni deactivation_effect).</x:v>
      </x:c>
      <x:c r="I35" s="32" t="str">
        <x:v>La regla era válida para los escenarios previos donde las 1000 alarmas estaban ACTIVE, pero confundía alarmas configuradas con hot-state durable materializado.</x:v>
      </x:c>
      <x:c r="J35" s="32" t="str">
        <x:v>Aplicar R3.5B.3.1: calcular expected_snapshot_alarm_count según señales primarias disponibles/estado esperado; comparar el snapshot contra ese cardinal y exponer neutral_alarm_count/integrity_ok.</x:v>
      </x:c>
      <x:c r="K35" s="32" t="str">
        <x:v>Open</x:v>
      </x:c>
      <x:c r="L35" s="32" t="str">
        <x:v>DEC-R35-011</x:v>
      </x:c>
    </x:row>
    <x:row r="36">
      <x:c r="A36" s="32" t="str">
        <x:v>F-B008-002</x:v>
      </x:c>
      <x:c r="B36" s="32" t="str">
        <x:v>6ee6ed1a-e592-4e76-a95b-777f242eb996</x:v>
      </x:c>
      <x:c r="C36" s="32" t="str">
        <x:v>B-008</x:v>
      </x:c>
      <x:c r="D36" s="32" t="n">
        <x:v>46259.684537037036</x:v>
      </x:c>
      <x:c r="E36" s="32" t="str">
        <x:v>Correctness</x:v>
      </x:c>
      <x:c r="F36" s="32" t="str">
        <x:v>Info</x:v>
      </x:c>
      <x:c r="G36" s="32" t="str">
        <x:v>Las 120 señales primarias ausentes se resolvieron como null → INACTIVE y no generaron hot-state durable, exactamente según la semántica neutral del Core.</x:v>
      </x:c>
      <x:c r="H36" s="32" t="str">
        <x:v>Snapshot contiene 880 alarmas. El bootstrap contiene 880 occurrence_changes, 880 assignment_changes, 1760 journey_events y 880 evidence_records; los commits de ~5/~10 min contienen 880 evidence_records cada uno. Journal durable==materialized en byte_offset 3,152,565.</x:v>
      </x:c>
      <x:c r="I36" s="32" t="str">
        <x:v>No existe pérdida de 120 alarmas activas: esas identidades siguen configuradas, pero no tienen estado operacional durable que persistir.</x:v>
      </x:c>
      <x:c r="J36" s="32" t="str">
        <x:v>Reclasificar B-008 como PASS-WITH-FINDINGS; preservar el raw result FAIL para auditoría.</x:v>
      </x:c>
      <x:c r="K36" s="32" t="str">
        <x:v>Accepted</x:v>
      </x:c>
      <x:c r="L36" s="32" t="str">
        <x:v>DEC-R35-011</x:v>
      </x:c>
    </x:row>
    <x:row r="37">
      <x:c r="A37" s="32" t="str">
        <x:v>F-B008-003</x:v>
      </x:c>
      <x:c r="B37" s="32" t="str">
        <x:v>6ee6ed1a-e592-4e76-a95b-777f242eb996</x:v>
      </x:c>
      <x:c r="C37" s="32" t="str">
        <x:v>B-008</x:v>
      </x:c>
      <x:c r="D37" s="32" t="n">
        <x:v>46259.684537037036</x:v>
      </x:c>
      <x:c r="E37" s="32" t="str">
        <x:v>Performance</x:v>
      </x:c>
      <x:c r="F37" s="32" t="str">
        <x:v>Info</x:v>
      </x:c>
      <x:c r="G37" s="32" t="str">
        <x:v>El escenario mixed permanece holgado; performance es secundaria porque sólo 880 alarmas mantienen hot-state activo.</x:v>
      </x:c>
      <x:c r="H37" s="32" t="str">
        <x:v>p95 1003.20 ms, p99 1333.51 ms, max 1381.55 ms, 0 overruns. Las 118 iterations sin commit tuvieron p95 ~979.14 ms. Source-load p95 10.82 ms; merge p95 1.002 ms; peak RSS 140.87 MB; Job Runtime resource_pressure_events=0.</x:v>
      </x:c>
      <x:c r="I37" s="32" t="str">
        <x:v>La reducción frente a B-007 no prueba una optimización: el workload operacional efectivo cambió porque 120 alarmas son neutrales.</x:v>
      </x:c>
      <x:c r="J37" s="32" t="str">
        <x:v>Usar B-008 principalmente como correctness/heterogeneity evidence, no como punto directo de la curva de capacidad de 1000 alarmas activas.</x:v>
      </x:c>
      <x:c r="K37" s="32" t="str">
        <x:v>Accepted</x:v>
      </x:c>
      <x:c r="L37" s="32" t="str">
        <x:v>DEC-R35-011</x:v>
      </x:c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 t="str">
        <x:v>DEC-R35-004</x:v>
      </x:c>
      <x:c r="B8" s="32" t="n">
        <x:v>46259.57777777778</x:v>
      </x:c>
      <x:c r="C8" s="32" t="str">
        <x:v>R3.5A Baseline Load</x:v>
      </x:c>
      <x:c r="D8" s="32" t="str">
        <x:v>Cerrar A-004 como PASS/GREEN y avanzar a A-005 (1000 alarmas, 10 minutos) sin cambios de código ni profiling granular.</x:v>
      </x:c>
      <x:c r="E8" s="32" t="str">
        <x:v>Con 750 alarmas, p95 quedó en 645.03 ms y p99 en 888.15 ms, 0 overruns, RSS estable y journal durable/materialized alineado. El crecimiento 500→750 es aproximadamente proporcional y no muestra rodilla.</x:v>
      </x:c>
      <x:c r="F8" s="32" t="str">
        <x:v>A-001; A-002; A-003; 79fff64c-2594-4e2d-958f-c32cb7f57d6c</x:v>
      </x:c>
      <x:c r="G8" s="32" t="str">
        <x:v>Completar el baseline objetivo de 1000 alarmas antes de entrar a presión de datos/particiones.</x:v>
      </x:c>
      <x:c r="H8" s="32" t="str">
        <x:v>Accepted</x:v>
      </x:c>
      <x:c r="I8" s="32" t="str">
        <x:v>Ejecutar A-005 con 1000 alarmas durante 10 minutos.</x:v>
      </x:c>
    </x:row>
    <x:row r="9">
      <x:c r="A9" s="32" t="str">
        <x:v>DEC-R35-005</x:v>
      </x:c>
      <x:c r="B9" s="32" t="n">
        <x:v>46259.59166666667</x:v>
      </x:c>
      <x:c r="C9" s="32" t="str">
        <x:v>R3.5A Baseline Load</x:v>
      </x:c>
      <x:c r="D9" s="32" t="str">
        <x:v>Cerrar R3.5A Baseline Load con A-001→A-005 en PASS/GREEN y avanzar a B-001 Latest narrow, sin cambios de código ni profiling granular.</x:v>
      </x:c>
      <x:c r="E9" s="32" t="str">
        <x:v>El baseline progresivo 100→1000 alarmas mantuvo 0 overruns y 0 errores de integridad. A-005: p95 907.38 ms, p99 1230.24 ms y máximo 1274.60 ms frente a periodo objetivo 5 s; journal alineado y 1000 alarmas materializadas. No se observó rodilla de capacidad.</x:v>
      </x:c>
      <x:c r="F9" s="32" t="str">
        <x:v>A-001; A-002; A-003; A-004; c4128825-75f6-43a9-8c1d-ec8112d89cf3</x:v>
      </x:c>
      <x:c r="G9" s="32" t="str">
        <x:v>R3.5A queda como baseline de motor. R3.5B aumentará presión de lectura manteniendo 1000 alarmas para aislar costo de datos/particiones/fuentes.</x:v>
      </x:c>
      <x:c r="H9" s="32" t="str">
        <x:v>Accepted</x:v>
      </x:c>
      <x:c r="I9" s="32" t="str">
        <x:v>Ejecutar B-001 con 1000 alarmas, Latest narrow, 1 partición / 1 fuente, 10 minutos.</x:v>
      </x:c>
    </x:row>
    <x:row r="10">
      <x:c r="A10" s="32" t="str">
        <x:v>DEC-R35-006</x:v>
      </x:c>
      <x:c r="B10" s="32" t="n">
        <x:v>46259.60833333333</x:v>
      </x:c>
      <x:c r="C10" s="32" t="str">
        <x:v>R3.5B Data &amp; Partition Pressure</x:v>
      </x:c>
      <x:c r="D10" s="32" t="str">
        <x:v>Cerrar B-001 como PASS/GREEN y avanzar a B-002 Latest wide sin cambios del Runtime productivo ni profiling granular.</x:v>
      </x:c>
      <x:c r="E10" s="32" t="str">
        <x:v>Con 1000 alarmas y 1000 señales únicas, B-001 mantiene 0 overruns, p95 1285.54 ms y p99 1587.69 ms. Source-load p95 es sólo 7.69 ms, por lo que aún existe margen y conviene aumentar ancho antes de instrumentar internamente.</x:v>
      </x:c>
      <x:c r="F10" s="32" t="str">
        <x:v>A-005; a6bf1f5d-5664-40ca-bd9f-257d7e022c46</x:v>
      </x:c>
      <x:c r="G10" s="32" t="str">
        <x:v>R3.5B continúa aislando presión de datos. B-002 debe aumentar columnas por alarma manteniendo 1 source / 1 partition / 1000 alarms.</x:v>
      </x:c>
      <x:c r="H10" s="32" t="str">
        <x:v>Accepted</x:v>
      </x:c>
      <x:c r="I10" s="32" t="str">
        <x:v>Ejecutar B-002 Latest wide con el mismo harness y comparar contra B-001.</x:v>
      </x:c>
    </x:row>
    <x:row r="11">
      <x:c r="A11" s="32" t="str">
        <x:v>DEC-R35-007</x:v>
      </x:c>
      <x:c r="B11" s="32" t="n">
        <x:v>46259.62013888889</x:v>
      </x:c>
      <x:c r="C11" s="32" t="str">
        <x:v>R3.5B Data &amp; Partition Pressure</x:v>
      </x:c>
      <x:c r="D11" s="32" t="str">
        <x:v>Cerrar B-002 como PASS/GREEN y avanzar a B-003 (4 partitions balanced) sin cambios del Runtime productivo ni profiling granular.</x:v>
      </x:c>
      <x:c r="E11" s="32" t="str">
        <x:v>Con 3000 columnas Latest, B-002 mantiene 0 overruns, p95 1084.95 ms y p99 1423.10 ms. El source-loader p95 crece a 17.45 ms pero sólo representa ~1.61% del ciclo; no aparece presión significativa por ancho.</x:v>
      </x:c>
      <x:c r="F11" s="32" t="str">
        <x:v>B-001; 1d262dd1-8264-4644-8b7c-55968584b09a</x:v>
      </x:c>
      <x:c r="G11" s="32" t="str">
        <x:v>La próxima dimensión debe ser particionamiento, manteniendo 1000 alarmas para aislar el costo de merge/resolución entre particiones.</x:v>
      </x:c>
      <x:c r="H11" s="32" t="str">
        <x:v>Accepted</x:v>
      </x:c>
      <x:c r="I11" s="32" t="str">
        <x:v>Ejecutar B-003 con 4 particiones balanceadas.</x:v>
      </x:c>
    </x:row>
    <x:row r="12">
      <x:c r="A12" s="32" t="str">
        <x:v>DEC-R35-008</x:v>
      </x:c>
      <x:c r="B12" s="32" t="n">
        <x:v>46259.63888888889</x:v>
      </x:c>
      <x:c r="C12" s="32" t="str">
        <x:v>R3.5B Data &amp; Partition Pressure</x:v>
      </x:c>
      <x:c r="D12" s="32" t="str">
        <x:v>Cerrar B-003 como PASS/GREEN y avanzar a B-004 (8 partitions balanced) sin cambios de código ni profiling granular.</x:v>
      </x:c>
      <x:c r="E12" s="32" t="str">
        <x:v>Con 4 particiones físicas balanceadas de 250 columnas, B-003 mantiene 0 overruns, p95 992.83 ms y p99 1352.17 ms. El merge p95 es 0.175 ms y source-load p95 8.09 ms, sin señal de presión estructural.</x:v>
      </x:c>
      <x:c r="F12" s="32" t="str">
        <x:v>B-001; B-002; 71c0030e-e5dc-4a33-887c-1399328db030</x:v>
      </x:c>
      <x:c r="G12" s="32" t="str">
        <x:v>El mismo harness ya permite escalar a 8 particiones; la siguiente prueba aislará la tendencia 4→8 manteniendo 1000 alarmas y 1000 columnas.</x:v>
      </x:c>
      <x:c r="H12" s="32" t="str">
        <x:v>Accepted</x:v>
      </x:c>
      <x:c r="I12" s="32" t="str">
        <x:v>Ejecutar B-004 con 8 particiones físicas balanceadas.</x:v>
      </x:c>
    </x:row>
    <x:row r="13">
      <x:c r="A13" s="32" t="str">
        <x:v>DEC-R35-009</x:v>
      </x:c>
      <x:c r="B13" s="32" t="n">
        <x:v>46259.65555555555</x:v>
      </x:c>
      <x:c r="C13" s="32" t="str">
        <x:v>R3.5B Data &amp; Partition Pressure</x:v>
      </x:c>
      <x:c r="D13" s="32" t="str">
        <x:v>Cerrar B-004 (36 partitions balanced) como PASS/GREEN y formalizar campaña adaptativa: omitir los puntos balanceados 8/16/32 y pasar a B-007 = 36 partitions skewed.</x:v>
      </x:c>
      <x:c r="E13" s="32" t="str">
        <x:v>El salto 4→36 hizo visible la presión (p95 +81.8%) sin overrun ni fallo de integridad. Source-load/merge siguen siendo una fracción mínima del ciclo y existe margen amplio frente a 5 s; repetir escalones intermedios tiene bajo valor experimental.</x:v>
      </x:c>
      <x:c r="F13" s="32" t="str">
        <x:v>B-003; d613de53-a439-414b-a17a-e4d4d5a0bfe2</x:v>
      </x:c>
      <x:c r="G13" s="32" t="str">
        <x:v>Reduce ejecuciones redundantes y conserva capacidad de volver a puntos intermedios sólo si una prueba posterior cruza una rodilla o gate.</x:v>
      </x:c>
      <x:c r="H13" s="32" t="str">
        <x:v>Accepted</x:v>
      </x:c>
      <x:c r="I13" s="32" t="str">
        <x:v>Preparar/ejecutar B-007 con 36 particiones skewed (~80% de columnas en ~20% de particiones).</x:v>
      </x:c>
    </x:row>
    <x:row r="14">
      <x:c r="A14" s="32" t="str">
        <x:v>DEC-R35-010</x:v>
      </x:c>
      <x:c r="B14" s="32" t="n">
        <x:v>46259.67291666667</x:v>
      </x:c>
      <x:c r="C14" s="32" t="str">
        <x:v>R3.5B Data &amp; Partition Pressure</x:v>
      </x:c>
      <x:c r="D14" s="32" t="str">
        <x:v>Cerrar B-007 (36 partitions skewed) como PASS/GREEN y avanzar a B-008 (36 mixed empty/missing-column), sin nuevas variantes de skew ni profiling granular.</x:v>
      </x:c>
      <x:c r="E14" s="32" t="str">
        <x:v>Con el mismo número de alarmas/columnas/particiones que B-004, el skew sólo aumenta p95 ~5.3%, p99 ~3.2% y max ~1.6%; 0 overruns, loader/merge marginales e integridad limpia.</x:v>
      </x:c>
      <x:c r="F14" s="32" t="str">
        <x:v>B-004; 89bc783e-94b8-470b-9f5e-09f4d9d5fa15</x:v>
      </x:c>
      <x:c r="G14" s="32" t="str">
        <x:v>La campaña adaptativa cambia a una dimensión de mayor información: heterogeneidad, particiones vacías y columnas ausentes.</x:v>
      </x:c>
      <x:c r="H14" s="32" t="str">
        <x:v>Accepted</x:v>
      </x:c>
      <x:c r="I14" s="32" t="str">
        <x:v>Preparar/ejecutar B-008 con 36 particiones mixed, preservando 1000 alarmas y una vista lógica Latest.</x:v>
      </x:c>
    </x:row>
    <x:row r="15">
      <x:c r="A15" s="32" t="str">
        <x:v>DEC-R35-011</x:v>
      </x:c>
      <x:c r="B15" s="32" t="n">
        <x:v>46259.69236111111</x:v>
      </x:c>
      <x:c r="C15" s="32" t="str">
        <x:v>R3.5B Data &amp; Partition Pressure</x:v>
      </x:c>
      <x:c r="D15" s="32" t="str">
        <x:v>Adjudicar B-008 como PASS-WITH-FINDINGS/GREEN: el FAIL crudo es un defecto del gate del harness, no del Runtime/Core. Corregir el gate neutral-snapshot y no repetir la corrida completa salvo que la validación 3.14.2 falle.</x:v>
      </x:c>
      <x:c r="E15" s="32" t="str">
        <x:v>Los 120 null primarios generan evaluaciones iniciales INACTIVE; el lifecycle no crea occurrence y el snapshot omite estados neutrales por contrato. Observado 880 == esperado 880, journal alineado, 3 commits correctos, 0 overruns y ejecución Job Runtime status=success.</x:v>
      </x:c>
      <x:c r="F15" s="32" t="str">
        <x:v>6ee6ed1a-e592-4e76-a95b-777f242eb996; Core lifecycle/snapshot contracts</x:v>
      </x:c>
      <x:c r="G15" s="32" t="str">
        <x:v>Evita tratar ausencia de hot-state como pérdida de configuración y hace que futuros escenarios heterogéneos usen un gate de integridad semánticamente correcto.</x:v>
      </x:c>
      <x:c r="H15" s="32" t="str">
        <x:v>Accepted</x:v>
      </x:c>
      <x:c r="I15" s="32" t="str">
        <x:v>Aplicar y validar R3.5B.3.1 en Python 3.14.2; luego liberar B-009 Historical window short.</x:v>
      </x:c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61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5</x:v>
      </x:c>
      <x:c r="H5" s="21" t="str">
        <x:v>PASS</x:v>
      </x:c>
      <x:c r="I5" t="n">
        <x:f>COUNTIF('02_Run_Results'!AI5:AI500,"PASS")</x:f>
        <x:v>10</x:v>
      </x:c>
      <x:c r="J5" t="str">
        <x:v>GREEN</x:v>
      </x:c>
    </x:row>
    <x:row r="6">
      <x:c r="A6" s="21" t="str">
        <x:v>Completed</x:v>
      </x:c>
      <x:c r="B6" t="n">
        <x:f>COUNTIF('01_Test_Plan'!R5:R200,"Completed")</x:f>
        <x:v>11</x:v>
      </x:c>
      <x:c r="D6" s="21" t="str">
        <x:v>R3.5B</x:v>
      </x:c>
      <x:c r="E6" t="n">
        <x:f>COUNTIF('01_Test_Plan'!B5:B200,D6)</x:f>
        <x:v>12</x:v>
      </x:c>
      <x:c r="F6" t="n">
        <x:f>COUNTIFS('01_Test_Plan'!B5:B200,D6,'01_Test_Plan'!R5:R200,"Completed")</x:f>
        <x:v>6</x:v>
      </x:c>
      <x:c r="H6" s="21" t="str">
        <x:v>PASS-WITH-FINDINGS</x:v>
      </x:c>
      <x:c r="I6" t="n">
        <x:f>COUNTIF('02_Run_Results'!AI5:AI500,"PASS-WITH-FINDINGS")</x:f>
        <x:v>1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0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0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1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f>IFERROR(B6/B5,0)</x:f>
        <x:v>0.18032786885245902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1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A-004→A-005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1.33×</x:v>
      </x:c>
      <x:c r="J22" t="str">
        <x:v>750 → 1000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1.41×</x:v>
      </x:c>
      <x:c r="J23" t="str">
        <x:v>645.03 → 907.38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1.39×</x:v>
      </x:c>
      <x:c r="J24" t="str">
        <x:v>888.15 → 1230.24 ms</x:v>
      </x:c>
    </x:row>
    <x:row r="25">
      <x:c r="A25" t="str">
        <x:v>A-004</x:v>
      </x:c>
      <x:c r="B25" t="n">
        <x:v>750</x:v>
      </x:c>
      <x:c r="C25" s="54" t="n">
        <x:v>585.9871780003232</x:v>
      </x:c>
      <x:c r="D25" s="54" t="n">
        <x:v>645.0332279991926</x:v>
      </x:c>
      <x:c r="E25" s="54" t="n">
        <x:v>888.147127799857</x:v>
      </x:c>
      <x:c r="F25" s="54" t="n">
        <x:v>135.6328125</x:v>
      </x:c>
    </x:row>
    <x:row r="26">
      <x:c r="A26" t="str">
        <x:v>A-005</x:v>
      </x:c>
      <x:c r="B26" t="n">
        <x:v>1000</x:v>
      </x:c>
      <x:c r="C26" s="54" t="n">
        <x:v>806.6423309992388</x:v>
      </x:c>
      <x:c r="D26" s="54" t="n">
        <x:v>907.3825960003887</x:v>
      </x:c>
      <x:c r="E26" s="54" t="n">
        <x:v>1230.2396648003196</x:v>
      </x:c>
      <x:c r="F26" s="54" t="n">
        <x:v>139.6171875</x:v>
      </x:c>
      <x:c r="H26" s="68" t="str">
        <x:v>R3.5A closure</x:v>
      </x:c>
      <x:c r="I26" s="68" t="str">
        <x:v>Value</x:v>
      </x:c>
      <x:c r="J26" s="68" t="str">
        <x:v>Interpretation</x:v>
      </x:c>
    </x:row>
    <x:row r="27">
      <x:c r="H27" s="72" t="str">
        <x:v>100→1000 p95</x:v>
      </x:c>
      <x:c r="I27" t="str">
        <x:v>6.41×</x:v>
      </x:c>
      <x:c r="J27" t="str">
        <x:v>Alarm count increased 10×</x:v>
      </x:c>
    </x:row>
    <x:row r="28">
      <x:c r="H28" s="72" t="str">
        <x:v>A-005 p95 budget</x:v>
      </x:c>
      <x:c r="I28" t="str">
        <x:v>18.15%</x:v>
      </x:c>
      <x:c r="J28" t="str">
        <x:v>907.38 ms of 5000 ms</x:v>
      </x:c>
    </x:row>
    <x:row r="30">
      <x:c r="A30" s="87" t="str">
        <x:v>Data pressure comparison</x:v>
      </x:c>
      <x:c r="B30" s="87" t="str">
        <x:v>Alarms</x:v>
      </x:c>
      <x:c r="C30" s="87" t="str">
        <x:v>Profile</x:v>
      </x:c>
      <x:c r="D30" s="87" t="str">
        <x:v>Source Columns</x:v>
      </x:c>
      <x:c r="E30" s="87" t="str">
        <x:v>p95 ms</x:v>
      </x:c>
      <x:c r="F30" s="87" t="str">
        <x:v>p99 ms</x:v>
      </x:c>
      <x:c r="G30" s="87" t="str">
        <x:v>Peak RSS MB</x:v>
      </x:c>
      <x:c r="I30" s="88" t="str">
        <x:v>B-002 finding</x:v>
      </x:c>
      <x:c r="J30" s="88" t="str">
        <x:v>Value</x:v>
      </x:c>
    </x:row>
    <x:row r="31">
      <x:c r="A31" t="str">
        <x:v>A-005</x:v>
      </x:c>
      <x:c r="B31" t="n">
        <x:v>1000</x:v>
      </x:c>
      <x:c r="C31" t="str">
        <x:v>shared-latest</x:v>
      </x:c>
      <x:c r="D31" t="n">
        <x:v>1</x:v>
      </x:c>
      <x:c r="E31" s="54" t="n">
        <x:v>907.3825960003887</x:v>
      </x:c>
      <x:c r="F31" s="54" t="n">
        <x:v>1230.2396648003196</x:v>
      </x:c>
      <x:c r="G31" s="54" t="n">
        <x:v>139.6171875</x:v>
      </x:c>
      <x:c r="I31" t="str">
        <x:v>Columns vs B-001</x:v>
      </x:c>
      <x:c r="J31" t="str">
        <x:v>3.00×</x:v>
      </x:c>
    </x:row>
    <x:row r="32">
      <x:c r="A32" t="str">
        <x:v>B-001</x:v>
      </x:c>
      <x:c r="B32" t="n">
        <x:v>1000</x:v>
      </x:c>
      <x:c r="C32" t="str">
        <x:v>latest-narrow</x:v>
      </x:c>
      <x:c r="D32" t="n">
        <x:v>1000</x:v>
      </x:c>
      <x:c r="E32" s="54" t="n">
        <x:v>1285.5415329995594</x:v>
      </x:c>
      <x:c r="F32" s="54" t="n">
        <x:v>1587.6863376004615</x:v>
      </x:c>
      <x:c r="G32" s="54" t="n">
        <x:v>142.03125</x:v>
      </x:c>
      <x:c r="I32" t="str">
        <x:v>Source-load p95</x:v>
      </x:c>
      <x:c r="J32" t="str">
        <x:v>17.45 ms</x:v>
      </x:c>
    </x:row>
    <x:row r="33">
      <x:c r="A33" t="str">
        <x:v>B-002</x:v>
      </x:c>
      <x:c r="B33" t="n">
        <x:v>1000</x:v>
      </x:c>
      <x:c r="C33" t="str">
        <x:v>latest-wide</x:v>
      </x:c>
      <x:c r="D33" t="n">
        <x:v>3000</x:v>
      </x:c>
      <x:c r="E33" s="54" t="n">
        <x:v>1084.9532180000097</x:v>
      </x:c>
      <x:c r="F33" s="54" t="n">
        <x:v>1423.1032609997783</x:v>
      </x:c>
      <x:c r="G33" s="54" t="n">
        <x:v>144.91015625</x:v>
      </x:c>
      <x:c r="I33" t="str">
        <x:v>Source-load p95 delta</x:v>
      </x:c>
      <x:c r="J33" t="str">
        <x:v>2.27×</x:v>
      </x:c>
    </x:row>
    <x:row r="34">
      <x:c r="I34" t="str">
        <x:v>Cycle p95 delta</x:v>
      </x:c>
      <x:c r="J34" t="str">
        <x:v>-15.6%</x:v>
      </x:c>
    </x:row>
    <x:row r="35">
      <x:c r="I35" t="str">
        <x:v>Source load / cycle p95</x:v>
      </x:c>
      <x:c r="J35" t="str">
        <x:v>~1.61%</x:v>
      </x:c>
    </x:row>
    <x:row r="37">
      <x:c r="A37" s="98" t="str">
        <x:v>Partition pressure comparison</x:v>
      </x:c>
      <x:c r="B37" s="98" t="str">
        <x:v>Alarms</x:v>
      </x:c>
      <x:c r="C37" s="98" t="str">
        <x:v>Source Columns</x:v>
      </x:c>
      <x:c r="D37" s="98" t="str">
        <x:v>Physical Partitions</x:v>
      </x:c>
      <x:c r="E37" s="98" t="str">
        <x:v>Source Load p95 ms</x:v>
      </x:c>
      <x:c r="F37" s="98" t="str">
        <x:v>Merge p95 ms</x:v>
      </x:c>
      <x:c r="G37" s="98" t="str">
        <x:v>Cycle p95 ms</x:v>
      </x:c>
      <x:c r="H37" s="98" t="str">
        <x:v>Peak RSS MB</x:v>
      </x:c>
      <x:c r="J37" s="109" t="str">
        <x:v>B-007 skew finding</x:v>
      </x:c>
      <x:c r="K37" s="109" t="str">
        <x:v>Value</x:v>
      </x:c>
    </x:row>
    <x:row r="38">
      <x:c r="A38" t="str">
        <x:v>B-001</x:v>
      </x:c>
      <x:c r="B38" t="n">
        <x:v>1000</x:v>
      </x:c>
      <x:c r="C38" t="n">
        <x:v>1000</x:v>
      </x:c>
      <x:c r="D38" t="n">
        <x:v>1</x:v>
      </x:c>
      <x:c r="E38" s="54" t="n">
        <x:v>7.693696999922395</x:v>
      </x:c>
      <x:c r="F38" s="54"/>
      <x:c r="G38" s="54" t="n">
        <x:v>1285.5415329995594</x:v>
      </x:c>
      <x:c r="H38" s="54" t="n">
        <x:v>142.03125</x:v>
      </x:c>
      <x:c r="J38" t="str">
        <x:v>Layout</x:v>
      </x:c>
      <x:c r="K38" t="str">
        <x:v>≈80/20</x:v>
      </x:c>
    </x:row>
    <x:row r="39">
      <x:c r="A39" t="str">
        <x:v>B-003</x:v>
      </x:c>
      <x:c r="B39" t="n">
        <x:v>1000</x:v>
      </x:c>
      <x:c r="C39" t="n">
        <x:v>1000</x:v>
      </x:c>
      <x:c r="D39" t="n">
        <x:v>4</x:v>
      </x:c>
      <x:c r="E39" s="54" t="n">
        <x:v>8.08684000003268</x:v>
      </x:c>
      <x:c r="F39" s="54" t="n">
        <x:v>0.1754949989845045</x:v>
      </x:c>
      <x:c r="G39" s="54" t="n">
        <x:v>992.8304490003939</x:v>
      </x:c>
      <x:c r="H39" s="54" t="n">
        <x:v>142.14453125</x:v>
      </x:c>
      <x:c r="J39" t="str">
        <x:v>p95 vs balanced</x:v>
      </x:c>
      <x:c r="K39" t="str">
        <x:v>+5.3%</x:v>
      </x:c>
    </x:row>
    <x:row r="40">
      <x:c r="A40" t="str">
        <x:v>B-004</x:v>
      </x:c>
      <x:c r="B40" t="n">
        <x:v>1000</x:v>
      </x:c>
      <x:c r="C40" t="n">
        <x:v>1000</x:v>
      </x:c>
      <x:c r="D40" t="n">
        <x:v>36</x:v>
      </x:c>
      <x:c r="E40" s="54" t="n">
        <x:v>25.373956999828806</x:v>
      </x:c>
      <x:c r="F40" s="54" t="n">
        <x:v>1.012687000184087</x:v>
      </x:c>
      <x:c r="G40" s="54" t="n">
        <x:v>1805.0333699993644</x:v>
      </x:c>
      <x:c r="H40" s="54" t="n">
        <x:v>141.50390625</x:v>
      </x:c>
      <x:c r="J40" t="str">
        <x:v>p99 vs balanced</x:v>
      </x:c>
      <x:c r="K40" t="str">
        <x:v>+3.2%</x:v>
      </x:c>
    </x:row>
    <x:row r="41">
      <x:c r="A41" t="str">
        <x:v>B-007</x:v>
      </x:c>
      <x:c r="B41" t="n">
        <x:v>1000</x:v>
      </x:c>
      <x:c r="C41" t="n">
        <x:v>1000</x:v>
      </x:c>
      <x:c r="D41" t="n">
        <x:v>36</x:v>
      </x:c>
      <x:c r="E41" s="54" t="n">
        <x:v>26.14674100004777</x:v>
      </x:c>
      <x:c r="F41" s="54" t="n">
        <x:v>1.103362999856472</x:v>
      </x:c>
      <x:c r="G41" s="54" t="n">
        <x:v>1899.9880939991272</x:v>
      </x:c>
      <x:c r="H41" s="54" t="n">
        <x:v>141.70703125</x:v>
      </x:c>
      <x:c r="J41" t="str">
        <x:v>Source-load p95</x:v>
      </x:c>
      <x:c r="K41" t="str">
        <x:v>26.15 ms</x:v>
      </x:c>
    </x:row>
    <x:row r="42">
      <x:c r="A42" t="str">
        <x:v>B-008</x:v>
      </x:c>
      <x:c r="B42" t="n">
        <x:v>1000</x:v>
      </x:c>
      <x:c r="C42" t="n">
        <x:v>1000</x:v>
      </x:c>
      <x:c r="D42" t="n">
        <x:v>36</x:v>
      </x:c>
      <x:c r="E42" s="54" t="n">
        <x:v>10.821471998497145</x:v>
      </x:c>
      <x:c r="F42" s="54" t="n">
        <x:v>1.0019420005846769</x:v>
      </x:c>
      <x:c r="G42" s="54" t="n">
        <x:v>1003.201858002285</x:v>
      </x:c>
      <x:c r="H42" s="54" t="n">
        <x:v>140.8671875</x:v>
      </x:c>
      <x:c r="J42" t="str">
        <x:v>Merge p95</x:v>
      </x:c>
      <x:c r="K42" t="str">
        <x:v>1.103 ms</x:v>
      </x:c>
    </x:row>
    <x:row r="43">
      <x:c r="A43" s="108" t="str">
        <x:v>Adaptive campaign policy</x:v>
      </x:c>
      <x:c r="B43" s="108" t="str">
        <x:v>Action</x:v>
      </x:c>
      <x:c r="C43" s="108" t="str">
        <x:v>Reason</x:v>
      </x:c>
      <x:c r="D43" s="108"/>
      <x:c r="E43" s="108"/>
      <x:c r="F43" s="108"/>
      <x:c r="G43" s="108"/>
      <x:c r="H43" s="108"/>
      <x:c r="J43" t="str">
        <x:v>Cycle p95 budget</x:v>
      </x:c>
      <x:c r="K43" t="str">
        <x:v>38.0% of 5 s</x:v>
      </x:c>
    </x:row>
    <x:row r="44">
      <x:c r="A44" s="32" t="str">
        <x:v>Large margin / low information</x:v>
      </x:c>
      <x:c r="B44" s="32" t="str">
        <x:v>Skip intermediate points</x:v>
      </x:c>
      <x:c r="C44" s="32" t="str">
        <x:v>Increase information per run</x:v>
      </x:c>
      <x:c r="D44"/>
      <x:c r="E44"/>
      <x:c r="F44"/>
      <x:c r="G44"/>
      <x:c r="H44"/>
      <x:c r="J44" t="str">
        <x:v>Next dimension</x:v>
      </x:c>
      <x:c r="K44" t="str">
        <x:v>mixed / missing</x:v>
      </x:c>
    </x:row>
    <x:row r="45">
      <x:c r="A45" s="32" t="str">
        <x:v>Material degradation, still GREEN</x:v>
      </x:c>
      <x:c r="B45" s="32" t="str">
        <x:v>Change dimension</x:v>
      </x:c>
      <x:c r="C45" s="32" t="str">
        <x:v>Test skew / heterogeneity before profiling</x:v>
      </x:c>
      <x:c r="D45"/>
      <x:c r="E45"/>
      <x:c r="F45"/>
      <x:c r="G45"/>
      <x:c r="H45"/>
    </x:row>
    <x:row r="46">
      <x:c r="A46" s="32" t="str">
        <x:v>Knee / integrity failure</x:v>
      </x:c>
      <x:c r="B46" s="32" t="str">
        <x:v>Narrow search or stop</x:v>
      </x:c>
      <x:c r="C46" s="32" t="str">
        <x:v>Localize boundary before continuing</x:v>
      </x:c>
      <x:c r="D46"/>
      <x:c r="E46"/>
      <x:c r="F46"/>
      <x:c r="G46"/>
      <x:c r="H46"/>
      <x:c r="J46" s="114" t="str">
        <x:v>B-008 adjudication</x:v>
      </x:c>
      <x:c r="K46" s="114" t="str">
        <x:v>Value</x:v>
      </x:c>
    </x:row>
    <x:row r="47">
      <x:c r="J47" t="str">
        <x:v>Raw harness result</x:v>
      </x:c>
      <x:c r="K47" t="str">
        <x:v>FAIL</x:v>
      </x:c>
    </x:row>
    <x:row r="48">
      <x:c r="J48" t="str">
        <x:v>Campaign result</x:v>
      </x:c>
      <x:c r="K48" t="str">
        <x:v>PASS-WITH-FINDINGS</x:v>
      </x:c>
    </x:row>
    <x:row r="49">
      <x:c r="J49" t="str">
        <x:v>Snapshot observed / expected</x:v>
      </x:c>
      <x:c r="K49" t="str">
        <x:v>880 / 880</x:v>
      </x:c>
    </x:row>
    <x:row r="50">
      <x:c r="J50" t="str">
        <x:v>Neutral INACTIVE alarms</x:v>
      </x:c>
      <x:c r="K50" t="str">
        <x:v>120</x:v>
      </x:c>
    </x:row>
    <x:row r="51">
      <x:c r="J51" t="str">
        <x:v>Next</x:v>
      </x:c>
      <x:c r="K51" t="str">
        <x:v>validate harness fix</x:v>
      </x:c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9706b9c6b905424c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  <x:row r="15">
      <x:c r="A15" t="str">
        <x:v>Source frame bytes</x:v>
      </x:c>
      <x:c r="B15" t="str">
        <x:v>Tamaño reportado por el harness para los datos materializados de la vista sintética.</x:v>
      </x:c>
      <x:c r="C15" t="str">
        <x:v>Sirve para comparar perfiles dentro del mismo harness.</x:v>
      </x:c>
      <x:c r="D15" t="str">
        <x:v>Interpretar como métrica relativa; no representa necesariamente todo el overhead Python/Pandas de columnas, índice y objetos.</x:v>
      </x:c>
      <x:c r="E15" t="str">
        <x:v>Harness</x:v>
      </x:c>
      <x:c r="F15" t="str">
        <x:v>B-001: 8132 bytes para 1 row × 1000 FLOAT columns.</x:v>
      </x:c>
    </x:row>
    <x:row r="16">
      <x:c r="A16" t="str">
        <x:v>Physical partitions</x:v>
      </x:c>
      <x:c r="B16" t="str">
        <x:v>Chunks físicos sintéticos que componen una única vista lógica DataPartition.LATEST antes de entregarla al Runtime.</x:v>
      </x:c>
      <x:c r="C16" t="str">
        <x:v>Permiten caracterizar costo de particionado y merge sin inventar nuevos valores del contrato DataPartition.</x:v>
      </x:c>
      <x:c r="D16" t="str">
        <x:v>No confundir con múltiples valores lógicos de DataPartition ni con múltiples fuentes.</x:v>
      </x:c>
      <x:c r="E16" t="str">
        <x:v>Harness</x:v>
      </x:c>
      <x:c r="F16" t="str">
        <x:v>B-003: 4 chunks balanceados de 250 columnas; mergeados a 1 LoadedDataSourceView de 1000 columnas.</x:v>
      </x:c>
    </x:row>
    <x:row r="17">
      <x:c r="A17" t="str">
        <x:v>Adaptive campaign</x:v>
      </x:c>
      <x:c r="B17" t="str">
        <x:v>Estrategia que aumenta el salto experimental cuando existe margen amplio y evita ejecutar puntos intermedios de bajo valor.</x:v>
      </x:c>
      <x:c r="C17" t="str">
        <x:v>Reduce tiempo total sin perder capacidad de detectar rodillas, porque permite volver a puntos intermedios si aparece degradación material.</x:v>
      </x:c>
      <x:c r="D17" t="str">
        <x:v>Supersede intermediate tests; never count them as PASS.</x:v>
      </x:c>
      <x:c r="E17" t="str">
        <x:v>R3.5 analysis</x:v>
      </x:c>
      <x:c r="F17" t="str">
        <x:v>Desde B-004: 4→36 partitions; 8/16/32 quedan Superseded, no Completed.</x:v>
      </x:c>
    </x:row>
    <x:row r="18">
      <x:c r="A18" t="str">
        <x:v>Neutral snapshot semantics</x:v>
      </x:c>
      <x:c r="B18" t="str">
        <x:v>Alarmas configuradas que no tienen occurrence, management_effect ni deactivation_effect no ocupan hot-state en GroupRuntimeSnapshot.</x:v>
      </x:c>
      <x:c r="C18" t="str">
        <x:v>Evita confundir cardinal de configuración con cardinal de estado durable y previene falsos FAIL en escenarios con evaluación inicial INACTIVE.</x:v>
      </x:c>
      <x:c r="D18" t="str">
        <x:v>Integrity gate must compare snapshot_alarm_count with expected materialized hot-state count, not configured alarm_count.</x:v>
      </x:c>
      <x:c r="E18" t="str">
        <x:v>Alarm Core / Runtime snapshot contract</x:v>
      </x:c>
      <x:c r="F18" t="str">
        <x:v>B-008: 1000 configured, 120 null→INACTIVE neutral, expected/observed snapshot = 880.</x:v>
      </x:c>
    </x:row>
  </x:sheetData>
  <x:mergeCells>
    <x:mergeCell ref="A1:F2"/>
  </x:mergeCells>
  <x:pageMargins left="0.7" right="0.7" top="0.75" bottom="0.75" header="0.3" footer="0.3"/>
</x:worksheet>
</file>