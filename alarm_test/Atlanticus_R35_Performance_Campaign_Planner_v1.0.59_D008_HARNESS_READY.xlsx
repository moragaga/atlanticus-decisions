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8b94b99abf14cb5" /></Relationships>
</file>

<file path=xl/workbook.xml><?xml version="1.0" encoding="utf-8"?>
<x:workbook xmlns:x="http://schemas.openxmlformats.org/spreadsheetml/2006/main">
  <x:sheets>
    <x:sheet xmlns:r="http://schemas.openxmlformats.org/officeDocument/2006/relationships" name="00_Control" sheetId="1" r:id="R8d642bf1c4ac40eb"/>
    <x:sheet xmlns:r="http://schemas.openxmlformats.org/officeDocument/2006/relationships" name="01_Test_Plan" sheetId="2" r:id="R4d8f66ad71704ab4"/>
    <x:sheet xmlns:r="http://schemas.openxmlformats.org/officeDocument/2006/relationships" name="02_Run_Results" sheetId="3" r:id="R59c130e2cd324ad3"/>
    <x:sheet xmlns:r="http://schemas.openxmlformats.org/officeDocument/2006/relationships" name="03_Findings" sheetId="4" r:id="R9a560b817036416e"/>
    <x:sheet xmlns:r="http://schemas.openxmlformats.org/officeDocument/2006/relationships" name="04_Decisions" sheetId="5" r:id="R88143b6d911443d9"/>
    <x:sheet xmlns:r="http://schemas.openxmlformats.org/officeDocument/2006/relationships" name="05_Dashboard" sheetId="6" r:id="Rcbcd9a6a0d9a415d"/>
    <x:sheet xmlns:r="http://schemas.openxmlformats.org/officeDocument/2006/relationships" name="06_Definitions" sheetId="7" r:id="R1268e45994104862"/>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2eab20cc66540ec" /><Relationship Type="http://schemas.openxmlformats.org/officeDocument/2006/relationships/theme" Target="/xl/theme/theme1.xml" Id="R865a47d8d24f4214" /><Relationship Type="http://schemas.microsoft.com/office/2022/11/relationships/FeaturePropertyBag" Target="/xl/featurePropertyBag/featurePropertyBag.xml" Id="R9ed6bf5edb0f45ab" /><Relationship Type="http://schemas.openxmlformats.org/officeDocument/2006/relationships/sharedStrings" Target="/xl/sharedStrings.xml" Id="R3a050bdc06d545b6" /><Relationship Type="http://schemas.openxmlformats.org/officeDocument/2006/relationships/worksheet" Target="/xl/worksheets/sheet1.xml" Id="R8d642bf1c4ac40eb" /><Relationship Type="http://schemas.openxmlformats.org/officeDocument/2006/relationships/worksheet" Target="/xl/worksheets/sheet2.xml" Id="R4d8f66ad71704ab4" /><Relationship Type="http://schemas.openxmlformats.org/officeDocument/2006/relationships/worksheet" Target="/xl/worksheets/sheet3.xml" Id="R59c130e2cd324ad3" /><Relationship Type="http://schemas.openxmlformats.org/officeDocument/2006/relationships/worksheet" Target="/xl/worksheets/sheet4.xml" Id="R9a560b817036416e" /><Relationship Type="http://schemas.openxmlformats.org/officeDocument/2006/relationships/worksheet" Target="/xl/worksheets/sheet5.xml" Id="R88143b6d911443d9" /><Relationship Type="http://schemas.openxmlformats.org/officeDocument/2006/relationships/worksheet" Target="/xl/worksheets/sheet6.xml" Id="Rcbcd9a6a0d9a415d" /><Relationship Type="http://schemas.openxmlformats.org/officeDocument/2006/relationships/worksheet" Target="/xl/worksheets/sheet7.xml" Id="R1268e45994104862" /></Relationships>
</file>

<file path=xl/drawings/_rels/drawing1.xml.rels>&#65279;<?xml version="1.0" encoding="utf-8"?><Relationships xmlns="http://schemas.openxmlformats.org/package/2006/relationships"><Relationship Type="http://schemas.openxmlformats.org/officeDocument/2006/relationships/chart" Target="/xl/drawings/charts/chart1.xml" Id="R73a8eed9c648408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3a8eed9c648408b"/>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5c46a8cd772479b" /></Relationships>
</file>

<file path=xl/worksheets/_rels/sheet6.xml.rels>&#65279;<?xml version="1.0" encoding="utf-8"?><Relationships xmlns="http://schemas.openxmlformats.org/package/2006/relationships"><Relationship Type="http://schemas.openxmlformats.org/officeDocument/2006/relationships/drawing" Target="/xl/drawings/drawing1.xml" Id="R87f224f27c734454"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1.0.59</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R3.5D IN PROGRESS — D-007 CLOSED PASS/GREEN; D-008 HARNESS READY 0.1.0</x:v>
      </x:c>
    </x:row>
    <x:row r="27">
      <x:c r="A27" s="21" t="str">
        <x:v>Siguiente test sugerido</x:v>
      </x:c>
      <x:c r="B27" t="str">
        <x:v>D-008 Python 3.14.2 + UV gate, then authoritative inverted-delivery run</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HARNESS READY 0.1.0. D-008 introduces one harness-only input source that serves both Management and DeactivationDecision streams in the same execution so delivery order can be inverted without invalidating domain time. Domain request timestamp remains +30 s; 50 decisions become logically and physically visible at +45 s; the 50 ManagementAction+deactivation_intent records are delivered at +60 s while retaining source_created_at=+30 s. The consumer instrumentation captures three persisted milestones: (1) decision cursor=12800, decision pending=50, receipts=0 while management cursor is unset; (2) management cursor=12800 with 50 durable PENDING_APPROVAL requests while the same 50 decisions remain pending and still have receipts=0; (3) later replay resolves exactly 50 APPLIED + 50 DeactivationEffect STARTED with final pending=0. Decision fresh exposure must total exactly 50 records; later processing must use pending read_at, not a second fresh delivery. Cursor-before-decision-receipt is intentional and is not a failure. Exact WAL target is 200 records (100 bootstrap + 50 request + 50 decision), with preserved occurrence/effective_until and durable==materialized. Four focused regressions added; expected full suite is 282 tests.</x:v>
      </x:c>
      <x:c r="R40" s="36" t="str">
        <x:v>Ready</x:v>
      </x:c>
      <x:c r="S40" s="36" t="str">
        <x:v>D-008 harness patch 0.1.0; D-007 PASS/GREEN; existing durable consumer pending contract</x:v>
      </x:c>
      <x:c r="T40" s="36" t="str">
        <x:v>Scope is exactly 7 files: baseline/metrics/run, their three commented mirrors and tests/test_performance_harness.py. No Core, Persistence, Runtime, version, dependency or lock change. Local static validation: production baseline/metrics/tests compile; run.py and commented run compile in temporary Python-3.13-compatible copies after changing only the pre-existing PEP 758 except syntax; semantic production↔commented token equivalence PASS for baseline/metrics/run. A local pytest collection attempt is not authoritative because this container lacks the stage's full Python 3.14.2 dependency environment. Authoritative Ruff/format + 282-test gate remains pending on GLONBW11.</x:v>
      </x:c>
      <x:c r="U40"/>
    </x:row>
    <x:row r="41">
      <x:c r="A41" s="36" t="str">
        <x:v>D-009</x:v>
      </x:c>
      <x:c r="B41" s="36" t="str">
        <x:v>R3.5D</x:v>
      </x:c>
      <x:c r="C41" s="36" t="n">
        <x:v>58</x:v>
      </x:c>
      <x:c r="D41" s="36" t="str">
        <x:v>Mixed Management + Decisions</x:v>
      </x:c>
      <x:c r="E41" s="36" t="str">
        <x:v>Control-plane mixto bajo carga</x:v>
      </x:c>
      <x:c r="F41" s="36" t="n">
        <x:v>1000</x:v>
      </x:c>
      <x:c r="G41" s="36" t="str">
        <x:v>Local FS</x:v>
      </x:c>
      <x:c r="H41" s="36" t="str">
        <x:v>Operational churn</x:v>
      </x:c>
      <x:c r="I41" s="36" t="str">
        <x:v>Baseline</x:v>
      </x:c>
      <x:c r="J41" s="36" t="str">
        <x:v>Mgmt + decisions continuous</x:v>
      </x:c>
      <x:c r="K41" s="36" t="str">
        <x:v>Stable config</x:v>
      </x:c>
      <x:c r="L41" s="36" t="n">
        <x:v>10</x:v>
      </x:c>
      <x:c r="M41" s="36" t="n">
        <x:v>5</x:v>
      </x:c>
      <x:c r="N41" s="36" t="n">
        <x:v>10</x:v>
      </x:c>
      <x:c r="O41" s="36" t="str">
        <x:v>Stress</x:v>
      </x:c>
      <x:c r="P41" s="36" t="str">
        <x:v>0 durable errors</x:v>
      </x:c>
      <x:c r="Q41" s="36" t="str">
        <x:v>Medir ambas latencias</x:v>
      </x:c>
      <x:c r="R41" s="36" t="str">
        <x:v>Planned</x:v>
      </x:c>
      <x:c r="S41" s="36" t="str">
        <x:v>D-008</x:v>
      </x:c>
      <x:c r="T41" s="36" t="str"/>
    </x:row>
    <x:row r="42">
      <x:c r="A42" s="36" t="str">
        <x:v>D-010</x:v>
      </x:c>
      <x:c r="B42" s="36" t="str">
        <x:v>R3.5D</x:v>
      </x:c>
      <x:c r="C42" s="36" t="n">
        <x:v>59</x:v>
      </x:c>
      <x:c r="D42" s="36" t="str">
        <x:v>Late decision after removal</x:v>
      </x:c>
      <x:c r="E42" s="36" t="str">
        <x:v>Validar STALE_TARGET bajo presión</x:v>
      </x:c>
      <x:c r="F42" s="36" t="n">
        <x:v>1000</x:v>
      </x:c>
      <x:c r="G42" s="36" t="str">
        <x:v>Local FS</x:v>
      </x:c>
      <x:c r="H42" s="36" t="str">
        <x:v>Operational churn</x:v>
      </x:c>
      <x:c r="I42" s="36" t="str">
        <x:v>Baseline</x:v>
      </x:c>
      <x:c r="J42" s="36" t="str">
        <x:v>Late decisions</x:v>
      </x:c>
      <x:c r="K42" s="36" t="str">
        <x:v>Alarm removed</x:v>
      </x:c>
      <x:c r="L42" s="36" t="n">
        <x:v>10</x:v>
      </x:c>
      <x:c r="M42" s="36" t="n">
        <x:v>5</x:v>
      </x:c>
      <x:c r="N42" s="36" t="n">
        <x:v>10</x:v>
      </x:c>
      <x:c r="O42" s="36" t="str">
        <x:v>Correctness</x:v>
      </x:c>
      <x:c r="P42" s="36" t="str">
        <x:v>STALE_TARGET correcto</x:v>
      </x:c>
      <x:c r="Q42" s="36" t="str">
        <x:v>Performance secundaria</x:v>
      </x:c>
      <x:c r="R42" s="36" t="str">
        <x:v>Planned</x:v>
      </x:c>
      <x:c r="S42" s="36" t="str">
        <x:v>D-009</x:v>
      </x:c>
      <x:c r="T42" s="36" t="str"/>
    </x:row>
    <x:row r="43">
      <x:c r="A43" s="36" t="str">
        <x:v>E-001</x:v>
      </x:c>
      <x:c r="B43" s="36" t="str">
        <x:v>R3.5E</x:v>
      </x:c>
      <x:c r="C43" s="36" t="n">
        <x:v>70</x:v>
      </x:c>
      <x:c r="D43" s="36" t="str">
        <x:v>Parameter-only adoption</x:v>
      </x:c>
      <x:c r="E43" s="36" t="str">
        <x:v>Medir adopción compatible sin commit artificial</x:v>
      </x:c>
      <x:c r="F43" s="36" t="n">
        <x:v>1000</x:v>
      </x:c>
      <x:c r="G43" s="36" t="str">
        <x:v>Local FS</x:v>
      </x:c>
      <x:c r="H43" s="36" t="str">
        <x:v>Operational churn</x:v>
      </x:c>
      <x:c r="I43" s="36" t="str">
        <x:v>Baseline</x:v>
      </x:c>
      <x:c r="J43" s="36" t="str">
        <x:v>None</x:v>
      </x:c>
      <x:c r="K43" s="36" t="str">
        <x:v>Parameter change</x:v>
      </x:c>
      <x:c r="L43" s="36" t="n">
        <x:v>10</x:v>
      </x:c>
      <x:c r="M43" s="36" t="n">
        <x:v>5</x:v>
      </x:c>
      <x:c r="N43" s="36" t="n">
        <x:v>10</x:v>
      </x:c>
      <x:c r="O43" s="36" t="str">
        <x:v>Config adoption</x:v>
      </x:c>
      <x:c r="P43" s="36" t="str">
        <x:v>0 duplicate durable effects</x:v>
      </x:c>
      <x:c r="Q43" s="36" t="str">
        <x:v>Resolution+planner+promotion</x:v>
      </x:c>
      <x:c r="R43" s="36" t="str">
        <x:v>Planned</x:v>
      </x:c>
      <x:c r="S43" s="36" t="str">
        <x:v>C-001</x:v>
      </x:c>
      <x:c r="T43" s="36" t="str"/>
    </x:row>
    <x:row r="44">
      <x:c r="A44" s="36" t="str">
        <x:v>E-002</x:v>
      </x:c>
      <x:c r="B44" s="36" t="str">
        <x:v>R3.5E</x:v>
      </x:c>
      <x:c r="C44" s="36" t="n">
        <x:v>71</x:v>
      </x:c>
      <x:c r="D44" s="36" t="str">
        <x:v>C2 routing adoption</x:v>
      </x:c>
      <x:c r="E44" s="36" t="str">
        <x:v>Medir reconciliación C2</x:v>
      </x:c>
      <x:c r="F44" s="36" t="n">
        <x:v>1000</x:v>
      </x:c>
      <x:c r="G44" s="36" t="str">
        <x:v>Local FS</x:v>
      </x:c>
      <x:c r="H44" s="36" t="str">
        <x:v>Operational churn</x:v>
      </x:c>
      <x:c r="I44" s="36" t="str">
        <x:v>C2-heavy</x:v>
      </x:c>
      <x:c r="J44" s="36" t="str">
        <x:v>None</x:v>
      </x:c>
      <x:c r="K44" s="36" t="str">
        <x:v>C2 routing change</x:v>
      </x:c>
      <x:c r="L44" s="36" t="n">
        <x:v>10</x:v>
      </x:c>
      <x:c r="M44" s="36" t="n">
        <x:v>5</x:v>
      </x:c>
      <x:c r="N44" s="36" t="n">
        <x:v>10</x:v>
      </x:c>
      <x:c r="O44" s="36" t="str">
        <x:v>Config adoption</x:v>
      </x:c>
      <x:c r="P44" s="36" t="str">
        <x:v>0 routing corruption</x:v>
      </x:c>
      <x:c r="Q44" s="36" t="str">
        <x:v>Adoption duration</x:v>
      </x:c>
      <x:c r="R44" s="36" t="str">
        <x:v>Planned</x:v>
      </x:c>
      <x:c r="S44" s="36" t="str">
        <x:v>E-001</x:v>
      </x:c>
      <x:c r="T44" s="36" t="str"/>
    </x:row>
    <x:row r="45">
      <x:c r="A45" s="36" t="str">
        <x:v>E-003</x:v>
      </x:c>
      <x:c r="B45" s="36" t="str">
        <x:v>R3.5E</x:v>
      </x:c>
      <x:c r="C45" s="36" t="n">
        <x:v>72</x:v>
      </x:c>
      <x:c r="D45" s="36" t="str">
        <x:v>Disabled 10%</x:v>
      </x:c>
      <x:c r="E45" s="36" t="str">
        <x:v>Medir cierres por config</x:v>
      </x:c>
      <x:c r="F45" s="36" t="n">
        <x:v>1000</x:v>
      </x:c>
      <x:c r="G45" s="36" t="str">
        <x:v>Local FS</x:v>
      </x:c>
      <x:c r="H45" s="36" t="str">
        <x:v>Operational churn</x:v>
      </x:c>
      <x:c r="I45" s="36" t="str">
        <x:v>Balanced</x:v>
      </x:c>
      <x:c r="J45" s="36" t="str">
        <x:v>None</x:v>
      </x:c>
      <x:c r="K45" s="36" t="str">
        <x:v>10% disabled</x:v>
      </x:c>
      <x:c r="L45" s="36" t="n">
        <x:v>10</x:v>
      </x:c>
      <x:c r="M45" s="36" t="n">
        <x:v>5</x:v>
      </x:c>
      <x:c r="N45" s="36" t="n">
        <x:v>10</x:v>
      </x:c>
      <x:c r="O45" s="36" t="str">
        <x:v>Config adoption</x:v>
      </x:c>
      <x:c r="P45" s="36" t="str">
        <x:v>correct closures</x:v>
      </x:c>
      <x:c r="Q45" s="36" t="str">
        <x:v>WAL/snapshot spike</x:v>
      </x:c>
      <x:c r="R45" s="36" t="str">
        <x:v>Planned</x:v>
      </x:c>
      <x:c r="S45" s="36" t="str">
        <x:v>E-001</x:v>
      </x:c>
      <x:c r="T45" s="36" t="str"/>
    </x:row>
    <x:row r="46">
      <x:c r="A46" s="36" t="str">
        <x:v>E-004</x:v>
      </x:c>
      <x:c r="B46" s="36" t="str">
        <x:v>R3.5E</x:v>
      </x:c>
      <x:c r="C46" s="36" t="n">
        <x:v>73</x:v>
      </x:c>
      <x:c r="D46" s="36" t="str">
        <x:v>Removed 10%</x:v>
      </x:c>
      <x:c r="E46" s="36" t="str">
        <x:v>Medir removal + orphan deactivation handling</x:v>
      </x:c>
      <x:c r="F46" s="36" t="n">
        <x:v>1000</x:v>
      </x:c>
      <x:c r="G46" s="36" t="str">
        <x:v>Local FS</x:v>
      </x:c>
      <x:c r="H46" s="36" t="str">
        <x:v>Operational churn</x:v>
      </x:c>
      <x:c r="I46" s="36" t="str">
        <x:v>Balanced</x:v>
      </x:c>
      <x:c r="J46" s="36" t="str">
        <x:v>None</x:v>
      </x:c>
      <x:c r="K46" s="36" t="str">
        <x:v>10% removed</x:v>
      </x:c>
      <x:c r="L46" s="36" t="n">
        <x:v>10</x:v>
      </x:c>
      <x:c r="M46" s="36" t="n">
        <x:v>5</x:v>
      </x:c>
      <x:c r="N46" s="36" t="n">
        <x:v>10</x:v>
      </x:c>
      <x:c r="O46" s="36" t="str">
        <x:v>Config adoption</x:v>
      </x:c>
      <x:c r="P46" s="36" t="str">
        <x:v>correct closures / preserved effects</x:v>
      </x:c>
      <x:c r="Q46" s="36" t="str">
        <x:v>Adoption duration</x:v>
      </x:c>
      <x:c r="R46" s="36" t="str">
        <x:v>Planned</x:v>
      </x:c>
      <x:c r="S46" s="36" t="str">
        <x:v>E-003</x:v>
      </x:c>
      <x:c r="T46" s="36" t="str"/>
    </x:row>
    <x:row r="47">
      <x:c r="A47" s="36" t="str">
        <x:v>E-005</x:v>
      </x:c>
      <x:c r="B47" s="36" t="str">
        <x:v>R3.5E</x:v>
      </x:c>
      <x:c r="C47" s="36" t="n">
        <x:v>74</x:v>
      </x:c>
      <x:c r="D47" s="36" t="str">
        <x:v>Structural reset 5%</x:v>
      </x:c>
      <x:c r="E47" s="36" t="str">
        <x:v>Medir resets y siguiente iteración inmediata</x:v>
      </x:c>
      <x:c r="F47" s="36" t="n">
        <x:v>1000</x:v>
      </x:c>
      <x:c r="G47" s="36" t="str">
        <x:v>Local FS</x:v>
      </x:c>
      <x:c r="H47" s="36" t="str">
        <x:v>Operational churn</x:v>
      </x:c>
      <x:c r="I47" s="36" t="str">
        <x:v>Mixed</x:v>
      </x:c>
      <x:c r="J47" s="36" t="str">
        <x:v>None</x:v>
      </x:c>
      <x:c r="K47" s="36" t="str">
        <x:v>5% structural reset</x:v>
      </x:c>
      <x:c r="L47" s="36" t="n">
        <x:v>10</x:v>
      </x:c>
      <x:c r="M47" s="36" t="n">
        <x:v>5</x:v>
      </x:c>
      <x:c r="N47" s="36" t="n">
        <x:v>10</x:v>
      </x:c>
      <x:c r="O47" s="36" t="str">
        <x:v>Config adoption</x:v>
      </x:c>
      <x:c r="P47" s="36" t="str">
        <x:v>1 durable unit/iteration</x:v>
      </x:c>
      <x:c r="Q47" s="36" t="str">
        <x:v>Bypass 0 delay</x:v>
      </x:c>
      <x:c r="R47" s="36" t="str">
        <x:v>Planned</x:v>
      </x:c>
      <x:c r="S47" s="36" t="str">
        <x:v>E-002</x:v>
      </x:c>
      <x:c r="T47" s="36" t="str"/>
    </x:row>
    <x:row r="48">
      <x:c r="A48" s="36" t="str">
        <x:v>E-006</x:v>
      </x:c>
      <x:c r="B48" s="36" t="str">
        <x:v>R3.5E</x:v>
      </x:c>
      <x:c r="C48" s="36" t="n">
        <x:v>75</x:v>
      </x:c>
      <x:c r="D48" s="36" t="str">
        <x:v>Large mixed revision</x:v>
      </x:c>
      <x:c r="E48" s="36" t="str">
        <x:v>Combinar compatible/disabled/removed/reset</x:v>
      </x:c>
      <x:c r="F48" s="36" t="n">
        <x:v>1000</x:v>
      </x:c>
      <x:c r="G48" s="36" t="str">
        <x:v>Local FS</x:v>
      </x:c>
      <x:c r="H48" s="36" t="str">
        <x:v>Operational churn</x:v>
      </x:c>
      <x:c r="I48" s="36" t="str">
        <x:v>Mixed</x:v>
      </x:c>
      <x:c r="J48" s="36" t="str">
        <x:v>None</x:v>
      </x:c>
      <x:c r="K48" s="36" t="str">
        <x:v>Large mixed revision</x:v>
      </x:c>
      <x:c r="L48" s="36" t="n">
        <x:v>10</x:v>
      </x:c>
      <x:c r="M48" s="36" t="n">
        <x:v>5</x:v>
      </x:c>
      <x:c r="N48" s="36" t="n">
        <x:v>10</x:v>
      </x:c>
      <x:c r="O48" s="36" t="str">
        <x:v>Stress</x:v>
      </x:c>
      <x:c r="P48" s="36" t="str">
        <x:v>0 durable errors</x:v>
      </x:c>
      <x:c r="Q48" s="36" t="str">
        <x:v>Caracterizar adoption peak</x:v>
      </x:c>
      <x:c r="R48" s="36" t="str">
        <x:v>Planned</x:v>
      </x:c>
      <x:c r="S48" s="36" t="str">
        <x:v>E-005</x:v>
      </x:c>
      <x:c r="T48" s="36" t="str"/>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d5c46a8cd772479b"/>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row>
    <x:row r="41">
      <x:c r="A41" s="32"/>
      <x:c r="B41" s="32"/>
      <x:c r="C41" s="42"/>
      <x:c r="D41" s="32"/>
      <x:c r="E41" s="32"/>
      <x:c r="F41" s="32"/>
      <x:c r="G41" s="32"/>
      <x:c r="H41" s="32"/>
      <x:c r="I41" s="32"/>
      <x:c r="J41" s="32"/>
      <x:c r="K41" s="32"/>
      <x:c r="L41" s="32"/>
      <x:c r="M41" s="32"/>
      <x:c r="N41" s="32"/>
      <x:c r="O41" s="32"/>
      <x:c r="P41" s="32"/>
      <x:c r="Q41" s="32"/>
      <x:c r="R41" s="32"/>
      <x:c r="S41" s="32"/>
      <x:c r="T41" s="43" t="str">
        <x:f>IFERROR(S41/L41,"")</x:f>
      </x:c>
      <x:c r="U41" s="32"/>
      <x:c r="V41" s="32"/>
      <x:c r="W41" s="32"/>
      <x:c r="X41" s="32"/>
      <x:c r="Y41" s="32"/>
      <x:c r="Z41" s="32"/>
      <x:c r="AA41" s="32"/>
      <x:c r="AB41" s="32"/>
      <x:c r="AC41" s="32"/>
      <x:c r="AD41" s="32"/>
      <x:c r="AE41" s="32"/>
      <x:c r="AF41" s="32"/>
      <x:c r="AG41" s="32"/>
      <x:c r="AH41" s="32"/>
      <x:c r="AI41" s="32"/>
      <x:c r="AJ41" s="32"/>
      <x:c r="AK41" s="32"/>
      <x:c r="AL41" s="32"/>
      <x:c r="AM41" s="32"/>
      <x:c r="AN41" s="32"/>
      <x:c r="AO41" s="32"/>
      <x:c r="AP41" s="32"/>
      <x:c r="AQ41" s="32"/>
      <x:c r="AR41" s="32"/>
      <x:c r="AS41" s="32"/>
      <x:c r="AT41" s="32"/>
      <x:c r="AU41" s="32"/>
      <x:c r="AV41" s="32"/>
      <x:c r="AW41" s="32"/>
      <x:c r="AX41" s="32"/>
      <x:c r="AZ41" s="32"/>
      <x:c r="BA41" s="32"/>
      <x:c r="BB41" s="32"/>
      <x:c r="BC41" s="32"/>
      <x:c r="BD41" s="32"/>
      <x:c r="BE41" s="32"/>
      <x:c r="BF41" s="32"/>
      <x:c r="BG41" s="32"/>
      <x:c r="BH41" s="32"/>
      <x:c r="BI41" s="32"/>
      <x:c r="BJ41" s="32"/>
      <x:c r="BK41" s="32"/>
      <x:c r="BL41" s="32"/>
      <x:c r="BM41" s="32"/>
    </x:row>
    <x:row r="42">
      <x:c r="A42" s="32"/>
      <x:c r="B42" s="32"/>
      <x:c r="C42" s="42"/>
      <x:c r="D42" s="32"/>
      <x:c r="E42" s="32"/>
      <x:c r="F42" s="32"/>
      <x:c r="G42" s="32"/>
      <x:c r="H42" s="32"/>
      <x:c r="I42" s="32"/>
      <x:c r="J42" s="32"/>
      <x:c r="K42" s="32"/>
      <x:c r="L42" s="32"/>
      <x:c r="M42" s="32"/>
      <x:c r="N42" s="32"/>
      <x:c r="O42" s="32"/>
      <x:c r="P42" s="32"/>
      <x:c r="Q42" s="32"/>
      <x:c r="R42" s="32"/>
      <x:c r="S42" s="32"/>
      <x:c r="T42" s="43" t="str">
        <x:f>IFERROR(S42/L42,"")</x:f>
      </x:c>
      <x:c r="U42" s="32"/>
      <x:c r="V42" s="32"/>
      <x:c r="W42" s="32"/>
      <x:c r="X42" s="32"/>
      <x:c r="Y42" s="32"/>
      <x:c r="Z42" s="32"/>
      <x:c r="AA42" s="32"/>
      <x:c r="AB42" s="32"/>
      <x:c r="AC42" s="32"/>
      <x:c r="AD42" s="32"/>
      <x:c r="AE42" s="32"/>
      <x:c r="AF42" s="32"/>
      <x:c r="AG42" s="32"/>
      <x:c r="AH42" s="32"/>
      <x:c r="AI42" s="32"/>
      <x:c r="AJ42" s="32"/>
      <x:c r="AK42" s="32"/>
      <x:c r="AL42" s="32"/>
      <x:c r="AM42" s="32"/>
      <x:c r="AN42" s="32"/>
      <x:c r="AO42" s="32"/>
      <x:c r="AP42" s="32"/>
      <x:c r="AQ42" s="32"/>
      <x:c r="AR42" s="32"/>
      <x:c r="AS42" s="32"/>
      <x:c r="AT42" s="32"/>
      <x:c r="AU42" s="32"/>
      <x:c r="AV42" s="32"/>
      <x:c r="AW42" s="32"/>
      <x:c r="AX42" s="32"/>
      <x:c r="AZ42" s="32"/>
      <x:c r="BA42" s="32"/>
      <x:c r="BB42" s="32"/>
      <x:c r="BC42" s="32"/>
      <x:c r="BD42" s="32"/>
      <x:c r="BE42" s="32"/>
      <x:c r="BF42" s="32"/>
      <x:c r="BG42" s="32"/>
      <x:c r="BH42" s="32"/>
      <x:c r="BI42" s="32"/>
      <x:c r="BJ42" s="32"/>
      <x:c r="BK42" s="32"/>
      <x:c r="BL42" s="32"/>
      <x:c r="BM42" s="32"/>
    </x:row>
    <x:row r="43">
      <x:c r="A43" s="32"/>
      <x:c r="B43" s="32"/>
      <x:c r="C43" s="42"/>
      <x:c r="D43" s="32"/>
      <x:c r="E43" s="32"/>
      <x:c r="F43" s="32"/>
      <x:c r="G43" s="32"/>
      <x:c r="H43" s="32"/>
      <x:c r="I43" s="32"/>
      <x:c r="J43" s="32"/>
      <x:c r="K43" s="32"/>
      <x:c r="L43" s="32"/>
      <x:c r="M43" s="32"/>
      <x:c r="N43" s="32"/>
      <x:c r="O43" s="32"/>
      <x:c r="P43" s="32"/>
      <x:c r="Q43" s="32"/>
      <x:c r="R43" s="32"/>
      <x:c r="S43" s="32"/>
      <x:c r="T43" s="43" t="str">
        <x:f>IFERROR(S43/L43,"")</x:f>
      </x:c>
      <x:c r="U43" s="32"/>
      <x:c r="V43" s="32"/>
      <x:c r="W43" s="32"/>
      <x:c r="X43" s="32"/>
      <x:c r="Y43" s="32"/>
      <x:c r="Z43" s="32"/>
      <x:c r="AA43" s="32"/>
      <x:c r="AB43" s="32"/>
      <x:c r="AC43" s="32"/>
      <x:c r="AD43" s="32"/>
      <x:c r="AE43" s="32"/>
      <x:c r="AF43" s="32"/>
      <x:c r="AG43" s="32"/>
      <x:c r="AH43" s="32"/>
      <x:c r="AI43" s="32"/>
      <x:c r="AJ43" s="32"/>
      <x:c r="AK43" s="32"/>
      <x:c r="AL43" s="32"/>
      <x:c r="AM43" s="32"/>
      <x:c r="AN43" s="32"/>
      <x:c r="AO43" s="32"/>
      <x:c r="AP43" s="32"/>
      <x:c r="AQ43" s="32"/>
      <x:c r="AR43" s="32"/>
      <x:c r="AS43" s="32"/>
      <x:c r="AT43" s="32"/>
      <x:c r="AU43" s="32"/>
      <x:c r="AV43" s="32"/>
      <x:c r="AW43" s="32"/>
      <x:c r="AX43" s="32"/>
      <x:c r="AZ43" s="32"/>
      <x:c r="BA43" s="32"/>
      <x:c r="BB43" s="32"/>
      <x:c r="BC43" s="32"/>
      <x:c r="BD43" s="32"/>
      <x:c r="BE43" s="32"/>
      <x:c r="BF43" s="32"/>
      <x:c r="BG43" s="32"/>
      <x:c r="BH43" s="32"/>
      <x:c r="BI43" s="32"/>
      <x:c r="BJ43" s="32"/>
      <x:c r="BK43" s="32"/>
      <x:c r="BL43" s="32"/>
      <x:c r="BM43" s="32"/>
    </x:row>
    <x:row r="44">
      <x:c r="A44" s="32"/>
      <x:c r="B44" s="32"/>
      <x:c r="C44" s="42"/>
      <x:c r="D44" s="32"/>
      <x:c r="E44" s="32"/>
      <x:c r="F44" s="32"/>
      <x:c r="G44" s="32"/>
      <x:c r="H44" s="32"/>
      <x:c r="I44" s="32"/>
      <x:c r="J44" s="32"/>
      <x:c r="K44" s="32"/>
      <x:c r="L44" s="32"/>
      <x:c r="M44" s="32"/>
      <x:c r="N44" s="32"/>
      <x:c r="O44" s="32"/>
      <x:c r="P44" s="32"/>
      <x:c r="Q44" s="32"/>
      <x:c r="R44" s="32"/>
      <x:c r="S44" s="32"/>
      <x:c r="T44" s="43" t="str">
        <x:f>IFERROR(S44/L44,"")</x:f>
      </x:c>
      <x:c r="U44" s="32"/>
      <x:c r="V44" s="32"/>
      <x:c r="W44" s="32"/>
      <x:c r="X44" s="32"/>
      <x:c r="Y44" s="32"/>
      <x:c r="Z44" s="32"/>
      <x:c r="AA44" s="32"/>
      <x:c r="AB44" s="32"/>
      <x:c r="AC44" s="32"/>
      <x:c r="AD44" s="32"/>
      <x:c r="AE44" s="32"/>
      <x:c r="AF44" s="32"/>
      <x:c r="AG44" s="32"/>
      <x:c r="AH44" s="32"/>
      <x:c r="AI44" s="32"/>
      <x:c r="AJ44" s="32"/>
      <x:c r="AK44" s="32"/>
      <x:c r="AL44" s="32"/>
      <x:c r="AM44" s="32"/>
      <x:c r="AN44" s="32"/>
      <x:c r="AO44" s="32"/>
      <x:c r="AP44" s="32"/>
      <x:c r="AQ44" s="32"/>
      <x:c r="AR44" s="32"/>
      <x:c r="AS44" s="32"/>
      <x:c r="AT44" s="32"/>
      <x:c r="AU44" s="32"/>
      <x:c r="AV44" s="32"/>
      <x:c r="AW44" s="32"/>
      <x:c r="AX44" s="32"/>
      <x:c r="AZ44" s="32"/>
      <x:c r="BA44" s="32"/>
      <x:c r="BB44" s="32"/>
      <x:c r="BC44" s="32"/>
      <x:c r="BD44" s="32"/>
      <x:c r="BE44" s="32"/>
      <x:c r="BF44" s="32"/>
      <x:c r="BG44" s="32"/>
      <x:c r="BH44" s="32"/>
      <x:c r="BI44" s="32"/>
      <x:c r="BJ44" s="32"/>
      <x:c r="BK44" s="32"/>
      <x:c r="BL44" s="32"/>
      <x:c r="BM44" s="32"/>
    </x:row>
    <x:row r="45">
      <x:c r="A45" s="32"/>
      <x:c r="B45" s="32"/>
      <x:c r="C45" s="42"/>
      <x:c r="D45" s="32"/>
      <x:c r="E45" s="32"/>
      <x:c r="F45" s="32"/>
      <x:c r="G45" s="32"/>
      <x:c r="H45" s="32"/>
      <x:c r="I45" s="32"/>
      <x:c r="J45" s="32"/>
      <x:c r="K45" s="32"/>
      <x:c r="L45" s="32"/>
      <x:c r="M45" s="32"/>
      <x:c r="N45" s="32"/>
      <x:c r="O45" s="32"/>
      <x:c r="P45" s="32"/>
      <x:c r="Q45" s="32"/>
      <x:c r="R45" s="32"/>
      <x:c r="S45" s="32"/>
      <x:c r="T45" s="43" t="str">
        <x:f>IFERROR(S45/L45,"")</x:f>
      </x:c>
      <x:c r="U45" s="32"/>
      <x:c r="V45" s="32"/>
      <x:c r="W45" s="32"/>
      <x:c r="X45" s="32"/>
      <x:c r="Y45" s="32"/>
      <x:c r="Z45" s="32"/>
      <x:c r="AA45" s="32"/>
      <x:c r="AB45" s="32"/>
      <x:c r="AC45" s="32"/>
      <x:c r="AD45" s="32"/>
      <x:c r="AE45" s="32"/>
      <x:c r="AF45" s="32"/>
      <x:c r="AG45" s="32"/>
      <x:c r="AH45" s="32"/>
      <x:c r="AI45" s="32"/>
      <x:c r="AJ45" s="32"/>
      <x:c r="AK45" s="32"/>
      <x:c r="AL45" s="32"/>
      <x:c r="AM45" s="32"/>
      <x:c r="AN45" s="32"/>
      <x:c r="AO45" s="32"/>
      <x:c r="AP45" s="32"/>
      <x:c r="AQ45" s="32"/>
      <x:c r="AR45" s="32"/>
      <x:c r="AS45" s="32"/>
      <x:c r="AT45" s="32"/>
      <x:c r="AU45" s="32"/>
      <x:c r="AV45" s="32"/>
      <x:c r="AW45" s="32"/>
      <x:c r="AX45" s="32"/>
      <x:c r="AZ45" s="32"/>
      <x:c r="BA45" s="32"/>
      <x:c r="BB45" s="32"/>
      <x:c r="BC45" s="32"/>
      <x:c r="BD45" s="32"/>
      <x:c r="BE45" s="32"/>
      <x:c r="BF45" s="32"/>
      <x:c r="BG45" s="32"/>
      <x:c r="BH45" s="32"/>
      <x:c r="BI45" s="32"/>
      <x:c r="BJ45" s="32"/>
      <x:c r="BK45" s="32"/>
      <x:c r="BL45" s="32"/>
      <x:c r="BM45" s="32"/>
    </x:row>
    <x:row r="46">
      <x:c r="A46" s="32"/>
      <x:c r="B46" s="32"/>
      <x:c r="C46" s="42"/>
      <x:c r="D46" s="32"/>
      <x:c r="E46" s="32"/>
      <x:c r="F46" s="32"/>
      <x:c r="G46" s="32"/>
      <x:c r="H46" s="32"/>
      <x:c r="I46" s="32"/>
      <x:c r="J46" s="32"/>
      <x:c r="K46" s="32"/>
      <x:c r="L46" s="32"/>
      <x:c r="M46" s="32"/>
      <x:c r="N46" s="32"/>
      <x:c r="O46" s="32"/>
      <x:c r="P46" s="32"/>
      <x:c r="Q46" s="32"/>
      <x:c r="R46" s="32"/>
      <x:c r="S46" s="32"/>
      <x:c r="T46" s="43" t="str">
        <x:f>IFERROR(S46/L46,"")</x:f>
      </x:c>
      <x:c r="U46" s="32"/>
      <x:c r="V46" s="32"/>
      <x:c r="W46" s="32"/>
      <x:c r="X46" s="32"/>
      <x:c r="Y46" s="32"/>
      <x:c r="Z46" s="32"/>
      <x:c r="AA46" s="32"/>
      <x:c r="AB46" s="32"/>
      <x:c r="AC46" s="32"/>
      <x:c r="AD46" s="32"/>
      <x:c r="AE46" s="32"/>
      <x:c r="AF46" s="32"/>
      <x:c r="AG46" s="32"/>
      <x:c r="AH46" s="32"/>
      <x:c r="AI46" s="32"/>
      <x:c r="AJ46" s="32"/>
      <x:c r="AK46" s="32"/>
      <x:c r="AL46" s="32"/>
      <x:c r="AM46" s="32"/>
      <x:c r="AN46" s="32"/>
      <x:c r="AO46" s="32"/>
      <x:c r="AP46" s="32"/>
      <x:c r="AQ46" s="32"/>
      <x:c r="AR46" s="32"/>
      <x:c r="AS46" s="32"/>
      <x:c r="AT46" s="32"/>
      <x:c r="AU46" s="32"/>
      <x:c r="AV46" s="32"/>
      <x:c r="AW46" s="32"/>
      <x:c r="AX46" s="32"/>
      <x:c r="AZ46" s="32"/>
      <x:c r="BA46" s="32"/>
      <x:c r="BB46" s="32"/>
      <x:c r="BC46" s="32"/>
      <x:c r="BD46" s="32"/>
      <x:c r="BE46" s="32"/>
      <x:c r="BF46" s="32"/>
      <x:c r="BG46" s="32"/>
      <x:c r="BH46" s="32"/>
      <x:c r="BI46" s="32"/>
      <x:c r="BJ46" s="32"/>
      <x:c r="BK46" s="32"/>
      <x:c r="BL46" s="32"/>
      <x:c r="BM46" s="32"/>
    </x:row>
    <x:row r="47">
      <x:c r="A47" s="32"/>
      <x:c r="B47" s="32"/>
      <x:c r="C47" s="42"/>
      <x:c r="D47" s="32"/>
      <x:c r="E47" s="32"/>
      <x:c r="F47" s="32"/>
      <x:c r="G47" s="32"/>
      <x:c r="H47" s="32"/>
      <x:c r="I47" s="32"/>
      <x:c r="J47" s="32"/>
      <x:c r="K47" s="32"/>
      <x:c r="L47" s="32"/>
      <x:c r="M47" s="32"/>
      <x:c r="N47" s="32"/>
      <x:c r="O47" s="32"/>
      <x:c r="P47" s="32"/>
      <x:c r="Q47" s="32"/>
      <x:c r="R47" s="32"/>
      <x:c r="S47" s="32"/>
      <x:c r="T47" s="43" t="str">
        <x:f>IFERROR(S47/L47,"")</x:f>
      </x:c>
      <x:c r="U47" s="32"/>
      <x:c r="V47" s="32"/>
      <x:c r="W47" s="32"/>
      <x:c r="X47" s="32"/>
      <x:c r="Y47" s="32"/>
      <x:c r="Z47" s="32"/>
      <x:c r="AA47" s="32"/>
      <x:c r="AB47" s="32"/>
      <x:c r="AC47" s="32"/>
      <x:c r="AD47" s="32"/>
      <x:c r="AE47" s="32"/>
      <x:c r="AF47" s="32"/>
      <x:c r="AG47" s="32"/>
      <x:c r="AH47" s="32"/>
      <x:c r="AI47" s="32"/>
      <x:c r="AJ47" s="32"/>
      <x:c r="AK47" s="32"/>
      <x:c r="AL47" s="32"/>
      <x:c r="AM47" s="32"/>
      <x:c r="AN47" s="32"/>
      <x:c r="AO47" s="32"/>
      <x:c r="AP47" s="32"/>
      <x:c r="AQ47" s="32"/>
      <x:c r="AR47" s="32"/>
      <x:c r="AS47" s="32"/>
      <x:c r="AT47" s="32"/>
      <x:c r="AU47" s="32"/>
      <x:c r="AV47" s="32"/>
      <x:c r="AW47" s="32"/>
      <x:c r="AX47" s="32"/>
      <x:c r="AZ47" s="32"/>
      <x:c r="BA47" s="32"/>
      <x:c r="BB47" s="32"/>
      <x:c r="BC47" s="32"/>
      <x:c r="BD47" s="32"/>
      <x:c r="BE47" s="32"/>
      <x:c r="BF47" s="32"/>
      <x:c r="BG47" s="32"/>
      <x:c r="BH47" s="32"/>
      <x:c r="BI47" s="32"/>
      <x:c r="BJ47" s="32"/>
      <x:c r="BK47" s="32"/>
      <x:c r="BL47" s="32"/>
      <x:c r="BM47" s="32"/>
    </x:row>
    <x:row r="48">
      <x:c r="A48" s="32"/>
      <x:c r="B48" s="32"/>
      <x:c r="C48" s="42"/>
      <x:c r="D48" s="32"/>
      <x:c r="E48" s="32"/>
      <x:c r="F48" s="32"/>
      <x:c r="G48" s="32"/>
      <x:c r="H48" s="32"/>
      <x:c r="I48" s="32"/>
      <x:c r="J48" s="32"/>
      <x:c r="K48" s="32"/>
      <x:c r="L48" s="32"/>
      <x:c r="M48" s="32"/>
      <x:c r="N48" s="32"/>
      <x:c r="O48" s="32"/>
      <x:c r="P48" s="32"/>
      <x:c r="Q48" s="32"/>
      <x:c r="R48" s="32"/>
      <x:c r="S48" s="32"/>
      <x:c r="T48" s="43" t="str">
        <x:f>IFERROR(S48/L48,"")</x:f>
      </x:c>
      <x:c r="U48" s="32"/>
      <x:c r="V48" s="32"/>
      <x:c r="W48" s="32"/>
      <x:c r="X48" s="32"/>
      <x:c r="Y48" s="32"/>
      <x:c r="Z48" s="32"/>
      <x:c r="AA48" s="32"/>
      <x:c r="AB48" s="32"/>
      <x:c r="AC48" s="32"/>
      <x:c r="AD48" s="32"/>
      <x:c r="AE48" s="32"/>
      <x:c r="AF48" s="32"/>
      <x:c r="AG48" s="32"/>
      <x:c r="AH48" s="32"/>
      <x:c r="AI48" s="32"/>
      <x:c r="AJ48" s="32"/>
      <x:c r="AK48" s="32"/>
      <x:c r="AL48" s="32"/>
      <x:c r="AM48" s="32"/>
      <x:c r="AN48" s="32"/>
      <x:c r="AO48" s="32"/>
      <x:c r="AP48" s="32"/>
      <x:c r="AQ48" s="32"/>
      <x:c r="AR48" s="32"/>
      <x:c r="AS48" s="32"/>
      <x:c r="AT48" s="32"/>
      <x:c r="AU48" s="32"/>
      <x:c r="AV48" s="32"/>
      <x:c r="AW48" s="32"/>
      <x:c r="AX48" s="32"/>
      <x:c r="AZ48" s="32"/>
      <x:c r="BA48" s="32"/>
      <x:c r="BB48" s="32"/>
      <x:c r="BC48" s="32"/>
      <x:c r="BD48" s="32"/>
      <x:c r="BE48" s="32"/>
      <x:c r="BF48" s="32"/>
      <x:c r="BG48" s="32"/>
      <x:c r="BH48" s="32"/>
      <x:c r="BI48" s="32"/>
      <x:c r="BJ48" s="32"/>
      <x:c r="BK48" s="32"/>
      <x:c r="BL48" s="32"/>
      <x:c r="BM48" s="32"/>
    </x:row>
    <x:row r="49">
      <x:c r="A49" s="32"/>
      <x:c r="B49" s="32"/>
      <x:c r="C49" s="42"/>
      <x:c r="D49" s="32"/>
      <x:c r="E49" s="32"/>
      <x:c r="F49" s="32"/>
      <x:c r="G49" s="32"/>
      <x:c r="H49" s="32"/>
      <x:c r="I49" s="32"/>
      <x:c r="J49" s="32"/>
      <x:c r="K49" s="32"/>
      <x:c r="L49" s="32"/>
      <x:c r="M49" s="32"/>
      <x:c r="N49" s="32"/>
      <x:c r="O49" s="32"/>
      <x:c r="P49" s="32"/>
      <x:c r="Q49" s="32"/>
      <x:c r="R49" s="32"/>
      <x:c r="S49" s="32"/>
      <x:c r="T49" s="43" t="str">
        <x:f>IFERROR(S49/L49,"")</x:f>
      </x:c>
      <x:c r="U49" s="32"/>
      <x:c r="V49" s="32"/>
      <x:c r="W49" s="32"/>
      <x:c r="X49" s="32"/>
      <x:c r="Y49" s="32"/>
      <x:c r="Z49" s="32"/>
      <x:c r="AA49" s="32"/>
      <x:c r="AB49" s="32"/>
      <x:c r="AC49" s="32"/>
      <x:c r="AD49" s="32"/>
      <x:c r="AE49" s="32"/>
      <x:c r="AF49" s="32"/>
      <x:c r="AG49" s="32"/>
      <x:c r="AH49" s="32"/>
      <x:c r="AI49" s="32"/>
      <x:c r="AJ49" s="32"/>
      <x:c r="AK49" s="32"/>
      <x:c r="AL49" s="32"/>
      <x:c r="AM49" s="32"/>
      <x:c r="AN49" s="32"/>
      <x:c r="AO49" s="32"/>
      <x:c r="AP49" s="32"/>
      <x:c r="AQ49" s="32"/>
      <x:c r="AR49" s="32"/>
      <x:c r="AS49" s="32"/>
      <x:c r="AT49" s="32"/>
      <x:c r="AU49" s="32"/>
      <x:c r="AV49" s="32"/>
      <x:c r="AW49" s="32"/>
      <x:c r="AX49" s="32"/>
      <x:c r="AZ49" s="32"/>
      <x:c r="BA49" s="32"/>
      <x:c r="BB49" s="32"/>
      <x:c r="BC49" s="32"/>
      <x:c r="BD49" s="32"/>
      <x:c r="BE49" s="32"/>
      <x:c r="BF49" s="32"/>
      <x:c r="BG49" s="32"/>
      <x:c r="BH49" s="32"/>
      <x:c r="BI49" s="32"/>
      <x:c r="BJ49" s="32"/>
      <x:c r="BK49" s="32"/>
      <x:c r="BL49" s="32"/>
      <x:c r="BM49" s="32"/>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x:c r="B83" s="32"/>
      <x:c r="C83" s="32"/>
      <x:c r="D83" s="32"/>
      <x:c r="E83" s="32"/>
      <x:c r="F83" s="32"/>
      <x:c r="G83" s="32"/>
      <x:c r="H83" s="32"/>
      <x:c r="I83" s="32"/>
      <x:c r="J83" s="32"/>
      <x:c r="K83" s="32"/>
      <x:c r="L83" s="32"/>
    </x:row>
    <x:row r="84">
      <x:c r="A84" s="32"/>
      <x:c r="B84" s="32"/>
      <x:c r="C84" s="32"/>
      <x:c r="D84" s="32"/>
      <x:c r="E84" s="32"/>
      <x:c r="F84" s="32"/>
      <x:c r="G84" s="32"/>
      <x:c r="H84" s="32"/>
      <x:c r="I84" s="32"/>
      <x:c r="J84" s="32"/>
      <x:c r="K84" s="32"/>
      <x:c r="L84" s="32"/>
    </x:row>
    <x:row r="85">
      <x:c r="A85" s="32"/>
      <x:c r="B85" s="32"/>
      <x:c r="C85" s="32"/>
      <x:c r="D85" s="32"/>
      <x:c r="E85" s="32"/>
      <x:c r="F85" s="32"/>
      <x:c r="G85" s="32"/>
      <x:c r="H85" s="32"/>
      <x:c r="I85" s="32"/>
      <x:c r="J85" s="32"/>
      <x:c r="K85" s="32"/>
      <x:c r="L85" s="32"/>
    </x:row>
    <x:row r="86">
      <x:c r="A86" s="32"/>
      <x:c r="B86" s="32"/>
      <x:c r="C86" s="32"/>
      <x:c r="D86" s="32"/>
      <x:c r="E86" s="32"/>
      <x:c r="F86" s="32"/>
      <x:c r="G86" s="32"/>
      <x:c r="H86" s="32"/>
      <x:c r="I86" s="32"/>
      <x:c r="J86" s="32"/>
      <x:c r="K86" s="32"/>
      <x:c r="L86" s="32"/>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x:c r="B69" s="32"/>
      <x:c r="C69" s="32"/>
      <x:c r="D69" s="32"/>
      <x:c r="E69" s="32"/>
      <x:c r="F69" s="32"/>
      <x:c r="G69" s="32"/>
      <x:c r="H69" s="32"/>
      <x:c r="I69" s="32"/>
    </x:row>
    <x:row r="70">
      <x:c r="A70" s="32"/>
      <x:c r="B70" s="32"/>
      <x:c r="C70" s="32"/>
      <x:c r="D70" s="32"/>
      <x:c r="E70" s="32"/>
      <x:c r="F70" s="32"/>
      <x:c r="G70" s="32"/>
      <x:c r="H70" s="32"/>
      <x:c r="I70" s="32"/>
    </x:row>
    <x:row r="71">
      <x:c r="A71" s="32"/>
      <x:c r="B71" s="32"/>
      <x:c r="C71" s="32"/>
      <x:c r="D71" s="32"/>
      <x:c r="E71" s="32"/>
      <x:c r="F71" s="32"/>
      <x:c r="G71" s="32"/>
      <x:c r="H71" s="32"/>
      <x:c r="I71" s="32"/>
    </x:row>
    <x:row r="72">
      <x:c r="A72" s="32"/>
      <x:c r="B72" s="32"/>
      <x:c r="C72" s="32"/>
      <x:c r="D72" s="32"/>
      <x:c r="E72" s="32"/>
      <x:c r="F72" s="32"/>
      <x:c r="G72" s="32"/>
      <x:c r="H72" s="32"/>
      <x:c r="I72" s="32"/>
    </x:row>
    <x:row r="73">
      <x:c r="A73" s="32"/>
      <x:c r="B73" s="32"/>
      <x:c r="C73" s="32"/>
      <x:c r="D73" s="32"/>
      <x:c r="E73" s="32"/>
      <x:c r="F73" s="32"/>
      <x:c r="G73" s="32"/>
      <x:c r="H73" s="32"/>
      <x:c r="I73" s="32"/>
    </x:row>
    <x:row r="74">
      <x:c r="A74" s="32"/>
      <x:c r="B74" s="32"/>
      <x:c r="C74" s="32"/>
      <x:c r="D74" s="32"/>
      <x:c r="E74" s="32"/>
      <x:c r="F74" s="32"/>
      <x:c r="G74" s="32"/>
      <x:c r="H74" s="32"/>
      <x:c r="I74" s="32"/>
    </x:row>
    <x:row r="75">
      <x:c r="A75" s="32"/>
      <x:c r="B75" s="32"/>
      <x:c r="C75" s="32"/>
      <x:c r="D75" s="32"/>
      <x:c r="E75" s="32"/>
      <x:c r="F75" s="32"/>
      <x:c r="G75" s="32"/>
      <x:c r="H75" s="32"/>
      <x:c r="I75" s="32"/>
    </x:row>
    <x:row r="76">
      <x:c r="A76" s="32"/>
      <x:c r="B76" s="32"/>
      <x:c r="C76" s="32"/>
      <x:c r="D76" s="32"/>
      <x:c r="E76" s="32"/>
      <x:c r="F76" s="32"/>
      <x:c r="G76" s="32"/>
      <x:c r="H76" s="32"/>
      <x:c r="I76" s="32"/>
    </x:row>
    <x:row r="77">
      <x:c r="A77" s="32"/>
      <x:c r="B77" s="32"/>
      <x:c r="C77" s="32"/>
      <x:c r="D77" s="32"/>
      <x:c r="E77" s="32"/>
      <x:c r="F77" s="32"/>
      <x:c r="G77" s="32"/>
      <x:c r="H77" s="32"/>
      <x:c r="I77" s="32"/>
    </x:row>
    <x:row r="78">
      <x:c r="A78" s="32"/>
      <x:c r="B78" s="32"/>
      <x:c r="C78" s="32"/>
      <x:c r="D78" s="32"/>
      <x:c r="E78" s="32"/>
      <x:c r="F78" s="32"/>
      <x:c r="G78" s="32"/>
      <x:c r="H78" s="32"/>
      <x:c r="I78" s="32"/>
    </x:row>
    <x:row r="79">
      <x:c r="A79" s="32"/>
      <x:c r="B79" s="32"/>
      <x:c r="C79" s="32"/>
      <x:c r="D79" s="32"/>
      <x:c r="E79" s="32"/>
      <x:c r="F79" s="32"/>
      <x:c r="G79" s="32"/>
      <x:c r="H79" s="32"/>
      <x:c r="I79" s="32"/>
    </x:row>
    <x:row r="80">
      <x:c r="A80" s="32"/>
      <x:c r="B80" s="32"/>
      <x:c r="C80" s="32"/>
      <x:c r="D80" s="32"/>
      <x:c r="E80" s="32"/>
      <x:c r="F80" s="32"/>
      <x:c r="G80" s="32"/>
      <x:c r="H80" s="32"/>
      <x:c r="I80" s="32"/>
    </x:row>
    <x:row r="81">
      <x:c r="A81" s="32"/>
      <x:c r="B81" s="32"/>
      <x:c r="C81" s="32"/>
      <x:c r="D81" s="32"/>
      <x:c r="E81" s="32"/>
      <x:c r="F81" s="32"/>
      <x:c r="G81" s="32"/>
      <x:c r="H81" s="32"/>
      <x:c r="I81" s="32"/>
    </x:row>
    <x:row r="82">
      <x:c r="A82" s="32"/>
      <x:c r="B82" s="32"/>
      <x:c r="C82" s="32"/>
      <x:c r="D82" s="32"/>
      <x:c r="E82" s="32"/>
      <x:c r="F82" s="32"/>
      <x:c r="G82" s="32"/>
      <x:c r="H82" s="32"/>
      <x:c r="I82" s="32"/>
    </x:row>
    <x:row r="83">
      <x:c r="A83" s="32"/>
      <x:c r="B83" s="32"/>
      <x:c r="C83" s="32"/>
      <x:c r="D83" s="32"/>
      <x:c r="E83" s="32"/>
      <x:c r="F83" s="32"/>
      <x:c r="G83" s="32"/>
      <x:c r="H83" s="32"/>
      <x:c r="I83" s="32"/>
    </x:row>
    <x:row r="84">
      <x:c r="A84" s="32"/>
      <x:c r="B84" s="32"/>
      <x:c r="C84" s="32"/>
      <x:c r="D84" s="32"/>
      <x:c r="E84" s="32"/>
      <x:c r="F84" s="32"/>
      <x:c r="G84" s="32"/>
      <x:c r="H84" s="32"/>
      <x:c r="I84" s="32"/>
    </x:row>
    <x:row r="85">
      <x:c r="A85" s="32"/>
      <x:c r="B85" s="32"/>
      <x:c r="C85" s="32"/>
      <x:c r="D85" s="32"/>
      <x:c r="E85" s="32"/>
      <x:c r="F85" s="32"/>
      <x:c r="G85" s="32"/>
      <x:c r="H85" s="32"/>
      <x:c r="I85" s="32"/>
    </x:row>
    <x:row r="86">
      <x:c r="A86" s="32"/>
      <x:c r="B86" s="32"/>
      <x:c r="C86" s="32"/>
      <x:c r="D86" s="32"/>
      <x:c r="E86" s="32"/>
      <x:c r="F86" s="32"/>
      <x:c r="G86" s="32"/>
      <x:c r="H86" s="32"/>
      <x:c r="I86" s="32"/>
    </x:row>
    <x:row r="87">
      <x:c r="A87" s="32"/>
      <x:c r="B87" s="32"/>
      <x:c r="C87" s="32"/>
      <x:c r="D87" s="32"/>
      <x:c r="E87" s="32"/>
      <x:c r="F87" s="32"/>
      <x:c r="G87" s="32"/>
      <x:c r="H87" s="32"/>
      <x:c r="I87" s="32"/>
    </x:row>
    <x:row r="88">
      <x:c r="A88" s="32"/>
      <x:c r="B88" s="32"/>
      <x:c r="C88" s="32"/>
      <x:c r="D88" s="32"/>
      <x:c r="E88" s="32"/>
      <x:c r="F88" s="32"/>
      <x:c r="G88" s="32"/>
      <x:c r="H88" s="32"/>
      <x:c r="I88" s="32"/>
    </x:row>
    <x:row r="89">
      <x:c r="A89" s="32"/>
      <x:c r="B89" s="32"/>
      <x:c r="C89" s="32"/>
      <x:c r="D89" s="32"/>
      <x:c r="E89" s="32"/>
      <x:c r="F89" s="32"/>
      <x:c r="G89" s="32"/>
      <x:c r="H89" s="32"/>
      <x:c r="I89" s="32"/>
    </x:row>
    <x:row r="90">
      <x:c r="A90" s="32"/>
      <x:c r="B90" s="32"/>
      <x:c r="C90" s="32"/>
      <x:c r="D90" s="32"/>
      <x:c r="E90" s="32"/>
      <x:c r="F90" s="32"/>
      <x:c r="G90" s="32"/>
      <x:c r="H90" s="32"/>
      <x:c r="I90" s="32"/>
    </x:row>
    <x:row r="91">
      <x:c r="A91" s="32"/>
      <x:c r="B91" s="32"/>
      <x:c r="C91" s="32"/>
      <x:c r="D91" s="32"/>
      <x:c r="E91" s="32"/>
      <x:c r="F91" s="32"/>
      <x:c r="G91" s="32"/>
      <x:c r="H91" s="32"/>
      <x:c r="I91" s="32"/>
    </x:row>
    <x:row r="92">
      <x:c r="A92" s="32"/>
      <x:c r="B92" s="32"/>
      <x:c r="C92" s="32"/>
      <x:c r="D92" s="32"/>
      <x:c r="E92" s="32"/>
      <x:c r="F92" s="32"/>
      <x:c r="G92" s="32"/>
      <x:c r="H92" s="32"/>
      <x:c r="I92" s="32"/>
    </x:row>
    <x:row r="93">
      <x:c r="A93" s="32"/>
      <x:c r="B93" s="32"/>
      <x:c r="C93" s="32"/>
      <x:c r="D93" s="32"/>
      <x:c r="E93" s="32"/>
      <x:c r="F93" s="32"/>
      <x:c r="G93" s="32"/>
      <x:c r="H93" s="32"/>
      <x:c r="I93" s="32"/>
    </x:row>
    <x:row r="94">
      <x:c r="A94" s="32"/>
      <x:c r="B94" s="32"/>
      <x:c r="C94" s="32"/>
      <x:c r="D94" s="32"/>
      <x:c r="E94" s="32"/>
      <x:c r="F94" s="32"/>
      <x:c r="G94" s="32"/>
      <x:c r="H94" s="32"/>
      <x:c r="I94" s="32"/>
    </x:row>
    <x:row r="95">
      <x:c r="A95" s="32"/>
      <x:c r="B95" s="32"/>
      <x:c r="C95" s="32"/>
      <x:c r="D95" s="32"/>
      <x:c r="E95" s="32"/>
      <x:c r="F95" s="32"/>
      <x:c r="G95" s="32"/>
      <x:c r="H95" s="32"/>
      <x:c r="I95" s="32"/>
    </x:row>
    <x:row r="96">
      <x:c r="A96" s="32"/>
      <x:c r="B96" s="32"/>
      <x:c r="C96" s="32"/>
      <x:c r="D96" s="32"/>
      <x:c r="E96" s="32"/>
      <x:c r="F96" s="32"/>
      <x:c r="G96" s="32"/>
      <x:c r="H96" s="32"/>
      <x:c r="I96" s="32"/>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31</x:v>
      </x:c>
      <x:c r="J5" t="str">
        <x:v>GREEN</x:v>
      </x:c>
    </x:row>
    <x:row r="6">
      <x:c r="A6" s="21" t="str">
        <x:v>Completed</x:v>
      </x:c>
      <x:c r="B6" t="n">
        <x:v>34</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7</x:v>
      </x:c>
      <x:c r="H8" s="21" t="str">
        <x:v>OBSERVED</x:v>
      </x:c>
      <x:c r="I8" t="n">
        <x:v>1</x:v>
      </x:c>
      <x:c r="J8" t="str">
        <x:v>N/A</x:v>
      </x:c>
    </x:row>
    <x:row r="9">
      <x:c r="A9" s="21" t="str">
        <x:v>Completion %</x:v>
      </x:c>
      <x:c r="B9" s="38" t="n">
        <x:v>0.5483870967741935</x:v>
      </x:c>
      <x:c r="D9" s="21" t="str">
        <x:v>R3.5E</x:v>
      </x:c>
      <x:c r="E9" t="n">
        <x:f>COUNTIF('01_Test_Plan'!B5:B200,D9)</x:f>
        <x:v>12</x:v>
      </x:c>
      <x:c r="F9" t="n">
        <x:f>COUNTIFS('01_Test_Plan'!B5:B200,D9,'01_Test_Plan'!R5:R200,"Completed")</x:f>
        <x:v>0</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87f224f27c734454"/>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sheetData>
  <x:mergeCells>
    <x:mergeCell ref="A1:F2"/>
  </x:mergeCells>
  <x:pageMargins left="0.7" right="0.7" top="0.75" bottom="0.75" header="0.3" footer="0.3"/>
</x:worksheet>
</file>