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e916a57f624b4b" /></Relationships>
</file>

<file path=xl/workbook.xml><?xml version="1.0" encoding="utf-8"?>
<x:workbook xmlns:x="http://schemas.openxmlformats.org/spreadsheetml/2006/main">
  <x:sheets>
    <x:sheet xmlns:r="http://schemas.openxmlformats.org/officeDocument/2006/relationships" name="00_Control" sheetId="1" r:id="R9e734076f8d142c1"/>
    <x:sheet xmlns:r="http://schemas.openxmlformats.org/officeDocument/2006/relationships" name="01_Test_Plan" sheetId="2" r:id="Rab8b4fa6746842e6"/>
    <x:sheet xmlns:r="http://schemas.openxmlformats.org/officeDocument/2006/relationships" name="02_Run_Results" sheetId="3" r:id="Ra55ee2841a624eab"/>
    <x:sheet xmlns:r="http://schemas.openxmlformats.org/officeDocument/2006/relationships" name="03_Findings" sheetId="4" r:id="R165c3d86ff424a9a"/>
    <x:sheet xmlns:r="http://schemas.openxmlformats.org/officeDocument/2006/relationships" name="04_Decisions" sheetId="5" r:id="Rdec40c94266647f1"/>
    <x:sheet xmlns:r="http://schemas.openxmlformats.org/officeDocument/2006/relationships" name="05_Dashboard" sheetId="6" r:id="R3e1b6521567f40ba"/>
    <x:sheet xmlns:r="http://schemas.openxmlformats.org/officeDocument/2006/relationships" name="06_Definitions" sheetId="7" r:id="Rab7983c720624cbc"/>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2c754a9a685476f" /><Relationship Type="http://schemas.openxmlformats.org/officeDocument/2006/relationships/theme" Target="/xl/theme/theme1.xml" Id="Rb5c07bfebe824197" /><Relationship Type="http://schemas.microsoft.com/office/2022/11/relationships/FeaturePropertyBag" Target="/xl/featurePropertyBag/featurePropertyBag.xml" Id="R3fae212223c24f4a" /><Relationship Type="http://schemas.openxmlformats.org/officeDocument/2006/relationships/sharedStrings" Target="/xl/sharedStrings.xml" Id="R4bebe630350b470c" /><Relationship Type="http://schemas.openxmlformats.org/officeDocument/2006/relationships/worksheet" Target="/xl/worksheets/sheet1.xml" Id="R9e734076f8d142c1" /><Relationship Type="http://schemas.openxmlformats.org/officeDocument/2006/relationships/worksheet" Target="/xl/worksheets/sheet2.xml" Id="Rab8b4fa6746842e6" /><Relationship Type="http://schemas.openxmlformats.org/officeDocument/2006/relationships/worksheet" Target="/xl/worksheets/sheet3.xml" Id="Ra55ee2841a624eab" /><Relationship Type="http://schemas.openxmlformats.org/officeDocument/2006/relationships/worksheet" Target="/xl/worksheets/sheet4.xml" Id="R165c3d86ff424a9a" /><Relationship Type="http://schemas.openxmlformats.org/officeDocument/2006/relationships/worksheet" Target="/xl/worksheets/sheet5.xml" Id="Rdec40c94266647f1" /><Relationship Type="http://schemas.openxmlformats.org/officeDocument/2006/relationships/worksheet" Target="/xl/worksheets/sheet6.xml" Id="R3e1b6521567f40ba" /><Relationship Type="http://schemas.openxmlformats.org/officeDocument/2006/relationships/worksheet" Target="/xl/worksheets/sheet7.xml" Id="Rab7983c720624cbc" /></Relationships>
</file>

<file path=xl/drawings/_rels/drawing1.xml.rels>&#65279;<?xml version="1.0" encoding="utf-8"?><Relationships xmlns="http://schemas.openxmlformats.org/package/2006/relationships"><Relationship Type="http://schemas.openxmlformats.org/officeDocument/2006/relationships/chart" Target="/xl/drawings/charts/chart1.xml" Id="R1599d4e178c342b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599d4e178c342b8"/>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331a72d719f4ffe" /></Relationships>
</file>

<file path=xl/worksheets/_rels/sheet6.xml.rels>&#65279;<?xml version="1.0" encoding="utf-8"?><Relationships xmlns="http://schemas.openxmlformats.org/package/2006/relationships"><Relationship Type="http://schemas.openxmlformats.org/officeDocument/2006/relationships/drawing" Target="/xl/drawings/drawing1.xml" Id="R70a0f863eece4e5e"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1.0.32</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R3.5C IN PROGRESS — C-004 PRODUCT REGRESSION CLOSED / C1 ROUTING NEXT</x:v>
      </x:c>
    </x:row>
    <x:row r="27">
      <x:c r="A27" s="21" t="str">
        <x:v>Siguiente test sugerido</x:v>
      </x:c>
      <x:c r="B27" t="str">
        <x:v>C-005 C1 Immediate Routing Fan-out — design review</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 — proposed</x:v>
      </x:c>
      <x:c r="E29" s="36" t="str">
        <x:v>Cambiar la dimensión desde C3 lifecycle hacia routing C1 y medir el costo de asignación inmediata a múltiples Tools por Occurrence, preservando 1000 alarmas y el periodo candidato de 5 s</x:v>
      </x:c>
      <x:c r="F29" s="36" t="n">
        <x:v>1000</x:v>
      </x:c>
      <x:c r="G29" s="36" t="str">
        <x:v>Local FS</x:v>
      </x:c>
      <x:c r="H29" s="36" t="str">
        <x:v>Latest Narrow / stable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Design target: all alarms ACTIVE from bootstrap; C1 immediate routing with origin + 3 destinations (4 assignments/alarm). Expect 100 lifecycle bootstrap commits, 1000 Occurrence STARTED, 100 Episode STARTED, 4000 assignment changes, 0 pending assignments, 0 TechnicalHold, 0 duplicate effects, final snapshot=1000.</x:v>
      </x:c>
      <x:c r="Q29" s="36" t="str">
        <x:v>Design review only. Use complete priority groups and deterministic Tool keys. No churn after bootstrap: isolate immediate C1 fan-out cost before introducing C2 delayed routing. If C1 remains comfortably GREEN, C2 scheduled→assigned progression becomes the next semantic dimension.</x:v>
      </x:c>
      <x:c r="R29" s="36" t="str">
        <x:v>Planned</x:v>
      </x:c>
      <x:c r="S29" s="36" t="str">
        <x:v>C-004-R3</x:v>
      </x:c>
      <x:c r="T29" s="36" t="str">
        <x:v>C-001 already characterized ordinary 10% C3 lifecycle churn; C-002/C-003/C-004 close the ERROR matrix. The old generic C3 25/50/100% churn points are lower-information than changing routing criticality. C-005 should require a focused harness extension for criticality and deterministic routing destinations; do not approximate C1 by multiplying C3 origin assignments.</x:v>
      </x:c>
    </x:row>
    <x:row r="30">
      <x:c r="A30" s="36" t="str">
        <x:v>C-009</x:v>
      </x:c>
      <x:c r="B30" s="36" t="str">
        <x:v>R3.5C</x:v>
      </x:c>
      <x:c r="C30" s="36" t="n">
        <x:v>38</x:v>
      </x:c>
      <x:c r="D30" s="36" t="str">
        <x:v>1000 simultaneous ACTIVE</x:v>
      </x:c>
      <x:c r="E30" s="36" t="str">
        <x:v>Presionar creación masiva de occurrences</x:v>
      </x:c>
      <x:c r="F30" s="36" t="n">
        <x:v>1000</x:v>
      </x:c>
      <x:c r="G30" s="36" t="str">
        <x:v>Local FS</x:v>
      </x:c>
      <x:c r="H30" s="36" t="str">
        <x:v>Single transition wave</x:v>
      </x:c>
      <x:c r="I30" s="36" t="str">
        <x:v>Balanced</x:v>
      </x:c>
      <x:c r="J30" s="36" t="str">
        <x:v>None</x:v>
      </x:c>
      <x:c r="K30" s="36" t="str">
        <x:v>Stable config</x:v>
      </x:c>
      <x:c r="L30" s="36" t="n">
        <x:v>5</x:v>
      </x:c>
      <x:c r="M30" s="36" t="n">
        <x:v>5</x:v>
      </x:c>
      <x:c r="N30" s="36" t="n">
        <x:v>10</x:v>
      </x:c>
      <x:c r="O30" s="36" t="str">
        <x:v>Extreme</x:v>
      </x:c>
      <x:c r="P30" s="36" t="str">
        <x:v>0 integrity errors</x:v>
      </x:c>
      <x:c r="Q30" s="36" t="str">
        <x:v>Medir spike durable</x:v>
      </x:c>
      <x:c r="R30" s="36" t="str">
        <x:v>Planned</x:v>
      </x:c>
      <x:c r="S30" s="36" t="str">
        <x:v>C-008</x:v>
      </x:c>
      <x:c r="T30" s="36" t="str"/>
    </x:row>
    <x:row r="31">
      <x:c r="A31" s="36" t="str">
        <x:v>C-010</x:v>
      </x:c>
      <x:c r="B31" s="36" t="str">
        <x:v>R3.5C</x:v>
      </x:c>
      <x:c r="C31" s="36" t="n">
        <x:v>39</x:v>
      </x:c>
      <x:c r="D31" s="36" t="str">
        <x:v>1000 simultaneous recovery</x:v>
      </x:c>
      <x:c r="E31" s="36" t="str">
        <x:v>Presionar cierres masivos</x:v>
      </x:c>
      <x:c r="F31" s="36" t="n">
        <x:v>1000</x:v>
      </x:c>
      <x:c r="G31" s="36" t="str">
        <x:v>Local FS</x:v>
      </x:c>
      <x:c r="H31" s="36" t="str">
        <x:v>Single recovery wave</x:v>
      </x:c>
      <x:c r="I31" s="36" t="str">
        <x:v>Balanced</x:v>
      </x:c>
      <x:c r="J31" s="36" t="str">
        <x:v>None</x:v>
      </x:c>
      <x:c r="K31" s="36" t="str">
        <x:v>Stable config</x:v>
      </x:c>
      <x:c r="L31" s="36" t="n">
        <x:v>5</x:v>
      </x:c>
      <x:c r="M31" s="36" t="n">
        <x:v>5</x:v>
      </x:c>
      <x:c r="N31" s="36" t="n">
        <x:v>10</x:v>
      </x:c>
      <x:c r="O31" s="36" t="str">
        <x:v>Extreme</x:v>
      </x:c>
      <x:c r="P31" s="36" t="str">
        <x:v>0 integrity errors</x:v>
      </x:c>
      <x:c r="Q31" s="36" t="str">
        <x:v>Medir snapshot/write spike</x:v>
      </x:c>
      <x:c r="R31" s="36" t="str">
        <x:v>Planned</x:v>
      </x:c>
      <x:c r="S31" s="36" t="str">
        <x:v>C-009</x:v>
      </x:c>
      <x:c r="T31" s="36" t="str"/>
    </x:row>
    <x:row r="32">
      <x:c r="A32" s="36" t="str">
        <x:v>C-011</x:v>
      </x:c>
      <x:c r="B32" s="36" t="str">
        <x:v>R3.5C</x:v>
      </x:c>
      <x:c r="C32" s="36" t="n">
        <x:v>40</x:v>
      </x:c>
      <x:c r="D32" s="36" t="str">
        <x:v>Deactivation/timer heavy</x:v>
      </x:c>
      <x:c r="E32" s="36" t="str">
        <x:v>Presionar timers y DeactivationEffects vigentes</x:v>
      </x:c>
      <x:c r="F32" s="36" t="n">
        <x:v>1000</x:v>
      </x:c>
      <x:c r="G32" s="36" t="str">
        <x:v>Local FS</x:v>
      </x:c>
      <x:c r="H32" s="36" t="str">
        <x:v>Mixed timers</x:v>
      </x:c>
      <x:c r="I32" s="36" t="str">
        <x:v>Balanced</x:v>
      </x:c>
      <x:c r="J32" s="36" t="str">
        <x:v>None</x:v>
      </x:c>
      <x:c r="K32" s="36" t="str">
        <x:v>Stable config</x:v>
      </x:c>
      <x:c r="L32" s="36" t="n">
        <x:v>10</x:v>
      </x:c>
      <x:c r="M32" s="36" t="n">
        <x:v>5</x:v>
      </x:c>
      <x:c r="N32" s="36" t="n">
        <x:v>10</x:v>
      </x:c>
      <x:c r="O32" s="36" t="str">
        <x:v>Functional pressure</x:v>
      </x:c>
      <x:c r="P32" s="36" t="str">
        <x:v>0 integrity errors</x:v>
      </x:c>
      <x:c r="Q32" s="36" t="str">
        <x:v>Observar hot state y deadlines</x:v>
      </x:c>
      <x:c r="R32" s="36" t="str">
        <x:v>Planned</x:v>
      </x:c>
      <x:c r="S32" s="36" t="str">
        <x:v>C-003</x:v>
      </x:c>
      <x:c r="T32" s="36" t="str"/>
    </x:row>
    <x:row r="33">
      <x:c r="A33" s="36" t="str">
        <x:v>D-001</x:v>
      </x:c>
      <x:c r="B33" s="36" t="str">
        <x:v>R3.5D</x:v>
      </x:c>
      <x:c r="C33" s="36" t="n">
        <x:v>50</x:v>
      </x:c>
      <x:c r="D33" s="36" t="str">
        <x:v>Single ManagementAction</x:v>
      </x:c>
      <x:c r="E33" s="36" t="str">
        <x:v>Medir latencia end-to-end de una gestión</x:v>
      </x:c>
      <x:c r="F33" s="36" t="n">
        <x:v>1000</x:v>
      </x:c>
      <x:c r="G33" s="36" t="str">
        <x:v>Local FS</x:v>
      </x:c>
      <x:c r="H33" s="36" t="str">
        <x:v>Steady-state</x:v>
      </x:c>
      <x:c r="I33" s="36" t="str">
        <x:v>Baseline</x:v>
      </x:c>
      <x:c r="J33" s="36" t="str">
        <x:v>1 management</x:v>
      </x:c>
      <x:c r="K33" s="36" t="str">
        <x:v>Stable config</x:v>
      </x:c>
      <x:c r="L33" s="36" t="n">
        <x:v>5</x:v>
      </x:c>
      <x:c r="M33" s="36" t="n">
        <x:v>5</x:v>
      </x:c>
      <x:c r="N33" s="36" t="n">
        <x:v>10</x:v>
      </x:c>
      <x:c r="O33" s="36" t="str">
        <x:v>Control-plane</x:v>
      </x:c>
      <x:c r="P33" s="36" t="str">
        <x:v>receipt durable + no duplicate</x:v>
      </x:c>
      <x:c r="Q33" s="36" t="str">
        <x:v>Medir ingress→receipt</x:v>
      </x:c>
      <x:c r="R33" s="36" t="str">
        <x:v>Planned</x:v>
      </x:c>
      <x:c r="S33" s="36" t="str">
        <x:v>C-001</x:v>
      </x:c>
      <x:c r="T33" s="36" t="str"/>
    </x:row>
    <x:row r="34">
      <x:c r="A34" s="36" t="str">
        <x:v>D-002</x:v>
      </x:c>
      <x:c r="B34" s="36" t="str">
        <x:v>R3.5D</x:v>
      </x:c>
      <x:c r="C34" s="36" t="n">
        <x:v>51</x:v>
      </x:c>
      <x:c r="D34" s="36" t="str">
        <x:v>Management continuous 1/s</x:v>
      </x:c>
      <x:c r="E34" s="36" t="str">
        <x:v>Medir carga sostenida de gestiones</x:v>
      </x:c>
      <x:c r="F34" s="36" t="n">
        <x:v>1000</x:v>
      </x:c>
      <x:c r="G34" s="36" t="str">
        <x:v>Local FS</x:v>
      </x:c>
      <x:c r="H34" s="36" t="str">
        <x:v>Operational churn</x:v>
      </x:c>
      <x:c r="I34" s="36" t="str">
        <x:v>Baseline</x:v>
      </x:c>
      <x:c r="J34" s="36" t="str">
        <x:v>1 management/s</x:v>
      </x:c>
      <x:c r="K34" s="36" t="str">
        <x:v>Stable config</x:v>
      </x:c>
      <x:c r="L34" s="36" t="n">
        <x:v>10</x:v>
      </x:c>
      <x:c r="M34" s="36" t="n">
        <x:v>5</x:v>
      </x:c>
      <x:c r="N34" s="36" t="n">
        <x:v>10</x:v>
      </x:c>
      <x:c r="O34" s="36" t="str">
        <x:v>Control-plane</x:v>
      </x:c>
      <x:c r="P34" s="36" t="str">
        <x:v>0 lost receipts / duplicates</x:v>
      </x:c>
      <x:c r="Q34" s="36" t="str">
        <x:v>p95 management latency</x:v>
      </x:c>
      <x:c r="R34" s="36" t="str">
        <x:v>Planned</x:v>
      </x:c>
      <x:c r="S34" s="36" t="str">
        <x:v>D-001</x:v>
      </x:c>
      <x:c r="T34" s="36" t="str"/>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9331a72d719f4ffe"/>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row>
    <x:row r="29">
      <x:c r="A29" s="32"/>
      <x:c r="B29" s="32"/>
      <x:c r="C29" s="42"/>
      <x:c r="D29" s="32"/>
      <x:c r="E29" s="32"/>
      <x:c r="F29" s="32"/>
      <x:c r="G29" s="32"/>
      <x:c r="H29" s="32"/>
      <x:c r="I29" s="32"/>
      <x:c r="J29" s="32"/>
      <x:c r="K29" s="32"/>
      <x:c r="L29" s="32"/>
      <x:c r="M29" s="32"/>
      <x:c r="N29" s="32"/>
      <x:c r="O29" s="32"/>
      <x:c r="P29" s="32"/>
      <x:c r="Q29" s="32"/>
      <x:c r="R29" s="32"/>
      <x:c r="S29" s="32"/>
      <x:c r="T29" s="43" t="str">
        <x:f>IFERROR(S29/L29,"")</x:f>
      </x:c>
      <x:c r="U29" s="32"/>
      <x:c r="V29" s="32"/>
      <x:c r="W29" s="32"/>
      <x:c r="X29" s="32"/>
      <x:c r="Y29" s="32"/>
      <x:c r="Z29" s="32"/>
      <x:c r="AA29" s="32"/>
      <x:c r="AB29" s="32"/>
      <x:c r="AC29" s="32"/>
      <x:c r="AD29" s="32"/>
      <x:c r="AE29" s="32"/>
      <x:c r="AF29" s="32"/>
      <x:c r="AG29" s="32"/>
      <x:c r="AH29" s="32"/>
      <x:c r="AI29" s="32"/>
      <x:c r="AJ29" s="32"/>
      <x:c r="AK29" s="32"/>
      <x:c r="AL29" s="32"/>
      <x:c r="AM29" s="32"/>
      <x:c r="AN29" s="32"/>
      <x:c r="AO29" s="32"/>
      <x:c r="AP29" s="32"/>
      <x:c r="AQ29" s="32"/>
      <x:c r="AR29" s="32"/>
      <x:c r="AS29" s="32"/>
      <x:c r="AT29" s="32"/>
      <x:c r="AU29" s="32"/>
      <x:c r="AV29" s="32"/>
      <x:c r="AW29" s="32"/>
      <x:c r="AX29" s="32"/>
      <x:c r="AZ29" s="32"/>
      <x:c r="BA29" s="32"/>
      <x:c r="BB29" s="32"/>
      <x:c r="BC29" s="32"/>
      <x:c r="BD29" s="32"/>
      <x:c r="BE29" s="32"/>
      <x:c r="BF29" s="32"/>
      <x:c r="BG29" s="32"/>
      <x:c r="BH29" s="32"/>
      <x:c r="BI29" s="32"/>
      <x:c r="BJ29" s="32"/>
      <x:c r="BK29" s="32"/>
      <x:c r="BL29" s="32"/>
      <x:c r="BM29" s="32"/>
    </x:row>
    <x:row r="30">
      <x:c r="A30" s="32"/>
      <x:c r="B30" s="32"/>
      <x:c r="C30" s="42"/>
      <x:c r="D30" s="32"/>
      <x:c r="E30" s="32"/>
      <x:c r="F30" s="32"/>
      <x:c r="G30" s="32"/>
      <x:c r="H30" s="32"/>
      <x:c r="I30" s="32"/>
      <x:c r="J30" s="32"/>
      <x:c r="K30" s="32"/>
      <x:c r="L30" s="32"/>
      <x:c r="M30" s="32"/>
      <x:c r="N30" s="32"/>
      <x:c r="O30" s="32"/>
      <x:c r="P30" s="32"/>
      <x:c r="Q30" s="32"/>
      <x:c r="R30" s="32"/>
      <x:c r="S30" s="32"/>
      <x:c r="T30" s="43" t="str">
        <x:f>IFERROR(S30/L30,"")</x:f>
      </x:c>
      <x:c r="U30" s="32"/>
      <x:c r="V30" s="32"/>
      <x:c r="W30" s="32"/>
      <x:c r="X30" s="32"/>
      <x:c r="Y30" s="32"/>
      <x:c r="Z30" s="32"/>
      <x:c r="AA30" s="32"/>
      <x:c r="AB30" s="32"/>
      <x:c r="AC30" s="32"/>
      <x:c r="AD30" s="32"/>
      <x:c r="AE30" s="32"/>
      <x:c r="AF30" s="32"/>
      <x:c r="AG30" s="32"/>
      <x:c r="AH30" s="32"/>
      <x:c r="AI30" s="32"/>
      <x:c r="AJ30" s="32"/>
      <x:c r="AK30" s="32"/>
      <x:c r="AL30" s="32"/>
      <x:c r="AM30" s="32"/>
      <x:c r="AN30" s="32"/>
      <x:c r="AO30" s="32"/>
      <x:c r="AP30" s="32"/>
      <x:c r="AQ30" s="32"/>
      <x:c r="AR30" s="32"/>
      <x:c r="AS30" s="32"/>
      <x:c r="AT30" s="32"/>
      <x:c r="AU30" s="32"/>
      <x:c r="AV30" s="32"/>
      <x:c r="AW30" s="32"/>
      <x:c r="AX30" s="32"/>
      <x:c r="AZ30" s="32"/>
      <x:c r="BA30" s="32"/>
      <x:c r="BB30" s="32"/>
      <x:c r="BC30" s="32"/>
      <x:c r="BD30" s="32"/>
      <x:c r="BE30" s="32"/>
      <x:c r="BF30" s="32"/>
      <x:c r="BG30" s="32"/>
      <x:c r="BH30" s="32"/>
      <x:c r="BI30" s="32"/>
      <x:c r="BJ30" s="32"/>
      <x:c r="BK30" s="32"/>
      <x:c r="BL30" s="32"/>
      <x:c r="BM30" s="32"/>
    </x:row>
    <x:row r="31">
      <x:c r="A31" s="32"/>
      <x:c r="B31" s="32"/>
      <x:c r="C31" s="42"/>
      <x:c r="D31" s="32"/>
      <x:c r="E31" s="32"/>
      <x:c r="F31" s="32"/>
      <x:c r="G31" s="32"/>
      <x:c r="H31" s="32"/>
      <x:c r="I31" s="32"/>
      <x:c r="J31" s="32"/>
      <x:c r="K31" s="32"/>
      <x:c r="L31" s="32"/>
      <x:c r="M31" s="32"/>
      <x:c r="N31" s="32"/>
      <x:c r="O31" s="32"/>
      <x:c r="P31" s="32"/>
      <x:c r="Q31" s="32"/>
      <x:c r="R31" s="32"/>
      <x:c r="S31" s="32"/>
      <x:c r="T31" s="43" t="str">
        <x:f>IFERROR(S31/L31,"")</x:f>
      </x:c>
      <x:c r="U31" s="32"/>
      <x:c r="V31" s="32"/>
      <x:c r="W31" s="32"/>
      <x:c r="X31" s="32"/>
      <x:c r="Y31" s="32"/>
      <x:c r="Z31" s="32"/>
      <x:c r="AA31" s="32"/>
      <x:c r="AB31" s="32"/>
      <x:c r="AC31" s="32"/>
      <x:c r="AD31" s="32"/>
      <x:c r="AE31" s="32"/>
      <x:c r="AF31" s="32"/>
      <x:c r="AG31" s="32"/>
      <x:c r="AH31" s="32"/>
      <x:c r="AI31" s="32"/>
      <x:c r="AJ31" s="32"/>
      <x:c r="AK31" s="32"/>
      <x:c r="AL31" s="32"/>
      <x:c r="AM31" s="32"/>
      <x:c r="AN31" s="32"/>
      <x:c r="AO31" s="32"/>
      <x:c r="AP31" s="32"/>
      <x:c r="AQ31" s="32"/>
      <x:c r="AR31" s="32"/>
      <x:c r="AS31" s="32"/>
      <x:c r="AT31" s="32"/>
      <x:c r="AU31" s="32"/>
      <x:c r="AV31" s="32"/>
      <x:c r="AW31" s="32"/>
      <x:c r="AX31" s="32"/>
      <x:c r="AZ31" s="32"/>
      <x:c r="BA31" s="32"/>
      <x:c r="BB31" s="32"/>
      <x:c r="BC31" s="32"/>
      <x:c r="BD31" s="32"/>
      <x:c r="BE31" s="32"/>
      <x:c r="BF31" s="32"/>
      <x:c r="BG31" s="32"/>
      <x:c r="BH31" s="32"/>
      <x:c r="BI31" s="32"/>
      <x:c r="BJ31" s="32"/>
      <x:c r="BK31" s="32"/>
      <x:c r="BL31" s="32"/>
      <x:c r="BM31" s="32"/>
    </x:row>
    <x:row r="32">
      <x:c r="A32" s="32"/>
      <x:c r="B32" s="32"/>
      <x:c r="C32" s="42"/>
      <x:c r="D32" s="32"/>
      <x:c r="E32" s="32"/>
      <x:c r="F32" s="32"/>
      <x:c r="G32" s="32"/>
      <x:c r="H32" s="32"/>
      <x:c r="I32" s="32"/>
      <x:c r="J32" s="32"/>
      <x:c r="K32" s="32"/>
      <x:c r="L32" s="32"/>
      <x:c r="M32" s="32"/>
      <x:c r="N32" s="32"/>
      <x:c r="O32" s="32"/>
      <x:c r="P32" s="32"/>
      <x:c r="Q32" s="32"/>
      <x:c r="R32" s="32"/>
      <x:c r="S32" s="32"/>
      <x:c r="T32" s="43" t="str">
        <x:f>IFERROR(S32/L32,"")</x:f>
      </x:c>
      <x:c r="U32" s="32"/>
      <x:c r="V32" s="32"/>
      <x:c r="W32" s="32"/>
      <x:c r="X32" s="32"/>
      <x:c r="Y32" s="32"/>
      <x:c r="Z32" s="32"/>
      <x:c r="AA32" s="32"/>
      <x:c r="AB32" s="32"/>
      <x:c r="AC32" s="32"/>
      <x:c r="AD32" s="32"/>
      <x:c r="AE32" s="32"/>
      <x:c r="AF32" s="32"/>
      <x:c r="AG32" s="32"/>
      <x:c r="AH32" s="32"/>
      <x:c r="AI32" s="32"/>
      <x:c r="AJ32" s="32"/>
      <x:c r="AK32" s="32"/>
      <x:c r="AL32" s="32"/>
      <x:c r="AM32" s="32"/>
      <x:c r="AN32" s="32"/>
      <x:c r="AO32" s="32"/>
      <x:c r="AP32" s="32"/>
      <x:c r="AQ32" s="32"/>
      <x:c r="AR32" s="32"/>
      <x:c r="AS32" s="32"/>
      <x:c r="AT32" s="32"/>
      <x:c r="AU32" s="32"/>
      <x:c r="AV32" s="32"/>
      <x:c r="AW32" s="32"/>
      <x:c r="AX32" s="32"/>
      <x:c r="AZ32" s="32"/>
      <x:c r="BA32" s="32"/>
      <x:c r="BB32" s="32"/>
      <x:c r="BC32" s="32"/>
      <x:c r="BD32" s="32"/>
      <x:c r="BE32" s="32"/>
      <x:c r="BF32" s="32"/>
      <x:c r="BG32" s="32"/>
      <x:c r="BH32" s="32"/>
      <x:c r="BI32" s="32"/>
      <x:c r="BJ32" s="32"/>
      <x:c r="BK32" s="32"/>
      <x:c r="BL32" s="32"/>
      <x:c r="BM32" s="32"/>
    </x:row>
    <x:row r="33">
      <x:c r="A33" s="32"/>
      <x:c r="B33" s="32"/>
      <x:c r="C33" s="42"/>
      <x:c r="D33" s="32"/>
      <x:c r="E33" s="32"/>
      <x:c r="F33" s="32"/>
      <x:c r="G33" s="32"/>
      <x:c r="H33" s="32"/>
      <x:c r="I33" s="32"/>
      <x:c r="J33" s="32"/>
      <x:c r="K33" s="32"/>
      <x:c r="L33" s="32"/>
      <x:c r="M33" s="32"/>
      <x:c r="N33" s="32"/>
      <x:c r="O33" s="32"/>
      <x:c r="P33" s="32"/>
      <x:c r="Q33" s="32"/>
      <x:c r="R33" s="32"/>
      <x:c r="S33" s="32"/>
      <x:c r="T33" s="43" t="str">
        <x:f>IFERROR(S33/L33,"")</x:f>
      </x:c>
      <x:c r="U33" s="32"/>
      <x:c r="V33" s="32"/>
      <x:c r="W33" s="32"/>
      <x:c r="X33" s="32"/>
      <x:c r="Y33" s="32"/>
      <x:c r="Z33" s="32"/>
      <x:c r="AA33" s="32"/>
      <x:c r="AB33" s="32"/>
      <x:c r="AC33" s="32"/>
      <x:c r="AD33" s="32"/>
      <x:c r="AE33" s="32"/>
      <x:c r="AF33" s="32"/>
      <x:c r="AG33" s="32"/>
      <x:c r="AH33" s="32"/>
      <x:c r="AI33" s="32"/>
      <x:c r="AJ33" s="32"/>
      <x:c r="AK33" s="32"/>
      <x:c r="AL33" s="32"/>
      <x:c r="AM33" s="32"/>
      <x:c r="AN33" s="32"/>
      <x:c r="AO33" s="32"/>
      <x:c r="AP33" s="32"/>
      <x:c r="AQ33" s="32"/>
      <x:c r="AR33" s="32"/>
      <x:c r="AS33" s="32"/>
      <x:c r="AT33" s="32"/>
      <x:c r="AU33" s="32"/>
      <x:c r="AV33" s="32"/>
      <x:c r="AW33" s="32"/>
      <x:c r="AX33" s="32"/>
      <x:c r="AZ33" s="32"/>
      <x:c r="BA33" s="32"/>
      <x:c r="BB33" s="32"/>
      <x:c r="BC33" s="32"/>
      <x:c r="BD33" s="32"/>
      <x:c r="BE33" s="32"/>
      <x:c r="BF33" s="32"/>
      <x:c r="BG33" s="32"/>
      <x:c r="BH33" s="32"/>
      <x:c r="BI33" s="32"/>
      <x:c r="BJ33" s="32"/>
      <x:c r="BK33" s="32"/>
      <x:c r="BL33" s="32"/>
      <x:c r="BM33" s="32"/>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x:c r="B71" s="32"/>
      <x:c r="C71" s="32"/>
      <x:c r="D71" s="32"/>
      <x:c r="E71" s="32"/>
      <x:c r="F71" s="32"/>
      <x:c r="G71" s="32"/>
      <x:c r="H71" s="32"/>
      <x:c r="I71" s="32"/>
      <x:c r="J71" s="32"/>
      <x:c r="K71" s="32"/>
      <x:c r="L71" s="32"/>
    </x:row>
    <x:row r="72">
      <x:c r="A72" s="32"/>
      <x:c r="B72" s="32"/>
      <x:c r="C72" s="32"/>
      <x:c r="D72" s="32"/>
      <x:c r="E72" s="32"/>
      <x:c r="F72" s="32"/>
      <x:c r="G72" s="32"/>
      <x:c r="H72" s="32"/>
      <x:c r="I72" s="32"/>
      <x:c r="J72" s="32"/>
      <x:c r="K72" s="32"/>
      <x:c r="L72" s="32"/>
    </x:row>
    <x:row r="73">
      <x:c r="A73" s="32"/>
      <x:c r="B73" s="32"/>
      <x:c r="C73" s="32"/>
      <x:c r="D73" s="32"/>
      <x:c r="E73" s="32"/>
      <x:c r="F73" s="32"/>
      <x:c r="G73" s="32"/>
      <x:c r="H73" s="32"/>
      <x:c r="I73" s="32"/>
      <x:c r="J73" s="32"/>
      <x:c r="K73" s="32"/>
      <x:c r="L73" s="32"/>
    </x:row>
    <x:row r="74">
      <x:c r="A74" s="32"/>
      <x:c r="B74" s="32"/>
      <x:c r="C74" s="32"/>
      <x:c r="D74" s="32"/>
      <x:c r="E74" s="32"/>
      <x:c r="F74" s="32"/>
      <x:c r="G74" s="32"/>
      <x:c r="H74" s="32"/>
      <x:c r="I74" s="32"/>
      <x:c r="J74" s="32"/>
      <x:c r="K74" s="32"/>
      <x:c r="L74" s="32"/>
    </x:row>
    <x:row r="75">
      <x:c r="A75" s="32"/>
      <x:c r="B75" s="32"/>
      <x:c r="C75" s="32"/>
      <x:c r="D75" s="32"/>
      <x:c r="E75" s="32"/>
      <x:c r="F75" s="32"/>
      <x:c r="G75" s="32"/>
      <x:c r="H75" s="32"/>
      <x:c r="I75" s="32"/>
      <x:c r="J75" s="32"/>
      <x:c r="K75" s="32"/>
      <x:c r="L75" s="32"/>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x:c r="B36" s="32"/>
      <x:c r="C36" s="32"/>
      <x:c r="D36" s="32"/>
      <x:c r="E36" s="32"/>
      <x:c r="F36" s="32"/>
      <x:c r="G36" s="32"/>
      <x:c r="H36" s="32"/>
      <x:c r="I36" s="32"/>
    </x:row>
    <x:row r="37">
      <x:c r="A37" s="32"/>
      <x:c r="B37" s="32"/>
      <x:c r="C37" s="32"/>
      <x:c r="D37" s="32"/>
      <x:c r="E37" s="32"/>
      <x:c r="F37" s="32"/>
      <x:c r="G37" s="32"/>
      <x:c r="H37" s="32"/>
      <x:c r="I37" s="32"/>
    </x:row>
    <x:row r="38">
      <x:c r="A38" s="32"/>
      <x:c r="B38" s="32"/>
      <x:c r="C38" s="32"/>
      <x:c r="D38" s="32"/>
      <x:c r="E38" s="32"/>
      <x:c r="F38" s="32"/>
      <x:c r="G38" s="32"/>
      <x:c r="H38" s="32"/>
      <x:c r="I38" s="32"/>
    </x:row>
    <x:row r="39">
      <x:c r="A39" s="32"/>
      <x:c r="B39" s="32"/>
      <x:c r="C39" s="32"/>
      <x:c r="D39" s="32"/>
      <x:c r="E39" s="32"/>
      <x:c r="F39" s="32"/>
      <x:c r="G39" s="32"/>
      <x:c r="H39" s="32"/>
      <x:c r="I39" s="32"/>
    </x:row>
    <x:row r="40">
      <x:c r="A40" s="32"/>
      <x:c r="B40" s="32"/>
      <x:c r="C40" s="32"/>
      <x:c r="D40" s="32"/>
      <x:c r="E40" s="32"/>
      <x:c r="F40" s="32"/>
      <x:c r="G40" s="32"/>
      <x:c r="H40" s="32"/>
      <x:c r="I40" s="32"/>
    </x:row>
    <x:row r="41">
      <x:c r="A41" s="32"/>
      <x:c r="B41" s="32"/>
      <x:c r="C41" s="32"/>
      <x:c r="D41" s="32"/>
      <x:c r="E41" s="32"/>
      <x:c r="F41" s="32"/>
      <x:c r="G41" s="32"/>
      <x:c r="H41" s="32"/>
      <x:c r="I41" s="32"/>
    </x:row>
    <x:row r="42">
      <x:c r="A42" s="32"/>
      <x:c r="B42" s="32"/>
      <x:c r="C42" s="32"/>
      <x:c r="D42" s="32"/>
      <x:c r="E42" s="32"/>
      <x:c r="F42" s="32"/>
      <x:c r="G42" s="32"/>
      <x:c r="H42" s="32"/>
      <x:c r="I42" s="32"/>
    </x:row>
    <x:row r="43">
      <x:c r="A43" s="32"/>
      <x:c r="B43" s="32"/>
      <x:c r="C43" s="32"/>
      <x:c r="D43" s="32"/>
      <x:c r="E43" s="32"/>
      <x:c r="F43" s="32"/>
      <x:c r="G43" s="32"/>
      <x:c r="H43" s="32"/>
      <x:c r="I43" s="32"/>
    </x:row>
    <x:row r="44">
      <x:c r="A44" s="32"/>
      <x:c r="B44" s="32"/>
      <x:c r="C44" s="32"/>
      <x:c r="D44" s="32"/>
      <x:c r="E44" s="32"/>
      <x:c r="F44" s="32"/>
      <x:c r="G44" s="32"/>
      <x:c r="H44" s="32"/>
      <x:c r="I44" s="32"/>
    </x:row>
    <x:row r="45">
      <x:c r="A45" s="32"/>
      <x:c r="B45" s="32"/>
      <x:c r="C45" s="32"/>
      <x:c r="D45" s="32"/>
      <x:c r="E45" s="32"/>
      <x:c r="F45" s="32"/>
      <x:c r="G45" s="32"/>
      <x:c r="H45" s="32"/>
      <x:c r="I45" s="32"/>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20</x:v>
      </x:c>
      <x:c r="J5" t="str">
        <x:v>GREEN</x:v>
      </x:c>
    </x:row>
    <x:row r="6">
      <x:c r="A6" s="21" t="str">
        <x:v>Completed</x:v>
      </x:c>
      <x:c r="B6" t="n">
        <x:v>23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7</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f>COUNTIFS('01_Test_Plan'!B5:B200,D8,'01_Test_Plan'!R5:R200,"Completed")</x:f>
        <x:v>0</x:v>
      </x:c>
      <x:c r="H8" s="21" t="str">
        <x:v>OBSERVED</x:v>
      </x:c>
      <x:c r="I8" t="n">
        <x:f>COUNTIF('02_Run_Results'!AI5:AI500,"OBSERVED")</x:f>
        <x:v>0</x:v>
      </x:c>
      <x:c r="J8" t="str">
        <x:v>N/A</x:v>
      </x:c>
    </x:row>
    <x:row r="9">
      <x:c r="A9" s="21" t="str">
        <x:v>Completion %</x:v>
      </x:c>
      <x:c r="B9" s="38" t="n">
        <x:v>0.3709677419354839</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C-004-R3 p95</x:v>
      </x:c>
      <x:c r="K43" t="str">
        <x:v>0.988 s / 0 overruns</x:v>
      </x:c>
    </x:row>
    <x:row r="44">
      <x:c r="A44" s="32" t="str">
        <x:v>Large margin / low information</x:v>
      </x:c>
      <x:c r="B44" s="32" t="str">
        <x:v>Skip intermediate points</x:v>
      </x:c>
      <x:c r="C44" s="32" t="str">
        <x:v>Increase information per run</x:v>
      </x:c>
      <x:c r="D44"/>
      <x:c r="E44"/>
      <x:c r="F44"/>
      <x:c r="G44"/>
      <x:c r="H44"/>
      <x:c r="J44" t="str">
        <x:v>C-004 closure</x:v>
      </x:c>
      <x:c r="K44" t="str">
        <x:v>Product 0.14.2 VALIDATED</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Next dimension</x:v>
      </x:c>
      <x:c r="K52" t="str">
        <x:v>C1 immediate routing fan-out</x:v>
      </x:c>
    </x:row>
    <x:row r="53">
      <x:c r="J53" t="str">
        <x:v>C-005 status</x:v>
      </x:c>
      <x:c r="K53" t="str">
        <x:v>DESIGN REVIEW</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70a0f863eece4e5e"/>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sheetData>
  <x:mergeCells>
    <x:mergeCell ref="A1:F2"/>
  </x:mergeCells>
  <x:pageMargins left="0.7" right="0.7" top="0.75" bottom="0.75" header="0.3" footer="0.3"/>
</x:worksheet>
</file>