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ca82cfc605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6a1f1fd7336c4db8"/>
    <x:sheet xmlns:r="http://schemas.openxmlformats.org/officeDocument/2006/relationships" name="01_Legacy_Analysis" sheetId="2" r:id="R37b57564528a4006"/>
    <x:sheet xmlns:r="http://schemas.openxmlformats.org/officeDocument/2006/relationships" name="02_Target_Architecture" sheetId="3" r:id="R941012dda5c246f7"/>
    <x:sheet xmlns:r="http://schemas.openxmlformats.org/officeDocument/2006/relationships" name="03_Roadmap" sheetId="4" r:id="R43e99082a18448ea"/>
    <x:sheet xmlns:r="http://schemas.openxmlformats.org/officeDocument/2006/relationships" name="04_Test_Plan" sheetId="5" r:id="Rd173a3ca57c74b7a"/>
    <x:sheet xmlns:r="http://schemas.openxmlformats.org/officeDocument/2006/relationships" name="05_Decisions" sheetId="6" r:id="R0f5c0035d647439b"/>
    <x:sheet xmlns:r="http://schemas.openxmlformats.org/officeDocument/2006/relationships" name="06_Risks_Open" sheetId="7" r:id="R15d9bd7167424e0b"/>
    <x:sheet xmlns:r="http://schemas.openxmlformats.org/officeDocument/2006/relationships" name="07_Contract_Matrix" sheetId="8" r:id="R2db0b9c0ab6c47c3"/>
    <x:sheet xmlns:r="http://schemas.openxmlformats.org/officeDocument/2006/relationships" name="08_Data_Questions" sheetId="9" r:id="R7b3f59f1635c4c23"/>
    <x:sheet xmlns:r="http://schemas.openxmlformats.org/officeDocument/2006/relationships" name="09_Dashboard" sheetId="10" r:id="R00248d1add7c4e86"/>
    <x:sheet xmlns:r="http://schemas.openxmlformats.org/officeDocument/2006/relationships" name="10_Evidence" sheetId="11" r:id="R6a33ff5f664644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F6B7A"/>
      <x:name val="Carlito"/>
    </x:font>
    <x:font>
      <x:b/>
      <x:sz val="11"/>
      <x:color rgb="FFFFFFFF"/>
      <x:name val="Carlito"/>
    </x:font>
    <x:font>
      <x:b/>
      <x:sz val="11"/>
      <x:color rgb="FF0D1B2A"/>
      <x:name val="Carlito"/>
    </x:font>
    <x:font>
      <x:i/>
      <x:sz val="11"/>
      <x:color rgb="FF5F6B7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  <x:fill>
      <x:patternFill patternType="solid">
        <x:fgColor rgb="FF0D1B2A"/>
      </x:patternFill>
    </x:fill>
    <x:fill>
      <x:patternFill patternType="solid">
        <x:fgColor rgb="FFE8EEF5"/>
      </x:patternFill>
    </x:fill>
    <x:fill>
      <x:patternFill patternType="solid">
        <x:fgColor rgb="FF1B263B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3"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0D1B2A"/>
      </x:font>
      <x:fill>
        <x:patternFill>
          <x:bgColor rgb="FFE8EEF5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color rgb="FF4B5563"/>
      </x:font>
      <x:fill>
        <x:patternFill>
          <x:bgColor rgb="FFE5E7E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color rgb="FF92400E"/>
      </x:font>
      <x:fill>
        <x:patternFill>
          <x:bgColor rgb="FFFEF3C7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916ea458374528" /><Relationship Type="http://schemas.openxmlformats.org/officeDocument/2006/relationships/theme" Target="/xl/theme/theme1.xml" Id="R940af4acacfb4df2" /><Relationship Type="http://schemas.openxmlformats.org/officeDocument/2006/relationships/sharedStrings" Target="/xl/sharedStrings.xml" Id="R7e7b54d2c69e46c3" /><Relationship Type="http://schemas.openxmlformats.org/officeDocument/2006/relationships/worksheet" Target="/xl/worksheets/sheet1.xml" Id="R6a1f1fd7336c4db8" /><Relationship Type="http://schemas.openxmlformats.org/officeDocument/2006/relationships/worksheet" Target="/xl/worksheets/sheet2.xml" Id="R37b57564528a4006" /><Relationship Type="http://schemas.openxmlformats.org/officeDocument/2006/relationships/worksheet" Target="/xl/worksheets/sheet3.xml" Id="R941012dda5c246f7" /><Relationship Type="http://schemas.openxmlformats.org/officeDocument/2006/relationships/worksheet" Target="/xl/worksheets/sheet4.xml" Id="R43e99082a18448ea" /><Relationship Type="http://schemas.openxmlformats.org/officeDocument/2006/relationships/worksheet" Target="/xl/worksheets/sheet5.xml" Id="Rd173a3ca57c74b7a" /><Relationship Type="http://schemas.openxmlformats.org/officeDocument/2006/relationships/worksheet" Target="/xl/worksheets/sheet6.xml" Id="R0f5c0035d647439b" /><Relationship Type="http://schemas.openxmlformats.org/officeDocument/2006/relationships/worksheet" Target="/xl/worksheets/sheet7.xml" Id="R15d9bd7167424e0b" /><Relationship Type="http://schemas.openxmlformats.org/officeDocument/2006/relationships/worksheet" Target="/xl/worksheets/sheet8.xml" Id="R2db0b9c0ab6c47c3" /><Relationship Type="http://schemas.openxmlformats.org/officeDocument/2006/relationships/worksheet" Target="/xl/worksheets/sheet9.xml" Id="R7b3f59f1635c4c23" /><Relationship Type="http://schemas.openxmlformats.org/officeDocument/2006/relationships/worksheet" Target="/xl/worksheets/sheet10.xml" Id="R00248d1add7c4e86" /><Relationship Type="http://schemas.openxmlformats.org/officeDocument/2006/relationships/worksheet" Target="/xl/worksheets/sheet11.xml" Id="R6a33ff5f6646447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55cdc482fcc4e8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Roadmap por track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Pendiente/En diseño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Cerrado</c:v>
          </c:tx>
          <c:cat>
            <c:strRef>
              <c:f>'09_Dashboard'!$D$5:$D$10</c:f>
              <c:strCache>
                <c:ptCount val="0"/>
              </c:strCache>
            </c:strRef>
          </c:cat>
          <c:val>
            <c:numRef>
              <c:f>'09_Dashboard'!$F$5:$F$10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55cdc482fcc4e8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84cead60a543465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3" hidden="0" customWidth="1"/>
    <x:col min="4" max="4" width="18" hidden="0" customWidth="1"/>
    <x:col min="5" max="5" width="12" hidden="0" customWidth="1"/>
    <x:col min="6" max="6" width="3" hidden="0" customWidth="1"/>
    <x:col min="7" max="7" width="22" hidden="0" customWidth="1"/>
    <x:col min="8" max="8" width="48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Atlanticus / ADA — UI Continuation &amp; Time Status Recovery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Análisis funcional del legado completo 2026-08-24 + baseline actual latest-v4. Fuente de verdad operativa para KPI Inspection visual, Time Status, popover de fuentes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 ht="15" hidden="0" customHeight="1">
      <x:c r="A4" s="19" t="str">
        <x:v>Campo</x:v>
      </x:c>
      <x:c r="B4" s="19" t="str">
        <x:v>Valor</x:v>
      </x:c>
      <x:c r="C4" s="19" t="str"/>
      <x:c r="D4" s="19" t="str">
        <x:v>Indicador</x:v>
      </x:c>
      <x:c r="E4" s="19" t="str">
        <x:v>Valor</x:v>
      </x:c>
      <x:c r="F4" s="19" t="str"/>
      <x:c r="G4" s="19" t="str">
        <x:v>Baseline</x:v>
      </x:c>
      <x:c r="H4" s="19" t="str">
        <x:v>SHA-256</x:v>
      </x:c>
      <x:c r="I4" s="19" t="str"/>
      <x:c r="J4" s="19" t="str"/>
    </x:row>
    <x:row r="5" ht="26.399999618530273" hidden="0" customHeight="1">
      <x:c r="A5" t="str">
        <x:v>Versión planner</x:v>
      </x:c>
      <x:c r="B5" t="str">
        <x:v>1.0.33</x:v>
      </x:c>
      <x:c r="C5" t="str"/>
      <x:c r="D5" t="str">
        <x:v>Roadmap total</x:v>
      </x:c>
      <x:c r="E5" t="n">
        <x:f>COUNTA('03_Roadmap'!A5:A200)</x:f>
        <x:v>39</x:v>
      </x:c>
      <x:c r="F5" t="str"/>
      <x:c r="G5" s="30" t="str">
        <x:v>Legado completo</x:v>
      </x:c>
      <x:c r="H5" s="30" t="str">
        <x:v>56c574ba1b313035c8c97aa00a95c83ce1e2bfd85974c0f7de949afc1162ff13</x:v>
      </x:c>
      <x:c r="I5" t="str"/>
      <x:c r="J5" t="str"/>
    </x:row>
    <x:row r="6" ht="26.399999618530273" hidden="0" customHeight="1">
      <x:c r="A6" t="str">
        <x:v>Fecha análisis</x:v>
      </x:c>
      <x:c r="B6" t="str">
        <x:v>2026-08-30</x:v>
      </x:c>
      <x:c r="C6" t="str"/>
      <x:c r="D6" t="str">
        <x:v>Cerrados</x:v>
      </x:c>
      <x:c r="E6" t="n">
        <x:v>22</x:v>
      </x:c>
      <x:c r="F6" t="str"/>
      <x:c r="G6" s="30" t="str">
        <x:v>Current baseline</x:v>
      </x:c>
      <x:c r="H6" s="30" t="str">
        <x:v>a4ca3adf19318c488acc2aad70165f25c5b95d0a2ac0e7f8976a7a81a7aeaee9</x:v>
      </x:c>
      <x:c r="I6" t="str"/>
      <x:c r="J6" t="str"/>
    </x:row>
    <x:row r="7" ht="26.399999618530273" hidden="0" customHeight="1">
      <x:c r="A7" s="30" t="str">
        <x:v>Baseline legado</x:v>
      </x:c>
      <x:c r="B7" s="30" t="str">
        <x:v>atlanticus-multi-stage-version-0.1.0-20260827-095802(1).zip</x:v>
      </x:c>
      <x:c r="C7" t="str"/>
      <x:c r="D7" t="str">
        <x:v>Pendientes</x:v>
      </x:c>
      <x:c r="E7" t="n">
        <x:v>10</x:v>
      </x:c>
      <x:c r="F7" t="str"/>
      <x:c r="G7" s="30" t="str">
        <x:v>Current code</x:v>
      </x:c>
      <x:c r="H7" s="30" t="str">
        <x:v>atlanticus-last-version-3.0.0-actually.zip</x:v>
      </x:c>
      <x:c r="I7" t="str"/>
      <x:c r="J7" t="str"/>
    </x:row>
    <x:row r="8" ht="15" hidden="0" customHeight="1">
      <x:c r="A8" s="30" t="str">
        <x:v>Baseline actual</x:v>
      </x:c>
      <x:c r="B8" s="30" t="str">
        <x:v>atlanticus-last-version-3.0.0-actually.zip</x:v>
      </x:c>
      <x:c r="C8" t="str"/>
      <x:c r="D8" t="str">
        <x:v>En diseño</x:v>
      </x:c>
      <x:c r="E8" t="n">
        <x:f>COUNTIF('03_Roadmap'!J5:J200,"EN DISEÑO")</x:f>
        <x:v>2</x:v>
      </x:c>
      <x:c r="F8" t="str"/>
      <x:c r="G8" t="str"/>
      <x:c r="H8" t="str"/>
      <x:c r="I8" t="str"/>
      <x:c r="J8" t="str"/>
    </x:row>
    <x:row r="9" ht="26.399999618530273" hidden="0" customHeight="1">
      <x:c r="A9" s="30" t="str">
        <x:v>Checkpoint actual</x:v>
      </x:c>
      <x:c r="B9" s="30" t="str">
        <x:v>TS-012 EN VALIDACIÓN — TS-012B Visual Polish Corrective</x:v>
      </x:c>
      <x:c r="C9" t="str"/>
      <x:c r="D9" t="str">
        <x:v>Diferidos</x:v>
      </x:c>
      <x:c r="E9" t="n">
        <x:f>COUNTIF('03_Roadmap'!J5:J200,"DIFERIDO")</x:f>
        <x:v>5</x:v>
      </x:c>
      <x:c r="F9" t="str"/>
      <x:c r="G9" t="str"/>
      <x:c r="H9" t="str"/>
      <x:c r="I9" t="str"/>
      <x:c r="J9" t="str"/>
    </x:row>
    <x:row r="10" ht="184.8000030517578" hidden="0" customHeight="1">
      <x:c r="A10" s="30" t="str">
        <x:v>Siguiente trabajo</x:v>
      </x:c>
      <x:c r="B10" s="30" t="str">
        <x:v>TS-012B refina el contrato visual tras la segunda revisión: PI/Dispatch permanecen como único trigger a la izquierda; el affordance aparece sólo en hover/focus y ajustado al contenido; Fecha y hora queda compacta a la derecha; se eliminan title nativos; DATA_ERROR conserva nube de fuente y muestra triángulo en el valor temporal sin bloquear el popover; la Surface usa el mismo color del strip; PREVENTIVE pulsa con mayor énfasis y HARD_STALE/DATA_ERROR quedan rojos estables. El Detail pasa a representar únicamente fuentes adicionales y admite empty-state explícito cuando la Tool no consume ninguna. Targets: Time Status 0.1.9, Generic Application 0.1.27 y Preview 0.1.2; Header permanece 0.1.3.</x:v>
      </x:c>
      <x:c r="C10" t="str"/>
      <x:c r="D10" t="str">
        <x:v>Bloqueados</x:v>
      </x:c>
      <x:c r="E10" t="n">
        <x:f>COUNTIF('03_Roadmap'!J5:J200,"BLOQUEADO")</x:f>
        <x:v>0</x:v>
      </x:c>
      <x:c r="F10" t="str"/>
      <x:c r="G10" t="str"/>
      <x:c r="H10" t="str"/>
      <x:c r="I10" t="str"/>
      <x:c r="J10" t="str"/>
    </x:row>
    <x:row r="12">
      <x:c r="A12" s="26" t="str">
        <x:v>Conclusiones ejecutivas del análisis legado</x:v>
      </x:c>
      <x:c r="B12" s="26"/>
      <x:c r="C12" s="26"/>
      <x:c r="D12" s="26"/>
      <x:c r="E12" s="26"/>
      <x:c r="F12" s="26"/>
      <x:c r="G12" s="26"/>
      <x:c r="H12" s="26"/>
      <x:c r="I12" s="26"/>
      <x:c r="J12" s="26"/>
    </x:row>
    <x:row r="13">
      <x:c r="A13" s="34" t="str">
        <x:v>1</x:v>
      </x:c>
      <x:c r="B13" s="32" t="str">
        <x:v>El Time Status antiguo era un resumen visual dentro del Header: PI obligatorio en ese contrato, Dispatch opcional y fecha/hora a la derecha.</x:v>
      </x:c>
    </x:row>
    <x:row r="14">
      <x:c r="A14" s="34" t="str">
        <x:v>2</x:v>
      </x:c>
      <x:c r="B14" s="32" t="str">
        <x:v>La hora local se actualizaba por JavaScript cada segundo; no dependía de callbacks Dash.</x:v>
      </x:c>
    </x:row>
    <x:row r="15">
      <x:c r="A15" s="34" t="str">
        <x:v>3</x:v>
      </x:c>
      <x:c r="B15" s="32" t="str">
        <x:v>KPI Runtime ya creaba un SOURCE_TIME_STORE por Tool separado de los stores de componentes/timeseries. Payload: tool_key, generated_at_utc y sources{source_key: timestamp}.</x:v>
      </x:c>
    </x:row>
    <x:row r="16">
      <x:c r="A16" s="34" t="str">
        <x:v>4</x:v>
      </x:c>
      <x:c r="B16" s="32" t="str">
        <x:v>SOURCE_TIME_STORE se refrescaba con el snapshot cada 5 s por defecto. El mapa sources era genérico y timezone-aware.</x:v>
      </x:c>
    </x:row>
    <x:row r="17">
      <x:c r="A17" s="34" t="str">
        <x:v>5</x:v>
      </x:c>
      <x:c r="B17" s="32" t="str">
        <x:v>El legado NO contenía popover/flyout dinámico. Eso será funcionalidad nueva, anclada a Time Status y controlada por JS.</x:v>
      </x:c>
    </x:row>
    <x:row r="18">
      <x:c r="A18" s="34" t="str">
        <x:v>6</x:v>
      </x:c>
      <x:c r="B18" s="32" t="str">
        <x:v>ContentState ya separaba READY / STALE / CONSTRUCTION; CONSTRUCTION era estático y STALE runtime.</x:v>
      </x:c>
    </x:row>
    <x:row r="19">
      <x:c r="A19" s="34" t="str">
        <x:v>7</x:v>
      </x:c>
      <x:c r="B19" s="32" t="str">
        <x:v>No se encontró wiring en este archivo entre SOURCE_TIME_STORE y OperationalStatusBarView, ni un resolver/callback productivo que cambiara los wrappers runtime. Esas capas deben reconstruirse en la nueva arquitectura.</x:v>
      </x:c>
    </x:row>
    <x:row r="20">
      <x:c r="A20" s="34" t="str">
        <x:v>8</x:v>
      </x:c>
      <x:c r="B20" s="32" t="str">
        <x:v>El display-status actual de latest-v4 (OK/EMPTY/INVALID/ERROR/NOT_MAPPED) es otro contrato y NO reemplaza ContentState READY/STALE/CONSTRUCTION.</x:v>
      </x:c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8" hidden="0" customWidth="1"/>
    <x:col min="5" max="5" width="20" hidden="0" customWidth="1"/>
    <x:col min="6" max="6" width="48" hidden="0" customWidth="1"/>
    <x:col min="7" max="7" width="12" hidden="0" customWidth="1"/>
    <x:col min="8" max="8" width="42" hidden="0" customWidth="1"/>
  </x:cols>
  <x:sheetData>
    <x:row r="1" ht="30" customHeight="1">
      <x:c r="A1" s="4" t="str">
        <x:v>Análisis de Time Status y estados en la versión completa anterior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Hechos extraídos del código legado. 'Conservar' significa preservar contrato/semántica, no copiar el package monolítico ada-ui.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Área</x:v>
      </x:c>
      <x:c r="C4" s="19" t="str">
        <x:v>Hallazgo legado</x:v>
      </x:c>
      <x:c r="D4" s="19" t="str">
        <x:v>Evidencia / path</x:v>
      </x:c>
      <x:c r="E4" s="19" t="str">
        <x:v>Evaluación</x:v>
      </x:c>
      <x:c r="F4" s="19" t="str">
        <x:v>Destino nuevo</x:v>
      </x:c>
      <x:c r="G4" s="19" t="str">
        <x:v>Confianza</x:v>
      </x:c>
      <x:c r="H4" s="19" t="str">
        <x:v>Notas</x:v>
      </x:c>
    </x:row>
    <x:row r="5">
      <x:c r="A5" s="32" t="str">
        <x:v>LF-001</x:v>
      </x:c>
      <x:c r="B5" s="32" t="str">
        <x:v>Time Status model</x:v>
      </x:c>
      <x:c r="C5" s="32" t="str">
        <x:v>OperationalStatusBarView exige pi y permite dispatch=None; current_datetime y estado propio.</x:v>
      </x:c>
      <x:c r="D5" s="32" t="str">
        <x:v>scopes/ada/ui/src/ada/ui/status/models.py</x:v>
      </x:c>
      <x:c r="E5" s="32" t="str">
        <x:v>CAMBIAR</x:v>
      </x:c>
      <x:c r="F5" s="32" t="str">
        <x:v>Contrato reusable: PI y Dispatch opcionales; composición ADA exige PI.</x:v>
      </x:c>
      <x:c r="G5" s="32" t="str">
        <x:v>Alta</x:v>
      </x:c>
      <x:c r="H5" s="32" t="str">
        <x:v>El usuario confirmó PI siempre en ADA, pero se quiere opcionalidad en la fuente/base.</x:v>
      </x:c>
    </x:row>
    <x:row r="6">
      <x:c r="A6" s="32" t="str">
        <x:v>LF-002</x:v>
      </x:c>
      <x:c r="B6" s="32" t="str">
        <x:v>Time Status state</x:v>
      </x:c>
      <x:c r="C6" s="32" t="str">
        <x:v>OperationalStatusState sólo READY y CONSTRUCTION; no existe STALE en el status bar.</x:v>
      </x:c>
      <x:c r="D6" s="32" t="str">
        <x:v>scopes/ada/ui/src/ada/ui/status/models.py</x:v>
      </x:c>
      <x:c r="E6" s="32" t="str">
        <x:v>CONSERVAR</x:v>
      </x:c>
      <x:c r="F6" s="32" t="str">
        <x:v>Time Status no se cubre como STALE; las fuentes pueden verse críticas y el contenido dependiente recibe STALE.</x:v>
      </x:c>
      <x:c r="G6" s="32" t="str">
        <x:v>Alta</x:v>
      </x:c>
      <x:c r="H6" s="32" t="str">
        <x:v>Evita que el status que informa el problema se oculte por su propio wrapper.</x:v>
      </x:c>
    </x:row>
    <x:row r="7">
      <x:c r="A7" s="32" t="str">
        <x:v>LF-003</x:v>
      </x:c>
      <x:c r="B7" s="32" t="str">
        <x:v>Summary visual</x:v>
      </x:c>
      <x:c r="C7" s="32" t="str">
        <x:v>Sources se renderizan en línea; PI + Dispatch usan divisor; icono cloud-check/cloud-slash y tonos neutral/warning/critical.</x:v>
      </x:c>
      <x:c r="D7" s="32" t="str">
        <x:v>scopes/ada/ui/src/ada/ui/status/builders.py</x:v>
      </x:c>
      <x:c r="E7" s="32" t="str">
        <x:v>CONSERVAR</x:v>
      </x:c>
      <x:c r="F7" s="32" t="str">
        <x:v>Summary visible sólo PI/Dispatch con relative age.</x:v>
      </x:c>
      <x:c r="G7" s="32" t="str">
        <x:v>Alta</x:v>
      </x:c>
      <x:c r="H7" s="32" t="str">
        <x:v>Critical usa tratamiento rojo pulsante.</x:v>
      </x:c>
    </x:row>
    <x:row r="8">
      <x:c r="A8" s="32" t="str">
        <x:v>LF-004</x:v>
      </x:c>
      <x:c r="B8" s="32" t="str">
        <x:v>Header placement</x:v>
      </x:c>
      <x:c r="C8" s="32" t="str">
        <x:v>Status ocupa una Row separada debajo del Header principal con border-top.</x:v>
      </x:c>
      <x:c r="D8" s="32" t="str">
        <x:v>scopes/ada/ui/src/ada/ui/header/builders.py; resources/css/30_header.css</x:v>
      </x:c>
      <x:c r="E8" s="32" t="str">
        <x:v>CONSERVAR</x:v>
      </x:c>
      <x:c r="F8" s="32" t="str">
        <x:v>Time Status vuelve debajo del header principal, sin introducir Body todavía.</x:v>
      </x:c>
      <x:c r="G8" s="32" t="str">
        <x:v>Alta</x:v>
      </x:c>
      <x:c r="H8" s="32" t="str">
        <x:v>Mantener altura/reflow bajo control.</x:v>
      </x:c>
    </x:row>
    <x:row r="9">
      <x:c r="A9" s="32" t="str">
        <x:v>LF-005</x:v>
      </x:c>
      <x:c r="B9" s="32" t="str">
        <x:v>Current time</x:v>
      </x:c>
      <x:c r="C9" s="32" t="str">
        <x:v>Fecha/hora usa data-ada-current-datetime y JS local con setInterval cada 1 s.</x:v>
      </x:c>
      <x:c r="D9" s="32" t="str">
        <x:v>scopes/ada/ui/src/ada/ui/resources/js/10_runtime.js</x:v>
      </x:c>
      <x:c r="E9" s="32" t="str">
        <x:v>CONSERVAR/ADAPTAR</x:v>
      </x:c>
      <x:c r="F9" s="32" t="str">
        <x:v>Hora local client-side; no forzar callback servidor para reloj.</x:v>
      </x:c>
      <x:c r="G9" s="32" t="str">
        <x:v>Alta</x:v>
      </x:c>
      <x:c r="H9" s="32" t="str">
        <x:v>Separar reloj de freshness.</x:v>
      </x:c>
    </x:row>
    <x:row r="10">
      <x:c r="A10" s="32" t="str">
        <x:v>LF-006</x:v>
      </x:c>
      <x:c r="B10" s="32" t="str">
        <x:v>Content State</x:v>
      </x:c>
      <x:c r="C10" s="32" t="str">
        <x:v>ContentState = READY / STALE / CONSTRUCTION.</x:v>
      </x:c>
      <x:c r="D10" s="32" t="str">
        <x:v>scopes/ada/ui/src/ada/ui/feedback/models.py</x:v>
      </x:c>
      <x:c r="E10" s="32" t="str">
        <x:v>CONSERVAR</x:v>
      </x:c>
      <x:c r="F10" s="32" t="str">
        <x:v>Extraer capability reusable en arquitectura nueva.</x:v>
      </x:c>
      <x:c r="G10" s="32" t="str">
        <x:v>Alta</x:v>
      </x:c>
      <x:c r="H10" s="32" t="str">
        <x:v>No confundir con display-status actual.</x:v>
      </x:c>
    </x:row>
    <x:row r="11">
      <x:c r="A11" s="32" t="str">
        <x:v>LF-007</x:v>
      </x:c>
      <x:c r="B11" s="32" t="str">
        <x:v>Static vs runtime</x:v>
      </x:c>
      <x:c r="C11" s="32" t="str">
        <x:v>CONSTRUCTION produce component_id static; STALE produce runtime.</x:v>
      </x:c>
      <x:c r="D11" s="32" t="str">
        <x:v>scopes/ada/ui/src/ada/ui/feedback/models.py</x:v>
      </x:c>
      <x:c r="E11" s="32" t="str">
        <x:v>CONSERVAR</x:v>
      </x:c>
      <x:c r="F11" s="32" t="str">
        <x:v>Construction declarativo; stale dinámico por freshness.</x:v>
      </x:c>
      <x:c r="G11" s="32" t="str">
        <x:v>Alta</x:v>
      </x:c>
      <x:c r="H11" s="32" t="str">
        <x:v>Buena frontera de lifecycle.</x:v>
      </x:c>
    </x:row>
    <x:row r="12">
      <x:c r="A12" s="32" t="str">
        <x:v>LF-008</x:v>
      </x:c>
      <x:c r="B12" s="32" t="str">
        <x:v>Content wrapper</x:v>
      </x:c>
      <x:c r="C12" s="32" t="str">
        <x:v>Wrapper usa overlay absolute, grayscale, visible con pointer-events:auto; mensajes 'Información desactualizada' / 'En construcción'.</x:v>
      </x:c>
      <x:c r="D12" s="32" t="str">
        <x:v>scopes/ada/ui/src/ada/ui/feedback/builders.py; resources/css/02_feedback.css</x:v>
      </x:c>
      <x:c r="E12" s="32" t="str">
        <x:v>CONSERVAR/REVISAR</x:v>
      </x:c>
      <x:c r="F12" s="32" t="str">
        <x:v>Recuperar patrón; validar visual y política de interacción antes de congelar.</x:v>
      </x:c>
      <x:c r="G12" s="32" t="str">
        <x:v>Alta</x:v>
      </x:c>
      <x:c r="H12" s="32" t="str">
        <x:v>Debe decidirse si STALE bloquea KPI Inspection o permite inspeccionar definición.</x:v>
      </x:c>
    </x:row>
    <x:row r="13">
      <x:c r="A13" s="32" t="str">
        <x:v>LF-009</x:v>
      </x:c>
      <x:c r="B13" s="32" t="str">
        <x:v>Global Indicators</x:v>
      </x:c>
      <x:c r="C13" s="32" t="str">
        <x:v>GlobalIndicatorsState admite READY / STALE / CONSTRUCTION y ya se envolvía con ContentState.</x:v>
      </x:c>
      <x:c r="D13" s="32" t="str">
        <x:v>scopes/ada/ui/src/ada/ui/indicators/models.py; builders.py</x:v>
      </x:c>
      <x:c r="E13" s="32" t="str">
        <x:v>CONSERVAR CONCEPTUAL</x:v>
      </x:c>
      <x:c r="F13" s="32" t="str">
        <x:v>Integrar wrapper nuevo alrededor de adopters actuales, no copiar ada-ui.</x:v>
      </x:c>
      <x:c r="G13" s="32" t="str">
        <x:v>Alta</x:v>
      </x:c>
      <x:c r="H13" s="32" t="str">
        <x:v>Hoy Global Indicator está modularizado en latest-v4.</x:v>
      </x:c>
    </x:row>
    <x:row r="14">
      <x:c r="A14" s="32" t="str">
        <x:v>LF-010</x:v>
      </x:c>
      <x:c r="B14" s="32" t="str">
        <x:v>Alarm notifications</x:v>
      </x:c>
      <x:c r="C14" s="32" t="str">
        <x:v>AlarmNotificationsState también admite READY / STALE / CONSTRUCTION; default legacy CONSTRUCTION.</x:v>
      </x:c>
      <x:c r="D14" s="32" t="str">
        <x:v>scopes/ada/ui/src/ada/ui/notifications/models.py</x:v>
      </x:c>
      <x:c r="E14" s="32" t="str">
        <x:v>REFERENCIA</x:v>
      </x:c>
      <x:c r="F14" s="32" t="str">
        <x:v>Usar sólo si la nueva capability de alarmas necesita el mismo wrapper.</x:v>
      </x:c>
      <x:c r="G14" s="32" t="str">
        <x:v>Alta</x:v>
      </x:c>
      <x:c r="H14" s="32" t="str">
        <x:v>No mezclar con track de alarmas sin decisión explícita.</x:v>
      </x:c>
    </x:row>
    <x:row r="15">
      <x:c r="A15" s="32" t="str">
        <x:v>LF-011</x:v>
      </x:c>
      <x:c r="B15" s="32" t="str">
        <x:v>KPI source time store</x:v>
      </x:c>
      <x:c r="C15" s="32" t="str">
        <x:v>KPI Runtime crea un dcc.Store memory por Tool: type ada-kpi-source-time-store.</x:v>
      </x:c>
      <x:c r="D15" s="32" t="str">
        <x:v>scopes/ada/kpis/src/ada/kpis/runtime/web.py</x:v>
      </x:c>
      <x:c r="E15" s="32" t="str">
        <x:v>CONSERVAR CONTRATO</x:v>
      </x:c>
      <x:c r="F15" s="32" t="str">
        <x:v>Fuente primaria candidata para Time Status desde Collector/runtime.</x:v>
      </x:c>
      <x:c r="G15" s="32" t="str">
        <x:v>Alta</x:v>
      </x:c>
      <x:c r="H15" s="32" t="str">
        <x:v>Está separado de component/timeseries stores.</x:v>
      </x:c>
    </x:row>
    <x:row r="16">
      <x:c r="A16" s="32" t="str">
        <x:v>LF-012</x:v>
      </x:c>
      <x:c r="B16" s="32" t="str">
        <x:v>Source time payload</x:v>
      </x:c>
      <x:c r="C16" s="32" t="str">
        <x:v>Payload del store: tool_key, generated_at_utc, sources={key: ISO timestamp}.</x:v>
      </x:c>
      <x:c r="D16" s="32" t="str">
        <x:v>scopes/ada/kpis/src/ada/kpis/runtime/web.py</x:v>
      </x:c>
      <x:c r="E16" s="32" t="str">
        <x:v>CONSERVAR/VALIDAR ACTUAL</x:v>
      </x:c>
      <x:c r="F16" s="32" t="str">
        <x:v>Diseñar adapter sobre contrato actual del Collector; mantener payload pequeño.</x:v>
      </x:c>
      <x:c r="G16" s="32" t="str">
        <x:v>Alta</x:v>
      </x:c>
      <x:c r="H16" s="32" t="str">
        <x:v>sources es genérico, no hardcodea PI/Dispatch.</x:v>
      </x:c>
    </x:row>
    <x:row r="17">
      <x:c r="A17" s="32" t="str">
        <x:v>LF-013</x:v>
      </x:c>
      <x:c r="B17" s="32" t="str">
        <x:v>Snapshot source contract</x:v>
      </x:c>
      <x:c r="C17" s="32" t="str">
        <x:v>KpiRuntimeSnapshot.sources es dict[str, datetime] timezone-aware; generated_at_utc también aware.</x:v>
      </x:c>
      <x:c r="D17" s="32" t="str">
        <x:v>scopes/ada/kpis/src/ada/kpis/runtime/models.py</x:v>
      </x:c>
      <x:c r="E17" s="32" t="str">
        <x:v>CONSERVAR</x:v>
      </x:c>
      <x:c r="F17" s="32" t="str">
        <x:v>No degradar timestamps a strings antes de la frontera Web.</x:v>
      </x:c>
      <x:c r="G17" s="32" t="str">
        <x:v>Alta</x:v>
      </x:c>
      <x:c r="H17" s="32" t="str">
        <x:v>Serialización ISO ocurre al Store.</x:v>
      </x:c>
    </x:row>
    <x:row r="18">
      <x:c r="A18" s="32" t="str">
        <x:v>LF-014</x:v>
      </x:c>
      <x:c r="B18" s="32" t="str">
        <x:v>Refresh cadence</x:v>
      </x:c>
      <x:c r="C18" s="32" t="str">
        <x:v>Snapshot interval default = 5,000 ms; timeseries interval separado = 60,000 ms.</x:v>
      </x:c>
      <x:c r="D18" s="32" t="str">
        <x:v>scopes/ada/kpis/src/ada/kpis/runtime/web.py</x:v>
      </x:c>
      <x:c r="E18" s="32" t="str">
        <x:v>REFERENCIA</x:v>
      </x:c>
      <x:c r="F18" s="32" t="str">
        <x:v>Time Status puede refrescar con el mismo ciclo snapshot; popover open-state debe ser independiente.</x:v>
      </x:c>
      <x:c r="G18" s="32" t="str">
        <x:v>Alta</x:v>
      </x:c>
      <x:c r="H18" s="32" t="str">
        <x:v>No crear otro polling si el store ya cambia.</x:v>
      </x:c>
    </x:row>
    <x:row r="19">
      <x:c r="A19" s="32" t="str">
        <x:v>LF-015</x:v>
      </x:c>
      <x:c r="B19" s="32" t="str">
        <x:v>Consumption scope</x:v>
      </x:c>
      <x:c r="C19" s="32" t="str">
        <x:v>Stores de componentes se construyen sólo para bindings de la Tool y según include_snapshot/timeseries.</x:v>
      </x:c>
      <x:c r="D19" s="32" t="str">
        <x:v>scopes/ada/kpis/src/ada/kpis/runtime/web.py; runtime/planning.py</x:v>
      </x:c>
      <x:c r="E19" s="32" t="str">
        <x:v>CONSERVAR PRINCIPIO</x:v>
      </x:c>
      <x:c r="F19" s="32" t="str">
        <x:v>Detalle dinámico debe construirse sólo con consumos de la Tool.</x:v>
      </x:c>
      <x:c r="G19" s="32" t="str">
        <x:v>Alta</x:v>
      </x:c>
      <x:c r="H19" s="32" t="str">
        <x:v>No mostrar catálogo global de KPI/fuentes.</x:v>
      </x:c>
    </x:row>
    <x:row r="20">
      <x:c r="A20" s="32" t="str">
        <x:v>LF-016</x:v>
      </x:c>
      <x:c r="B20" s="32" t="str">
        <x:v>Legacy coupling gap</x:v>
      </x:c>
      <x:c r="C20" s="32" t="str">
        <x:v>Si refresh_snapshot recibe store_ids vacío, devuelve no_update también para SOURCE_TIME_STORE.</x:v>
      </x:c>
      <x:c r="D20" s="32" t="str">
        <x:v>scopes/ada/kpis/src/ada/kpis/runtime/web.py</x:v>
      </x:c>
      <x:c r="E20" s="32" t="str">
        <x:v>CORREGIR SI SIGUE VIGENTE</x:v>
      </x:c>
      <x:c r="F20" s="32" t="str">
        <x:v>Desacoplar actualización del Time Status store de existencia de component stores.</x:v>
      </x:c>
      <x:c r="G20" s="32" t="str">
        <x:v>Alta</x:v>
      </x:c>
      <x:c r="H20" s="32" t="str">
        <x:v>Puede afectar Tools sin snapshot component store.</x:v>
      </x:c>
    </x:row>
    <x:row r="21">
      <x:c r="A21" s="32" t="str">
        <x:v>LF-017</x:v>
      </x:c>
      <x:c r="B21" s="32" t="str">
        <x:v>No UI wiring encontrado</x:v>
      </x:c>
      <x:c r="C21" s="32" t="str">
        <x:v>No hay referencias productivas que consuman SOURCE_TIME_STORE_TYPE fuera de runtime/web.py.</x:v>
      </x:c>
      <x:c r="D21" s="32" t="str">
        <x:v>búsqueda global del archive</x:v>
      </x:c>
      <x:c r="E21" s="32" t="str">
        <x:v>NUEVO</x:v>
      </x:c>
      <x:c r="F21" s="32" t="str">
        <x:v>Crear adapter/composition TimeStatusState desde el store actual.</x:v>
      </x:c>
      <x:c r="G21" s="32" t="str">
        <x:v>Alta</x:v>
      </x:c>
      <x:c r="H21" s="32" t="str">
        <x:v>El archivo contiene contrato de datos y UI, pero no la unión.</x:v>
      </x:c>
    </x:row>
    <x:row r="22">
      <x:c r="A22" s="32" t="str">
        <x:v>LF-018</x:v>
      </x:c>
      <x:c r="B22" s="32" t="str">
        <x:v>No runtime wrapper resolver encontrado</x:v>
      </x:c>
      <x:c r="C22" s="32" t="str">
        <x:v>IDs runtime del ContentState aparecen en builders/tests, pero no hay callback productivo que cambie backdrop runtime.</x:v>
      </x:c>
      <x:c r="D22" s="32" t="str">
        <x:v>búsqueda global ada-ui / archive</x:v>
      </x:c>
      <x:c r="E22" s="32" t="str">
        <x:v>NUEVO</x:v>
      </x:c>
      <x:c r="F22" s="32" t="str">
        <x:v>Crear Content State Resolver separado de Time Status UI.</x:v>
      </x:c>
      <x:c r="G22" s="32" t="str">
        <x:v>Alta</x:v>
      </x:c>
      <x:c r="H22" s="32" t="str">
        <x:v>No inferir que el stale viejo estaba completo E2E.</x:v>
      </x:c>
    </x:row>
    <x:row r="23">
      <x:c r="A23" s="32" t="str">
        <x:v>LF-019</x:v>
      </x:c>
      <x:c r="B23" s="32" t="str">
        <x:v>No popover legacy</x:v>
      </x:c>
      <x:c r="C23" s="32" t="str">
        <x:v>OperationalStatusBar sólo muestra PI/Dispatch + current time; no flyout/modal/detail.</x:v>
      </x:c>
      <x:c r="D23" s="32" t="str">
        <x:v>status/builders.py + CSS</x:v>
      </x:c>
      <x:c r="E23" s="32" t="str">
        <x:v>NUEVO</x:v>
      </x:c>
      <x:c r="F23" s="32" t="str">
        <x:v>Anchored clickable popover controlado por JS.</x:v>
      </x:c>
      <x:c r="G23" s="32" t="str">
        <x:v>Alta</x:v>
      </x:c>
      <x:c r="H23" s="32" t="str">
        <x:v>Debe permanecer abierto durante Interval.</x:v>
      </x:c>
    </x:row>
    <x:row r="24">
      <x:c r="A24" s="32" t="str">
        <x:v>LF-020</x:v>
      </x:c>
      <x:c r="B24" s="32" t="str">
        <x:v>Current display-status differs</x:v>
      </x:c>
      <x:c r="C24" s="32" t="str">
        <x:v>latest-v4 tiene DisplayStatus OK/NOT_MAPPED/EMPTY/INVALID/ERROR para valores, no freshness/content state.</x:v>
      </x:c>
      <x:c r="D24" s="32" t="str">
        <x:v>scopes/ada/web/ui/display-status en latest-v4</x:v>
      </x:c>
      <x:c r="E24" s="32" t="str">
        <x:v>NO MEZCLAR</x:v>
      </x:c>
      <x:c r="F24" s="32" t="str">
        <x:v>Mantener display-status y ContentState como capabilities distintas.</x:v>
      </x:c>
      <x:c r="G24" s="32" t="str">
        <x:v>Alta</x:v>
      </x:c>
      <x:c r="H24" s="32" t="str">
        <x:v>Una maneja validez de dato; otra disponibilidad temporal/construcción del contenido.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50" hidden="0" customWidth="1"/>
    <x:col min="4" max="4" width="35" hidden="0" customWidth="1"/>
    <x:col min="5" max="5" width="24" hidden="0" customWidth="1"/>
    <x:col min="6" max="6" width="37" hidden="0" customWidth="1"/>
    <x:col min="7" max="7" width="18" hidden="0" customWidth="1"/>
    <x:col min="8" max="8" width="44" hidden="0" customWidth="1"/>
  </x:cols>
  <x:sheetData>
    <x:row r="1" ht="30" customHeight="1">
      <x:c r="A1" s="4" t="str">
        <x:v>Arquitectura objetivo propuesta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Separa datos, presentación, interacción client-side y estado de contenido. Nombres exactos de clases/packages aún no congelados.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Capa</x:v>
      </x:c>
      <x:c r="B4" s="19" t="str">
        <x:v>Entrada</x:v>
      </x:c>
      <x:c r="C4" s="19" t="str">
        <x:v>Responsabilidad</x:v>
      </x:c>
      <x:c r="D4" s="19" t="str">
        <x:v>Salida</x:v>
      </x:c>
      <x:c r="E4" s="19" t="str">
        <x:v>Owner sugerido</x:v>
      </x:c>
      <x:c r="F4" s="19" t="str">
        <x:v>No debe conocer</x:v>
      </x:c>
      <x:c r="G4" s="19" t="str">
        <x:v>Estado</x:v>
      </x:c>
      <x:c r="H4" s="19" t="str">
        <x:v>Notas</x:v>
      </x:c>
    </x:row>
    <x:row r="5">
      <x:c r="A5" s="32" t="str">
        <x:v>Collector / Time Status Store</x:v>
      </x:c>
      <x:c r="B5" s="32" t="str">
        <x:v>estado pequeño por Tool</x:v>
      </x:c>
      <x:c r="C5" s="32" t="str">
        <x:v>Publicar timestamps/freshness operacionales sin lógica UI.</x:v>
      </x:c>
      <x:c r="D5" s="32" t="str">
        <x:v>Store/snapshot de time status</x:v>
      </x:c>
      <x:c r="E5" s="32" t="str">
        <x:v>Backend/Collector</x:v>
      </x:c>
      <x:c r="F5" s="32" t="str">
        <x:v>Dash, popover, wrappers</x:v>
      </x:c>
      <x:c r="G5" s="32" t="str">
        <x:v>EXISTE CONCEPTUAL</x:v>
      </x:c>
      <x:c r="H5" s="32" t="str">
        <x:v>Contrato actual exacto debe verificarse cuando backend quede estable.</x:v>
      </x:c>
    </x:row>
    <x:row r="6">
      <x:c r="A6" s="32" t="str">
        <x:v>Tool composition</x:v>
      </x:c>
      <x:c r="B6" s="32" t="str">
        <x:v>Tool + consumos + store</x:v>
      </x:c>
      <x:c r="C6" s="32" t="str">
        <x:v>Seleccionar sólo entradas relevantes para la Tool y clasificarlas por rol.</x:v>
      </x:c>
      <x:c r="D6" s="32" t="str">
        <x:v>TimeStatusState + dependencia freshness</x:v>
      </x:c>
      <x:c r="E6" s="32" t="str">
        <x:v>Web Composition</x:v>
      </x:c>
      <x:c r="F6" s="32" t="str">
        <x:v>Detalles internos del Collector</x:v>
      </x:c>
      <x:c r="G6" s="32" t="str">
        <x:v>NUEVO</x:v>
      </x:c>
      <x:c r="H6" s="32" t="str">
        <x:v>No poner show_in_popover/show_in_header dentro del Collector.</x:v>
      </x:c>
    </x:row>
    <x:row r="7">
      <x:c r="A7" s="32" t="str">
        <x:v>Time Status Summary</x:v>
      </x:c>
      <x:c r="B7" s="32" t="str">
        <x:v>PI? + Dispatch?</x:v>
      </x:c>
      <x:c r="C7" s="32" t="str">
        <x:v>Mostrar únicamente PI/Dispatch como relative age y estado visual.</x:v>
      </x:c>
      <x:c r="D7" s="32" t="str">
        <x:v>DOM summary trigger</x:v>
      </x:c>
      <x:c r="E7" s="32" t="str">
        <x:v>Web UI</x:v>
      </x:c>
      <x:c r="F7" s="32" t="str">
        <x:v>KPI config, Collector internals</x:v>
      </x:c>
      <x:c r="G7" s="32" t="str">
        <x:v>RECUPERAR</x:v>
      </x:c>
      <x:c r="H7" s="32" t="str">
        <x:v>En ADA PI siempre se inyecta; Dispatch depende de Tool.</x:v>
      </x:c>
    </x:row>
    <x:row r="8">
      <x:c r="A8" s="32" t="str">
        <x:v>Time Status Detail</x:v>
      </x:c>
      <x:c r="B8" s="32" t="str">
        <x:v>entradas dinámicas consumidas</x:v>
      </x:c>
      <x:c r="C8" s="32" t="str">
        <x:v>Mostrar fuente/consumo + última fecha/hora real.</x:v>
      </x:c>
      <x:c r="D8" s="32" t="str">
        <x:v>Anchored detail rows</x:v>
      </x:c>
      <x:c r="E8" s="32" t="str">
        <x:v>Web UI</x:v>
      </x:c>
      <x:c r="F8" s="32" t="str">
        <x:v>Freshness resolver</x:v>
      </x:c>
      <x:c r="G8" s="32" t="str">
        <x:v>NUEVO</x:v>
      </x:c>
      <x:c r="H8" s="32" t="str">
        <x:v>No mostrar 'hace N'; mostrar timestamp.</x:v>
      </x:c>
    </x:row>
    <x:row r="9">
      <x:c r="A9" s="32" t="str">
        <x:v>Time Status JS Controller</x:v>
      </x:c>
      <x:c r="B9" s="32" t="str">
        <x:v>trigger + detail DOM + updates</x:v>
      </x:c>
      <x:c r="C9" s="32" t="str">
        <x:v>Mantener is_open client-side, reanclar tras rerender, cerrar sólo por interacción explícita.</x:v>
      </x:c>
      <x:c r="D9" s="32" t="str">
        <x:v>Popover estable</x:v>
      </x:c>
      <x:c r="E9" s="32" t="str">
        <x:v>Web JS</x:v>
      </x:c>
      <x:c r="F9" s="32" t="str">
        <x:v>Collector, KPI Configuration</x:v>
      </x:c>
      <x:c r="G9" s="32" t="str">
        <x:v>NUEVO</x:v>
      </x:c>
      <x:c r="H9" s="32" t="str">
        <x:v>Interval/data refresh nunca debe cerrar el popover.</x:v>
      </x:c>
    </x:row>
    <x:row r="10">
      <x:c r="A10" s="32" t="str">
        <x:v>Freshness classification</x:v>
      </x:c>
      <x:c r="B10" s="32" t="str">
        <x:v>store + políticas</x:v>
      </x:c>
      <x:c r="C10" s="32" t="str">
        <x:v>Decidir qué entradas conducen STALE y con qué threshold/estado.</x:v>
      </x:c>
      <x:c r="D10" s="32" t="str">
        <x:v>SourceFreshnessState</x:v>
      </x:c>
      <x:c r="E10" s="32" t="str">
        <x:v>Web/Domain adapter</x:v>
      </x:c>
      <x:c r="F10" s="32" t="str">
        <x:v>Presentación del popover</x:v>
      </x:c>
      <x:c r="G10" s="32" t="str">
        <x:v>NUEVO</x:v>
      </x:c>
      <x:c r="H10" s="32" t="str">
        <x:v>Una entrada puede ir al popover sin causar STALE.</x:v>
      </x:c>
    </x:row>
    <x:row r="11">
      <x:c r="A11" s="32" t="str">
        <x:v>Dependency resolver</x:v>
      </x:c>
      <x:c r="B11" s="32" t="str">
        <x:v>source freshness + dependencias de Tool/componentes</x:v>
      </x:c>
      <x:c r="C11" s="32" t="str">
        <x:v>Resolver qué superficies quedan READY/STALE.</x:v>
      </x:c>
      <x:c r="D11" s="32" t="str">
        <x:v>Content state por state_key</x:v>
      </x:c>
      <x:c r="E11" s="32" t="str">
        <x:v>Web Composition</x:v>
      </x:c>
      <x:c r="F11" s="32" t="str">
        <x:v>CSS/JS del wrapper</x:v>
      </x:c>
      <x:c r="G11" s="32" t="str">
        <x:v>NUEVO</x:v>
      </x:c>
      <x:c r="H11" s="32" t="str">
        <x:v>Debe ser explícito e inyectable.</x:v>
      </x:c>
    </x:row>
    <x:row r="12">
      <x:c r="A12" s="32" t="str">
        <x:v>Content State Wrapper</x:v>
      </x:c>
      <x:c r="B12" s="32" t="str">
        <x:v>ContentStateView</x:v>
      </x:c>
      <x:c r="C12" s="32" t="str">
        <x:v>Cubrir contenido con READY/STALE/CONSTRUCTION sin cambiar layout.</x:v>
      </x:c>
      <x:c r="D12" s="32" t="str">
        <x:v>Wrapper DOM</x:v>
      </x:c>
      <x:c r="E12" s="32" t="str">
        <x:v>Web UI reusable</x:v>
      </x:c>
      <x:c r="F12" s="32" t="str">
        <x:v>Collector, Time Status</x:v>
      </x:c>
      <x:c r="G12" s="32" t="str">
        <x:v>RECUPERAR</x:v>
      </x:c>
      <x:c r="H12" s="32" t="str">
        <x:v>Construction estático; stale runtime.</x:v>
      </x:c>
    </x:row>
    <x:row r="13">
      <x:c r="A13" s="32" t="str">
        <x:v>Construction declaration</x:v>
      </x:c>
      <x:c r="B13" s="32" t="str">
        <x:v>config/composición</x:v>
      </x:c>
      <x:c r="C13" s="32" t="str">
        <x:v>Marcar superficies aún no disponibles.</x:v>
      </x:c>
      <x:c r="D13" s="32" t="str">
        <x:v>CONSTRUCTION</x:v>
      </x:c>
      <x:c r="E13" s="32" t="str">
        <x:v>Composition</x:v>
      </x:c>
      <x:c r="F13" s="32" t="str">
        <x:v>Freshness</x:v>
      </x:c>
      <x:c r="G13" s="32" t="str">
        <x:v>RECUPERAR</x:v>
      </x:c>
      <x:c r="H13" s="32" t="str">
        <x:v>Precedencia propuesta sobre STALE.</x:v>
      </x:c>
    </x:row>
    <x:row r="14">
      <x:c r="A14" s="32" t="str">
        <x:v>KPI Inspection Surface</x:v>
      </x:c>
      <x:c r="B14" s="32" t="str">
        <x:v>data-kpi-inspection-key</x:v>
      </x:c>
      <x:c r="C14" s="32" t="str">
        <x:v>Continuar funcionando independiente del Time Status.</x:v>
      </x:c>
      <x:c r="D14" s="32" t="str">
        <x:v>Bottom inspector</x:v>
      </x:c>
      <x:c r="E14" s="32" t="str">
        <x:v>Web Inspection</x:v>
      </x:c>
      <x:c r="F14" s="32" t="str">
        <x:v>Time Status store</x:v>
      </x:c>
      <x:c r="G14" s="32" t="str">
        <x:v>CERRADO</x:v>
      </x:c>
      <x:c r="H14" s="32" t="str">
        <x:v>Preview visual todavía pendiente.</x:v>
      </x:c>
    </x:row>
    <x:row r="17">
      <x:c r="A17" s="26" t="str">
        <x:v>Flujos objetivo</x:v>
      </x:c>
      <x:c r="B17" s="26"/>
      <x:c r="C17" s="26"/>
      <x:c r="D17" s="26"/>
      <x:c r="E17" s="26"/>
      <x:c r="F17" s="26"/>
      <x:c r="G17" s="26"/>
      <x:c r="H17" s="26"/>
    </x:row>
    <x:row r="18">
      <x:c r="A18" s="32" t="str">
        <x:v>A. Summary</x:v>
      </x:c>
      <x:c r="B18" s="32" t="str">
        <x:v>Collector Time Status Store → composition → PI/Dispatch → Time Status Summary</x:v>
      </x:c>
    </x:row>
    <x:row r="19">
      <x:c r="A19" s="32" t="str">
        <x:v>B. Detail</x:v>
      </x:c>
      <x:c r="B19" s="32" t="str">
        <x:v>Collector Time Status Store → Tool consumption filter → dynamic detail rows → JS anchored popover</x:v>
      </x:c>
    </x:row>
    <x:row r="20">
      <x:c r="A20" s="32" t="str">
        <x:v>C. Stale</x:v>
      </x:c>
      <x:c r="B20" s="32" t="str">
        <x:v>Collector Time Status Store → freshness policy → dependency resolver → ContentState.STALE wrapper</x:v>
      </x:c>
    </x:row>
    <x:row r="21">
      <x:c r="A21" s="32" t="str">
        <x:v>D. Construction</x:v>
      </x:c>
      <x:c r="B21" s="32" t="str">
        <x:v>component declaration/config → ContentState.CONSTRUCTION wrapper</x:v>
      </x:c>
    </x:row>
    <x:row r="22">
      <x:c r="A22" s="32" t="str">
        <x:v>E. Interaction</x:v>
      </x:c>
      <x:c r="B22" s="32" t="str">
        <x:v>Interval actualiza datos/DOM → JS conserva is_open → re-resuelve anchor → popover sigue abierto</x:v>
      </x:c>
    </x:row>
  </x:sheetData>
  <x:mergeCells>
    <x:mergeCell ref="A1:H1"/>
    <x:mergeCell ref="A2:H2"/>
    <x:mergeCell ref="A17:H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18" hidden="0" customWidth="1"/>
    <x:col min="4" max="4" width="36" hidden="0" customWidth="1"/>
    <x:col min="5" max="5" width="48" hidden="0" customWidth="1"/>
    <x:col min="6" max="6" width="30" hidden="0" customWidth="1"/>
    <x:col min="7" max="7" width="18" hidden="0" customWidth="1"/>
    <x:col min="8" max="8" width="40" hidden="0" customWidth="1"/>
    <x:col min="9" max="9" width="10" hidden="0" customWidth="1"/>
    <x:col min="10" max="10" width="14" hidden="0" customWidth="1"/>
    <x:col min="11" max="11" width="18" hidden="0" customWidth="1"/>
    <x:col min="12" max="12" width="44" hidden="0" customWidth="1"/>
  </x:cols>
  <x:sheetData>
    <x:row r="1" ht="30" customHeight="1">
      <x:c r="A1" s="4" t="str">
        <x:v>Roadmap de implementación y validación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11" t="str">
        <x:v>Orden recomendado: validar visualmente KPI Inspection; recuperar Time Status en línea; luego Content State. Cosmos y Body permanecen diferidos.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>
      <x:c r="A4" s="19" t="str">
        <x:v>ID</x:v>
      </x:c>
      <x:c r="B4" s="19" t="str">
        <x:v>Track</x:v>
      </x:c>
      <x:c r="C4" s="19" t="str">
        <x:v>Fase</x:v>
      </x:c>
      <x:c r="D4" s="19" t="str">
        <x:v>Incremento / tarea</x:v>
      </x:c>
      <x:c r="E4" s="19" t="str">
        <x:v>Objetivo</x:v>
      </x:c>
      <x:c r="F4" s="19" t="str">
        <x:v>Dependencias</x:v>
      </x:c>
      <x:c r="G4" s="19" t="str">
        <x:v>Cambio productivo</x:v>
      </x:c>
      <x:c r="H4" s="19" t="str">
        <x:v>Gate / evidencia</x:v>
      </x:c>
      <x:c r="I4" s="19" t="str">
        <x:v>Prioridad</x:v>
      </x:c>
      <x:c r="J4" s="19" t="str">
        <x:v>Estado</x:v>
      </x:c>
      <x:c r="K4" s="19" t="str">
        <x:v>Owner</x:v>
      </x:c>
      <x:c r="L4" s="19" t="str">
        <x:v>Notas</x:v>
      </x:c>
    </x:row>
    <x:row r="5">
      <x:c r="A5" s="32" t="str">
        <x:v>KIV-000</x:v>
      </x:c>
      <x:c r="B5" s="32" t="str">
        <x:v>KPI Inspection Visual</x:v>
      </x:c>
      <x:c r="C5" s="32" t="str">
        <x:v>Preview</x:v>
      </x:c>
      <x:c r="D5" s="32" t="str">
        <x:v>Interactive preview composition</x:v>
      </x:c>
      <x:c r="E5" s="32" t="str">
        <x:v>Montar aplicación local real con Global Indicators + Inspection Surface + API + Snapshot in-memory.</x:v>
      </x:c>
      <x:c r="F5" s="32" t="str">
        <x:v>KI-010B</x:v>
      </x:c>
      <x:c r="G5" s="32" t="str">
        <x:v>Harness/preview sólo</x:v>
      </x:c>
      <x:c r="H5" s="32" t="str">
        <x:v>6 tests de composición/runtime + gate Core/API/Surface/GI/Application + smoke visual</x:v>
      </x:c>
      <x:c r="I5" s="32" t="str">
        <x:v>P0</x:v>
      </x:c>
      <x:c r="J5" s="32" t="str">
        <x:v>CERRADO</x:v>
      </x:c>
      <x:c r="K5" s="32" t="str">
        <x:v>Web/UI</x:v>
      </x:c>
      <x:c r="L5" s="32" t="str">
        <x:v>Preview base absorbida por las calibraciones posteriores; validación final consolidada en KIV-000C.</x:v>
      </x:c>
    </x:row>
    <x:row r="6">
      <x:c r="A6" s="32" t="str">
        <x:v>KIV-000B</x:v>
      </x:c>
      <x:c r="B6" s="32" t="str">
        <x:v>KPI Inspection Visual</x:v>
      </x:c>
      <x:c r="C6" s="32" t="str">
        <x:v>Calibration</x:v>
      </x:c>
      <x:c r="D6" s="32" t="str">
        <x:v>Inspection interaction calibration</x:v>
      </x:c>
      <x:c r="E6" s="32" t="str">
        <x:v>Corregir el piloto visual antes del freeze: triggers sólo en valores, Surface oscura/cuadrada, copy-selectable y lock durante loading.</x:v>
      </x:c>
      <x:c r="F6" s="32" t="str">
        <x:v>KIV-000; KI-010B</x:v>
      </x:c>
      <x:c r="G6" s="32" t="str">
        <x:v>Sí: Global Indicator + Inspection Surface + exact-pin consumers</x:v>
      </x:c>
      <x:c r="H6" s="32" t="str">
        <x:v>Gates Core/API/Surface/Interval/Empty/GI/Application/Preview + smoke visual</x:v>
      </x:c>
      <x:c r="I6" s="32" t="str">
        <x:v>P0</x:v>
      </x:c>
      <x:c r="J6" s="32" t="str">
        <x:v>CERRADO</x:v>
      </x:c>
      <x:c r="K6" s="32" t="str">
        <x:v>Web/UI</x:v>
      </x:c>
      <x:c r="L6" s="32" t="str">
        <x:v>Calibración dark/square, persistent panel y loading lock absorbida y aprobada junto con KIV-000C.</x:v>
      </x:c>
    </x:row>
    <x:row r="7">
      <x:c r="A7" s="32" t="str">
        <x:v>KIV-000C</x:v>
      </x:c>
      <x:c r="B7" s="32" t="str">
        <x:v>KPI Inspection Visual</x:v>
      </x:c>
      <x:c r="C7" s="32" t="str">
        <x:v>Calibration</x:v>
      </x:c>
      <x:c r="D7" s="32" t="str">
        <x:v>Per-value Inspection Identity</x:v>
      </x:c>
      <x:c r="E7" s="32" t="str">
        <x:v>Dar identidad KPI independiente a cada valor del Global Indicator y corregir focus restore + spacing detectados en validación visual.</x:v>
      </x:c>
      <x:c r="F7" s="32" t="str">
        <x:v>KIV-000B</x:v>
      </x:c>
      <x:c r="G7" s="32" t="str">
        <x:v>Sí: Global Indicator contract + Inspection Surface JS + exact-pin consumers</x:v>
      </x:c>
      <x:c r="H7" s="32" t="str">
        <x:v>Gates Core/API/Surface/Interval/Empty/GI/Application/Preview + smoke visual</x:v>
      </x:c>
      <x:c r="I7" s="32" t="str">
        <x:v>P0</x:v>
      </x:c>
      <x:c r="J7" s="32" t="str">
        <x:v>CERRADO</x:v>
      </x:c>
      <x:c r="K7" s="32" t="str">
        <x:v>Web/UI</x:v>
      </x:c>
      <x:c r="L7" s="32" t="str">
        <x:v>CERRADO: corrective 0.1.1 con gate Python 3.14.2 + UV verde y validación visual aprobada. Responsive/resolution queda para backlog posterior.</x:v>
      </x:c>
    </x:row>
    <x:row r="8">
      <x:c r="A8" s="32" t="str">
        <x:v>KIV-001</x:v>
      </x:c>
      <x:c r="B8" s="32" t="str">
        <x:v>KPI Inspection Visual</x:v>
      </x:c>
      <x:c r="C8" s="32" t="str">
        <x:v>Interaction</x:v>
      </x:c>
      <x:c r="D8" s="32" t="str">
        <x:v>Sequential KPI switching</x:v>
      </x:c>
      <x:c r="E8" s="32" t="str">
        <x:v>Abrir KPI A y, cuando termine de cargar, seleccionar B/C sin cerrar la Surface.</x:v>
      </x:c>
      <x:c r="F8" s="32" t="str">
        <x:v>KIV-000C</x:v>
      </x:c>
      <x:c r="G8" s="32" t="str">
        <x:v>No</x:v>
      </x:c>
      <x:c r="H8" s="32" t="str">
        <x:v>Mismo panel permanece abierto; cada selección completada reemplaza contenido sin close/reopen.</x:v>
      </x:c>
      <x:c r="I8" s="32" t="str">
        <x:v>P0</x:v>
      </x:c>
      <x:c r="J8" s="32" t="str">
        <x:v>CERRADO</x:v>
      </x:c>
      <x:c r="K8" s="32" t="str">
        <x:v>Web/UI</x:v>
      </x:c>
      <x:c r="L8" s="32" t="str">
        <x:v>PASS visual: el usuario confirmó cambio secuencial entre KPI reutilizando la misma Surface sin cierre/reapertura.</x:v>
      </x:c>
    </x:row>
    <x:row r="9">
      <x:c r="A9" s="32" t="str">
        <x:v>KIV-002</x:v>
      </x:c>
      <x:c r="B9" s="32" t="str">
        <x:v>KPI Inspection Visual</x:v>
      </x:c>
      <x:c r="C9" s="32" t="str">
        <x:v>Interaction</x:v>
      </x:c>
      <x:c r="D9" s="32" t="str">
        <x:v>Loading lock / API saturation guard</x:v>
      </x:c>
      <x:c r="E9" s="32" t="str">
        <x:v>Ignorar nuevos triggers mientras una definición está cargando y conservar defensas de carrera.</x:v>
      </x:c>
      <x:c r="F9" s="32" t="str">
        <x:v>KIV-000C</x:v>
      </x:c>
      <x:c r="G9" s="32" t="str">
        <x:v>No</x:v>
      </x:c>
      <x:c r="H9" s="32" t="str">
        <x:v>Una request activa máximo; clicks/Enter/Space adicionales durante loading no generan otra llamada.</x:v>
      </x:c>
      <x:c r="I9" s="32" t="str">
        <x:v>P0</x:v>
      </x:c>
      <x:c r="J9" s="32" t="str">
        <x:v>CERRADO</x:v>
      </x:c>
      <x:c r="K9" s="32" t="str">
        <x:v>Web/UI</x:v>
      </x:c>
      <x:c r="L9" s="32" t="str">
        <x:v>PASS visual: el loading lock ignoró nuevos triggers durante la request; la latencia artificial quedó confinada a Preview.</x:v>
      </x:c>
    </x:row>
    <x:row r="10">
      <x:c r="A10" s="32" t="str">
        <x:v>KIV-003</x:v>
      </x:c>
      <x:c r="B10" s="32" t="str">
        <x:v>KPI Inspection Visual</x:v>
      </x:c>
      <x:c r="C10" s="32" t="str">
        <x:v>Resilience</x:v>
      </x:c>
      <x:c r="D10" s="32" t="str">
        <x:v>Open inspector during rerender</x:v>
      </x:c>
      <x:c r="E10" s="32" t="str">
        <x:v>Mantener panel abierto mientras Global Indicator rerenderiza.</x:v>
      </x:c>
      <x:c r="F10" s="32" t="str">
        <x:v>KIV-000C; KI-010</x:v>
      </x:c>
      <x:c r="G10" s="32" t="str">
        <x:v>No</x:v>
      </x:c>
      <x:c r="H10" s="32" t="str">
        <x:v>Smoke con Interval</x:v>
      </x:c>
      <x:c r="I10" s="32" t="str">
        <x:v>P0</x:v>
      </x:c>
      <x:c r="J10" s="32" t="str">
        <x:v>CERRADO</x:v>
      </x:c>
      <x:c r="K10" s="32" t="str">
        <x:v>Web/UI</x:v>
      </x:c>
      <x:c r="L10" s="32" t="str">
        <x:v>PASS técnico/visual con corrective 0.1.1: dcc.Interval real rerenderiza Global Indicators y la Surface permanece abierta/operable.</x:v>
      </x:c>
    </x:row>
    <x:row r="11">
      <x:c r="A11" s="32" t="str">
        <x:v>KIV-004</x:v>
      </x:c>
      <x:c r="B11" s="32" t="str">
        <x:v>KPI Inspection Visual</x:v>
      </x:c>
      <x:c r="C11" s="32" t="str">
        <x:v>UX</x:v>
      </x:c>
      <x:c r="D11" s="32" t="str">
        <x:v>Pointer-only close behavior</x:v>
      </x:c>
      <x:c r="E11" s="32" t="str">
        <x:v>Eliminar los valores KPI del orden de tabulación y validar cierre explícito por X/Escape sin foco residual.</x:v>
      </x:c>
      <x:c r="F11" s="32" t="str">
        <x:v>KIV-003</x:v>
      </x:c>
      <x:c r="G11" s="32" t="str">
        <x:v>Sí: Global Indicator presentation + exact-pin consumers; Surface sin cambios</x:v>
      </x:c>
      <x:c r="H11" s="32" t="str">
        <x:v>Tab no alcanza valores KPI; click sigue abriendo; X/Escape cierran; Interval no compite con focus</x:v>
      </x:c>
      <x:c r="I11" s="32" t="str">
        <x:v>P0</x:v>
      </x:c>
      <x:c r="J11" s="32" t="str">
        <x:v>CERRADO</x:v>
      </x:c>
      <x:c r="K11" s="32" t="str">
        <x:v>Web/UI</x:v>
      </x:c>
      <x:c r="L11" s="32" t="str">
        <x:v>PASS usuario: Tab no entra a valores KPI; click sigue abriendo Inspection; X/Escape cierran correctamente. Global Indicator 0.2.1 pointer-only queda congelado.</x:v>
      </x:c>
    </x:row>
    <x:row r="12">
      <x:c r="A12" s="32" t="str">
        <x:v>KIV-005</x:v>
      </x:c>
      <x:c r="B12" s="32" t="str">
        <x:v>KPI Inspection Visual</x:v>
      </x:c>
      <x:c r="C12" s="32" t="str">
        <x:v>Freeze</x:v>
      </x:c>
      <x:c r="D12" s="32" t="str">
        <x:v>Visual calibration &amp; freeze</x:v>
      </x:c>
      <x:c r="E12" s="32" t="str">
        <x:v>Ajustar altura, spacing, copy y layout de fields sobre Surface dark/square; congelar diseño piloto.</x:v>
      </x:c>
      <x:c r="F12" s="32" t="str">
        <x:v>KIV-000C; KIV-001..004</x:v>
      </x:c>
      <x:c r="G12" s="32" t="str">
        <x:v>Sí, sólo Surface si se acuerda</x:v>
      </x:c>
      <x:c r="H12" s="32" t="str">
        <x:v>Aprobación visual usuario</x:v>
      </x:c>
      <x:c r="I12" s="32" t="str">
        <x:v>P0</x:v>
      </x:c>
      <x:c r="J12" s="32" t="str">
        <x:v>CERRADO</x:v>
      </x:c>
      <x:c r="K12" s="32" t="str">
        <x:v>Web/UI</x:v>
      </x:c>
      <x:c r="L12" s="32" t="str">
        <x:v>Freeze formal sin cambios productivos adicionales. Se congela Surface dark/square, per-value identity, persistent panel, loading lock y pointer-only triggers. Responsive/resolution queda como backlog posterior.</x:v>
      </x:c>
    </x:row>
    <x:row r="13">
      <x:c r="A13" s="32" t="str">
        <x:v>TS-000</x:v>
      </x:c>
      <x:c r="B13" s="32" t="str">
        <x:v>Time Status</x:v>
      </x:c>
      <x:c r="C13" s="32" t="str">
        <x:v>Discovery</x:v>
      </x:c>
      <x:c r="D13" s="32" t="str">
        <x:v>Legacy contract recovery</x:v>
      </x:c>
      <x:c r="E13" s="32" t="str">
        <x:v>Analizar status, SOURCE_TIME_STORE y ContentState del archive completo.</x:v>
      </x:c>
      <x:c r="F13" s="32" t="str">
        <x:v>—</x:v>
      </x:c>
      <x:c r="G13" s="32" t="str">
        <x:v>No</x:v>
      </x:c>
      <x:c r="H13" s="32" t="str">
        <x:v>Análisis + planner</x:v>
      </x:c>
      <x:c r="I13" s="32" t="str">
        <x:v>P0</x:v>
      </x:c>
      <x:c r="J13" s="32" t="str">
        <x:v>CERRADO</x:v>
      </x:c>
      <x:c r="K13" s="32" t="str">
        <x:v>Architecture</x:v>
      </x:c>
      <x:c r="L13" s="32" t="str">
        <x:v>Análisis legado completado y absorbido por TS-001.</x:v>
      </x:c>
    </x:row>
    <x:row r="14">
      <x:c r="A14" s="32" t="str">
        <x:v>TS-001</x:v>
      </x:c>
      <x:c r="B14" s="32" t="str">
        <x:v>Time Status</x:v>
      </x:c>
      <x:c r="C14" s="32" t="str">
        <x:v>Design</x:v>
      </x:c>
      <x:c r="D14" s="32" t="str">
        <x:v>Freeze Time Status contract</x:v>
      </x:c>
      <x:c r="E14" s="32" t="str">
        <x:v>Congelar summary PI/Dispatch, detail dinámico, current time y opcionalidad reusable.</x:v>
      </x:c>
      <x:c r="F14" s="32" t="str">
        <x:v>TS-000</x:v>
      </x:c>
      <x:c r="G14" s="32" t="str">
        <x:v>No</x:v>
      </x:c>
      <x:c r="H14" s="32" t="str">
        <x:v>Contract tests/decision</x:v>
      </x:c>
      <x:c r="I14" s="32" t="str">
        <x:v>P0</x:v>
      </x:c>
      <x:c r="J14" s="32" t="str">
        <x:v>CERRADO</x:v>
      </x:c>
      <x:c r="K14" s="32" t="str">
        <x:v>Architecture</x:v>
      </x:c>
      <x:c r="L14" s="32" t="str">
        <x:v>Contrato congelado: PI obligatorio en ADA; Dispatch opcional; warning/stale por fuente; PREVENTIVE/HARD_STALE; CONTENT_STALE por AND de summary sources; DATA_ERROR separado con propagación por dependency mapping; reloj real; detail sobre conjunto.</x:v>
      </x:c>
    </x:row>
    <x:row r="15">
      <x:c r="A15" s="32" t="str">
        <x:v>TS-002</x:v>
      </x:c>
      <x:c r="B15" s="32" t="str">
        <x:v>Time Status</x:v>
      </x:c>
      <x:c r="C15" s="32" t="str">
        <x:v>UI</x:v>
      </x:c>
      <x:c r="D15" s="32" t="str">
        <x:v>Summary component</x:v>
      </x:c>
      <x:c r="E15" s="32" t="str">
        <x:v>Reconstruir Time Status Summary modular en arquitectura latest-v4.</x:v>
      </x:c>
      <x:c r="F15" s="32" t="str">
        <x:v>TS-001</x:v>
      </x:c>
      <x:c r="G15" s="32" t="str">
        <x:v>Sí</x:v>
      </x:c>
      <x:c r="H15" s="32" t="str">
        <x:v>Unit/presentation/mirror</x:v>
      </x:c>
      <x:c r="I15" s="32" t="str">
        <x:v>P0</x:v>
      </x:c>
      <x:c r="J15" s="32" t="str">
        <x:v>CERRADO</x:v>
      </x:c>
      <x:c r="K15" s="32" t="str">
        <x:v>Web/UI</x:v>
      </x:c>
      <x:c r="L15" s="32" t="str">
        <x:v>PASS autoritativo usuario: corrective 0.1.1 verde en Python 3.14.2 + UV. ada-web-ui-time-status==0.1.0 materializado; capability aún aislada de Header/Application/Collector.</x:v>
      </x:c>
    </x:row>
    <x:row r="16">
      <x:c r="A16" s="32" t="str">
        <x:v>TS-003</x:v>
      </x:c>
      <x:c r="B16" s="32" t="str">
        <x:v>Time Status</x:v>
      </x:c>
      <x:c r="C16" s="32" t="str">
        <x:v>Client</x:v>
      </x:c>
      <x:c r="D16" s="32" t="str">
        <x:v>Local current datetime</x:v>
      </x:c>
      <x:c r="E16" s="32" t="str">
        <x:v>Recuperar reloj JS local independiente de Dash/servidor.</x:v>
      </x:c>
      <x:c r="F16" s="32" t="str">
        <x:v>TS-002</x:v>
      </x:c>
      <x:c r="G16" s="32" t="str">
        <x:v>Sí</x:v>
      </x:c>
      <x:c r="H16" s="32" t="str">
        <x:v>JS syntax + clock marker tests</x:v>
      </x:c>
      <x:c r="I16" s="32" t="str">
        <x:v>P1</x:v>
      </x:c>
      <x:c r="J16" s="32" t="str">
        <x:v>CERRADO</x:v>
      </x:c>
      <x:c r="K16" s="32" t="str">
        <x:v>Web/JS</x:v>
      </x:c>
      <x:c r="L16" s="32" t="str">
        <x:v>PASS autoritativo usuario en Python 3.14.2 + UV. ada-web-ui-time-status==0.1.1 queda validado con reloj Date.now(), setTimeout alineado al segundo y resync visibility/focus/pageshow. Sin polling backend.</x:v>
      </x:c>
    </x:row>
    <x:row r="17">
      <x:c r="A17" s="32" t="str">
        <x:v>TS-004</x:v>
      </x:c>
      <x:c r="B17" s="32" t="str">
        <x:v>Time Status</x:v>
      </x:c>
      <x:c r="C17" s="32" t="str">
        <x:v>Data contract</x:v>
      </x:c>
      <x:c r="D17" s="32" t="str">
        <x:v>Time Status store adapter contract</x:v>
      </x:c>
      <x:c r="E17" s="32" t="str">
        <x:v>Definir puerto/adaptador que reciba el store de Collector sin acoplar UI al backend.</x:v>
      </x:c>
      <x:c r="F17" s="32" t="str">
        <x:v>TS-001; DATA-001</x:v>
      </x:c>
      <x:c r="G17" s="32" t="str">
        <x:v>Sí</x:v>
      </x:c>
      <x:c r="H17" s="32" t="str">
        <x:v>Fake provider/store tests</x:v>
      </x:c>
      <x:c r="I17" s="32" t="str">
        <x:v>P0</x:v>
      </x:c>
      <x:c r="J17" s="32" t="str">
        <x:v>CERRADO</x:v>
      </x:c>
      <x:c r="K17" s="32" t="str">
        <x:v>Web/Adapter</x:v>
      </x:c>
      <x:c r="L17" s="32" t="str">
        <x:v>PASS autoritativo usuario en Python 3.14.2 + UV. ada-web-time-status-store-adapter==0.1.0 queda validado: tool_key doblemente verificado, stateless, UTC, VALID/MISSING/INVALID y sin wiring Collector.</x:v>
      </x:c>
    </x:row>
    <x:row r="18">
      <x:c r="A18" s="32" t="str">
        <x:v>TS-005</x:v>
      </x:c>
      <x:c r="B18" s="32" t="str">
        <x:v>Time Status</x:v>
      </x:c>
      <x:c r="C18" s="32" t="str">
        <x:v>Detail UI</x:v>
      </x:c>
      <x:c r="D18" s="32" t="str">
        <x:v>Anchored detail surface</x:v>
      </x:c>
      <x:c r="E18" s="32" t="str">
        <x:v>Crear extensión/popover anclada, sin modal/backdrop ni reflow.</x:v>
      </x:c>
      <x:c r="F18" s="32" t="str">
        <x:v>TS-002</x:v>
      </x:c>
      <x:c r="G18" s="32" t="str">
        <x:v>Sí</x:v>
      </x:c>
      <x:c r="H18" s="32" t="str">
        <x:v>DOM/CSS contract</x:v>
      </x:c>
      <x:c r="I18" s="32" t="str">
        <x:v>P0</x:v>
      </x:c>
      <x:c r="J18" s="32" t="str">
        <x:v>CERRADO</x:v>
      </x:c>
      <x:c r="K18" s="32" t="str">
        <x:v>Web/UI</x:v>
      </x:c>
      <x:c r="L18" s="32" t="str">
        <x:v>PASS autoritativo usuario en Python 3.14.2 + UV. ada-web-ui-time-status==0.1.2 queda validado con wrapper DOM local, Surface hermana del Summary, hidden inicialmente, anclaje relative/absolute y sin modal/backdrop/reflow.</x:v>
      </x:c>
    </x:row>
    <x:row r="19">
      <x:c r="A19" s="32" t="str">
        <x:v>TS-006</x:v>
      </x:c>
      <x:c r="B19" s="32" t="str">
        <x:v>Time Status</x:v>
      </x:c>
      <x:c r="C19" s="32" t="str">
        <x:v>Client</x:v>
      </x:c>
      <x:c r="D19" s="32" t="str">
        <x:v>Popover JS controller</x:v>
      </x:c>
      <x:c r="E19" s="32" t="str">
        <x:v>Estado open/closed client-side; click toggle, outside click, Escape, keyboard.</x:v>
      </x:c>
      <x:c r="F19" s="32" t="str">
        <x:v>TS-005</x:v>
      </x:c>
      <x:c r="G19" s="32" t="str">
        <x:v>Sí</x:v>
      </x:c>
      <x:c r="H19" s="32" t="str">
        <x:v>JS tests + node --check</x:v>
      </x:c>
      <x:c r="I19" s="32" t="str">
        <x:v>P0</x:v>
      </x:c>
      <x:c r="J19" s="32" t="str">
        <x:v>CERRADO</x:v>
      </x:c>
      <x:c r="K19" s="32" t="str">
        <x:v>Web/JS</x:v>
      </x:c>
      <x:c r="L19" s="32" t="str">
        <x:v>PASS autoritativo usuario en Python 3.14.2 + UV. ada-web-ui-time-status==0.1.3 queda validado con toggle por click/Enter/Space, outside click, Escape y estado ARIA/hidden sin callbacks Dash, storage ni IDs globales.</x:v>
      </x:c>
    </x:row>
    <x:row r="20" ht="52.79999923706055" hidden="0" customHeight="1">
      <x:c r="A20" s="32" t="str">
        <x:v>TS-007</x:v>
      </x:c>
      <x:c r="B20" s="32" t="str">
        <x:v>Time Status</x:v>
      </x:c>
      <x:c r="C20" s="32" t="str">
        <x:v>Resilience</x:v>
      </x:c>
      <x:c r="D20" s="32" t="str">
        <x:v>Popover survives Interval</x:v>
      </x:c>
      <x:c r="E20" s="32" t="str">
        <x:v>Actualizar summary/detail y reanclar tras rerender sin cerrar.</x:v>
      </x:c>
      <x:c r="F20" s="32" t="str">
        <x:v>TS-006</x:v>
      </x:c>
      <x:c r="G20" s="32" t="str">
        <x:v>Sí: Time Status presentation + JS controller + tests</x:v>
      </x:c>
      <x:c r="H20" s="32" t="str">
        <x:v>dcc.Interval harness + DOM smoke + node --check</x:v>
      </x:c>
      <x:c r="I20" s="32" t="str">
        <x:v>P0</x:v>
      </x:c>
      <x:c r="J20" s="32" t="str">
        <x:v>CERRADO</x:v>
      </x:c>
      <x:c r="K20" s="32" t="str">
        <x:v>Web/Validation</x:v>
      </x:c>
      <x:c r="L20" s="32" t="str">
        <x:v>PASS autoritativo usuario en Python 3.14.2 + UV con corrective installer 0.1.1. ada-web-ui-time-status==0.1.4 queda validado; popover conserva open/closed state por tool_key tras rerender y mantiene aislamiento entre Tools.</x:v>
      </x:c>
    </x:row>
    <x:row r="21" ht="52.79999923706055" hidden="0" customHeight="1">
      <x:c r="A21" s="32" t="str">
        <x:v>TS-008</x:v>
      </x:c>
      <x:c r="B21" s="32" t="str">
        <x:v>Time Status</x:v>
      </x:c>
      <x:c r="C21" s="32" t="str">
        <x:v>Composition</x:v>
      </x:c>
      <x:c r="D21" s="32" t="str">
        <x:v>Dynamic detail under consumption</x:v>
      </x:c>
      <x:c r="E21" s="32" t="str">
        <x:v>Renderizar únicamente las fuentes consumidas entregadas por la composición: PI obligatorio, Dispatch opcional y extras informativas, sin catálogo global ni efectos de freshness para extras.</x:v>
      </x:c>
      <x:c r="F21" s="32" t="str">
        <x:v>TS-004; TS-005; TS-007; contrato de consumo inyectado</x:v>
      </x:c>
      <x:c r="G21" s="32" t="str">
        <x:v>Sí: Time Status detail model/presentation/CSS/tests</x:v>
      </x:c>
      <x:c r="H21" s="32" t="str">
        <x:v>39 tests + semantic mirrors + installer gates</x:v>
      </x:c>
      <x:c r="I21" s="32" t="str">
        <x:v>P0</x:v>
      </x:c>
      <x:c r="J21" s="32" t="str">
        <x:v>CERRADO</x:v>
      </x:c>
      <x:c r="K21" s="32" t="str">
        <x:v>Web/Composition</x:v>
      </x:c>
      <x:c r="L21" s="32" t="str">
        <x:v>PASS autoritativo usuario en Python 3.14.2 + UV. ada-web-ui-time-status==0.1.5 queda validado; PI es obligatoria/control, Dispatch opcional/control y extras informativas sin autoridad operacional.</x:v>
      </x:c>
    </x:row>
    <x:row r="22" ht="52.79999923706055" hidden="0" customHeight="1">
      <x:c r="A22" s="32" t="str">
        <x:v>TS-009</x:v>
      </x:c>
      <x:c r="B22" s="32" t="str">
        <x:v>Time Status</x:v>
      </x:c>
      <x:c r="C22" s="32" t="str">
        <x:v>Semantics</x:v>
      </x:c>
      <x:c r="D22" s="32" t="str">
        <x:v>PI/Dispatch relative freshness</x:v>
      </x:c>
      <x:c r="E22" s="32" t="str">
        <x:v>Resolver edad relativa/tone para PI y Dispatch sin aplicar esa presentación al detail dinámico.</x:v>
      </x:c>
      <x:c r="F22" s="32" t="str">
        <x:v>TS-004</x:v>
      </x:c>
      <x:c r="G22" s="32" t="str">
        <x:v>Sí: resolver Python + tick JS + markers DOM/CSS + tests</x:v>
      </x:c>
      <x:c r="H22" s="32" t="str">
        <x:v>73 tests esperados + node --check + semantic mirrors + installer gates</x:v>
      </x:c>
      <x:c r="I22" s="32" t="str">
        <x:v>P0</x:v>
      </x:c>
      <x:c r="J22" s="32" t="str">
        <x:v>CERRADO</x:v>
      </x:c>
      <x:c r="K22" s="32" t="str">
        <x:v>Web/Composition</x:v>
      </x:c>
      <x:c r="L22" s="32" t="str">
        <x:v>PASS autoritativo usuario en Python 3.14.2 + UV. ada-web-ui-time-status==0.1.6 queda validado con Freshness State Resolver exclusivo para PI/Dispatch y envejecimiento client-side por reloj real.</x:v>
      </x:c>
    </x:row>
    <x:row r="23" ht="39.599998474121094" hidden="0" customHeight="1">
      <x:c r="A23" s="32" t="str">
        <x:v>TS-010</x:v>
      </x:c>
      <x:c r="B23" s="32" t="str">
        <x:v>Time Status</x:v>
      </x:c>
      <x:c r="C23" s="32" t="str">
        <x:v>Responsive</x:v>
      </x:c>
      <x:c r="D23" s="32" t="str">
        <x:v>Anchoring/collision/mobile</x:v>
      </x:c>
      <x:c r="E23" s="32" t="str">
        <x:v>Definir posicionamiento de flyout en viewport y comportamiento mobile.</x:v>
      </x:c>
      <x:c r="F23" s="32" t="str">
        <x:v>TS-005..007</x:v>
      </x:c>
      <x:c r="G23" s="32" t="str">
        <x:v>Sí</x:v>
      </x:c>
      <x:c r="H23" s="32" t="str">
        <x:v>Visual responsive gate</x:v>
      </x:c>
      <x:c r="I23" s="32" t="str">
        <x:v>P1</x:v>
      </x:c>
      <x:c r="J23" s="32" t="str">
        <x:v>CERRADO</x:v>
      </x:c>
      <x:c r="K23" s="32" t="str">
        <x:v>Web/UI</x:v>
      </x:c>
      <x:c r="L23" s="32" t="str">
        <x:v>PASS autoritativo usuario en Python 3.14.2 + UV. ada-web-ui-time-status==0.1.7 validado con collision/mobile geometry.</x:v>
      </x:c>
    </x:row>
    <x:row r="24" ht="92.4000015258789" hidden="0" customHeight="1">
      <x:c r="A24" s="32" t="str">
        <x:v>TS-011</x:v>
      </x:c>
      <x:c r="B24" s="32" t="str">
        <x:v>Time Status</x:v>
      </x:c>
      <x:c r="C24" s="32" t="str">
        <x:v>Integration</x:v>
      </x:c>
      <x:c r="D24" s="32" t="str">
        <x:v>Header integration</x:v>
      </x:c>
      <x:c r="E24" s="32" t="str">
        <x:v>Insertar Time Status bajo header actual y mantener geometría estable.</x:v>
      </x:c>
      <x:c r="F24" s="32" t="str">
        <x:v>TS-002..010</x:v>
      </x:c>
      <x:c r="G24" s="32" t="str">
        <x:v>Sí</x:v>
      </x:c>
      <x:c r="H24" s="32" t="str">
        <x:v>Header/application gates + preview</x:v>
      </x:c>
      <x:c r="I24" s="32" t="str">
        <x:v>P0</x:v>
      </x:c>
      <x:c r="J24" s="32" t="str">
        <x:v>CERRADO</x:v>
      </x:c>
      <x:c r="K24" s="32" t="str">
        <x:v>Web/Shell</x:v>
      </x:c>
      <x:c r="L24" s="32" t="str">
        <x:v>PASS autoritativo usuario en Python 3.14.2 + UV con corrective installer 0.1.1. Quedan validados ada-web-shell-header==0.1.2 y ada-generic-application==0.1.25 con ada-web-ui-time-status==0.1.7 montado como strip inferior del Header. UV regeneró locks en el repo y el gate time-status/header/application quedó verde.</x:v>
      </x:c>
    </x:row>
    <x:row r="25" ht="198" hidden="0" customHeight="1">
      <x:c r="A25" s="32" t="str">
        <x:v>TS-012</x:v>
      </x:c>
      <x:c r="B25" s="32" t="str">
        <x:v>Time Status</x:v>
      </x:c>
      <x:c r="C25" s="32" t="str">
        <x:v>Freeze</x:v>
      </x:c>
      <x:c r="D25" s="32" t="str">
        <x:v>Visual functional freeze</x:v>
      </x:c>
      <x:c r="E25" s="32" t="str">
        <x:v>Validar PI-only, PI+Dispatch, detail vacío y detail poblado.</x:v>
      </x:c>
      <x:c r="F25" s="32" t="str">
        <x:v>TS-011</x:v>
      </x:c>
      <x:c r="G25" s="32" t="str">
        <x:v>No</x:v>
      </x:c>
      <x:c r="H25" s="32" t="str">
        <x:v>Aprobación visual usuario</x:v>
      </x:c>
      <x:c r="I25" s="32" t="str">
        <x:v>P0</x:v>
      </x:c>
      <x:c r="J25" s="32" t="str">
        <x:v>EN VALIDACIÓN</x:v>
      </x:c>
      <x:c r="K25" s="32" t="str">
        <x:v>Web/UI</x:v>
      </x:c>
      <x:c r="L25" s="32" t="str">
        <x:v>TS-012 sigue EN VALIDACIÓN. TS-012B Visual Polish Corrective preparado tras segunda revisión visual: trigger PI/Dispatch fit-content sólo con hover/focus; sin title nativo; datetime compacto; DATA_ERROR separa ícono de fuente (cloud-slash) y resultado temporal (triangle) manteniendo apertura del Detail; Surface usa el mismo fondo del Header con borde/sombra sutil; PREVENTIVE más pulsante y HARD_STALE/DATA_ERROR rojo estable. El popover ya no duplica PI/Dispatch: muestra sólo fuentes adicionales y, si no existen, renderiza 'Sin fuentes adicionales' + 'Esta herramienta no consume fuentes de datos adicionales.'. Targets Time Status 0.1.9, Generic Application 0.1.27, Preview 0.1.2; Header queda 0.1.3. Overlays de componentes permanecen para Content State.</x:v>
      </x:c>
    </x:row>
    <x:row r="26">
      <x:c r="A26" s="32" t="str">
        <x:v>DATA-000</x:v>
      </x:c>
      <x:c r="B26" s="32" t="str">
        <x:v>Time Status Data</x:v>
      </x:c>
      <x:c r="C26" s="32" t="str">
        <x:v>Discovery</x:v>
      </x:c>
      <x:c r="D26" s="32" t="str">
        <x:v>Legacy SOURCE_TIME_STORE analysis</x:v>
      </x:c>
      <x:c r="E26" s="32" t="str">
        <x:v>Confirmar store por Tool, payload y refresh del legado.</x:v>
      </x:c>
      <x:c r="F26" s="32" t="str">
        <x:v>—</x:v>
      </x:c>
      <x:c r="G26" s="32" t="str">
        <x:v>No</x:v>
      </x:c>
      <x:c r="H26" s="32" t="str">
        <x:v>Análisis</x:v>
      </x:c>
      <x:c r="I26" s="32" t="str">
        <x:v>P0</x:v>
      </x:c>
      <x:c r="J26" s="32" t="str">
        <x:v>CERRADO</x:v>
      </x:c>
      <x:c r="K26" s="32" t="str">
        <x:v>Architecture</x:v>
      </x:c>
      <x:c r="L26" s="32" t="str">
        <x:v>Completado.</x:v>
      </x:c>
    </x:row>
    <x:row r="27">
      <x:c r="A27" s="32" t="str">
        <x:v>DATA-001</x:v>
      </x:c>
      <x:c r="B27" s="32" t="str">
        <x:v>Time Status Data</x:v>
      </x:c>
      <x:c r="C27" s="32" t="str">
        <x:v>Current backend</x:v>
      </x:c>
      <x:c r="D27" s="32" t="str">
        <x:v>Verify current Collector Time Status Store</x:v>
      </x:c>
      <x:c r="E27" s="32" t="str">
        <x:v>Inspeccionar contrato exacto actual cuando backend esté estable: identidad, timestamps, stale state.</x:v>
      </x:c>
      <x:c r="F27" s="32" t="str">
        <x:v>Backend actual</x:v>
      </x:c>
      <x:c r="G27" s="32" t="str">
        <x:v>No</x:v>
      </x:c>
      <x:c r="H27" s="32" t="str">
        <x:v>Contract review</x:v>
      </x:c>
      <x:c r="I27" s="32" t="str">
        <x:v>P0</x:v>
      </x:c>
      <x:c r="J27" s="32" t="str">
        <x:v>DIFERIDO</x:v>
      </x:c>
      <x:c r="K27" s="32" t="str">
        <x:v>Backend/Web</x:v>
      </x:c>
      <x:c r="L27" s="32" t="str">
        <x:v>No bloquear UI con fake.</x:v>
      </x:c>
    </x:row>
    <x:row r="28">
      <x:c r="A28" s="32" t="str">
        <x:v>DATA-002</x:v>
      </x:c>
      <x:c r="B28" s="32" t="str">
        <x:v>Time Status Data</x:v>
      </x:c>
      <x:c r="C28" s="32" t="str">
        <x:v>Normalization</x:v>
      </x:c>
      <x:c r="D28" s="32" t="str">
        <x:v>Normalize current store</x:v>
      </x:c>
      <x:c r="E28" s="32" t="str">
        <x:v>Mapear store actual a contrato Web sin lógica de presentación.</x:v>
      </x:c>
      <x:c r="F28" s="32" t="str">
        <x:v>DATA-001; TS-004</x:v>
      </x:c>
      <x:c r="G28" s="32" t="str">
        <x:v>Sí</x:v>
      </x:c>
      <x:c r="H28" s="32" t="str">
        <x:v>Adapter tests</x:v>
      </x:c>
      <x:c r="I28" s="32" t="str">
        <x:v>P0</x:v>
      </x:c>
      <x:c r="J28" s="32" t="str">
        <x:v>DIFERIDO</x:v>
      </x:c>
      <x:c r="K28" s="32" t="str">
        <x:v>Web/Adapter</x:v>
      </x:c>
      <x:c r="L28" s="32" t="str">
        <x:v>Se activa cuando backend estabilice.</x:v>
      </x:c>
    </x:row>
    <x:row r="29">
      <x:c r="A29" s="32" t="str">
        <x:v>DATA-003</x:v>
      </x:c>
      <x:c r="B29" s="32" t="str">
        <x:v>Time Status Data</x:v>
      </x:c>
      <x:c r="C29" s="32" t="str">
        <x:v>Consumption</x:v>
      </x:c>
      <x:c r="D29" s="32" t="str">
        <x:v>Tool consumption filter</x:v>
      </x:c>
      <x:c r="E29" s="32" t="str">
        <x:v>Resolver qué entradas dinámicas pertenecen a la Tool actual.</x:v>
      </x:c>
      <x:c r="F29" s="32" t="str">
        <x:v>TS-001; contrato Tool actual</x:v>
      </x:c>
      <x:c r="G29" s="32" t="str">
        <x:v>Sí</x:v>
      </x:c>
      <x:c r="H29" s="32" t="str">
        <x:v>Tool fixture tests</x:v>
      </x:c>
      <x:c r="I29" s="32" t="str">
        <x:v>P0</x:v>
      </x:c>
      <x:c r="J29" s="32" t="str">
        <x:v>PENDIENTE</x:v>
      </x:c>
      <x:c r="K29" s="32" t="str">
        <x:v>Web/Composition</x:v>
      </x:c>
      <x:c r="L29" s="32" t="str">
        <x:v>Bajo consumo.</x:v>
      </x:c>
    </x:row>
    <x:row r="30">
      <x:c r="A30" s="32" t="str">
        <x:v>DATA-004</x:v>
      </x:c>
      <x:c r="B30" s="32" t="str">
        <x:v>Time Status Data</x:v>
      </x:c>
      <x:c r="C30" s="32" t="str">
        <x:v>Classification</x:v>
      </x:c>
      <x:c r="D30" s="32" t="str">
        <x:v>Source role classification</x:v>
      </x:c>
      <x:c r="E30" s="32" t="str">
        <x:v>Distinguir summary PI/Dispatch, detail popover y stale-driving sin flags UI en Collector.</x:v>
      </x:c>
      <x:c r="F30" s="32" t="str">
        <x:v>TS-001</x:v>
      </x:c>
      <x:c r="G30" s="32" t="str">
        <x:v>Sí</x:v>
      </x:c>
      <x:c r="H30" s="32" t="str">
        <x:v>Classification tests</x:v>
      </x:c>
      <x:c r="I30" s="32" t="str">
        <x:v>P0</x:v>
      </x:c>
      <x:c r="J30" s="32" t="str">
        <x:v>PENDIENTE</x:v>
      </x:c>
      <x:c r="K30" s="32" t="str">
        <x:v>Web/Composition</x:v>
      </x:c>
      <x:c r="L30" s="32" t="str">
        <x:v>Una entrada puede ser detail-only.</x:v>
      </x:c>
    </x:row>
    <x:row r="31">
      <x:c r="A31" s="32" t="str">
        <x:v>DATA-005</x:v>
      </x:c>
      <x:c r="B31" s="32" t="str">
        <x:v>Time Status Data</x:v>
      </x:c>
      <x:c r="C31" s="32" t="str">
        <x:v>Edge cases</x:v>
      </x:c>
      <x:c r="D31" s="32" t="str">
        <x:v>Missing/unknown source semantics</x:v>
      </x:c>
      <x:c r="E31" s="32" t="str">
        <x:v>Definir qué mostrar si una fuente no tiene timestamp, desaparece o nunca publicó.</x:v>
      </x:c>
      <x:c r="F31" s="32" t="str">
        <x:v>DATA-004</x:v>
      </x:c>
      <x:c r="G31" s="32" t="str">
        <x:v>Sí</x:v>
      </x:c>
      <x:c r="H31" s="32" t="str">
        <x:v>Truth-table tests</x:v>
      </x:c>
      <x:c r="I31" s="32" t="str">
        <x:v>P1</x:v>
      </x:c>
      <x:c r="J31" s="32" t="str">
        <x:v>PENDIENTE</x:v>
      </x:c>
      <x:c r="K31" s="32" t="str">
        <x:v>Architecture</x:v>
      </x:c>
      <x:c r="L31" s="32" t="str">
        <x:v>No inventar stale automáticamente.</x:v>
      </x:c>
    </x:row>
    <x:row r="32">
      <x:c r="A32" s="32" t="str">
        <x:v>CS-000</x:v>
      </x:c>
      <x:c r="B32" s="32" t="str">
        <x:v>Content State</x:v>
      </x:c>
      <x:c r="C32" s="32" t="str">
        <x:v>Discovery</x:v>
      </x:c>
      <x:c r="D32" s="32" t="str">
        <x:v>Legacy wrapper recovery</x:v>
      </x:c>
      <x:c r="E32" s="32" t="str">
        <x:v>Analizar READY/STALE/CONSTRUCTION, CSS y static/runtime ids.</x:v>
      </x:c>
      <x:c r="F32" s="32" t="str">
        <x:v>—</x:v>
      </x:c>
      <x:c r="G32" s="32" t="str">
        <x:v>No</x:v>
      </x:c>
      <x:c r="H32" s="32" t="str">
        <x:v>Análisis</x:v>
      </x:c>
      <x:c r="I32" s="32" t="str">
        <x:v>P0</x:v>
      </x:c>
      <x:c r="J32" s="32" t="str">
        <x:v>CERRADO</x:v>
      </x:c>
      <x:c r="K32" s="32" t="str">
        <x:v>Architecture</x:v>
      </x:c>
      <x:c r="L32" s="32" t="str">
        <x:v>Completado.</x:v>
      </x:c>
    </x:row>
    <x:row r="33">
      <x:c r="A33" s="32" t="str">
        <x:v>CS-001</x:v>
      </x:c>
      <x:c r="B33" s="32" t="str">
        <x:v>Content State</x:v>
      </x:c>
      <x:c r="C33" s="32" t="str">
        <x:v>Contract</x:v>
      </x:c>
      <x:c r="D33" s="32" t="str">
        <x:v>Extract reusable Content State contract</x:v>
      </x:c>
      <x:c r="E33" s="32" t="str">
        <x:v>Crear capability nueva separada de display-status y de Time Status.</x:v>
      </x:c>
      <x:c r="F33" s="32" t="str">
        <x:v>CS-000</x:v>
      </x:c>
      <x:c r="G33" s="32" t="str">
        <x:v>Sí</x:v>
      </x:c>
      <x:c r="H33" s="32" t="str">
        <x:v>Models/builders/mirrors</x:v>
      </x:c>
      <x:c r="I33" s="32" t="str">
        <x:v>P0</x:v>
      </x:c>
      <x:c r="J33" s="32" t="str">
        <x:v>PENDIENTE</x:v>
      </x:c>
      <x:c r="K33" s="32" t="str">
        <x:v>Web/UI</x:v>
      </x:c>
      <x:c r="L33" s="32" t="str">
        <x:v>No copiar ada-ui monolítico.</x:v>
      </x:c>
    </x:row>
    <x:row r="34">
      <x:c r="A34" s="32" t="str">
        <x:v>CS-002</x:v>
      </x:c>
      <x:c r="B34" s="32" t="str">
        <x:v>Content State</x:v>
      </x:c>
      <x:c r="C34" s="32" t="str">
        <x:v>Static</x:v>
      </x:c>
      <x:c r="D34" s="32" t="str">
        <x:v>Construction support</x:v>
      </x:c>
      <x:c r="E34" s="32" t="str">
        <x:v>Integrar CONSTRUCTION declarativo con mensaje/icono y wrapper estable.</x:v>
      </x:c>
      <x:c r="F34" s="32" t="str">
        <x:v>CS-001</x:v>
      </x:c>
      <x:c r="G34" s="32" t="str">
        <x:v>Sí</x:v>
      </x:c>
      <x:c r="H34" s="32" t="str">
        <x:v>Unit + visual gate</x:v>
      </x:c>
      <x:c r="I34" s="32" t="str">
        <x:v>P0</x:v>
      </x:c>
      <x:c r="J34" s="32" t="str">
        <x:v>PENDIENTE</x:v>
      </x:c>
      <x:c r="K34" s="32" t="str">
        <x:v>Web/UI</x:v>
      </x:c>
      <x:c r="L34" s="32" t="str">
        <x:v>Default legacy: En construcción + hammer.</x:v>
      </x:c>
    </x:row>
    <x:row r="35">
      <x:c r="A35" s="32" t="str">
        <x:v>CS-003</x:v>
      </x:c>
      <x:c r="B35" s="32" t="str">
        <x:v>Content State</x:v>
      </x:c>
      <x:c r="C35" s="32" t="str">
        <x:v>Runtime</x:v>
      </x:c>
      <x:c r="D35" s="32" t="str">
        <x:v>Freshness policy contract</x:v>
      </x:c>
      <x:c r="E35" s="32" t="str">
        <x:v>Definir estado READY/STALE desde timestamps/policies sin lógica UI.</x:v>
      </x:c>
      <x:c r="F35" s="32" t="str">
        <x:v>DATA-004; CS-001</x:v>
      </x:c>
      <x:c r="G35" s="32" t="str">
        <x:v>Sí</x:v>
      </x:c>
      <x:c r="H35" s="32" t="str">
        <x:v>Policy truth table</x:v>
      </x:c>
      <x:c r="I35" s="32" t="str">
        <x:v>P0</x:v>
      </x:c>
      <x:c r="J35" s="32" t="str">
        <x:v>PENDIENTE</x:v>
      </x:c>
      <x:c r="K35" s="32" t="str">
        <x:v>Web/Domain</x:v>
      </x:c>
      <x:c r="L35" s="32" t="str">
        <x:v>Thresholds/config deben ser inyectables.</x:v>
      </x:c>
    </x:row>
    <x:row r="36">
      <x:c r="A36" s="32" t="str">
        <x:v>CS-004</x:v>
      </x:c>
      <x:c r="B36" s="32" t="str">
        <x:v>Content State</x:v>
      </x:c>
      <x:c r="C36" s="32" t="str">
        <x:v>Runtime</x:v>
      </x:c>
      <x:c r="D36" s="32" t="str">
        <x:v>Dependency resolver</x:v>
      </x:c>
      <x:c r="E36" s="32" t="str">
        <x:v>Mapear source stale → state_key/componentes afectados.</x:v>
      </x:c>
      <x:c r="F36" s="32" t="str">
        <x:v>CS-003; Tool dependency contract</x:v>
      </x:c>
      <x:c r="G36" s="32" t="str">
        <x:v>Sí</x:v>
      </x:c>
      <x:c r="H36" s="32" t="str">
        <x:v>Composition tests</x:v>
      </x:c>
      <x:c r="I36" s="32" t="str">
        <x:v>P0</x:v>
      </x:c>
      <x:c r="J36" s="32" t="str">
        <x:v>PENDIENTE</x:v>
      </x:c>
      <x:c r="K36" s="32" t="str">
        <x:v>Web/Composition</x:v>
      </x:c>
      <x:c r="L36" s="32" t="str">
        <x:v>No hacer que Time Status modifique componentes directamente.</x:v>
      </x:c>
    </x:row>
    <x:row r="37">
      <x:c r="A37" s="32" t="str">
        <x:v>CS-005</x:v>
      </x:c>
      <x:c r="B37" s="32" t="str">
        <x:v>Content State</x:v>
      </x:c>
      <x:c r="C37" s="32" t="str">
        <x:v>Runtime</x:v>
      </x:c>
      <x:c r="D37" s="32" t="str">
        <x:v>Update runtime wrappers</x:v>
      </x:c>
      <x:c r="E37" s="32" t="str">
        <x:v>Cambiar wrapper READY↔STALE sin reflow y sin recrear componentes innecesariamente.</x:v>
      </x:c>
      <x:c r="F37" s="32" t="str">
        <x:v>CS-001; CS-004</x:v>
      </x:c>
      <x:c r="G37" s="32" t="str">
        <x:v>Sí</x:v>
      </x:c>
      <x:c r="H37" s="32" t="str">
        <x:v>Interval/rerender harness</x:v>
      </x:c>
      <x:c r="I37" s="32" t="str">
        <x:v>P0</x:v>
      </x:c>
      <x:c r="J37" s="32" t="str">
        <x:v>PENDIENTE</x:v>
      </x:c>
      <x:c r="K37" s="32" t="str">
        <x:v>Web/Runtime</x:v>
      </x:c>
      <x:c r="L37" s="32"/>
    </x:row>
    <x:row r="38">
      <x:c r="A38" s="32" t="str">
        <x:v>CS-006</x:v>
      </x:c>
      <x:c r="B38" s="32" t="str">
        <x:v>Content State</x:v>
      </x:c>
      <x:c r="C38" s="32" t="str">
        <x:v>Semantics</x:v>
      </x:c>
      <x:c r="D38" s="32" t="str">
        <x:v>Construction precedence</x:v>
      </x:c>
      <x:c r="E38" s="32" t="str">
        <x:v>Congelar precedencia propuesta CONSTRUCTION &gt; STALE &gt; READY.</x:v>
      </x:c>
      <x:c r="F38" s="32" t="str">
        <x:v>CS-002; CS-003</x:v>
      </x:c>
      <x:c r="G38" s="32" t="str">
        <x:v>No/Contract</x:v>
      </x:c>
      <x:c r="H38" s="32" t="str">
        <x:v>Truth-table gate</x:v>
      </x:c>
      <x:c r="I38" s="32" t="str">
        <x:v>P1</x:v>
      </x:c>
      <x:c r="J38" s="32" t="str">
        <x:v>EN DISEÑO</x:v>
      </x:c>
      <x:c r="K38" s="32" t="str">
        <x:v>Architecture</x:v>
      </x:c>
      <x:c r="L38" s="32" t="str">
        <x:v>Necesita aprobación explícita.</x:v>
      </x:c>
    </x:row>
    <x:row r="39">
      <x:c r="A39" s="32" t="str">
        <x:v>CS-007</x:v>
      </x:c>
      <x:c r="B39" s="32" t="str">
        <x:v>Content State</x:v>
      </x:c>
      <x:c r="C39" s="32" t="str">
        <x:v>Interaction</x:v>
      </x:c>
      <x:c r="D39" s="32" t="str">
        <x:v>Stale vs KPI Inspection interaction</x:v>
      </x:c>
      <x:c r="E39" s="32" t="str">
        <x:v>Decidir si overlay STALE bloquea click de Inspection o permite abrir definición.</x:v>
      </x:c>
      <x:c r="F39" s="32" t="str">
        <x:v>CS-001; KIV-005</x:v>
      </x:c>
      <x:c r="G39" s="32" t="str">
        <x:v>Puede</x:v>
      </x:c>
      <x:c r="H39" s="32" t="str">
        <x:v>Visual/UX decision</x:v>
      </x:c>
      <x:c r="I39" s="32" t="str">
        <x:v>P0</x:v>
      </x:c>
      <x:c r="J39" s="32" t="str">
        <x:v>EN DISEÑO</x:v>
      </x:c>
      <x:c r="K39" s="32" t="str">
        <x:v>Architecture/UI</x:v>
      </x:c>
      <x:c r="L39" s="32" t="str">
        <x:v>Legacy bloqueaba pointer events.</x:v>
      </x:c>
    </x:row>
    <x:row r="40">
      <x:c r="A40" s="32" t="str">
        <x:v>CS-008</x:v>
      </x:c>
      <x:c r="B40" s="32" t="str">
        <x:v>Content State</x:v>
      </x:c>
      <x:c r="C40" s="32" t="str">
        <x:v>Visual</x:v>
      </x:c>
      <x:c r="D40" s="32" t="str">
        <x:v>Content State visual freeze</x:v>
      </x:c>
      <x:c r="E40" s="32" t="str">
        <x:v>Validar stale/construction en Global Indicator y otra superficie representativa.</x:v>
      </x:c>
      <x:c r="F40" s="32" t="str">
        <x:v>CS-002..007</x:v>
      </x:c>
      <x:c r="G40" s="32" t="str">
        <x:v>No</x:v>
      </x:c>
      <x:c r="H40" s="32" t="str">
        <x:v>Aprobación visual usuario</x:v>
      </x:c>
      <x:c r="I40" s="32" t="str">
        <x:v>P0</x:v>
      </x:c>
      <x:c r="J40" s="32" t="str">
        <x:v>PENDIENTE</x:v>
      </x:c>
      <x:c r="K40" s="32" t="str">
        <x:v>Web/UI</x:v>
      </x:c>
      <x:c r="L40" s="32"/>
    </x:row>
    <x:row r="41">
      <x:c r="A41" s="32" t="str">
        <x:v>KI-011</x:v>
      </x:c>
      <x:c r="B41" s="32" t="str">
        <x:v>KPI Inspection</x:v>
      </x:c>
      <x:c r="C41" s="32" t="str">
        <x:v>Backend</x:v>
      </x:c>
      <x:c r="D41" s="32" t="str">
        <x:v>Cosmos real pilot</x:v>
      </x:c>
      <x:c r="E41" s="32" t="str">
        <x:v>Conectar repository real de KPI Definition cuando backend estabilice.</x:v>
      </x:c>
      <x:c r="F41" s="32" t="str">
        <x:v>Backend estable</x:v>
      </x:c>
      <x:c r="G41" s="32" t="str">
        <x:v>Sí adapter only</x:v>
      </x:c>
      <x:c r="H41" s="32" t="str">
        <x:v>Integration Azure gate</x:v>
      </x:c>
      <x:c r="I41" s="32" t="str">
        <x:v>P2</x:v>
      </x:c>
      <x:c r="J41" s="32" t="str">
        <x:v>DIFERIDO</x:v>
      </x:c>
      <x:c r="K41" s="32" t="str">
        <x:v>Backend/Web</x:v>
      </x:c>
      <x:c r="L41" s="32" t="str">
        <x:v>Provider/Runtime/API/Surface no cambian.</x:v>
      </x:c>
    </x:row>
    <x:row r="42">
      <x:c r="A42" s="32" t="str">
        <x:v>KI-012</x:v>
      </x:c>
      <x:c r="B42" s="32" t="str">
        <x:v>KPI Inspection</x:v>
      </x:c>
      <x:c r="C42" s="32" t="str">
        <x:v>Body</x:v>
      </x:c>
      <x:c r="D42" s="32" t="str">
        <x:v>Body adoption contract</x:v>
      </x:c>
      <x:c r="E42" s="32" t="str">
        <x:v>Definir adopción en Body sólo después de Body Foundation.</x:v>
      </x:c>
      <x:c r="F42" s="32" t="str">
        <x:v>Body Foundation</x:v>
      </x:c>
      <x:c r="G42" s="32" t="str">
        <x:v>No por ahora</x:v>
      </x:c>
      <x:c r="H42" s="32" t="str">
        <x:v>Design freeze futuro</x:v>
      </x:c>
      <x:c r="I42" s="32" t="str">
        <x:v>P2</x:v>
      </x:c>
      <x:c r="J42" s="32" t="str">
        <x:v>DIFERIDO</x:v>
      </x:c>
      <x:c r="K42" s="32" t="str">
        <x:v>Web/UI</x:v>
      </x:c>
      <x:c r="L42" s="32"/>
    </x:row>
    <x:row r="43">
      <x:c r="A43" s="32" t="str">
        <x:v>BODY-000</x:v>
      </x:c>
      <x:c r="B43" s="32" t="str">
        <x:v>Body</x:v>
      </x:c>
      <x:c r="C43" s="32" t="str">
        <x:v>Architecture</x:v>
      </x:c>
      <x:c r="D43" s="32" t="str">
        <x:v>Body Foundation</x:v>
      </x:c>
      <x:c r="E43" s="32" t="str">
        <x:v>Diseñar composición de rows/images/text/tables/overlays antes de adopción masiva.</x:v>
      </x:c>
      <x:c r="F43" s="32" t="str">
        <x:v>Header/Time Status estabilizados</x:v>
      </x:c>
      <x:c r="G43" s="32" t="str">
        <x:v>Sí futuro</x:v>
      </x:c>
      <x:c r="H43" s="32" t="str">
        <x:v>Track separado</x:v>
      </x:c>
      <x:c r="I43" s="32" t="str">
        <x:v>P2</x:v>
      </x:c>
      <x:c r="J43" s="32" t="str">
        <x:v>DIFERIDO</x:v>
      </x:c>
      <x:c r="K43" s="32" t="str">
        <x:v>Architecture</x:v>
      </x:c>
      <x:c r="L43" s="32" t="str">
        <x:v>Fuera del track actual.</x:v>
      </x:c>
    </x:row>
  </x:sheetData>
  <x:mergeCells>
    <x:mergeCell ref="A1:L1"/>
    <x:mergeCell ref="A2:L2"/>
  </x:mergeCells>
  <x:conditionalFormatting sqref="J5:J41">
    <x:cfRule type="expression" dxfId="0" priority="1">
      <x:formula>J5="CERRADO"</x:formula>
    </x:cfRule>
    <x:cfRule type="expression" dxfId="1" priority="2">
      <x:formula>J5="EN DISEÑO"</x:formula>
    </x:cfRule>
    <x:cfRule type="expression" dxfId="2" priority="3">
      <x:formula>J5="PENDIENTE"</x:formula>
    </x:cfRule>
    <x:cfRule type="expression" dxfId="3" priority="4">
      <x:formula>J5="DIFERIDO"</x:formula>
    </x:cfRule>
    <x:cfRule type="expression" dxfId="4" priority="5">
      <x:formula>J5="BLOQUEADO"</x:formula>
    </x:cfRule>
  </x:conditionalFormatting>
  <x:dataValidations count="6">
    <x:dataValidation type="list" sqref="J5:J41">
      <x:formula1>"CERRADO,EN DISEÑO,PENDIENTE,DIFERIDO,BLOQUEADO"</x:formula1>
    </x:dataValidation>
    <x:dataValidation type="list" sqref="I5:I41">
      <x:formula1>"P0,P1,P2"</x:formula1>
    </x:dataValidation>
    <x:dataValidation type="list" sqref="I5:I42">
      <x:formula1>"P0,P1,P2"</x:formula1>
    </x:dataValidation>
    <x:dataValidation type="list" sqref="J5:J42">
      <x:formula1>"CERRADO,EN DISEÑO,PENDIENTE,DIFERIDO,BLOQUEADO,EN VALIDACIÓN"</x:formula1>
    </x:dataValidation>
    <x:dataValidation type="list" sqref="I5:I43">
      <x:formula1>"P0,P1,P2"</x:formula1>
    </x:dataValidation>
    <x:dataValidation type="list" sqref="J5:J43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4" hidden="0" customWidth="1"/>
    <x:col min="4" max="4" width="34" hidden="0" customWidth="1"/>
    <x:col min="5" max="5" width="32" hidden="0" customWidth="1"/>
    <x:col min="6" max="6" width="48" hidden="0" customWidth="1"/>
    <x:col min="7" max="7" width="22" hidden="0" customWidth="1"/>
    <x:col min="8" max="8" width="10" hidden="0" customWidth="1"/>
    <x:col min="9" max="9" width="14" hidden="0" customWidth="1"/>
    <x:col min="10" max="10" width="36" hidden="0" customWidth="1"/>
  </x:cols>
  <x:sheetData>
    <x:row r="1" ht="30" customHeight="1">
      <x:c r="A1" s="4" t="str">
        <x:v>Plan de gates y pruebas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Casos mínimos antes de considerar estables KPI Inspection visual, Time Status y Content State.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Test ID</x:v>
      </x:c>
      <x:c r="B4" s="19" t="str">
        <x:v>Track</x:v>
      </x:c>
      <x:c r="C4" s="19" t="str">
        <x:v>Escenario</x:v>
      </x:c>
      <x:c r="D4" s="19" t="str">
        <x:v>Setup</x:v>
      </x:c>
      <x:c r="E4" s="19" t="str">
        <x:v>Acción</x:v>
      </x:c>
      <x:c r="F4" s="19" t="str">
        <x:v>Resultado esperado</x:v>
      </x:c>
      <x:c r="G4" s="19" t="str">
        <x:v>Tipo</x:v>
      </x:c>
      <x:c r="H4" s="19" t="str">
        <x:v>Prioridad</x:v>
      </x:c>
      <x:c r="I4" s="19" t="str">
        <x:v>Estado</x:v>
      </x:c>
      <x:c r="J4" s="19" t="str">
        <x:v>Evidencia</x:v>
      </x:c>
    </x:row>
    <x:row r="5">
      <x:c r="A5" s="32" t="str">
        <x:v>VT-001</x:v>
      </x:c>
      <x:c r="B5" s="32" t="str">
        <x:v>KIV</x:v>
      </x:c>
      <x:c r="C5" s="32" t="str">
        <x:v>Open populated KPI</x:v>
      </x:c>
      <x:c r="D5" s="32" t="str">
        <x:v>Preview con definition poblada</x:v>
      </x:c>
      <x:c r="E5" s="32" t="str">
        <x:v>Click KPI A</x:v>
      </x:c>
      <x:c r="F5" s="32" t="str">
        <x:v>Panel abre y renderiza fields correctos</x:v>
      </x:c>
      <x:c r="G5" s="32" t="str">
        <x:v>Visual/Functional</x:v>
      </x:c>
      <x:c r="H5" s="32" t="str">
        <x:v>P0</x:v>
      </x:c>
      <x:c r="I5" s="32" t="str">
        <x:v>CERRADO</x:v>
      </x:c>
      <x:c r="J5" s="32" t="str">
        <x:v>Validado en previews KIV-000C/KIV-003.</x:v>
      </x:c>
    </x:row>
    <x:row r="6">
      <x:c r="A6" s="32" t="str">
        <x:v>VT-002</x:v>
      </x:c>
      <x:c r="B6" s="32" t="str">
        <x:v>KIV</x:v>
      </x:c>
      <x:c r="C6" s="32" t="str">
        <x:v>Switch while open</x:v>
      </x:c>
      <x:c r="D6" s="32" t="str">
        <x:v>Panel abierto en KPI A</x:v>
      </x:c>
      <x:c r="E6" s="32" t="str">
        <x:v>Click KPI B</x:v>
      </x:c>
      <x:c r="F6" s="32" t="str">
        <x:v>Mismo panel permanece abierto y cambia contenido</x:v>
      </x:c>
      <x:c r="G6" s="32" t="str">
        <x:v>Visual/Functional</x:v>
      </x:c>
      <x:c r="H6" s="32" t="str">
        <x:v>P0</x:v>
      </x:c>
      <x:c r="I6" s="32" t="str">
        <x:v>CERRADO</x:v>
      </x:c>
      <x:c r="J6" s="32" t="str">
        <x:v>PASS visual KIV-003: misma Surface, cambio secuencial sin close/reopen.</x:v>
      </x:c>
    </x:row>
    <x:row r="7">
      <x:c r="A7" s="32" t="str">
        <x:v>VT-003</x:v>
      </x:c>
      <x:c r="B7" s="32" t="str">
        <x:v>KIV</x:v>
      </x:c>
      <x:c r="C7" s="32" t="str">
        <x:v>Empty stub</x:v>
      </x:c>
      <x:c r="D7" s="32" t="str">
        <x:v>Definition exists fields={}</x:v>
      </x:c>
      <x:c r="E7" s="32" t="str">
        <x:v>Click KPI</x:v>
      </x:c>
      <x:c r="F7" s="32" t="str">
        <x:v>ready-empty; no unavailable</x:v>
      </x:c>
      <x:c r="G7" s="32" t="str">
        <x:v>Functional</x:v>
      </x:c>
      <x:c r="H7" s="32" t="str">
        <x:v>P0</x:v>
      </x:c>
      <x:c r="I7" s="32" t="str">
        <x:v>CERRADO</x:v>
      </x:c>
      <x:c r="J7" s="32" t="str">
        <x:v>KI-010B</x:v>
      </x:c>
    </x:row>
    <x:row r="8">
      <x:c r="A8" s="32" t="str">
        <x:v>VT-004</x:v>
      </x:c>
      <x:c r="B8" s="32" t="str">
        <x:v>KIV</x:v>
      </x:c>
      <x:c r="C8" s="32" t="str">
        <x:v>Missing definition</x:v>
      </x:c>
      <x:c r="D8" s="32" t="str">
        <x:v>Snapshot sin key</x:v>
      </x:c>
      <x:c r="E8" s="32" t="str">
        <x:v>Click KPI</x:v>
      </x:c>
      <x:c r="F8" s="32" t="str">
        <x:v>unavailable</x:v>
      </x:c>
      <x:c r="G8" s="32" t="str">
        <x:v>Functional</x:v>
      </x:c>
      <x:c r="H8" s="32" t="str">
        <x:v>P0</x:v>
      </x:c>
      <x:c r="I8" s="32" t="str">
        <x:v>CERRADO</x:v>
      </x:c>
      <x:c r="J8" s="32" t="str">
        <x:v>KI-010B</x:v>
      </x:c>
    </x:row>
    <x:row r="9">
      <x:c r="A9" s="32" t="str">
        <x:v>VT-005</x:v>
      </x:c>
      <x:c r="B9" s="32" t="str">
        <x:v>KIV</x:v>
      </x:c>
      <x:c r="C9" s="32" t="str">
        <x:v>Loading lock</x:v>
      </x:c>
      <x:c r="D9" s="32" t="str">
        <x:v>KPI A request activa</x:v>
      </x:c>
      <x:c r="E9" s="32" t="str">
        <x:v>Click/Enter/Space sobre KPI B/C durante loading</x:v>
      </x:c>
      <x:c r="F9" s="32" t="str">
        <x:v>No se inicia otra request; KPI A completa y luego se habilitan nuevos triggers</x:v>
      </x:c>
      <x:c r="G9" s="32" t="str">
        <x:v>Functional/JS</x:v>
      </x:c>
      <x:c r="H9" s="32" t="str">
        <x:v>P0</x:v>
      </x:c>
      <x:c r="I9" s="32" t="str">
        <x:v>CERRADO</x:v>
      </x:c>
      <x:c r="J9" s="32" t="str">
        <x:v>PASS visual KIV-003 con 750 ms de latencia local.</x:v>
      </x:c>
    </x:row>
    <x:row r="10">
      <x:c r="A10" s="32" t="str">
        <x:v>VT-006</x:v>
      </x:c>
      <x:c r="B10" s="32" t="str">
        <x:v>KIV</x:v>
      </x:c>
      <x:c r="C10" s="32" t="str">
        <x:v>Rerender open inspector</x:v>
      </x:c>
      <x:c r="D10" s="32" t="str">
        <x:v>Inspector abierto + Interval</x:v>
      </x:c>
      <x:c r="E10" s="32" t="str">
        <x:v>Rerender Global Indicator</x:v>
      </x:c>
      <x:c r="F10" s="32" t="str">
        <x:v>Inspector permanece abierto; trigger nuevo funciona</x:v>
      </x:c>
      <x:c r="G10" s="32" t="str">
        <x:v>Functional/Visual</x:v>
      </x:c>
      <x:c r="H10" s="32" t="str">
        <x:v>P0</x:v>
      </x:c>
      <x:c r="I10" s="32" t="str">
        <x:v>CERRADO</x:v>
      </x:c>
      <x:c r="J10" s="32" t="str">
        <x:v>PASS visual KIV-003 con dcc.Interval real cada 2 s.</x:v>
      </x:c>
    </x:row>
    <x:row r="11">
      <x:c r="A11" s="32" t="str">
        <x:v>TS-T01</x:v>
      </x:c>
      <x:c r="B11" s="32" t="str">
        <x:v>Time Status</x:v>
      </x:c>
      <x:c r="C11" s="32" t="str">
        <x:v>PI only</x:v>
      </x:c>
      <x:c r="D11" s="32" t="str">
        <x:v>PI presente, Dispatch ausente</x:v>
      </x:c>
      <x:c r="E11" s="32" t="str">
        <x:v>Render</x:v>
      </x:c>
      <x:c r="F11" s="32" t="str">
        <x:v>Sólo PI + reloj; sin hueco Dispatch</x:v>
      </x:c>
      <x:c r="G11" s="32" t="str">
        <x:v>Unit/Visual</x:v>
      </x:c>
      <x:c r="H11" s="32" t="str">
        <x:v>P0</x:v>
      </x:c>
      <x:c r="I11" s="32" t="str">
        <x:v>PENDIENTE</x:v>
      </x:c>
      <x:c r="J11" s="32" t="str"/>
    </x:row>
    <x:row r="12">
      <x:c r="A12" s="32" t="str">
        <x:v>TS-T02</x:v>
      </x:c>
      <x:c r="B12" s="32" t="str">
        <x:v>Time Status</x:v>
      </x:c>
      <x:c r="C12" s="32" t="str">
        <x:v>PI + Dispatch</x:v>
      </x:c>
      <x:c r="D12" s="32" t="str">
        <x:v>Ambos presentes</x:v>
      </x:c>
      <x:c r="E12" s="32" t="str">
        <x:v>Render</x:v>
      </x:c>
      <x:c r="F12" s="32" t="str">
        <x:v>Dos fuentes con divisor; relative age</x:v>
      </x:c>
      <x:c r="G12" s="32" t="str">
        <x:v>Unit/Visual</x:v>
      </x:c>
      <x:c r="H12" s="32" t="str">
        <x:v>P0</x:v>
      </x:c>
      <x:c r="I12" s="32" t="str">
        <x:v>PENDIENTE</x:v>
      </x:c>
      <x:c r="J12" s="32" t="str"/>
    </x:row>
    <x:row r="13">
      <x:c r="A13" s="32" t="str">
        <x:v>TS-T03</x:v>
      </x:c>
      <x:c r="B13" s="32" t="str">
        <x:v>Time Status</x:v>
      </x:c>
      <x:c r="C13" s="32" t="str">
        <x:v>No detail</x:v>
      </x:c>
      <x:c r="D13" s="32" t="str">
        <x:v>updates=()</x:v>
      </x:c>
      <x:c r="E13" s="32" t="str">
        <x:v>Render/click</x:v>
      </x:c>
      <x:c r="F13" s="32" t="str">
        <x:v>Sin affordance de popover o click no abre panel vacío</x:v>
      </x:c>
      <x:c r="G13" s="32" t="str">
        <x:v>UX</x:v>
      </x:c>
      <x:c r="H13" s="32" t="str">
        <x:v>P1</x:v>
      </x:c>
      <x:c r="I13" s="32" t="str">
        <x:v>PENDIENTE</x:v>
      </x:c>
      <x:c r="J13" s="32" t="str">
        <x:v>Decisión propuesta</x:v>
      </x:c>
    </x:row>
    <x:row r="14">
      <x:c r="A14" s="32" t="str">
        <x:v>TS-T04</x:v>
      </x:c>
      <x:c r="B14" s="32" t="str">
        <x:v>Time Status</x:v>
      </x:c>
      <x:c r="C14" s="32" t="str">
        <x:v>Detail populated</x:v>
      </x:c>
      <x:c r="D14" s="32" t="str">
        <x:v>3 entradas consumidas</x:v>
      </x:c>
      <x:c r="E14" s="32" t="str">
        <x:v>Click summary</x:v>
      </x:c>
      <x:c r="F14" s="32" t="str">
        <x:v>Popover anclado muestra sólo 3 timestamps reales</x:v>
      </x:c>
      <x:c r="G14" s="32" t="str">
        <x:v>Functional/Visual</x:v>
      </x:c>
      <x:c r="H14" s="32" t="str">
        <x:v>P0</x:v>
      </x:c>
      <x:c r="I14" s="32" t="str">
        <x:v>PENDIENTE</x:v>
      </x:c>
      <x:c r="J14" s="32" t="str"/>
    </x:row>
    <x:row r="15">
      <x:c r="A15" s="32" t="str">
        <x:v>TS-T05</x:v>
      </x:c>
      <x:c r="B15" s="32" t="str">
        <x:v>Time Status</x:v>
      </x:c>
      <x:c r="C15" s="32" t="str">
        <x:v>Interval while open</x:v>
      </x:c>
      <x:c r="D15" s="32" t="str">
        <x:v>Popover abierto</x:v>
      </x:c>
      <x:c r="E15" s="32" t="str">
        <x:v>Actualizar store/rerender summary</x:v>
      </x:c>
      <x:c r="F15" s="32" t="str">
        <x:v>Popover sigue abierto y contenido se refresca</x:v>
      </x:c>
      <x:c r="G15" s="32" t="str">
        <x:v>Functional/JS</x:v>
      </x:c>
      <x:c r="H15" s="32" t="str">
        <x:v>P0</x:v>
      </x:c>
      <x:c r="I15" s="32" t="str">
        <x:v>PENDIENTE</x:v>
      </x:c>
      <x:c r="J15" s="32" t="str"/>
    </x:row>
    <x:row r="16">
      <x:c r="A16" s="32" t="str">
        <x:v>TS-T06</x:v>
      </x:c>
      <x:c r="B16" s="32" t="str">
        <x:v>Time Status</x:v>
      </x:c>
      <x:c r="C16" s="32" t="str">
        <x:v>Reanchor</x:v>
      </x:c>
      <x:c r="D16" s="32" t="str">
        <x:v>Popover abierto; Dash reemplaza trigger</x:v>
      </x:c>
      <x:c r="E16" s="32" t="str">
        <x:v>Rerender</x:v>
      </x:c>
      <x:c r="F16" s="32" t="str">
        <x:v>Controller encuentra anchor nuevo y reposiciona</x:v>
      </x:c>
      <x:c r="G16" s="32" t="str">
        <x:v>Functional/JS</x:v>
      </x:c>
      <x:c r="H16" s="32" t="str">
        <x:v>P0</x:v>
      </x:c>
      <x:c r="I16" s="32" t="str">
        <x:v>PENDIENTE</x:v>
      </x:c>
      <x:c r="J16" s="32" t="str"/>
    </x:row>
    <x:row r="17">
      <x:c r="A17" s="32" t="str">
        <x:v>TS-T07</x:v>
      </x:c>
      <x:c r="B17" s="32" t="str">
        <x:v>Time Status</x:v>
      </x:c>
      <x:c r="C17" s="32" t="str">
        <x:v>Close interactions</x:v>
      </x:c>
      <x:c r="D17" s="32" t="str">
        <x:v>Popover abierto</x:v>
      </x:c>
      <x:c r="E17" s="32" t="str">
        <x:v>Trigger/outside/Escape</x:v>
      </x:c>
      <x:c r="F17" s="32" t="str">
        <x:v>Toggle/outside/Escape cierran según contrato</x:v>
      </x:c>
      <x:c r="G17" s="32" t="str">
        <x:v>Functional/Accessibility</x:v>
      </x:c>
      <x:c r="H17" s="32" t="str">
        <x:v>P1</x:v>
      </x:c>
      <x:c r="I17" s="32" t="str">
        <x:v>PENDIENTE</x:v>
      </x:c>
      <x:c r="J17" s="32" t="str"/>
    </x:row>
    <x:row r="18">
      <x:c r="A18" s="32" t="str">
        <x:v>TS-T08</x:v>
      </x:c>
      <x:c r="B18" s="32" t="str">
        <x:v>Time Status</x:v>
      </x:c>
      <x:c r="C18" s="32" t="str">
        <x:v>Critical PI</x:v>
      </x:c>
      <x:c r="D18" s="32" t="str">
        <x:v>PI cruza freshness policy</x:v>
      </x:c>
      <x:c r="E18" s="32" t="str">
        <x:v>Render</x:v>
      </x:c>
      <x:c r="F18" s="32" t="str">
        <x:v>cloud-slash + visual critical/pulse; status bar no se cubre stale</x:v>
      </x:c>
      <x:c r="G18" s="32" t="str">
        <x:v>Unit/Visual</x:v>
      </x:c>
      <x:c r="H18" s="32" t="str">
        <x:v>P0</x:v>
      </x:c>
      <x:c r="I18" s="32" t="str">
        <x:v>PENDIENTE</x:v>
      </x:c>
      <x:c r="J18" s="32" t="str"/>
    </x:row>
    <x:row r="19">
      <x:c r="A19" s="32" t="str">
        <x:v>TS-T09</x:v>
      </x:c>
      <x:c r="B19" s="32" t="str">
        <x:v>Time Status</x:v>
      </x:c>
      <x:c r="C19" s="32" t="str">
        <x:v>Detail stale visual</x:v>
      </x:c>
      <x:c r="D19" s="32" t="str">
        <x:v>detail source stale-driving</x:v>
      </x:c>
      <x:c r="E19" s="32" t="str">
        <x:v>Render detail</x:v>
      </x:c>
      <x:c r="F19" s="32" t="str">
        <x:v>Sigue mostrando fecha/hora real con tratamiento visual</x:v>
      </x:c>
      <x:c r="G19" s="32" t="str">
        <x:v>Visual</x:v>
      </x:c>
      <x:c r="H19" s="32" t="str">
        <x:v>P1</x:v>
      </x:c>
      <x:c r="I19" s="32" t="str">
        <x:v>PENDIENTE</x:v>
      </x:c>
      <x:c r="J19" s="32" t="str"/>
    </x:row>
    <x:row r="20">
      <x:c r="A20" s="32" t="str">
        <x:v>TS-T10</x:v>
      </x:c>
      <x:c r="B20" s="32" t="str">
        <x:v>Time Status</x:v>
      </x:c>
      <x:c r="C20" s="32" t="str">
        <x:v>Consumption filter</x:v>
      </x:c>
      <x:c r="D20" s="32" t="str">
        <x:v>Store tiene A,B,C,D; Tool consume B,D</x:v>
      </x:c>
      <x:c r="E20" s="32" t="str">
        <x:v>Open detail</x:v>
      </x:c>
      <x:c r="F20" s="32" t="str">
        <x:v>Sólo B,D aparecen</x:v>
      </x:c>
      <x:c r="G20" s="32" t="str">
        <x:v>Integration</x:v>
      </x:c>
      <x:c r="H20" s="32" t="str">
        <x:v>P0</x:v>
      </x:c>
      <x:c r="I20" s="32" t="str">
        <x:v>PENDIENTE</x:v>
      </x:c>
      <x:c r="J20" s="32" t="str"/>
    </x:row>
    <x:row r="21">
      <x:c r="A21" s="32" t="str">
        <x:v>CS-T01</x:v>
      </x:c>
      <x:c r="B21" s="32" t="str">
        <x:v>Content State</x:v>
      </x:c>
      <x:c r="C21" s="32" t="str">
        <x:v>Ready wrapper</x:v>
      </x:c>
      <x:c r="D21" s="32" t="str">
        <x:v>state READY</x:v>
      </x:c>
      <x:c r="E21" s="32" t="str">
        <x:v>Render</x:v>
      </x:c>
      <x:c r="F21" s="32" t="str">
        <x:v>Backdrop invisible; contenido interactivo</x:v>
      </x:c>
      <x:c r="G21" s="32" t="str">
        <x:v>Unit</x:v>
      </x:c>
      <x:c r="H21" s="32" t="str">
        <x:v>P0</x:v>
      </x:c>
      <x:c r="I21" s="32" t="str">
        <x:v>PENDIENTE</x:v>
      </x:c>
      <x:c r="J21" s="32" t="str"/>
    </x:row>
    <x:row r="22">
      <x:c r="A22" s="32" t="str">
        <x:v>CS-T02</x:v>
      </x:c>
      <x:c r="B22" s="32" t="str">
        <x:v>Content State</x:v>
      </x:c>
      <x:c r="C22" s="32" t="str">
        <x:v>Stale wrapper</x:v>
      </x:c>
      <x:c r="D22" s="32" t="str">
        <x:v>state STALE</x:v>
      </x:c>
      <x:c r="E22" s="32" t="str">
        <x:v>Render</x:v>
      </x:c>
      <x:c r="F22" s="32" t="str">
        <x:v>Backdrop visible con Información desactualizada</x:v>
      </x:c>
      <x:c r="G22" s="32" t="str">
        <x:v>Unit/Visual</x:v>
      </x:c>
      <x:c r="H22" s="32" t="str">
        <x:v>P0</x:v>
      </x:c>
      <x:c r="I22" s="32" t="str">
        <x:v>PENDIENTE</x:v>
      </x:c>
      <x:c r="J22" s="32" t="str"/>
    </x:row>
    <x:row r="23">
      <x:c r="A23" s="32" t="str">
        <x:v>CS-T03</x:v>
      </x:c>
      <x:c r="B23" s="32" t="str">
        <x:v>Content State</x:v>
      </x:c>
      <x:c r="C23" s="32" t="str">
        <x:v>Construction wrapper</x:v>
      </x:c>
      <x:c r="D23" s="32" t="str">
        <x:v>state CONSTRUCTION</x:v>
      </x:c>
      <x:c r="E23" s="32" t="str">
        <x:v>Render</x:v>
      </x:c>
      <x:c r="F23" s="32" t="str">
        <x:v>Backdrop visible con hammer + En construcción</x:v>
      </x:c>
      <x:c r="G23" s="32" t="str">
        <x:v>Unit/Visual</x:v>
      </x:c>
      <x:c r="H23" s="32" t="str">
        <x:v>P0</x:v>
      </x:c>
      <x:c r="I23" s="32" t="str">
        <x:v>PENDIENTE</x:v>
      </x:c>
      <x:c r="J23" s="32" t="str"/>
    </x:row>
    <x:row r="24">
      <x:c r="A24" s="32" t="str">
        <x:v>CS-T04</x:v>
      </x:c>
      <x:c r="B24" s="32" t="str">
        <x:v>Content State</x:v>
      </x:c>
      <x:c r="C24" s="32" t="str">
        <x:v>Runtime recovery</x:v>
      </x:c>
      <x:c r="D24" s="32" t="str">
        <x:v>source stale→healthy</x:v>
      </x:c>
      <x:c r="E24" s="32" t="str">
        <x:v>Refresh</x:v>
      </x:c>
      <x:c r="F24" s="32" t="str">
        <x:v>Wrapper STALE→READY sin recrear layout</x:v>
      </x:c>
      <x:c r="G24" s="32" t="str">
        <x:v>Integration</x:v>
      </x:c>
      <x:c r="H24" s="32" t="str">
        <x:v>P0</x:v>
      </x:c>
      <x:c r="I24" s="32" t="str">
        <x:v>PENDIENTE</x:v>
      </x:c>
      <x:c r="J24" s="32" t="str"/>
    </x:row>
    <x:row r="25">
      <x:c r="A25" s="32" t="str">
        <x:v>CS-T05</x:v>
      </x:c>
      <x:c r="B25" s="32" t="str">
        <x:v>Content State</x:v>
      </x:c>
      <x:c r="C25" s="32" t="str">
        <x:v>Selective stale</x:v>
      </x:c>
      <x:c r="D25" s="32" t="str">
        <x:v>Dispatch stale; PI healthy</x:v>
      </x:c>
      <x:c r="E25" s="32" t="str">
        <x:v>Refresh</x:v>
      </x:c>
      <x:c r="F25" s="32" t="str">
        <x:v>Sólo componentes dependientes de Dispatch quedan STALE</x:v>
      </x:c>
      <x:c r="G25" s="32" t="str">
        <x:v>Integration</x:v>
      </x:c>
      <x:c r="H25" s="32" t="str">
        <x:v>P0</x:v>
      </x:c>
      <x:c r="I25" s="32" t="str">
        <x:v>PENDIENTE</x:v>
      </x:c>
      <x:c r="J25" s="32" t="str"/>
    </x:row>
    <x:row r="26">
      <x:c r="A26" s="32" t="str">
        <x:v>CS-T06</x:v>
      </x:c>
      <x:c r="B26" s="32" t="str">
        <x:v>Content State</x:v>
      </x:c>
      <x:c r="C26" s="32" t="str">
        <x:v>Popover-only source stale</x:v>
      </x:c>
      <x:c r="D26" s="32" t="str">
        <x:v>Fuente detail-only atrasada</x:v>
      </x:c>
      <x:c r="E26" s="32" t="str">
        <x:v>Refresh</x:v>
      </x:c>
      <x:c r="F26" s="32" t="str">
        <x:v>Popover refleja timestamp/visual, pero no cubre componentes</x:v>
      </x:c>
      <x:c r="G26" s="32" t="str">
        <x:v>Integration</x:v>
      </x:c>
      <x:c r="H26" s="32" t="str">
        <x:v>P0</x:v>
      </x:c>
      <x:c r="I26" s="32" t="str">
        <x:v>PENDIENTE</x:v>
      </x:c>
      <x:c r="J26" s="32" t="str"/>
    </x:row>
    <x:row r="27">
      <x:c r="A27" s="32" t="str">
        <x:v>CS-T07</x:v>
      </x:c>
      <x:c r="B27" s="32" t="str">
        <x:v>Content State</x:v>
      </x:c>
      <x:c r="C27" s="32" t="str">
        <x:v>Construction precedence</x:v>
      </x:c>
      <x:c r="D27" s="32" t="str">
        <x:v>construction + source stale</x:v>
      </x:c>
      <x:c r="E27" s="32" t="str">
        <x:v>Resolve</x:v>
      </x:c>
      <x:c r="F27" s="32" t="str">
        <x:v>Resultado según decisión de precedencia</x:v>
      </x:c>
      <x:c r="G27" s="32" t="str">
        <x:v>Contract</x:v>
      </x:c>
      <x:c r="H27" s="32" t="str">
        <x:v>P1</x:v>
      </x:c>
      <x:c r="I27" s="32" t="str">
        <x:v>EN DISEÑO</x:v>
      </x:c>
      <x:c r="J27" s="32" t="str"/>
    </x:row>
    <x:row r="28">
      <x:c r="A28" s="32" t="str">
        <x:v>CS-T08</x:v>
      </x:c>
      <x:c r="B28" s="32" t="str">
        <x:v>Content State</x:v>
      </x:c>
      <x:c r="C28" s="32" t="str">
        <x:v>Stale + Inspection</x:v>
      </x:c>
      <x:c r="D28" s="32" t="str">
        <x:v>Global Indicator stale e inspeccionable</x:v>
      </x:c>
      <x:c r="E28" s="32" t="str">
        <x:v>Click</x:v>
      </x:c>
      <x:c r="F28" s="32" t="str">
        <x:v>Comportamiento según decisión UX CS-007</x:v>
      </x:c>
      <x:c r="G28" s="32" t="str">
        <x:v>Visual/UX</x:v>
      </x:c>
      <x:c r="H28" s="32" t="str">
        <x:v>P0</x:v>
      </x:c>
      <x:c r="I28" s="32" t="str">
        <x:v>EN DISEÑO</x:v>
      </x:c>
      <x:c r="J28" s="32" t="str"/>
    </x:row>
    <x:row r="29">
      <x:c r="A29" s="32" t="str">
        <x:v>VT-007</x:v>
      </x:c>
      <x:c r="B29" s="32" t="str">
        <x:v>KIV</x:v>
      </x:c>
      <x:c r="C29" s="32" t="str">
        <x:v>Per-value triggers</x:v>
      </x:c>
      <x:c r="D29" s="32" t="str">
        <x:v>Global Indicator con actual/plan de Turno+Día y Última medición</x:v>
      </x:c>
      <x:c r="E29" s="32" t="str">
        <x:v>Inspeccionar DOM / click cada valor</x:v>
      </x:c>
      <x:c r="F29" s="32" t="str">
        <x:v>Root/heading/labels neutrales; cada valor con key es trigger independiente y un valor sin key queda neutral</x:v>
      </x:c>
      <x:c r="G29" s="32" t="str">
        <x:v>Unit/DOM</x:v>
      </x:c>
      <x:c r="H29" s="32" t="str">
        <x:v>P0</x:v>
      </x:c>
      <x:c r="I29" s="32" t="str">
        <x:v>CERRADO</x:v>
      </x:c>
      <x:c r="J29" s="32" t="str">
        <x:v>KIV-000C 0.1.1 gate técnico PASS; contrato per-value instalado. Smoke visual pendiente.</x:v>
      </x:c>
    </x:row>
    <x:row r="30">
      <x:c r="A30" s="32" t="str">
        <x:v>VT-008</x:v>
      </x:c>
      <x:c r="B30" s="32" t="str">
        <x:v>KIV</x:v>
      </x:c>
      <x:c r="C30" s="32" t="str">
        <x:v>Dark square Surface</x:v>
      </x:c>
      <x:c r="D30" s="32" t="str">
        <x:v>Inspection Surface montada</x:v>
      </x:c>
      <x:c r="E30" s="32" t="str">
        <x:v>Abrir inspector</x:v>
      </x:c>
      <x:c r="F30" s="32" t="str">
        <x:v>Panel full-width bottom usa var(--dark-color), border-radius 0 y no tiene backdrop modal</x:v>
      </x:c>
      <x:c r="G30" s="32" t="str">
        <x:v>Visual/CSS</x:v>
      </x:c>
      <x:c r="H30" s="32" t="str">
        <x:v>P0</x:v>
      </x:c>
      <x:c r="I30" s="32" t="str">
        <x:v>PENDIENTE</x:v>
      </x:c>
      <x:c r="J30" s="32" t="str">
        <x:v>KIV-000B/KIV-000C</x:v>
      </x:c>
    </x:row>
    <x:row r="31">
      <x:c r="A31" s="32" t="str">
        <x:v>VT-009</x:v>
      </x:c>
      <x:c r="B31" s="32" t="str">
        <x:v>KIV</x:v>
      </x:c>
      <x:c r="C31" s="32" t="str">
        <x:v>Selection policy</x:v>
      </x:c>
      <x:c r="D31" s="32" t="str">
        <x:v>Global Indicator + inspector abierto</x:v>
      </x:c>
      <x:c r="E31" s="32" t="str">
        <x:v>Intentar seleccionar texto</x:v>
      </x:c>
      <x:c r="F31" s="32" t="str">
        <x:v>Global Indicator evita selección accidental; contenido del inspector permite seleccionar/copiar</x:v>
      </x:c>
      <x:c r="G31" s="32" t="str">
        <x:v>Visual/CSS</x:v>
      </x:c>
      <x:c r="H31" s="32" t="str">
        <x:v>P1</x:v>
      </x:c>
      <x:c r="I31" s="32" t="str">
        <x:v>PENDIENTE</x:v>
      </x:c>
      <x:c r="J31" s="32" t="str">
        <x:v>KIV-000B/KIV-000C</x:v>
      </x:c>
    </x:row>
    <x:row r="32">
      <x:c r="A32" s="32" t="str">
        <x:v>VT-010</x:v>
      </x:c>
      <x:c r="B32" s="32" t="str">
        <x:v>KIV</x:v>
      </x:c>
      <x:c r="C32" s="32" t="str">
        <x:v>Persistent sequential inspection</x:v>
      </x:c>
      <x:c r="D32" s="32" t="str">
        <x:v>KPI A cargado con panel abierto</x:v>
      </x:c>
      <x:c r="E32" s="32" t="str">
        <x:v>Click KPI B después de finalizar loading</x:v>
      </x:c>
      <x:c r="F32" s="32" t="str">
        <x:v>Misma Surface permanece abierta y pasa a loading/resultado B sin close/reopen</x:v>
      </x:c>
      <x:c r="G32" s="32" t="str">
        <x:v>Functional/Visual</x:v>
      </x:c>
      <x:c r="H32" s="32" t="str">
        <x:v>P0</x:v>
      </x:c>
      <x:c r="I32" s="32" t="str">
        <x:v>PENDIENTE</x:v>
      </x:c>
      <x:c r="J32" s="32" t="str">
        <x:v>KIV-000C/KIV-001</x:v>
      </x:c>
    </x:row>
    <x:row r="33">
      <x:c r="A33" s="30" t="str">
        <x:v>VT-011</x:v>
      </x:c>
      <x:c r="B33" s="30" t="str">
        <x:v>KIV</x:v>
      </x:c>
      <x:c r="C33" s="30" t="str">
        <x:v>Pointer vs keyboard focus restore</x:v>
      </x:c>
      <x:c r="D33" s="30" t="str">
        <x:v>Inspector abierto desde pointer y luego desde teclado</x:v>
      </x:c>
      <x:c r="E33" s="30" t="str">
        <x:v>Cerrar con Escape</x:v>
      </x:c>
      <x:c r="F33" s="30" t="str">
        <x:v>Pointer: no queda outline en trigger. Teclado: foco vuelve al valor si sigue conectado.</x:v>
      </x:c>
      <x:c r="G33" s="30" t="str">
        <x:v>Functional/Accessibility</x:v>
      </x:c>
      <x:c r="H33" s="30" t="str">
        <x:v>P0</x:v>
      </x:c>
      <x:c r="I33" s="30" t="str">
        <x:v>CERRADO</x:v>
      </x:c>
      <x:c r="J33" s="30" t="str">
        <x:v>Aprobado visualmente en KIV-000C: pointer sin outline residual y keyboard focus restore conservado.</x:v>
      </x:c>
    </x:row>
    <x:row r="34">
      <x:c r="A34" s="30" t="str">
        <x:v>VT-012</x:v>
      </x:c>
      <x:c r="B34" s="30" t="str">
        <x:v>KIV</x:v>
      </x:c>
      <x:c r="C34" s="30" t="str">
        <x:v>Turno/Día spacing</x:v>
      </x:c>
      <x:c r="D34" s="30" t="str">
        <x:v>Global Indicator visible</x:v>
      </x:c>
      <x:c r="E34" s="30" t="str">
        <x:v>Comparar label con primer valor</x:v>
      </x:c>
      <x:c r="F34" s="30" t="str">
        <x:v>Se aprecia separación ligeramente mayor sin aumentar perceptiblemente la altura del slot.</x:v>
      </x:c>
      <x:c r="G34" s="30" t="str">
        <x:v>Visual/CSS</x:v>
      </x:c>
      <x:c r="H34" s="30" t="str">
        <x:v>P1</x:v>
      </x:c>
      <x:c r="I34" s="30" t="str">
        <x:v>CERRADO</x:v>
      </x:c>
      <x:c r="J34" s="30" t="str">
        <x:v>Aprobado visualmente en KIV-000C: micro-spacing Turno/Día aceptado.</x:v>
      </x:c>
    </x:row>
    <x:row r="35">
      <x:c r="A35" s="32" t="str">
        <x:v>VT-013</x:v>
      </x:c>
      <x:c r="B35" s="32" t="str">
        <x:v>KIV</x:v>
      </x:c>
      <x:c r="C35" s="32" t="str">
        <x:v>Pointer-only value trigger</x:v>
      </x:c>
      <x:c r="D35" s="32" t="str">
        <x:v>Global Indicator con valores inspeccionables + dcc.Interval activo</x:v>
      </x:c>
      <x:c r="E35" s="32" t="str">
        <x:v>Recorrer la aplicación con Tab y luego hacer click sobre un valor</x:v>
      </x:c>
      <x:c r="F35" s="32" t="str">
        <x:v>Tab no entra en los valores KPI ni muestra focus ring; click sigue abriendo la misma Inspection Surface</x:v>
      </x:c>
      <x:c r="G35" s="32" t="str">
        <x:v>Functional/Visual</x:v>
      </x:c>
      <x:c r="H35" s="32" t="str">
        <x:v>P0</x:v>
      </x:c>
      <x:c r="I35" s="32" t="str">
        <x:v>CERRADO</x:v>
      </x:c>
      <x:c r="J35" s="32" t="str">
        <x:v>PASS usuario: Tab omite los valores KPI; click abre Inspection.</x:v>
      </x:c>
    </x:row>
    <x:row r="36">
      <x:c r="A36" s="32" t="str">
        <x:v>VT-014</x:v>
      </x:c>
      <x:c r="B36" s="32" t="str">
        <x:v>KIV</x:v>
      </x:c>
      <x:c r="C36" s="32" t="str">
        <x:v>Explicit close controls</x:v>
      </x:c>
      <x:c r="D36" s="32" t="str">
        <x:v>Inspection Surface abierta mediante click</x:v>
      </x:c>
      <x:c r="E36" s="32" t="str">
        <x:v>Cerrar una vez con X y otra con Escape</x:v>
      </x:c>
      <x:c r="F36" s="32" t="str">
        <x:v>Ambos cierres funcionan; no hay backdrop modal y no queda foco residual en el valor</x:v>
      </x:c>
      <x:c r="G36" s="32" t="str">
        <x:v>Functional/Visual</x:v>
      </x:c>
      <x:c r="H36" s="32" t="str">
        <x:v>P0</x:v>
      </x:c>
      <x:c r="I36" s="32" t="str">
        <x:v>CERRADO</x:v>
      </x:c>
      <x:c r="J36" s="32" t="str">
        <x:v>PASS usuario: X y Escape cierran correctamente sin foco residual.</x:v>
      </x:c>
    </x:row>
    <x:row r="37">
      <x:c r="A37" s="32" t="str">
        <x:v>VT-015</x:v>
      </x:c>
      <x:c r="B37" s="32" t="str">
        <x:v>KIV</x:v>
      </x:c>
      <x:c r="C37" s="32" t="str">
        <x:v>Interval-safe tab order</x:v>
      </x:c>
      <x:c r="D37" s="32" t="str">
        <x:v>Global Indicators actualizándose cada 2 s</x:v>
      </x:c>
      <x:c r="E37" s="32" t="str">
        <x:v>Usar Tab mientras ocurren varios rerenders</x:v>
      </x:c>
      <x:c r="F37" s="32" t="str">
        <x:v>Los valores KPI nunca forman parte del orden de Tab, por lo que el rerender no reinicia navegación sobre ellos</x:v>
      </x:c>
      <x:c r="G37" s="32" t="str">
        <x:v>Functional/Visual</x:v>
      </x:c>
      <x:c r="H37" s="32" t="str">
        <x:v>P0</x:v>
      </x:c>
      <x:c r="I37" s="32" t="str">
        <x:v>CERRADO</x:v>
      </x:c>
      <x:c r="J37" s="32" t="str">
        <x:v>PASS usuario: rerender por Interval no interfiere con Tab porque los valores KPI están fuera del tab order.</x:v>
      </x:c>
    </x:row>
    <x:row r="38">
      <x:c r="A38" s="32" t="str">
        <x:v>TS-T11</x:v>
      </x:c>
      <x:c r="B38" s="32" t="str">
        <x:v>Time Status</x:v>
      </x:c>
      <x:c r="C38" s="32" t="str">
        <x:v>Relative bucket boundaries</x:v>
      </x:c>
      <x:c r="D38" s="32" t="str">
        <x:v>timestamp válido</x:v>
      </x:c>
      <x:c r="E38" s="32" t="str">
        <x:v>Evaluar 0,9,10,19,20,59,60,119,120,3600,86400</x:v>
      </x:c>
      <x:c r="F38" s="32" t="str">
        <x:v>Copy cae en bucket esperado sin segundos residuales</x:v>
      </x:c>
      <x:c r="G38" s="32" t="str">
        <x:v>Unit/Contract</x:v>
      </x:c>
      <x:c r="H38" s="32" t="str">
        <x:v>P0</x:v>
      </x:c>
      <x:c r="I38" s="32" t="str">
        <x:v>EN VALIDACIÓN</x:v>
      </x:c>
      <x:c r="J38" s="32" t="str">
        <x:v>TS-009 local: buckets 0/9/10/19/20/59/60/119/120/3600/86400 cubiertos; gate 3.14.2 pendiente.</x:v>
      </x:c>
    </x:row>
    <x:row r="39">
      <x:c r="A39" s="32" t="str">
        <x:v>TS-T12</x:v>
      </x:c>
      <x:c r="B39" s="32" t="str">
        <x:v>Time Status</x:v>
      </x:c>
      <x:c r="C39" s="32" t="str">
        <x:v>PI preventive/hard boundaries</x:v>
      </x:c>
      <x:c r="D39" s="32" t="str">
        <x:v>PI warning=200, stale=300</x:v>
      </x:c>
      <x:c r="E39" s="32" t="str">
        <x:v>Evaluar ages 199,200,299,300</x:v>
      </x:c>
      <x:c r="F39" s="32" t="str">
        <x:v>199 FRESH; 200 PREVENTIVE; 299 PREVENTIVE; 300 HARD_STALE</x:v>
      </x:c>
      <x:c r="G39" s="32" t="str">
        <x:v>Unit/Contract</x:v>
      </x:c>
      <x:c r="H39" s="32" t="str">
        <x:v>P0</x:v>
      </x:c>
      <x:c r="I39" s="32" t="str">
        <x:v>EN VALIDACIÓN</x:v>
      </x:c>
      <x:c r="J39" s="32" t="str">
        <x:v>TS-009 local: 199 FRESH; 200/299 PREVENTIVE; 300 HARD_STALE.</x:v>
      </x:c>
    </x:row>
    <x:row r="40">
      <x:c r="A40" s="32" t="str">
        <x:v>TS-T13</x:v>
      </x:c>
      <x:c r="B40" s="32" t="str">
        <x:v>Time Status</x:v>
      </x:c>
      <x:c r="C40" s="32" t="str">
        <x:v>Dispatch preventive/hard boundaries</x:v>
      </x:c>
      <x:c r="D40" s="32" t="str">
        <x:v>Dispatch warning=400, stale=600</x:v>
      </x:c>
      <x:c r="E40" s="32" t="str">
        <x:v>Evaluar ages 399,400,599,600</x:v>
      </x:c>
      <x:c r="F40" s="32" t="str">
        <x:v>399 FRESH; 400 PREVENTIVE; 599 PREVENTIVE; 600 HARD_STALE</x:v>
      </x:c>
      <x:c r="G40" s="32" t="str">
        <x:v>Unit/Contract</x:v>
      </x:c>
      <x:c r="H40" s="32" t="str">
        <x:v>P0</x:v>
      </x:c>
      <x:c r="I40" s="32" t="str">
        <x:v>EN VALIDACIÓN</x:v>
      </x:c>
      <x:c r="J40" s="32" t="str">
        <x:v>TS-009 local: 399 FRESH; 400/599 PREVENTIVE; 600 HARD_STALE.</x:v>
      </x:c>
    </x:row>
    <x:row r="41">
      <x:c r="A41" s="32" t="str">
        <x:v>TS-T14</x:v>
      </x:c>
      <x:c r="B41" s="32" t="str">
        <x:v>Time Status</x:v>
      </x:c>
      <x:c r="C41" s="32" t="str">
        <x:v>PI+Dispatch global stale AND</x:v>
      </x:c>
      <x:c r="D41" s="32" t="str">
        <x:v>PI+Dispatch requeridos</x:v>
      </x:c>
      <x:c r="E41" s="32" t="str">
        <x:v>PI hard / Dispatch fresh; luego ambos hard</x:v>
      </x:c>
      <x:c r="F41" s="32" t="str">
        <x:v>Sólo una hard =&gt; Tool no CONTENT_STALE; ambas hard =&gt; todos los componentes CONTENT_STALE</x:v>
      </x:c>
      <x:c r="G41" s="32" t="str">
        <x:v>Unit/Contract</x:v>
      </x:c>
      <x:c r="H41" s="32" t="str">
        <x:v>P0</x:v>
      </x:c>
      <x:c r="I41" s="32" t="str">
        <x:v>PENDIENTE</x:v>
      </x:c>
      <x:c r="J41" s="32" t="str">
        <x:v>TS-001/CS-003</x:v>
      </x:c>
    </x:row>
    <x:row r="42">
      <x:c r="A42" s="32" t="str">
        <x:v>TS-T15</x:v>
      </x:c>
      <x:c r="B42" s="32" t="str">
        <x:v>Time Status</x:v>
      </x:c>
      <x:c r="C42" s="32" t="str">
        <x:v>PI-only global stale</x:v>
      </x:c>
      <x:c r="D42" s="32" t="str">
        <x:v>Tool sin Dispatch</x:v>
      </x:c>
      <x:c r="E42" s="32" t="str">
        <x:v>PI cruza hard threshold</x:v>
      </x:c>
      <x:c r="F42" s="32" t="str">
        <x:v>PI HARD_STALE =&gt; Tool CONTENT_STALE</x:v>
      </x:c>
      <x:c r="G42" s="32" t="str">
        <x:v>Unit/Contract</x:v>
      </x:c>
      <x:c r="H42" s="32" t="str">
        <x:v>P0</x:v>
      </x:c>
      <x:c r="I42" s="32" t="str">
        <x:v>PENDIENTE</x:v>
      </x:c>
      <x:c r="J42" s="32" t="str">
        <x:v>TS-001/CS-003</x:v>
      </x:c>
    </x:row>
    <x:row r="43">
      <x:c r="A43" s="32" t="str">
        <x:v>TS-T16</x:v>
      </x:c>
      <x:c r="B43" s="32" t="str">
        <x:v>Time Status</x:v>
      </x:c>
      <x:c r="C43" s="32" t="str">
        <x:v>Missing timestamp</x:v>
      </x:c>
      <x:c r="D43" s="32" t="str">
        <x:v>Fuente requerida sin timestamp</x:v>
      </x:c>
      <x:c r="E43" s="32" t="str">
        <x:v>Resolve</x:v>
      </x:c>
      <x:c r="F43" s="32" t="str">
        <x:v>DATA_ERROR/INVALID_DATA; nunca PREVENTIVE/HARD_STALE</x:v>
      </x:c>
      <x:c r="G43" s="32" t="str">
        <x:v>Unit/Contract</x:v>
      </x:c>
      <x:c r="H43" s="32" t="str">
        <x:v>P0</x:v>
      </x:c>
      <x:c r="I43" s="32" t="str">
        <x:v>EN VALIDACIÓN</x:v>
      </x:c>
      <x:c r="J43" s="32" t="str">
        <x:v>TS-009 local: missing/naive =&gt; DATA_ERROR; nunca PREVENTIVE/HARD_STALE.</x:v>
      </x:c>
    </x:row>
    <x:row r="44">
      <x:c r="A44" s="32" t="str">
        <x:v>TS-T17</x:v>
      </x:c>
      <x:c r="B44" s="32" t="str">
        <x:v>Time Status</x:v>
      </x:c>
      <x:c r="C44" s="32" t="str">
        <x:v>Malformed/future-invalid timestamp</x:v>
      </x:c>
      <x:c r="D44" s="32" t="str">
        <x:v>Timestamp no parseable o inválido según policy</x:v>
      </x:c>
      <x:c r="E44" s="32" t="str">
        <x:v>Resolve</x:v>
      </x:c>
      <x:c r="F44" s="32" t="str">
        <x:v>DATA_ERROR/INVALID_DATA con propagación de quality state</x:v>
      </x:c>
      <x:c r="G44" s="32" t="str">
        <x:v>Unit/Contract</x:v>
      </x:c>
      <x:c r="H44" s="32" t="str">
        <x:v>P0</x:v>
      </x:c>
      <x:c r="I44" s="32" t="str">
        <x:v>EN VALIDACIÓN</x:v>
      </x:c>
      <x:c r="J44" s="32" t="str">
        <x:v>TS-009 local: future timestamp =&gt; DATA_ERROR sin skew tolerance oculto; malformed llega como missing/invalid desde TS-004.</x:v>
      </x:c>
    </x:row>
    <x:row r="45">
      <x:c r="A45" s="32" t="str">
        <x:v>TS-T18</x:v>
      </x:c>
      <x:c r="B45" s="32" t="str">
        <x:v>Time Status</x:v>
      </x:c>
      <x:c r="C45" s="32" t="str">
        <x:v>Freshness without new watermark</x:v>
      </x:c>
      <x:c r="D45" s="32" t="str">
        <x:v>Timestamp no cambia</x:v>
      </x:c>
      <x:c r="E45" s="32" t="str">
        <x:v>Avanzar clock 199→200→300</x:v>
      </x:c>
      <x:c r="F45" s="32" t="str">
        <x:v>FRESH→PREVENTIVE→HARD_STALE sin nueva publicación</x:v>
      </x:c>
      <x:c r="G45" s="32" t="str">
        <x:v>Runtime/JS</x:v>
      </x:c>
      <x:c r="H45" s="32" t="str">
        <x:v>P0</x:v>
      </x:c>
      <x:c r="I45" s="32" t="str">
        <x:v>EN VALIDACIÓN</x:v>
      </x:c>
      <x:c r="J45" s="32" t="str">
        <x:v>TS-009 local: mismo watermark cruza FRESH→PREVENTIVE→HARD_STALE por Date.now en tick real.</x:v>
      </x:c>
    </x:row>
    <x:row r="46">
      <x:c r="A46" s="32" t="str">
        <x:v>TS-T19</x:v>
      </x:c>
      <x:c r="B46" s="32" t="str">
        <x:v>Time Status</x:v>
      </x:c>
      <x:c r="C46" s="32" t="str">
        <x:v>Real clock resync</x:v>
      </x:c>
      <x:c r="D46" s="32" t="str">
        <x:v>Página suspendida/hidden</x:v>
      </x:c>
      <x:c r="E46" s="32" t="str">
        <x:v>Reanudar</x:v>
      </x:c>
      <x:c r="F46" s="32" t="str">
        <x:v>Clock salta a hora real correcta y freshness se recalcula inmediatamente</x:v>
      </x:c>
      <x:c r="G46" s="32" t="str">
        <x:v>JS</x:v>
      </x:c>
      <x:c r="H46" s="32" t="str">
        <x:v>P0</x:v>
      </x:c>
      <x:c r="I46" s="32" t="str">
        <x:v>PENDIENTE</x:v>
      </x:c>
      <x:c r="J46" s="32" t="str">
        <x:v>TS-003</x:v>
      </x:c>
    </x:row>
    <x:row r="47">
      <x:c r="A47" s="32" t="str">
        <x:v>TS-T20</x:v>
      </x:c>
      <x:c r="B47" s="32" t="str">
        <x:v>Time Status</x:v>
      </x:c>
      <x:c r="C47" s="32" t="str">
        <x:v>Whole-summary trigger</x:v>
      </x:c>
      <x:c r="D47" s="32" t="str">
        <x:v>PI(+Dispatch)+clock con has_detail</x:v>
      </x:c>
      <x:c r="E47" s="32" t="str">
        <x:v>Validar markup completo y luego click en TS-006</x:v>
      </x:c>
      <x:c r="F47" s="32" t="str">
        <x:v>Un único trigger corresponde al Summary completo; la Surface asociada vive en el mismo container local</x:v>
      </x:c>
      <x:c r="G47" s="32" t="str">
        <x:v>DOM/Visual/Functional</x:v>
      </x:c>
      <x:c r="H47" s="32" t="str">
        <x:v>P0</x:v>
      </x:c>
      <x:c r="I47" s="32" t="str">
        <x:v>PENDIENTE</x:v>
      </x:c>
      <x:c r="J47" s="32" t="str">
        <x:v>TS-005/TS-006</x:v>
      </x:c>
    </x:row>
    <x:row r="48">
      <x:c r="A48" s="32" t="str">
        <x:v>TS-T21</x:v>
      </x:c>
      <x:c r="B48" s="32" t="str">
        <x:v>Time Status</x:v>
      </x:c>
      <x:c r="C48" s="32" t="str">
        <x:v>Data error propagation scope</x:v>
      </x:c>
      <x:c r="D48" s="32" t="str">
        <x:v>Fuente inválida con dependency mapping</x:v>
      </x:c>
      <x:c r="E48" s="32" t="str">
        <x:v>Resolve affected components</x:v>
      </x:c>
      <x:c r="F48" s="32" t="str">
        <x:v>Sólo scope afectado recibe DATA_ERROR; si dependency es global, todos los componentes</x:v>
      </x:c>
      <x:c r="G48" s="32" t="str">
        <x:v>Contract/Integration</x:v>
      </x:c>
      <x:c r="H48" s="32" t="str">
        <x:v>P0</x:v>
      </x:c>
      <x:c r="I48" s="32" t="str">
        <x:v>PENDIENTE</x:v>
      </x:c>
      <x:c r="J48" s="32" t="str">
        <x:v>CS-004</x:v>
      </x:c>
    </x:row>
    <x:row r="49">
      <x:c r="A49" s="32" t="str">
        <x:v>TS2-T01</x:v>
      </x:c>
      <x:c r="B49" s="32" t="str">
        <x:v>Time Status</x:v>
      </x:c>
      <x:c r="C49" s="32" t="str">
        <x:v>Two-stage policy validation</x:v>
      </x:c>
      <x:c r="D49" s="32" t="str">
        <x:v>warning/stale config</x:v>
      </x:c>
      <x:c r="E49" s="32" t="str">
        <x:v>Crear policies válidas e inválidas</x:v>
      </x:c>
      <x:c r="F49" s="32" t="str">
        <x:v>warning&gt;=0 y stale&gt;warning; invalid config rechazada</x:v>
      </x:c>
      <x:c r="G49" s="32" t="str">
        <x:v>Unit</x:v>
      </x:c>
      <x:c r="H49" s="32" t="str">
        <x:v>P0</x:v>
      </x:c>
      <x:c r="I49" s="32" t="str">
        <x:v>CERRADO</x:v>
      </x:c>
      <x:c r="J49" s="32" t="str">
        <x:v>PASS autoritativo TS-002 corrective 0.1.1.</x:v>
      </x:c>
    </x:row>
    <x:row r="50">
      <x:c r="A50" s="32" t="str">
        <x:v>TS2-T02</x:v>
      </x:c>
      <x:c r="B50" s="32" t="str">
        <x:v>Time Status</x:v>
      </x:c>
      <x:c r="C50" s="32" t="str">
        <x:v>ADA PI required</x:v>
      </x:c>
      <x:c r="D50" s="32" t="str">
        <x:v>PI/Dispatch states</x:v>
      </x:c>
      <x:c r="E50" s="32" t="str">
        <x:v>Crear summary PI-only y PI+Dispatch; intentar non-PI primary</x:v>
      </x:c>
      <x:c r="F50" s="32" t="str">
        <x:v>PI requerido; Dispatch opcional; keys ADA estables</x:v>
      </x:c>
      <x:c r="G50" s="32" t="str">
        <x:v>Unit</x:v>
      </x:c>
      <x:c r="H50" s="32" t="str">
        <x:v>P0</x:v>
      </x:c>
      <x:c r="I50" s="32" t="str">
        <x:v>CERRADO</x:v>
      </x:c>
      <x:c r="J50" s="32" t="str">
        <x:v>PASS autoritativo TS-002 corrective 0.1.1.</x:v>
      </x:c>
    </x:row>
    <x:row r="51">
      <x:c r="A51" s="32" t="str">
        <x:v>TS2-T03</x:v>
      </x:c>
      <x:c r="B51" s="32" t="str">
        <x:v>Time Status</x:v>
      </x:c>
      <x:c r="C51" s="32" t="str">
        <x:v>Hard stale AND aggregation</x:v>
      </x:c>
      <x:c r="D51" s="32" t="str">
        <x:v>PI-only y PI+Dispatch</x:v>
      </x:c>
      <x:c r="E51" s="32" t="str">
        <x:v>Combinar FRESH/HARD_STALE</x:v>
      </x:c>
      <x:c r="F51" s="32" t="str">
        <x:v>PI-only hard =&gt; content_stale; PI+Dispatch exige ambas hard</x:v>
      </x:c>
      <x:c r="G51" s="32" t="str">
        <x:v>Unit</x:v>
      </x:c>
      <x:c r="H51" s="32" t="str">
        <x:v>P0</x:v>
      </x:c>
      <x:c r="I51" s="32" t="str">
        <x:v>CERRADO</x:v>
      </x:c>
      <x:c r="J51" s="32" t="str">
        <x:v>PASS autoritativo TS-002 corrective 0.1.1.</x:v>
      </x:c>
    </x:row>
    <x:row r="52">
      <x:c r="A52" s="32" t="str">
        <x:v>TS2-T04</x:v>
      </x:c>
      <x:c r="B52" s="32" t="str">
        <x:v>Time Status</x:v>
      </x:c>
      <x:c r="C52" s="32" t="str">
        <x:v>Data error separation</x:v>
      </x:c>
      <x:c r="D52" s="32" t="str">
        <x:v>PI DATA_ERROR + Dispatch hard</x:v>
      </x:c>
      <x:c r="E52" s="32" t="str">
        <x:v>Resolver summary</x:v>
      </x:c>
      <x:c r="F52" s="32" t="str">
        <x:v>content_stale false; data_error_source_keys contiene PI</x:v>
      </x:c>
      <x:c r="G52" s="32" t="str">
        <x:v>Unit</x:v>
      </x:c>
      <x:c r="H52" s="32" t="str">
        <x:v>P0</x:v>
      </x:c>
      <x:c r="I52" s="32" t="str">
        <x:v>CERRADO</x:v>
      </x:c>
      <x:c r="J52" s="32" t="str">
        <x:v>PASS autoritativo TS-002 corrective 0.1.1.</x:v>
      </x:c>
    </x:row>
    <x:row r="53">
      <x:c r="A53" s="32" t="str">
        <x:v>TS2-T05</x:v>
      </x:c>
      <x:c r="B53" s="32" t="str">
        <x:v>Time Status</x:v>
      </x:c>
      <x:c r="C53" s="32" t="str">
        <x:v>Whole summary detail trigger</x:v>
      </x:c>
      <x:c r="D53" s="32" t="str">
        <x:v>has_detail true</x:v>
      </x:c>
      <x:c r="E53" s="32" t="str">
        <x:v>Render DOM</x:v>
      </x:c>
      <x:c r="F53" s="32" t="str">
        <x:v>Sólo root lleva data-ada-time-status-detail-trigger; no triggers por fuente</x:v>
      </x:c>
      <x:c r="G53" s="32" t="str">
        <x:v>DOM</x:v>
      </x:c>
      <x:c r="H53" s="32" t="str">
        <x:v>P0</x:v>
      </x:c>
      <x:c r="I53" s="32" t="str">
        <x:v>CERRADO</x:v>
      </x:c>
      <x:c r="J53" s="32" t="str">
        <x:v>PASS autoritativo TS-002 corrective 0.1.1.</x:v>
      </x:c>
    </x:row>
    <x:row r="54">
      <x:c r="A54" s="32" t="str">
        <x:v>TS2-T06</x:v>
      </x:c>
      <x:c r="B54" s="32" t="str">
        <x:v>Time Status</x:v>
      </x:c>
      <x:c r="C54" s="32" t="str">
        <x:v>Stable metadata contract</x:v>
      </x:c>
      <x:c r="D54" s="32" t="str">
        <x:v>PI 200/300, Dispatch 400/600</x:v>
      </x:c>
      <x:c r="E54" s="32" t="str">
        <x:v>Render DOM</x:v>
      </x:c>
      <x:c r="F54" s="32" t="str">
        <x:v>timestamp UTC + warning/stale + condition quedan expuestos en data-* estables</x:v>
      </x:c>
      <x:c r="G54" s="32" t="str">
        <x:v>DOM</x:v>
      </x:c>
      <x:c r="H54" s="32" t="str">
        <x:v>P0</x:v>
      </x:c>
      <x:c r="I54" s="32" t="str">
        <x:v>CERRADO</x:v>
      </x:c>
      <x:c r="J54" s="32" t="str">
        <x:v>PASS autoritativo TS-002 corrective 0.1.1.</x:v>
      </x:c>
    </x:row>
    <x:row r="55">
      <x:c r="A55" s="32" t="str">
        <x:v>TS2-T07</x:v>
      </x:c>
      <x:c r="B55" s="32" t="str">
        <x:v>Time Status</x:v>
      </x:c>
      <x:c r="C55" s="32" t="str">
        <x:v>Clock marker contract</x:v>
      </x:c>
      <x:c r="D55" s="32" t="str">
        <x:v>summary render</x:v>
      </x:c>
      <x:c r="E55" s="32" t="str">
        <x:v>Inspeccionar DOM</x:v>
      </x:c>
      <x:c r="F55" s="32" t="str">
        <x:v>Existe data-ada-time-status-clock para TS-003; sin JS incremental todavía</x:v>
      </x:c>
      <x:c r="G55" s="32" t="str">
        <x:v>DOM</x:v>
      </x:c>
      <x:c r="H55" s="32" t="str">
        <x:v>P0</x:v>
      </x:c>
      <x:c r="I55" s="32" t="str">
        <x:v>CERRADO</x:v>
      </x:c>
      <x:c r="J55" s="32" t="str">
        <x:v>PASS autoritativo TS-002 corrective 0.1.1.</x:v>
      </x:c>
    </x:row>
    <x:row r="56">
      <x:c r="A56" s="32" t="str">
        <x:v>TS3-T01</x:v>
      </x:c>
      <x:c r="B56" s="32" t="str">
        <x:v>Time Status</x:v>
      </x:c>
      <x:c r="C56" s="32" t="str">
        <x:v>Real clock source</x:v>
      </x:c>
      <x:c r="D56" s="32" t="str">
        <x:v>Clock marker mounted</x:v>
      </x:c>
      <x:c r="E56" s="32" t="str">
        <x:v>Ejecutar clock controller</x:v>
      </x:c>
      <x:c r="F56" s="32" t="str">
        <x:v>Cada tick usa Date.now()/new Date(epochMs); no existe contador incremental ni setInterval</x:v>
      </x:c>
      <x:c r="G56" s="32" t="str">
        <x:v>JS/Contract</x:v>
      </x:c>
      <x:c r="H56" s="32" t="str">
        <x:v>P0</x:v>
      </x:c>
      <x:c r="I56" s="32" t="str">
        <x:v>CERRADO</x:v>
      </x:c>
      <x:c r="J56" s="32" t="str">
        <x:v>PASS autoritativo TS-003 confirmado por usuario.</x:v>
      </x:c>
    </x:row>
    <x:row r="57">
      <x:c r="A57" s="32" t="str">
        <x:v>TS3-T02</x:v>
      </x:c>
      <x:c r="B57" s="32" t="str">
        <x:v>Time Status</x:v>
      </x:c>
      <x:c r="C57" s="32" t="str">
        <x:v>Second-boundary scheduling</x:v>
      </x:c>
      <x:c r="D57" s="32" t="str">
        <x:v>Clock activo</x:v>
      </x:c>
      <x:c r="E57" s="32" t="str">
        <x:v>Inspeccionar scheduler</x:v>
      </x:c>
      <x:c r="F57" s="32" t="str">
        <x:v>setTimeout recursivo calcula delay desde 1000 - (nowMs % 1000) y corrige drift en cada tick</x:v>
      </x:c>
      <x:c r="G57" s="32" t="str">
        <x:v>JS/Contract</x:v>
      </x:c>
      <x:c r="H57" s="32" t="str">
        <x:v>P0</x:v>
      </x:c>
      <x:c r="I57" s="32" t="str">
        <x:v>CERRADO</x:v>
      </x:c>
      <x:c r="J57" s="32" t="str">
        <x:v>PASS autoritativo TS-003 confirmado por usuario.</x:v>
      </x:c>
    </x:row>
    <x:row r="58">
      <x:c r="A58" s="32" t="str">
        <x:v>TS3-T03</x:v>
      </x:c>
      <x:c r="B58" s="32" t="str">
        <x:v>Time Status</x:v>
      </x:c>
      <x:c r="C58" s="32" t="str">
        <x:v>Resume resynchronization</x:v>
      </x:c>
      <x:c r="D58" s="32" t="str">
        <x:v>Página hidden/suspendida</x:v>
      </x:c>
      <x:c r="E58" s="32" t="str">
        <x:v>Volver visible / focus / pageshow</x:v>
      </x:c>
      <x:c r="F58" s="32" t="str">
        <x:v>El clock consulta inmediatamente hora real y reprograma el siguiente tick</x:v>
      </x:c>
      <x:c r="G58" s="32" t="str">
        <x:v>JS/Contract</x:v>
      </x:c>
      <x:c r="H58" s="32" t="str">
        <x:v>P0</x:v>
      </x:c>
      <x:c r="I58" s="32" t="str">
        <x:v>CERRADO</x:v>
      </x:c>
      <x:c r="J58" s="32" t="str">
        <x:v>PASS autoritativo TS-003 confirmado por usuario.</x:v>
      </x:c>
    </x:row>
    <x:row r="59">
      <x:c r="A59" s="32" t="str">
        <x:v>TS3-T04</x:v>
      </x:c>
      <x:c r="B59" s="32" t="str">
        <x:v>Time Status</x:v>
      </x:c>
      <x:c r="C59" s="32" t="str">
        <x:v>Runtime timezone</x:v>
      </x:c>
      <x:c r="D59" s="32" t="str">
        <x:v>Module default/custom timezone</x:v>
      </x:c>
      <x:c r="E59" s="32" t="str">
        <x:v>Crear módulo con default y America/Punta_Arenas</x:v>
      </x:c>
      <x:c r="F59" s="32" t="str">
        <x:v>Runtime config publica America/Santiago por defecto y acepta zona configurada válida</x:v>
      </x:c>
      <x:c r="G59" s="32" t="str">
        <x:v>Unit/Contract</x:v>
      </x:c>
      <x:c r="H59" s="32" t="str">
        <x:v>P0</x:v>
      </x:c>
      <x:c r="I59" s="32" t="str">
        <x:v>CERRADO</x:v>
      </x:c>
      <x:c r="J59" s="32" t="str">
        <x:v>PASS autoritativo TS-003 confirmado por usuario.</x:v>
      </x:c>
    </x:row>
    <x:row r="60">
      <x:c r="A60" s="32" t="str">
        <x:v>TS3-T05</x:v>
      </x:c>
      <x:c r="B60" s="32" t="str">
        <x:v>Time Status</x:v>
      </x:c>
      <x:c r="C60" s="32" t="str">
        <x:v>Rerender-safe clock marker</x:v>
      </x:c>
      <x:c r="D60" s="32" t="str">
        <x:v>Dash reemplaza Time Status DOM</x:v>
      </x:c>
      <x:c r="E60" s="32" t="str">
        <x:v>Siguiente tick</x:v>
      </x:c>
      <x:c r="F60" s="32" t="str">
        <x:v>Controller vuelve a querySelectorAll del marker actual y actualiza el nodo nuevo sin referencia stale</x:v>
      </x:c>
      <x:c r="G60" s="32" t="str">
        <x:v>JS/Resilience</x:v>
      </x:c>
      <x:c r="H60" s="32" t="str">
        <x:v>P0</x:v>
      </x:c>
      <x:c r="I60" s="32" t="str">
        <x:v>CERRADO</x:v>
      </x:c>
      <x:c r="J60" s="32" t="str">
        <x:v>PASS autoritativo TS-003 confirmado por usuario.</x:v>
      </x:c>
    </x:row>
    <x:row r="61">
      <x:c r="A61" s="32" t="str">
        <x:v>TS4-T01</x:v>
      </x:c>
      <x:c r="B61" s="32" t="str">
        <x:v>Time Status</x:v>
      </x:c>
      <x:c r="C61" s="32" t="str">
        <x:v>Exact tool scope</x:v>
      </x:c>
      <x:c r="D61" s="32" t="str">
        <x:v>Source contiene Tool A</x:v>
      </x:c>
      <x:c r="E61" s="32" t="str">
        <x:v>load_snapshot(tool_key=A)</x:v>
      </x:c>
      <x:c r="F61" s="32" t="str">
        <x:v>Provider recibe A y snapshot.tool_key==A</x:v>
      </x:c>
      <x:c r="G61" s="32" t="str">
        <x:v>Unit/Contract</x:v>
      </x:c>
      <x:c r="H61" s="32" t="str">
        <x:v>P0</x:v>
      </x:c>
      <x:c r="I61" s="32" t="str">
        <x:v>CERRADO</x:v>
      </x:c>
      <x:c r="J61" s="32" t="str">
        <x:v>PASS autoritativo TS-004 confirmado por usuario.</x:v>
      </x:c>
    </x:row>
    <x:row r="62">
      <x:c r="A62" s="32" t="str">
        <x:v>TS4-T02</x:v>
      </x:c>
      <x:c r="B62" s="32" t="str">
        <x:v>Time Status</x:v>
      </x:c>
      <x:c r="C62" s="32" t="str">
        <x:v>Cross-tool rejection</x:v>
      </x:c>
      <x:c r="D62" s="32" t="str">
        <x:v>Provider solicitado con B devuelve documento A</x:v>
      </x:c>
      <x:c r="E62" s="32" t="str">
        <x:v>load_snapshot(tool_key=B)</x:v>
      </x:c>
      <x:c r="F62" s="32" t="str">
        <x:v>TimeStatusToolScopeError; nunca se consume snapshot A como B</x:v>
      </x:c>
      <x:c r="G62" s="32" t="str">
        <x:v>Unit/Security</x:v>
      </x:c>
      <x:c r="H62" s="32" t="str">
        <x:v>P0</x:v>
      </x:c>
      <x:c r="I62" s="32" t="str">
        <x:v>CERRADO</x:v>
      </x:c>
      <x:c r="J62" s="32" t="str">
        <x:v>PASS autoritativo TS-004 confirmado por usuario.</x:v>
      </x:c>
    </x:row>
    <x:row r="63">
      <x:c r="A63" s="32" t="str">
        <x:v>TS4-T03</x:v>
      </x:c>
      <x:c r="B63" s="32" t="str">
        <x:v>Time Status</x:v>
      </x:c>
      <x:c r="C63" s="32" t="str">
        <x:v>No cross-tool fallback</x:v>
      </x:c>
      <x:c r="D63" s="32" t="str">
        <x:v>Sólo existe documento A</x:v>
      </x:c>
      <x:c r="E63" s="32" t="str">
        <x:v>load_snapshot(tool_key=B)</x:v>
      </x:c>
      <x:c r="F63" s="32" t="str">
        <x:v>None; adapter no busca ni reutiliza A</x:v>
      </x:c>
      <x:c r="G63" s="32" t="str">
        <x:v>Unit/Isolation</x:v>
      </x:c>
      <x:c r="H63" s="32" t="str">
        <x:v>P0</x:v>
      </x:c>
      <x:c r="I63" s="32" t="str">
        <x:v>CERRADO</x:v>
      </x:c>
      <x:c r="J63" s="32" t="str">
        <x:v>PASS autoritativo TS-004 confirmado por usuario.</x:v>
      </x:c>
    </x:row>
    <x:row r="64">
      <x:c r="A64" s="32" t="str">
        <x:v>TS4-T04</x:v>
      </x:c>
      <x:c r="B64" s="32" t="str">
        <x:v>Time Status</x:v>
      </x:c>
      <x:c r="C64" s="32" t="str">
        <x:v>Stateless reload</x:v>
      </x:c>
      <x:c r="D64" s="32" t="str">
        <x:v>Documento A cambia entre cargas</x:v>
      </x:c>
      <x:c r="E64" s="32" t="str">
        <x:v>Cargar A dos veces</x:v>
      </x:c>
      <x:c r="F64" s="32" t="str">
        <x:v>Segunda carga refleja source actual; no cache global</x:v>
      </x:c>
      <x:c r="G64" s="32" t="str">
        <x:v>Unit/Isolation</x:v>
      </x:c>
      <x:c r="H64" s="32" t="str">
        <x:v>P0</x:v>
      </x:c>
      <x:c r="I64" s="32" t="str">
        <x:v>CERRADO</x:v>
      </x:c>
      <x:c r="J64" s="32" t="str">
        <x:v>PASS autoritativo TS-004 confirmado por usuario.</x:v>
      </x:c>
    </x:row>
    <x:row r="65">
      <x:c r="A65" s="32" t="str">
        <x:v>TS4-T05</x:v>
      </x:c>
      <x:c r="B65" s="32" t="str">
        <x:v>Time Status</x:v>
      </x:c>
      <x:c r="C65" s="32" t="str">
        <x:v>Timestamp normalization</x:v>
      </x:c>
      <x:c r="D65" s="32" t="str">
        <x:v>Offsets/Z/datetime aware</x:v>
      </x:c>
      <x:c r="E65" s="32" t="str">
        <x:v>Adaptar</x:v>
      </x:c>
      <x:c r="F65" s="32" t="str">
        <x:v>Todos los timestamps válidos quedan UTC</x:v>
      </x:c>
      <x:c r="G65" s="32" t="str">
        <x:v>Unit/Contract</x:v>
      </x:c>
      <x:c r="H65" s="32" t="str">
        <x:v>P0</x:v>
      </x:c>
      <x:c r="I65" s="32" t="str">
        <x:v>CERRADO</x:v>
      </x:c>
      <x:c r="J65" s="32" t="str">
        <x:v>PASS autoritativo TS-004 confirmado por usuario.</x:v>
      </x:c>
    </x:row>
    <x:row r="66">
      <x:c r="A66" s="32" t="str">
        <x:v>TS4-T06</x:v>
      </x:c>
      <x:c r="B66" s="32" t="str">
        <x:v>Time Status</x:v>
      </x:c>
      <x:c r="C66" s="32" t="str">
        <x:v>Missing/invalid timestamp quality</x:v>
      </x:c>
      <x:c r="D66" s="32" t="str">
        <x:v>None, malformed, naive</x:v>
      </x:c>
      <x:c r="E66" s="32" t="str">
        <x:v>Adaptar</x:v>
      </x:c>
      <x:c r="F66" s="32" t="str">
        <x:v>MISSING/INVALID preservados por fuente; snapshot estructural sigue utilizable</x:v>
      </x:c>
      <x:c r="G66" s="32" t="str">
        <x:v>Unit/Contract</x:v>
      </x:c>
      <x:c r="H66" s="32" t="str">
        <x:v>P0</x:v>
      </x:c>
      <x:c r="I66" s="32" t="str">
        <x:v>CERRADO</x:v>
      </x:c>
      <x:c r="J66" s="32" t="str">
        <x:v>PASS autoritativo TS-004 confirmado por usuario.</x:v>
      </x:c>
    </x:row>
    <x:row r="67">
      <x:c r="A67" s="32" t="str">
        <x:v>TS4-T07</x:v>
      </x:c>
      <x:c r="B67" s="32" t="str">
        <x:v>Time Status</x:v>
      </x:c>
      <x:c r="C67" s="32" t="str">
        <x:v>Extra consumed/detail sources</x:v>
      </x:c>
      <x:c r="D67" s="32" t="str">
        <x:v>PI/Dispatch + blockgrade</x:v>
      </x:c>
      <x:c r="E67" s="32" t="str">
        <x:v>Adaptar</x:v>
      </x:c>
      <x:c r="F67" s="32" t="str">
        <x:v>Fuentes adicionales se preservan sin hardcode UI</x:v>
      </x:c>
      <x:c r="G67" s="32" t="str">
        <x:v>Unit/Contract</x:v>
      </x:c>
      <x:c r="H67" s="32" t="str">
        <x:v>P0</x:v>
      </x:c>
      <x:c r="I67" s="32" t="str">
        <x:v>CERRADO</x:v>
      </x:c>
      <x:c r="J67" s="32" t="str">
        <x:v>PASS autoritativo TS-004 confirmado por usuario.</x:v>
      </x:c>
    </x:row>
    <x:row r="68">
      <x:c r="A68" s="32" t="str">
        <x:v>TS4-T08</x:v>
      </x:c>
      <x:c r="B68" s="32" t="str">
        <x:v>Time Status</x:v>
      </x:c>
      <x:c r="C68" s="32" t="str">
        <x:v>Future timestamp boundary</x:v>
      </x:c>
      <x:c r="D68" s="32" t="str">
        <x:v>Timestamp futuro parseable</x:v>
      </x:c>
      <x:c r="E68" s="32" t="str">
        <x:v>Adaptar</x:v>
      </x:c>
      <x:c r="F68" s="32" t="str">
        <x:v>VALID estructural; future-skew policy queda para TS-009</x:v>
      </x:c>
      <x:c r="G68" s="32" t="str">
        <x:v>Unit/Boundary</x:v>
      </x:c>
      <x:c r="H68" s="32" t="str">
        <x:v>P1</x:v>
      </x:c>
      <x:c r="I68" s="32" t="str">
        <x:v>CERRADO</x:v>
      </x:c>
      <x:c r="J68" s="32" t="str">
        <x:v>PASS autoritativo TS-004 confirmado por usuario.</x:v>
      </x:c>
    </x:row>
    <x:row r="69">
      <x:c r="A69" s="30" t="str">
        <x:v>TS5-T01</x:v>
      </x:c>
      <x:c r="B69" s="30" t="str">
        <x:v>Time Status</x:v>
      </x:c>
      <x:c r="C69" s="30" t="str">
        <x:v>Local anchored surface</x:v>
      </x:c>
      <x:c r="D69" s="30" t="str">
        <x:v>has_detail=True + detail component</x:v>
      </x:c>
      <x:c r="E69" s="30" t="str">
        <x:v>Build composed Time Status</x:v>
      </x:c>
      <x:c r="F69" s="30" t="str">
        <x:v>Summary y Surface son siblings bajo data-ada-time-status-container; Surface inicia hidden/aria-hidden</x:v>
      </x:c>
      <x:c r="G69" s="30" t="str">
        <x:v>Unit/DOM</x:v>
      </x:c>
      <x:c r="H69" s="30" t="str">
        <x:v>P0</x:v>
      </x:c>
      <x:c r="I69" s="30" t="str">
        <x:v>CERRADO</x:v>
      </x:c>
      <x:c r="J69" s="30" t="str">
        <x:v>PASS autoritativo TS-005 confirmado por usuario.</x:v>
      </x:c>
    </x:row>
    <x:row r="70">
      <x:c r="A70" s="30" t="str">
        <x:v>TS5-T02</x:v>
      </x:c>
      <x:c r="B70" s="30" t="str">
        <x:v>Time Status</x:v>
      </x:c>
      <x:c r="C70" s="30" t="str">
        <x:v>No-detail composition</x:v>
      </x:c>
      <x:c r="D70" s="30" t="str">
        <x:v>has_detail=False</x:v>
      </x:c>
      <x:c r="E70" s="30" t="str">
        <x:v>Build composed Time Status</x:v>
      </x:c>
      <x:c r="F70" s="30" t="str">
        <x:v>No existe Surface ni trigger detail en el Summary</x:v>
      </x:c>
      <x:c r="G70" s="30" t="str">
        <x:v>Unit/DOM</x:v>
      </x:c>
      <x:c r="H70" s="30" t="str">
        <x:v>P0</x:v>
      </x:c>
      <x:c r="I70" s="30" t="str">
        <x:v>CERRADO</x:v>
      </x:c>
      <x:c r="J70" s="30" t="str">
        <x:v>PASS autoritativo TS-005 confirmado por usuario.</x:v>
      </x:c>
    </x:row>
    <x:row r="71">
      <x:c r="A71" s="30" t="str">
        <x:v>TS5-T03</x:v>
      </x:c>
      <x:c r="B71" s="30" t="str">
        <x:v>Time Status</x:v>
      </x:c>
      <x:c r="C71" s="30" t="str">
        <x:v>Detail contract guard</x:v>
      </x:c>
      <x:c r="D71" s="30" t="str">
        <x:v>has_detail=False + injected detail</x:v>
      </x:c>
      <x:c r="E71" s="30" t="str">
        <x:v>Build composed Time Status</x:v>
      </x:c>
      <x:c r="F71" s="30" t="str">
        <x:v>Se rechaza con TimeStatusDefinitionError en vez de dejar contenido inaccesible</x:v>
      </x:c>
      <x:c r="G71" s="30" t="str">
        <x:v>Unit/Contract</x:v>
      </x:c>
      <x:c r="H71" s="30" t="str">
        <x:v>P0</x:v>
      </x:c>
      <x:c r="I71" s="30" t="str">
        <x:v>CERRADO</x:v>
      </x:c>
      <x:c r="J71" s="30" t="str">
        <x:v>PASS autoritativo TS-005 confirmado por usuario.</x:v>
      </x:c>
    </x:row>
    <x:row r="72">
      <x:c r="A72" s="30" t="str">
        <x:v>TS5-T04</x:v>
      </x:c>
      <x:c r="B72" s="30" t="str">
        <x:v>Time Status</x:v>
      </x:c>
      <x:c r="C72" s="30" t="str">
        <x:v>Non-modal no-reflow CSS</x:v>
      </x:c>
      <x:c r="D72" s="30" t="str">
        <x:v>Time Status container + Surface</x:v>
      </x:c>
      <x:c r="E72" s="30" t="str">
        <x:v>Inspect CSS contract</x:v>
      </x:c>
      <x:c r="F72" s="30" t="str">
        <x:v>Container relative; Surface absolute debajo; sin position fixed, inset:0 ni backdrop</x:v>
      </x:c>
      <x:c r="G72" s="30" t="str">
        <x:v>CSS Contract</x:v>
      </x:c>
      <x:c r="H72" s="30" t="str">
        <x:v>P0</x:v>
      </x:c>
      <x:c r="I72" s="30" t="str">
        <x:v>CERRADO</x:v>
      </x:c>
      <x:c r="J72" s="30" t="str">
        <x:v>PASS autoritativo TS-005 confirmado por usuario.</x:v>
      </x:c>
    </x:row>
    <x:row r="73">
      <x:c r="A73" s="30" t="str">
        <x:v>TS6-T01</x:v>
      </x:c>
      <x:c r="B73" s="30" t="str">
        <x:v>Time Status</x:v>
      </x:c>
      <x:c r="C73" s="30" t="str">
        <x:v>Local toggle</x:v>
      </x:c>
      <x:c r="D73" s="30" t="str">
        <x:v>has_detail=True + Surface mounted</x:v>
      </x:c>
      <x:c r="E73" s="30" t="str">
        <x:v>Click/second click</x:v>
      </x:c>
      <x:c r="F73" s="30" t="str">
        <x:v>Summary abre/cierra sólo su Surface local y sincroniza data-open, aria-expanded, hidden y aria-hidden</x:v>
      </x:c>
      <x:c r="G73" s="30" t="str">
        <x:v>JS/DOM</x:v>
      </x:c>
      <x:c r="H73" s="30" t="str">
        <x:v>P0</x:v>
      </x:c>
      <x:c r="I73" s="30" t="str">
        <x:v>CERRADO</x:v>
      </x:c>
      <x:c r="J73" s="30" t="str">
        <x:v>PASS autoritativo TS-006 confirmado por usuario.</x:v>
      </x:c>
    </x:row>
    <x:row r="74">
      <x:c r="A74" s="30" t="str">
        <x:v>TS6-T02</x:v>
      </x:c>
      <x:c r="B74" s="30" t="str">
        <x:v>Time Status</x:v>
      </x:c>
      <x:c r="C74" s="30" t="str">
        <x:v>Close interactions</x:v>
      </x:c>
      <x:c r="D74" s="30" t="str">
        <x:v>Popover abierto</x:v>
      </x:c>
      <x:c r="E74" s="30" t="str">
        <x:v>Outside click / Escape</x:v>
      </x:c>
      <x:c r="F74" s="30" t="str">
        <x:v>Click fuera y Escape cierran; click dentro del detail no cierra</x:v>
      </x:c>
      <x:c r="G74" s="30" t="str">
        <x:v>Functional/Accessibility</x:v>
      </x:c>
      <x:c r="H74" s="30" t="str">
        <x:v>P0</x:v>
      </x:c>
      <x:c r="I74" s="30" t="str">
        <x:v>CERRADO</x:v>
      </x:c>
      <x:c r="J74" s="30" t="str">
        <x:v>PASS autoritativo TS-006 confirmado por usuario.</x:v>
      </x:c>
    </x:row>
    <x:row r="75">
      <x:c r="A75" s="30" t="str">
        <x:v>TS6-T03</x:v>
      </x:c>
      <x:c r="B75" s="30" t="str">
        <x:v>Time Status</x:v>
      </x:c>
      <x:c r="C75" s="30" t="str">
        <x:v>Keyboard trigger</x:v>
      </x:c>
      <x:c r="D75" s="30" t="str">
        <x:v>Summary con detail</x:v>
      </x:c>
      <x:c r="E75" s="30" t="str">
        <x:v>Enter / Space</x:v>
      </x:c>
      <x:c r="F75" s="30" t="str">
        <x:v>role=button + tabIndex=0; Enter/Space alternan y preventDefault evita scroll de Space</x:v>
      </x:c>
      <x:c r="G75" s="30" t="str">
        <x:v>Accessibility/JS</x:v>
      </x:c>
      <x:c r="H75" s="30" t="str">
        <x:v>P1</x:v>
      </x:c>
      <x:c r="I75" s="30" t="str">
        <x:v>CERRADO</x:v>
      </x:c>
      <x:c r="J75" s="30" t="str">
        <x:v>PASS autoritativo TS-006 confirmado por usuario.</x:v>
      </x:c>
    </x:row>
    <x:row r="76">
      <x:c r="A76" s="30" t="str">
        <x:v>TS6-T04</x:v>
      </x:c>
      <x:c r="B76" s="30" t="str">
        <x:v>Time Status</x:v>
      </x:c>
      <x:c r="C76" s="30" t="str">
        <x:v>Local DOM isolation</x:v>
      </x:c>
      <x:c r="D76" s="30" t="str">
        <x:v>Dos containers A/B</x:v>
      </x:c>
      <x:c r="E76" s="30" t="str">
        <x:v>Abrir A y luego B</x:v>
      </x:c>
      <x:c r="F76" s="30" t="str">
        <x:v>El controller resuelve closest container y cierra sólo otras Surface; sin getElementById/storage/Dash callback</x:v>
      </x:c>
      <x:c r="G76" s="30" t="str">
        <x:v>JS/Isolation</x:v>
      </x:c>
      <x:c r="H76" s="30" t="str">
        <x:v>P0</x:v>
      </x:c>
      <x:c r="I76" s="30" t="str">
        <x:v>CERRADO</x:v>
      </x:c>
      <x:c r="J76" s="30" t="str">
        <x:v>PASS autoritativo TS-006 confirmado por usuario.</x:v>
      </x:c>
    </x:row>
    <x:row r="77">
      <x:c r="A77" s="30" t="str">
        <x:v>TS7-T01</x:v>
      </x:c>
      <x:c r="B77" s="30" t="str">
        <x:v>Time Status</x:v>
      </x:c>
      <x:c r="C77" s="30" t="str">
        <x:v>Stable rerender identity</x:v>
      </x:c>
      <x:c r="D77" s="30" t="str">
        <x:v>Tool process render inicial + nuevos renders</x:v>
      </x:c>
      <x:c r="E77" s="30" t="str">
        <x:v>Rerender summary/detail</x:v>
      </x:c>
      <x:c r="F77" s="30" t="str">
        <x:v>Todos los renders publican el mismo data-ada-time-status-tool-key; no se crea instance/application key paralelo</x:v>
      </x:c>
      <x:c r="G77" s="30" t="str">
        <x:v>Unit/Contract</x:v>
      </x:c>
      <x:c r="H77" s="30" t="str">
        <x:v>P0</x:v>
      </x:c>
      <x:c r="I77" s="30" t="str">
        <x:v>CERRADO</x:v>
      </x:c>
      <x:c r="J77" s="30" t="str">
        <x:v>PASS autoritativo TS-007 corrective 0.1.1 confirmado por usuario.</x:v>
      </x:c>
    </x:row>
    <x:row r="78">
      <x:c r="A78" s="30" t="str">
        <x:v>TS7-T02</x:v>
      </x:c>
      <x:c r="B78" s="30" t="str">
        <x:v>Time Status</x:v>
      </x:c>
      <x:c r="C78" s="30" t="str">
        <x:v>Open survives replacement</x:v>
      </x:c>
      <x:c r="D78" s="30" t="str">
        <x:v>process abierto</x:v>
      </x:c>
      <x:c r="E78" s="30" t="str">
        <x:v>Reemplazar container por nuevo DOM process</x:v>
      </x:c>
      <x:c r="F78" s="30" t="str">
        <x:v>El nodo nuevo se re-resuelve y queda abierto con el contenido actualizado</x:v>
      </x:c>
      <x:c r="G78" s="30" t="str">
        <x:v>JS/Resilience</x:v>
      </x:c>
      <x:c r="H78" s="30" t="str">
        <x:v>P0</x:v>
      </x:c>
      <x:c r="I78" s="30" t="str">
        <x:v>CERRADO</x:v>
      </x:c>
      <x:c r="J78" s="30" t="str">
        <x:v>PASS autoritativo TS-007 corrective 0.1.1 confirmado por usuario.</x:v>
      </x:c>
    </x:row>
    <x:row r="79">
      <x:c r="A79" s="30" t="str">
        <x:v>TS7-T03</x:v>
      </x:c>
      <x:c r="B79" s="30" t="str">
        <x:v>Time Status</x:v>
      </x:c>
      <x:c r="C79" s="30" t="str">
        <x:v>Cross-tool rerender isolation</x:v>
      </x:c>
      <x:c r="D79" s="30" t="str">
        <x:v>process abierto + integrated_operations cerrado</x:v>
      </x:c>
      <x:c r="E79" s="30" t="str">
        <x:v>Rerender ambas Tools</x:v>
      </x:c>
      <x:c r="F79" s="30" t="str">
        <x:v>process conserva open-state; integrated_operations permanece cerrado y no hereda estado</x:v>
      </x:c>
      <x:c r="G79" s="30" t="str">
        <x:v>JS/Isolation</x:v>
      </x:c>
      <x:c r="H79" s="30" t="str">
        <x:v>P0</x:v>
      </x:c>
      <x:c r="I79" s="30" t="str">
        <x:v>CERRADO</x:v>
      </x:c>
      <x:c r="J79" s="30" t="str">
        <x:v>PASS autoritativo TS-007 corrective 0.1.1 confirmado por usuario.</x:v>
      </x:c>
    </x:row>
    <x:row r="80">
      <x:c r="A80" s="30" t="str">
        <x:v>TS7-T04</x:v>
      </x:c>
      <x:c r="B80" s="30" t="str">
        <x:v>Time Status</x:v>
      </x:c>
      <x:c r="C80" s="30" t="str">
        <x:v>Closed state survives replacement</x:v>
      </x:c>
      <x:c r="D80" s="30" t="str">
        <x:v>Tool cerrada después de Escape/outside</x:v>
      </x:c>
      <x:c r="E80" s="30" t="str">
        <x:v>Rerender</x:v>
      </x:c>
      <x:c r="F80" s="30" t="str">
        <x:v>Un estado cerrado no se reabre por reemplazo posterior</x:v>
      </x:c>
      <x:c r="G80" s="30" t="str">
        <x:v>JS/Resilience</x:v>
      </x:c>
      <x:c r="H80" s="30" t="str">
        <x:v>P0</x:v>
      </x:c>
      <x:c r="I80" s="30" t="str">
        <x:v>CERRADO</x:v>
      </x:c>
      <x:c r="J80" s="30" t="str">
        <x:v>PASS autoritativo TS-007 corrective 0.1.1 confirmado por usuario.</x:v>
      </x:c>
    </x:row>
    <x:row r="81">
      <x:c r="A81" s="30" t="str">
        <x:v>TS7-T05</x:v>
      </x:c>
      <x:c r="B81" s="30" t="str">
        <x:v>Time Status</x:v>
      </x:c>
      <x:c r="C81" s="30" t="str">
        <x:v>Real Interval contract</x:v>
      </x:c>
      <x:c r="D81" s="30" t="str">
        <x:v>dcc.Interval actualiza host.children</x:v>
      </x:c>
      <x:c r="E81" s="30" t="str">
        <x:v>Varios ticks</x:v>
      </x:c>
      <x:c r="F81" s="30" t="str">
        <x:v>Summary/detail se reemplazan y cambian datos manteniendo tool_key; callback no posee open-state cliente</x:v>
      </x:c>
      <x:c r="G81" s="30" t="str">
        <x:v>Functional/JS</x:v>
      </x:c>
      <x:c r="H81" s="30" t="str">
        <x:v>P0</x:v>
      </x:c>
      <x:c r="I81" s="30" t="str">
        <x:v>CERRADO</x:v>
      </x:c>
      <x:c r="J81" s="30" t="str">
        <x:v>PASS autoritativo TS-007 corrective 0.1.1 confirmado por usuario.</x:v>
      </x:c>
    </x:row>
    <x:row r="82">
      <x:c r="A82" t="str">
        <x:v>TS8-T01</x:v>
      </x:c>
      <x:c r="B82" t="str">
        <x:v>Time Status</x:v>
      </x:c>
      <x:c r="C82" t="str">
        <x:v>PI required in detail consumption</x:v>
      </x:c>
      <x:c r="D82" t="str">
        <x:v>Detail sources without PI</x:v>
      </x:c>
      <x:c r="E82" t="str">
        <x:v>Crear TimeStatusDetailState</x:v>
      </x:c>
      <x:c r="F82" t="str">
        <x:v>Contrato rechaza consumo sin PI</x:v>
      </x:c>
      <x:c r="G82" t="str">
        <x:v>Unit/Contract</x:v>
      </x:c>
      <x:c r="H82" t="str">
        <x:v>P0</x:v>
      </x:c>
      <x:c r="I82" t="str">
        <x:v>CERRADO</x:v>
      </x:c>
      <x:c r="J82" t="str">
        <x:v>PASS autoritativo TS-008 confirmado por usuario.</x:v>
      </x:c>
    </x:row>
    <x:row r="83">
      <x:c r="A83" t="str">
        <x:v>TS8-T02</x:v>
      </x:c>
      <x:c r="B83" t="str">
        <x:v>Time Status</x:v>
      </x:c>
      <x:c r="C83" t="str">
        <x:v>Unique consumed source keys</x:v>
      </x:c>
      <x:c r="D83" t="str">
        <x:v>PI duplicado u otra key duplicada</x:v>
      </x:c>
      <x:c r="E83" t="str">
        <x:v>Crear TimeStatusDetailState</x:v>
      </x:c>
      <x:c r="F83" t="str">
        <x:v>Duplicados se rechazan; no existen dos filas con la misma identidad</x:v>
      </x:c>
      <x:c r="G83" t="str">
        <x:v>Unit/Contract</x:v>
      </x:c>
      <x:c r="H83" t="str">
        <x:v>P0</x:v>
      </x:c>
      <x:c r="I83" t="str">
        <x:v>CERRADO</x:v>
      </x:c>
      <x:c r="J83" t="str">
        <x:v>PASS autoritativo TS-008 confirmado por usuario.</x:v>
      </x:c>
    </x:row>
    <x:row r="84">
      <x:c r="A84" t="str">
        <x:v>TS8-T03</x:v>
      </x:c>
      <x:c r="B84" t="str">
        <x:v>Time Status</x:v>
      </x:c>
      <x:c r="C84" t="str">
        <x:v>Canonical detail order</x:v>
      </x:c>
      <x:c r="D84" t="str">
        <x:v>Extras antes de PI/Dispatch en input</x:v>
      </x:c>
      <x:c r="E84" t="str">
        <x:v>Normalizar detail state</x:v>
      </x:c>
      <x:c r="F84" t="str">
        <x:v>Orden visual PI → Dispatch si existe → extras conservando orden relativo</x:v>
      </x:c>
      <x:c r="G84" t="str">
        <x:v>Unit/UI</x:v>
      </x:c>
      <x:c r="H84" t="str">
        <x:v>P0</x:v>
      </x:c>
      <x:c r="I84" t="str">
        <x:v>CERRADO</x:v>
      </x:c>
      <x:c r="J84" t="str">
        <x:v>PASS autoritativo TS-008 confirmado por usuario.</x:v>
      </x:c>
    </x:row>
    <x:row r="85">
      <x:c r="A85" t="str">
        <x:v>TS8-T04</x:v>
      </x:c>
      <x:c r="B85" t="str">
        <x:v>Time Status</x:v>
      </x:c>
      <x:c r="C85" t="str">
        <x:v>Derived control authority</x:v>
      </x:c>
      <x:c r="D85" t="str">
        <x:v>PI + Dispatch + BlockGrade</x:v>
      </x:c>
      <x:c r="E85" t="str">
        <x:v>Resolver roles</x:v>
      </x:c>
      <x:c r="F85" t="str">
        <x:v>PI/Dispatch=control; BlockGrade/otras=informational; caller no puede promover extras</x:v>
      </x:c>
      <x:c r="G85" t="str">
        <x:v>Unit/Architecture</x:v>
      </x:c>
      <x:c r="H85" t="str">
        <x:v>P0</x:v>
      </x:c>
      <x:c r="I85" t="str">
        <x:v>CERRADO</x:v>
      </x:c>
      <x:c r="J85" t="str">
        <x:v>PASS autoritativo TS-008 confirmado por usuario.</x:v>
      </x:c>
    </x:row>
    <x:row r="86">
      <x:c r="A86" t="str">
        <x:v>TS8-T05</x:v>
      </x:c>
      <x:c r="B86" t="str">
        <x:v>Time Status</x:v>
      </x:c>
      <x:c r="C86" t="str">
        <x:v>Consumption-only rendering</x:v>
      </x:c>
      <x:c r="D86" t="str">
        <x:v>PI + Dispatch + BlockGrade consumidos; Fábrica ausente</x:v>
      </x:c>
      <x:c r="E86" t="str">
        <x:v>Render detail</x:v>
      </x:c>
      <x:c r="F86" t="str">
        <x:v>Sólo aparecen PI, Dispatch y BlockGrade; no se descubre ni inventa Fábrica</x:v>
      </x:c>
      <x:c r="G86" t="str">
        <x:v>DOM/Composition</x:v>
      </x:c>
      <x:c r="H86" t="str">
        <x:v>P0</x:v>
      </x:c>
      <x:c r="I86" t="str">
        <x:v>CERRADO</x:v>
      </x:c>
      <x:c r="J86" t="str">
        <x:v>PASS autoritativo TS-008 confirmado por usuario.</x:v>
      </x:c>
    </x:row>
    <x:row r="87">
      <x:c r="A87" t="str">
        <x:v>TS8-T06</x:v>
      </x:c>
      <x:c r="B87" t="str">
        <x:v>Time Status</x:v>
      </x:c>
      <x:c r="C87" t="str">
        <x:v>PI-only does not invent Dispatch</x:v>
      </x:c>
      <x:c r="D87" t="str">
        <x:v>Tool consume sólo PI</x:v>
      </x:c>
      <x:c r="E87" t="str">
        <x:v>Render detail</x:v>
      </x:c>
      <x:c r="F87" t="str">
        <x:v>Sólo fila PI; Dispatch no aparece por default</x:v>
      </x:c>
      <x:c r="G87" t="str">
        <x:v>DOM/Composition</x:v>
      </x:c>
      <x:c r="H87" t="str">
        <x:v>P0</x:v>
      </x:c>
      <x:c r="I87" t="str">
        <x:v>CERRADO</x:v>
      </x:c>
      <x:c r="J87" t="str">
        <x:v>PASS autoritativo TS-008 confirmado por usuario.</x:v>
      </x:c>
    </x:row>
    <x:row r="88">
      <x:c r="A88" t="str">
        <x:v>TS8-T07</x:v>
      </x:c>
      <x:c r="B88" t="str">
        <x:v>Time Status</x:v>
      </x:c>
      <x:c r="C88" t="str">
        <x:v>Informational source isolation</x:v>
      </x:c>
      <x:c r="D88" t="str">
        <x:v>PI healthy + BlockGrade value='Error'</x:v>
      </x:c>
      <x:c r="E88" t="str">
        <x:v>Compose summary + detail</x:v>
      </x:c>
      <x:c r="F88" t="str">
        <x:v>BlockGrade muestra Error opacamente; summary sigue no-stale/no-data-error y fila no tiene condition</x:v>
      </x:c>
      <x:c r="G88" t="str">
        <x:v>DOM/Semantics</x:v>
      </x:c>
      <x:c r="H88" t="str">
        <x:v>P0</x:v>
      </x:c>
      <x:c r="I88" t="str">
        <x:v>CERRADO</x:v>
      </x:c>
      <x:c r="J88" t="str">
        <x:v>PASS autoritativo TS-008 confirmado por usuario.</x:v>
      </x:c>
    </x:row>
    <x:row r="89">
      <x:c r="A89" s="30" t="str">
        <x:v>TS9-T01</x:v>
      </x:c>
      <x:c r="B89" s="30" t="str">
        <x:v>Time Status</x:v>
      </x:c>
      <x:c r="C89" s="30" t="str">
        <x:v>Freshness policy bounds</x:v>
      </x:c>
      <x:c r="D89" s="30" t="str">
        <x:v>warning/stale inválidos</x:v>
      </x:c>
      <x:c r="E89" s="30" t="str">
        <x:v>Crear policy</x:v>
      </x:c>
      <x:c r="F89" s="30" t="str">
        <x:v>warning &gt;= 0 y stale &gt; warning; configuración inválida se rechaza</x:v>
      </x:c>
      <x:c r="G89" s="30" t="str">
        <x:v>Unit/Contract</x:v>
      </x:c>
      <x:c r="H89" s="30" t="str">
        <x:v>P0</x:v>
      </x:c>
      <x:c r="I89" s="30" t="str">
        <x:v>CERRADO</x:v>
      </x:c>
      <x:c r="J89" s="30" t="str">
        <x:v>PASS autoritativo TS-009 confirmado por usuario.</x:v>
      </x:c>
    </x:row>
    <x:row r="90">
      <x:c r="A90" s="30" t="str">
        <x:v>TS9-T02</x:v>
      </x:c>
      <x:c r="B90" s="30" t="str">
        <x:v>Time Status</x:v>
      </x:c>
      <x:c r="C90" s="30" t="str">
        <x:v>Exact freshness boundaries</x:v>
      </x:c>
      <x:c r="D90" s="30" t="str">
        <x:v>age alrededor de warning/stale</x:v>
      </x:c>
      <x:c r="E90" s="30" t="str">
        <x:v>Resolver PI/Dispatch</x:v>
      </x:c>
      <x:c r="F90" s="30" t="str">
        <x:v>warning cambia a PREVENTIVE; stale cambia a HARD_STALE exactamente en el límite</x:v>
      </x:c>
      <x:c r="G90" s="30" t="str">
        <x:v>Unit/Boundary</x:v>
      </x:c>
      <x:c r="H90" s="30" t="str">
        <x:v>P0</x:v>
      </x:c>
      <x:c r="I90" s="30" t="str">
        <x:v>CERRADO</x:v>
      </x:c>
      <x:c r="J90" s="30" t="str">
        <x:v>PASS autoritativo TS-009 confirmado por usuario.</x:v>
      </x:c>
    </x:row>
    <x:row r="91">
      <x:c r="A91" s="30" t="str">
        <x:v>TS9-T03</x:v>
      </x:c>
      <x:c r="B91" s="30" t="str">
        <x:v>Time Status</x:v>
      </x:c>
      <x:c r="C91" s="30" t="str">
        <x:v>Timestamp data quality</x:v>
      </x:c>
      <x:c r="D91" s="30" t="str">
        <x:v>missing/naive/future</x:v>
      </x:c>
      <x:c r="E91" s="30" t="str">
        <x:v>Resolver fuente control</x:v>
      </x:c>
      <x:c r="F91" s="30" t="str">
        <x:v>Entrada inválida o futura produce DATA_ERROR; no se transforma en HARD_STALE</x:v>
      </x:c>
      <x:c r="G91" s="30" t="str">
        <x:v>Unit/Data Quality</x:v>
      </x:c>
      <x:c r="H91" s="30" t="str">
        <x:v>P0</x:v>
      </x:c>
      <x:c r="I91" s="30" t="str">
        <x:v>CERRADO</x:v>
      </x:c>
      <x:c r="J91" s="30" t="str">
        <x:v>PASS autoritativo TS-009 confirmado por usuario.</x:v>
      </x:c>
    </x:row>
    <x:row r="92">
      <x:c r="A92" s="30" t="str">
        <x:v>TS9-T04</x:v>
      </x:c>
      <x:c r="B92" s="30" t="str">
        <x:v>Time Status</x:v>
      </x:c>
      <x:c r="C92" s="30" t="str">
        <x:v>Control-source authority</x:v>
      </x:c>
      <x:c r="D92" s="30" t="str">
        <x:v>BlockGrade u otra extra</x:v>
      </x:c>
      <x:c r="E92" s="30" t="str">
        <x:v>Invocar freshness resolver</x:v>
      </x:c>
      <x:c r="F92" s="30" t="str">
        <x:v>Sólo PI/Dispatch son aceptadas por el resolver</x:v>
      </x:c>
      <x:c r="G92" s="30" t="str">
        <x:v>Unit/Architecture</x:v>
      </x:c>
      <x:c r="H92" s="30" t="str">
        <x:v>P0</x:v>
      </x:c>
      <x:c r="I92" s="30" t="str">
        <x:v>CERRADO</x:v>
      </x:c>
      <x:c r="J92" s="30" t="str">
        <x:v>PASS autoritativo TS-009 confirmado por usuario.</x:v>
      </x:c>
    </x:row>
    <x:row r="93">
      <x:c r="A93" s="30" t="str">
        <x:v>TS9-T05</x:v>
      </x:c>
      <x:c r="B93" s="30" t="str">
        <x:v>Time Status</x:v>
      </x:c>
      <x:c r="C93" s="30" t="str">
        <x:v>Client aging without watermark</x:v>
      </x:c>
      <x:c r="D93" s="30" t="str">
        <x:v>Mismo timestamp PI/Dispatch</x:v>
      </x:c>
      <x:c r="E93" s="30" t="str">
        <x:v>Avanzar Date.now</x:v>
      </x:c>
      <x:c r="F93" s="30" t="str">
        <x:v>FRESH→PREVENTIVE→HARD_STALE ocurre sin nuevo snapshot/callback</x:v>
      </x:c>
      <x:c r="G93" s="30" t="str">
        <x:v>JS/Runtime</x:v>
      </x:c>
      <x:c r="H93" s="30" t="str">
        <x:v>P0</x:v>
      </x:c>
      <x:c r="I93" s="30" t="str">
        <x:v>CERRADO</x:v>
      </x:c>
      <x:c r="J93" s="30" t="str">
        <x:v>PASS autoritativo TS-009 confirmado por usuario.</x:v>
      </x:c>
    </x:row>
    <x:row r="94">
      <x:c r="A94" s="30" t="str">
        <x:v>TS9-T06</x:v>
      </x:c>
      <x:c r="B94" s="30" t="str">
        <x:v>Time Status</x:v>
      </x:c>
      <x:c r="C94" s="30" t="str">
        <x:v>Tool stale aggregation</x:v>
      </x:c>
      <x:c r="D94" s="30" t="str">
        <x:v>PI-only o PI+Dispatch</x:v>
      </x:c>
      <x:c r="E94" s="30" t="str">
        <x:v>Combinar conditions</x:v>
      </x:c>
      <x:c r="F94" s="30" t="str">
        <x:v>content_stale usa AND de las fuentes de control requeridas</x:v>
      </x:c>
      <x:c r="G94" s="30" t="str">
        <x:v>Unit/Semantics</x:v>
      </x:c>
      <x:c r="H94" s="30" t="str">
        <x:v>P0</x:v>
      </x:c>
      <x:c r="I94" s="30" t="str">
        <x:v>CERRADO</x:v>
      </x:c>
      <x:c r="J94" s="30" t="str">
        <x:v>PASS autoritativo TS-009 confirmado por usuario.</x:v>
      </x:c>
    </x:row>
    <x:row r="95">
      <x:c r="A95" s="30" t="str">
        <x:v>TS9-T07</x:v>
      </x:c>
      <x:c r="B95" s="30" t="str">
        <x:v>Time Status</x:v>
      </x:c>
      <x:c r="C95" s="30" t="str">
        <x:v>DATA_ERROR remains distinct</x:v>
      </x:c>
      <x:c r="D95" s="30" t="str">
        <x:v>Fuente control en DATA_ERROR</x:v>
      </x:c>
      <x:c r="E95" s="30" t="str">
        <x:v>Actualizar Summary</x:v>
      </x:c>
      <x:c r="F95" s="30" t="str">
        <x:v>data-error se mantiene separado de content-stale</x:v>
      </x:c>
      <x:c r="G95" s="30" t="str">
        <x:v>DOM/Semantics</x:v>
      </x:c>
      <x:c r="H95" s="30" t="str">
        <x:v>P0</x:v>
      </x:c>
      <x:c r="I95" s="30" t="str">
        <x:v>CERRADO</x:v>
      </x:c>
      <x:c r="J95" s="30" t="str">
        <x:v>PASS autoritativo TS-009 confirmado por usuario.</x:v>
      </x:c>
    </x:row>
    <x:row r="96">
      <x:c r="A96" s="30" t="str">
        <x:v>TS9-T08</x:v>
      </x:c>
      <x:c r="B96" s="30" t="str">
        <x:v>Time Status</x:v>
      </x:c>
      <x:c r="C96" s="30" t="str">
        <x:v>Client clock negative skew</x:v>
      </x:c>
      <x:c r="D96" s="30" t="str">
        <x:v>now local anterior al timestamp válido</x:v>
      </x:c>
      <x:c r="E96" s="30" t="str">
        <x:v>Tick JS</x:v>
      </x:c>
      <x:c r="F96" s="30" t="str">
        <x:v>Edad cliente se acota a 0 y no inventa DATA_ERROR</x:v>
      </x:c>
      <x:c r="G96" s="30" t="str">
        <x:v>JS/Boundary</x:v>
      </x:c>
      <x:c r="H96" s="30" t="str">
        <x:v>P1</x:v>
      </x:c>
      <x:c r="I96" s="30" t="str">
        <x:v>CERRADO</x:v>
      </x:c>
      <x:c r="J96" s="30" t="str">
        <x:v>PASS autoritativo TS-009 confirmado por usuario.</x:v>
      </x:c>
    </x:row>
    <x:row r="97">
      <x:c r="A97" s="30" t="str">
        <x:v>TS10-T01</x:v>
      </x:c>
      <x:c r="B97" s="30" t="str">
        <x:v>Time Status</x:v>
      </x:c>
      <x:c r="C97" s="30" t="str">
        <x:v>Vertical collision flip</x:v>
      </x:c>
      <x:c r="D97" s="30" t="str">
        <x:v>Popover abierto cerca del borde inferior</x:v>
      </x:c>
      <x:c r="E97" s="30" t="str">
        <x:v>Medir viewport</x:v>
      </x:c>
      <x:c r="F97" s="30" t="str">
        <x:v>Abre abajo por defecto y hace flip arriba sólo si abajo no cabe y arriba ofrece más espacio</x:v>
      </x:c>
      <x:c r="G97" s="30" t="str">
        <x:v>JS/Geometry</x:v>
      </x:c>
      <x:c r="H97" s="30" t="str">
        <x:v>P0</x:v>
      </x:c>
      <x:c r="I97" s="30" t="str">
        <x:v>EN VALIDACIÓN</x:v>
      </x:c>
      <x:c r="J97" s="30" t="str">
        <x:v>Node geometry smoke PASS; gate autoritativo pendiente.</x:v>
      </x:c>
    </x:row>
    <x:row r="98">
      <x:c r="A98" s="30" t="str">
        <x:v>TS10-T02</x:v>
      </x:c>
      <x:c r="B98" s="30" t="str">
        <x:v>Time Status</x:v>
      </x:c>
      <x:c r="C98" s="30" t="str">
        <x:v>Horizontal collision shift</x:v>
      </x:c>
      <x:c r="D98" s="30" t="str">
        <x:v>Surface cruza borde izquierdo/derecho</x:v>
      </x:c>
      <x:c r="E98" s="30" t="str">
        <x:v>Medir rects</x:v>
      </x:c>
      <x:c r="F98" s="30" t="str">
        <x:v>Se aplica sólo el translateX necesario para conservar margen de viewport</x:v>
      </x:c>
      <x:c r="G98" s="30" t="str">
        <x:v>JS/Geometry</x:v>
      </x:c>
      <x:c r="H98" s="30" t="str">
        <x:v>P0</x:v>
      </x:c>
      <x:c r="I98" s="30" t="str">
        <x:v>EN VALIDACIÓN</x:v>
      </x:c>
      <x:c r="J98" s="30" t="str">
        <x:v>Node geometry smoke PASS; gate autoritativo pendiente.</x:v>
      </x:c>
    </x:row>
    <x:row r="99">
      <x:c r="A99" s="30" t="str">
        <x:v>TS10-T03</x:v>
      </x:c>
      <x:c r="B99" s="30" t="str">
        <x:v>Time Status</x:v>
      </x:c>
      <x:c r="C99" s="30" t="str">
        <x:v>Viewport reanchor</x:v>
      </x:c>
      <x:c r="D99" s="30" t="str">
        <x:v>Popover abierto</x:v>
      </x:c>
      <x:c r="E99" s="30" t="str">
        <x:v>resize/scroll/visualViewport change</x:v>
      </x:c>
      <x:c r="F99" s="30" t="str">
        <x:v>Recalcula posición vía requestAnimationFrame sin polling ni estado global nuevo</x:v>
      </x:c>
      <x:c r="G99" s="30" t="str">
        <x:v>JS/Responsive</x:v>
      </x:c>
      <x:c r="H99" s="30" t="str">
        <x:v>P0</x:v>
      </x:c>
      <x:c r="I99" s="30" t="str">
        <x:v>EN VALIDACIÓN</x:v>
      </x:c>
      <x:c r="J99" s="30" t="str">
        <x:v>77-test harness + Node smoke PASS; gate autoritativo pendiente.</x:v>
      </x:c>
    </x:row>
    <x:row r="100">
      <x:c r="A100" s="30" t="str">
        <x:v>TS10-T04</x:v>
      </x:c>
      <x:c r="B100" s="30" t="str">
        <x:v>Time Status</x:v>
      </x:c>
      <x:c r="C100" s="30" t="str">
        <x:v>Mobile usable width</x:v>
      </x:c>
      <x:c r="D100" s="30" t="str">
        <x:v>Viewport &lt;= 767.98px</x:v>
      </x:c>
      <x:c r="E100" s="30" t="str">
        <x:v>Abrir detail</x:v>
      </x:c>
      <x:c r="F100" s="30" t="str">
        <x:v>Surface usa ancho útil del viewport, contenido puede envolver/scroll y sigue no-modal</x:v>
      </x:c>
      <x:c r="G100" s="30" t="str">
        <x:v>CSS/Responsive</x:v>
      </x:c>
      <x:c r="H100" s="30" t="str">
        <x:v>P0</x:v>
      </x:c>
      <x:c r="I100" s="30" t="str">
        <x:v>EN VALIDACIÓN</x:v>
      </x:c>
      <x:c r="J100" s="30" t="str">
        <x:v>77-test harness PASS; gate autoritativo pendiente.</x:v>
      </x:c>
    </x:row>
    <x:row r="101">
      <x:c r="A101" s="30" t="str">
        <x:v>TS10-T05</x:v>
      </x:c>
      <x:c r="B101" s="30" t="str">
        <x:v>Time Status</x:v>
      </x:c>
      <x:c r="C101" s="30" t="str">
        <x:v>No-reflow local anchor preserved</x:v>
      </x:c>
      <x:c r="D101" s="30" t="str">
        <x:v>Flip/shift/mobile + rerender</x:v>
      </x:c>
      <x:c r="E101" s="30" t="str">
        <x:v>Inspeccionar DOM/CSS</x:v>
      </x:c>
      <x:c r="F101" s="30" t="str">
        <x:v>Surface sigue position:absolute dentro de container relative; no fixed/portal/backdrop; rerender conserva open-state</x:v>
      </x:c>
      <x:c r="G101" s="30" t="str">
        <x:v>DOM/CSS/Resilience</x:v>
      </x:c>
      <x:c r="H101" s="30" t="str">
        <x:v>P0</x:v>
      </x:c>
      <x:c r="I101" s="30" t="str">
        <x:v>EN VALIDACIÓN</x:v>
      </x:c>
      <x:c r="J101" s="30" t="str">
        <x:v>77-test harness + semantic mirrors PASS; gate autoritativo pendiente.</x:v>
      </x:c>
    </x:row>
  </x:sheetData>
  <x:mergeCells>
    <x:mergeCell ref="A1:J1"/>
    <x:mergeCell ref="A2:J2"/>
  </x:mergeCells>
  <x:conditionalFormatting sqref="I5:I28">
    <x:cfRule type="expression" dxfId="5" priority="1">
      <x:formula>I5="CERRADO"</x:formula>
    </x:cfRule>
    <x:cfRule type="expression" dxfId="6" priority="2">
      <x:formula>I5="EN DISEÑO"</x:formula>
    </x:cfRule>
    <x:cfRule type="expression" dxfId="7" priority="3">
      <x:formula>I5="PENDIENTE"</x:formula>
    </x:cfRule>
    <x:cfRule type="expression" dxfId="8" priority="4">
      <x:formula>I5="DIFERIDO"</x:formula>
    </x:cfRule>
    <x:cfRule type="expression" dxfId="9" priority="5">
      <x:formula>I5="BLOQUEADO"</x:formula>
    </x:cfRule>
  </x:conditionalFormatting>
  <x:dataValidations count="4">
    <x:dataValidation type="list" sqref="I5:I28">
      <x:formula1>"CERRADO,EN DISEÑO,PENDIENTE,DIFERIDO,BLOQUEADO"</x:formula1>
    </x:dataValidation>
    <x:dataValidation type="list" sqref="I5:I32">
      <x:formula1>"CERRADO,EN DISEÑO,PENDIENTE,DIFERIDO,BLOQUEADO,EN VALIDACIÓN"</x:formula1>
    </x:dataValidation>
    <x:dataValidation type="list" sqref="I5:I34">
      <x:formula1>"CERRADO,EN DISEÑO,EN VALIDACIÓN,PENDIENTE,DIFERIDO,BLOQUEADO"</x:formula1>
    </x:dataValidation>
    <x:dataValidation type="list" sqref="I5:I37">
      <x:formula1>"CERRADO,EN DISEÑO,EN VALIDACIÓN,PENDIENTE,DIFERIDO,BLOQUEADO"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58" hidden="0" customWidth="1"/>
    <x:col min="4" max="4" width="14" hidden="0" customWidth="1"/>
    <x:col min="5" max="5" width="48" hidden="0" customWidth="1"/>
    <x:col min="6" max="6" width="22" hidden="0" customWidth="1"/>
    <x:col min="7" max="7" width="24" hidden="0" customWidth="1"/>
    <x:col min="8" max="8" width="38" hidden="0" customWidth="1"/>
  </x:cols>
  <x:sheetData>
    <x:row r="1" ht="30" customHeight="1">
      <x:c r="A1" s="4" t="str">
        <x:v>Decisiones y puntos por congelar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ACEPTADA = acordado. PROPUESTA = recomendación todavía no congelada. ABIERTO = requiere definición/evidencia.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Tema</x:v>
      </x:c>
      <x:c r="C4" s="19" t="str">
        <x:v>Decisión</x:v>
      </x:c>
      <x:c r="D4" s="19" t="str">
        <x:v>Estado</x:v>
      </x:c>
      <x:c r="E4" s="19" t="str">
        <x:v>Fundamento</x:v>
      </x:c>
      <x:c r="F4" s="19" t="str">
        <x:v>Impacto</x:v>
      </x:c>
      <x:c r="G4" s="19" t="str">
        <x:v>Gate/Próximo paso</x:v>
      </x:c>
      <x:c r="H4" s="19" t="str">
        <x:v>Notas</x:v>
      </x:c>
    </x:row>
    <x:row r="5">
      <x:c r="A5" s="32" t="str">
        <x:v>D-TS-001</x:v>
      </x:c>
      <x:c r="B5" s="32" t="str">
        <x:v>Summary</x:v>
      </x:c>
      <x:c r="C5" s="32" t="str">
        <x:v>Time Status visible muestra sólo PI y Dispatch; pueden aparecer juntos o individualmente.</x:v>
      </x:c>
      <x:c r="D5" s="32" t="str">
        <x:v>ACEPTADA</x:v>
      </x:c>
      <x:c r="E5" s="32" t="str">
        <x:v>El resto de fuentes tiene semántica distinta.</x:v>
      </x:c>
      <x:c r="F5" s="32" t="str">
        <x:v>UI</x:v>
      </x:c>
      <x:c r="G5" s="32" t="str">
        <x:v>TS-001</x:v>
      </x:c>
      <x:c r="H5" s="32" t="str"/>
    </x:row>
    <x:row r="6">
      <x:c r="A6" s="32" t="str">
        <x:v>D-TS-002</x:v>
      </x:c>
      <x:c r="B6" s="32" t="str">
        <x:v>PI optionality</x:v>
      </x:c>
      <x:c r="C6" s="32" t="str">
        <x:v>En el contrato reusable PI y Dispatch serán opcionales; composición ADA inyecta PI siempre.</x:v>
      </x:c>
      <x:c r="D6" s="32" t="str">
        <x:v>ACEPTADA</x:v>
      </x:c>
      <x:c r="E6" s="32" t="str">
        <x:v>Atlanticus no debe quedar atado a PI aunque ADA sí lo use.</x:v>
      </x:c>
      <x:c r="F6" s="32" t="str">
        <x:v>Contract</x:v>
      </x:c>
      <x:c r="G6" s="32" t="str">
        <x:v>TS-001</x:v>
      </x:c>
      <x:c r="H6" s="32" t="str"/>
    </x:row>
    <x:row r="7">
      <x:c r="A7" s="32" t="str">
        <x:v>D-TS-003</x:v>
      </x:c>
      <x:c r="B7" s="32" t="str">
        <x:v>Dispatch</x:v>
      </x:c>
      <x:c r="C7" s="32" t="str">
        <x:v>Dispatch es opcional según Tool.</x:v>
      </x:c>
      <x:c r="D7" s="32" t="str">
        <x:v>ACEPTADA</x:v>
      </x:c>
      <x:c r="E7" s="32" t="str">
        <x:v>No todas las Tools lo consumen.</x:v>
      </x:c>
      <x:c r="F7" s="32" t="str">
        <x:v>Composition</x:v>
      </x:c>
      <x:c r="G7" s="32" t="str">
        <x:v>TS-008</x:v>
      </x:c>
      <x:c r="H7" s="32" t="str"/>
    </x:row>
    <x:row r="8">
      <x:c r="A8" s="32" t="str">
        <x:v>D-TS-004</x:v>
      </x:c>
      <x:c r="B8" s="32" t="str">
        <x:v>Dynamic detail</x:v>
      </x:c>
      <x:c r="C8" s="32" t="str">
        <x:v>Las demás fuentes/consumos se muestran en una extensión/popover anclado con su última fecha/hora real.</x:v>
      </x:c>
      <x:c r="D8" s="32" t="str">
        <x:v>ACEPTADA</x:v>
      </x:c>
      <x:c r="E8" s="32" t="str">
        <x:v>No corresponde mostrar relative age para estas entradas.</x:v>
      </x:c>
      <x:c r="F8" s="32" t="str">
        <x:v>UI</x:v>
      </x:c>
      <x:c r="G8" s="32" t="str">
        <x:v>TS-005/008</x:v>
      </x:c>
      <x:c r="H8" s="32" t="str"/>
    </x:row>
    <x:row r="9">
      <x:c r="A9" s="32" t="str">
        <x:v>D-TS-005</x:v>
      </x:c>
      <x:c r="B9" s="32" t="str">
        <x:v>Under consumption</x:v>
      </x:c>
      <x:c r="C9" s="32" t="str">
        <x:v>El detail dinámico contiene sólo fuentes/KPI consumidos por la Tool actual.</x:v>
      </x:c>
      <x:c r="D9" s="32" t="str">
        <x:v>ACEPTADA</x:v>
      </x:c>
      <x:c r="E9" s="32" t="str">
        <x:v>Evita ruido y conserva costo bajo.</x:v>
      </x:c>
      <x:c r="F9" s="32" t="str">
        <x:v>Composition</x:v>
      </x:c>
      <x:c r="G9" s="32" t="str">
        <x:v>DATA-003</x:v>
      </x:c>
      <x:c r="H9" s="32" t="str"/>
    </x:row>
    <x:row r="10">
      <x:c r="A10" s="32" t="str">
        <x:v>D-TS-006</x:v>
      </x:c>
      <x:c r="B10" s="32" t="str">
        <x:v>Popover state</x:v>
      </x:c>
      <x:c r="C10" s="32" t="str">
        <x:v>Abrir/cerrar popover es estado JS independiente de Interval/data refresh.</x:v>
      </x:c>
      <x:c r="D10" s="32" t="str">
        <x:v>ACEPTADA</x:v>
      </x:c>
      <x:c r="E10" s="32" t="str">
        <x:v>No debe cerrarse cuando el store se actualiza.</x:v>
      </x:c>
      <x:c r="F10" s="32" t="str">
        <x:v>JS</x:v>
      </x:c>
      <x:c r="G10" s="32" t="str">
        <x:v>TS-006/007</x:v>
      </x:c>
      <x:c r="H10" s="32" t="str"/>
    </x:row>
    <x:row r="11">
      <x:c r="A11" s="32" t="str">
        <x:v>D-TS-007</x:v>
      </x:c>
      <x:c r="B11" s="32" t="str">
        <x:v>Popover modality</x:v>
      </x:c>
      <x:c r="C11" s="32" t="str">
        <x:v>El detail no es modal: sin backdrop global ni bloqueo; se ancla al Time Status.</x:v>
      </x:c>
      <x:c r="D11" s="32" t="str">
        <x:v>ACEPTADA</x:v>
      </x:c>
      <x:c r="E11" s="32" t="str">
        <x:v>Es extensión contextual del header.</x:v>
      </x:c>
      <x:c r="F11" s="32" t="str">
        <x:v>UX</x:v>
      </x:c>
      <x:c r="G11" s="32" t="str">
        <x:v>TS-005</x:v>
      </x:c>
      <x:c r="H11" s="32" t="str"/>
    </x:row>
    <x:row r="12">
      <x:c r="A12" s="32" t="str">
        <x:v>D-TS-008</x:v>
      </x:c>
      <x:c r="B12" s="32" t="str">
        <x:v>Data source</x:v>
      </x:c>
      <x:c r="C12" s="32" t="str">
        <x:v>Los datos de Time Status provienen del store específico de Collector/runtime, separado de stores KPI de contenido.</x:v>
      </x:c>
      <x:c r="D12" s="32" t="str">
        <x:v>ACEPTADA</x:v>
      </x:c>
      <x:c r="E12" s="32" t="str">
        <x:v>El payload es pequeño y ya existe conceptualmente.</x:v>
      </x:c>
      <x:c r="F12" s="32" t="str">
        <x:v>Data</x:v>
      </x:c>
      <x:c r="G12" s="32" t="str">
        <x:v>DATA-001/TS-004</x:v>
      </x:c>
      <x:c r="H12" s="32" t="str"/>
    </x:row>
    <x:row r="13">
      <x:c r="A13" s="32" t="str">
        <x:v>D-TS-009</x:v>
      </x:c>
      <x:c r="B13" s="32" t="str">
        <x:v>Role classification</x:v>
      </x:c>
      <x:c r="C13" s="32" t="str">
        <x:v>Debe diferenciarse qué entradas causan STALE y cuáles sólo aparecen en el popover.</x:v>
      </x:c>
      <x:c r="D13" s="32" t="str">
        <x:v>ACEPTADA</x:v>
      </x:c>
      <x:c r="E13" s="32" t="str">
        <x:v>Mostrar una fuente no implica que deba bloquear contenido.</x:v>
      </x:c>
      <x:c r="F13" s="32" t="str">
        <x:v>Domain</x:v>
      </x:c>
      <x:c r="G13" s="32" t="str">
        <x:v>DATA-004/CS-003</x:v>
      </x:c>
      <x:c r="H13" s="32" t="str"/>
    </x:row>
    <x:row r="14">
      <x:c r="A14" s="32" t="str">
        <x:v>D-TS-010</x:v>
      </x:c>
      <x:c r="B14" s="32" t="str">
        <x:v>No UI flags in Collector</x:v>
      </x:c>
      <x:c r="C14" s="32" t="str">
        <x:v>Clasificar summary/detail/stale en composición Web, no con flags show_in_* dentro del Collector.</x:v>
      </x:c>
      <x:c r="D14" s="32" t="str">
        <x:v>PROPUESTA</x:v>
      </x:c>
      <x:c r="E14" s="32" t="str">
        <x:v>Evita acoplar backend al diseño visual.</x:v>
      </x:c>
      <x:c r="F14" s="32" t="str">
        <x:v>Architecture</x:v>
      </x:c>
      <x:c r="G14" s="32" t="str">
        <x:v>TS-001</x:v>
      </x:c>
      <x:c r="H14" s="32" t="str"/>
    </x:row>
    <x:row r="15">
      <x:c r="A15" s="32" t="str">
        <x:v>D-TS-011</x:v>
      </x:c>
      <x:c r="B15" s="32" t="str">
        <x:v>Empty detail interaction</x:v>
      </x:c>
      <x:c r="C15" s="32" t="str">
        <x:v>Si no hay detail dinámico, el Time Status no ofrece affordance/click de expansión.</x:v>
      </x:c>
      <x:c r="D15" s="32" t="str">
        <x:v>PROPUESTA</x:v>
      </x:c>
      <x:c r="E15" s="32" t="str">
        <x:v>Evita popover vacío.</x:v>
      </x:c>
      <x:c r="F15" s="32" t="str">
        <x:v>UX</x:v>
      </x:c>
      <x:c r="G15" s="32" t="str">
        <x:v>TS-T03</x:v>
      </x:c>
      <x:c r="H15" s="32" t="str"/>
    </x:row>
    <x:row r="16">
      <x:c r="A16" s="32" t="str">
        <x:v>D-TS-012</x:v>
      </x:c>
      <x:c r="B16" s="32" t="str">
        <x:v>Current time</x:v>
      </x:c>
      <x:c r="C16" s="32" t="str">
        <x:v>Reloj local se actualiza client-side cada segundo, separado de freshness.</x:v>
      </x:c>
      <x:c r="D16" s="32" t="str">
        <x:v>PROPUESTA</x:v>
      </x:c>
      <x:c r="E16" s="32" t="str">
        <x:v>El legado ya lo hacía sin carga backend.</x:v>
      </x:c>
      <x:c r="F16" s="32" t="str">
        <x:v>JS</x:v>
      </x:c>
      <x:c r="G16" s="32" t="str">
        <x:v>TS-003</x:v>
      </x:c>
      <x:c r="H16" s="32" t="str"/>
    </x:row>
    <x:row r="17">
      <x:c r="A17" s="32" t="str">
        <x:v>D-CS-001</x:v>
      </x:c>
      <x:c r="B17" s="32" t="str">
        <x:v>Content states</x:v>
      </x:c>
      <x:c r="C17" s="32" t="str">
        <x:v>Content State conserva READY / STALE / CONSTRUCTION y queda separado de DisplayStatus.</x:v>
      </x:c>
      <x:c r="D17" s="32" t="str">
        <x:v>ACEPTADA</x:v>
      </x:c>
      <x:c r="E17" s="32" t="str">
        <x:v>Son semánticas distintas.</x:v>
      </x:c>
      <x:c r="F17" s="32" t="str">
        <x:v>Architecture</x:v>
      </x:c>
      <x:c r="G17" s="32" t="str">
        <x:v>CS-001</x:v>
      </x:c>
      <x:c r="H17" s="32" t="str"/>
    </x:row>
    <x:row r="18">
      <x:c r="A18" s="32" t="str">
        <x:v>D-CS-002</x:v>
      </x:c>
      <x:c r="B18" s="32" t="str">
        <x:v>Construction lifecycle</x:v>
      </x:c>
      <x:c r="C18" s="32" t="str">
        <x:v>CONSTRUCTION es declarativo/estático; STALE es runtime por freshness.</x:v>
      </x:c>
      <x:c r="D18" s="32" t="str">
        <x:v>ACEPTADA</x:v>
      </x:c>
      <x:c r="E18" s="32" t="str">
        <x:v>Contrato legado correcto.</x:v>
      </x:c>
      <x:c r="F18" s="32" t="str">
        <x:v>Domain</x:v>
      </x:c>
      <x:c r="G18" s="32" t="str">
        <x:v>CS-001/002</x:v>
      </x:c>
      <x:c r="H18" s="32" t="str"/>
    </x:row>
    <x:row r="19">
      <x:c r="A19" s="32" t="str">
        <x:v>D-CS-003</x:v>
      </x:c>
      <x:c r="B19" s="32" t="str">
        <x:v>Precedence</x:v>
      </x:c>
      <x:c r="C19" s="32" t="str">
        <x:v>CONSTRUCTION &gt; STALE &gt; READY.</x:v>
      </x:c>
      <x:c r="D19" s="32" t="str">
        <x:v>PROPUESTA</x:v>
      </x:c>
      <x:c r="E19" s="32" t="str">
        <x:v>Un componente aún no construido no necesita mostrar freshness.</x:v>
      </x:c>
      <x:c r="F19" s="32" t="str">
        <x:v>Domain</x:v>
      </x:c>
      <x:c r="G19" s="32" t="str">
        <x:v>CS-006</x:v>
      </x:c>
      <x:c r="H19" s="32" t="str">
        <x:v>Requiere aprobación.</x:v>
      </x:c>
    </x:row>
    <x:row r="20">
      <x:c r="A20" s="32" t="str">
        <x:v>D-CS-004</x:v>
      </x:c>
      <x:c r="B20" s="32" t="str">
        <x:v>Stale interaction</x:v>
      </x:c>
      <x:c r="C20" s="32" t="str">
        <x:v>Overlay STALE bloquea interacción como el legado.</x:v>
      </x:c>
      <x:c r="D20" s="32" t="str">
        <x:v>ABIERTO</x:v>
      </x:c>
      <x:c r="E20" s="32" t="str">
        <x:v>Puede chocar con KPI Inspection descriptiva.</x:v>
      </x:c>
      <x:c r="F20" s="32" t="str">
        <x:v>UX</x:v>
      </x:c>
      <x:c r="G20" s="32" t="str">
        <x:v>CS-007</x:v>
      </x:c>
      <x:c r="H20" s="32" t="str">
        <x:v>Decidir si aún debe permitirse abrir Definition.</x:v>
      </x:c>
    </x:row>
    <x:row r="21">
      <x:c r="A21" s="32" t="str">
        <x:v>D-KI-001</x:v>
      </x:c>
      <x:c r="B21" s="32" t="str">
        <x:v>Visual validation</x:v>
      </x:c>
      <x:c r="C21" s="32" t="str">
        <x:v>Antes de Body/adopción adicional se valida visualmente KPI Inspection real.</x:v>
      </x:c>
      <x:c r="D21" s="32" t="str">
        <x:v>ACEPTADA</x:v>
      </x:c>
      <x:c r="E21" s="32" t="str">
        <x:v>Falta confirmar aspecto/interacción en navegador.</x:v>
      </x:c>
      <x:c r="F21" s="32" t="str">
        <x:v>Roadmap</x:v>
      </x:c>
      <x:c r="G21" s="32" t="str">
        <x:v>KIV-000..005</x:v>
      </x:c>
      <x:c r="H21" s="32" t="str"/>
    </x:row>
    <x:row r="22">
      <x:c r="A22" s="32" t="str">
        <x:v>D-KI-002</x:v>
      </x:c>
      <x:c r="B22" s="32" t="str">
        <x:v>Cosmos</x:v>
      </x:c>
      <x:c r="C22" s="32" t="str">
        <x:v>KI-011 Cosmos continúa diferido mientras backend se estabiliza.</x:v>
      </x:c>
      <x:c r="D22" s="32" t="str">
        <x:v>ACEPTADA</x:v>
      </x:c>
      <x:c r="E22" s="32" t="str">
        <x:v>No bloquea UI.</x:v>
      </x:c>
      <x:c r="F22" s="32" t="str">
        <x:v>Roadmap</x:v>
      </x:c>
      <x:c r="G22" s="32" t="str">
        <x:v>Futuro</x:v>
      </x:c>
      <x:c r="H22" s="32" t="str"/>
    </x:row>
    <x:row r="23">
      <x:c r="A23" s="32" t="str">
        <x:v>D-BODY-001</x:v>
      </x:c>
      <x:c r="B23" s="32" t="str">
        <x:v>Body</x:v>
      </x:c>
      <x:c r="C23" s="32" t="str">
        <x:v>Body adoption queda diferido hasta diseñar Body Foundation.</x:v>
      </x:c>
      <x:c r="D23" s="32" t="str">
        <x:v>ACEPTADA</x:v>
      </x:c>
      <x:c r="E23" s="32" t="str">
        <x:v>Layouts pueden ser rows, imágenes+texto, tablas, overlays, etc.</x:v>
      </x:c>
      <x:c r="F23" s="32" t="str">
        <x:v>Roadmap</x:v>
      </x:c>
      <x:c r="G23" s="32" t="str">
        <x:v>BODY-000</x:v>
      </x:c>
      <x:c r="H23" s="32" t="str"/>
    </x:row>
    <x:row r="24">
      <x:c r="A24" s="32" t="str">
        <x:v>D-KIV-003</x:v>
      </x:c>
      <x:c r="B24" s="32" t="str">
        <x:v>Trigger scope</x:v>
      </x:c>
      <x:c r="C24" s="32" t="str">
        <x:v>Global Indicator root no es trigger; sólo los valores actuales de Turno, Día y Última medición optan a Inspection.</x:v>
      </x:c>
      <x:c r="D24" s="32" t="str">
        <x:v>REEMPLAZADA</x:v>
      </x:c>
      <x:c r="E24" s="32" t="str">
        <x:v>La Definition corresponde al valor concreto, no al slot completo.</x:v>
      </x:c>
      <x:c r="F24" s="32" t="str">
        <x:v>Global Indicator</x:v>
      </x:c>
      <x:c r="G24" s="32" t="str">
        <x:v>KIV-000C</x:v>
      </x:c>
      <x:c r="H24" s="32" t="str">
        <x:v>Reemplazada por D-KIV-011: actual, plan y latest pueden declarar identidad independiente.</x:v>
      </x:c>
    </x:row>
    <x:row r="25">
      <x:c r="A25" s="32" t="str">
        <x:v>D-KIV-004</x:v>
      </x:c>
      <x:c r="B25" s="32" t="str">
        <x:v>KPI identity</x:v>
      </x:c>
      <x:c r="C25" s="32" t="str">
        <x:v>Todos los valores del mismo Global Indicator comparten el mismo kpi_key.</x:v>
      </x:c>
      <x:c r="D25" s="32" t="str">
        <x:v>REEMPLAZADA</x:v>
      </x:c>
      <x:c r="E25" s="32" t="str">
        <x:v>La revisión visual confirmó que actual y plan pueden representar lógica/KPI distintos.</x:v>
      </x:c>
      <x:c r="F25" s="32" t="str">
        <x:v>Contract</x:v>
      </x:c>
      <x:c r="G25" s="32" t="str">
        <x:v>KIV-000C</x:v>
      </x:c>
      <x:c r="H25" s="32" t="str">
        <x:v>Reemplazada por D-KIV-011; la composición puede reutilizar una key sólo cuando semánticamente corresponda.</x:v>
      </x:c>
    </x:row>
    <x:row r="26">
      <x:c r="A26" s="32" t="str">
        <x:v>D-KIV-005</x:v>
      </x:c>
      <x:c r="B26" s="32" t="str">
        <x:v>Surface geometry</x:v>
      </x:c>
      <x:c r="C26" s="32" t="str">
        <x:v>Inspection Surface inferior usa border-radius 0 y var(--dark-color) como background.</x:v>
      </x:c>
      <x:c r="D26" s="32" t="str">
        <x:v>ACEPTADA</x:v>
      </x:c>
      <x:c r="E26" s="32" t="str">
        <x:v>Debe distinguirse claramente del Body y comportarse como superficie operacional persistente, no card flotante.</x:v>
      </x:c>
      <x:c r="F26" s="32" t="str">
        <x:v>Inspection Surface</x:v>
      </x:c>
      <x:c r="G26" s="32" t="str">
        <x:v>KIV-000B</x:v>
      </x:c>
      <x:c r="H26" s="32" t="str"/>
    </x:row>
    <x:row r="27">
      <x:c r="A27" s="32" t="str">
        <x:v>D-KIV-006</x:v>
      </x:c>
      <x:c r="B27" s="32" t="str">
        <x:v>Text selection</x:v>
      </x:c>
      <x:c r="C27" s="32" t="str">
        <x:v>Global Indicator evita selección accidental; el contenido del inspector permite seleccionar/copiar texto.</x:v>
      </x:c>
      <x:c r="D27" s="32" t="str">
        <x:v>ACEPTADA</x:v>
      </x:c>
      <x:c r="E27" s="32" t="str">
        <x:v>Clicks repetidos en valores no deben marcar texto, mientras Definition sí debe ser copiable.</x:v>
      </x:c>
      <x:c r="F27" s="32" t="str">
        <x:v>CSS/UX</x:v>
      </x:c>
      <x:c r="G27" s="32" t="str">
        <x:v>KIV-000B</x:v>
      </x:c>
      <x:c r="H27" s="32" t="str"/>
    </x:row>
    <x:row r="28">
      <x:c r="A28" s="32" t="str">
        <x:v>D-KIV-007</x:v>
      </x:c>
      <x:c r="B28" s="32" t="str">
        <x:v>Persistent panel</x:v>
      </x:c>
      <x:c r="C28" s="32" t="str">
        <x:v>Seleccionar otro KPI no cierra el inspector; reutiliza la misma Surface.</x:v>
      </x:c>
      <x:c r="D28" s="32" t="str">
        <x:v>ACEPTADA</x:v>
      </x:c>
      <x:c r="E28" s="32" t="str">
        <x:v>Inspection es una sesión de consulta sucesiva y no debe cerrar/reabrir entre KPI.</x:v>
      </x:c>
      <x:c r="F28" s="32" t="str">
        <x:v>JS/UX</x:v>
      </x:c>
      <x:c r="G28" s="32" t="str">
        <x:v>KIV-000B/KIV-001</x:v>
      </x:c>
      <x:c r="H28" s="32" t="str"/>
    </x:row>
    <x:row r="29">
      <x:c r="A29" s="32" t="str">
        <x:v>D-KIV-008</x:v>
      </x:c>
      <x:c r="B29" s="32" t="str">
        <x:v>Loading lock</x:v>
      </x:c>
      <x:c r="C29" s="32" t="str">
        <x:v>Mientras existe una request de Definition activa, nuevos triggers de KPI se ignoran.</x:v>
      </x:c>
      <x:c r="D29" s="32" t="str">
        <x:v>ACEPTADA</x:v>
      </x:c>
      <x:c r="E29" s="32" t="str">
        <x:v>Evita generar múltiples requests/aborts y reduce presión innecesaria sobre la API.</x:v>
      </x:c>
      <x:c r="F29" s="32" t="str">
        <x:v>JS/API</x:v>
      </x:c>
      <x:c r="G29" s="32" t="str">
        <x:v>KIV-000B/KIV-002</x:v>
      </x:c>
      <x:c r="H29" s="32" t="str">
        <x:v>AbortController/requestSequence se mantienen como defensa secundaria.</x:v>
      </x:c>
    </x:row>
    <x:row r="30">
      <x:c r="A30" s="32" t="str">
        <x:v>D-KIV-009</x:v>
      </x:c>
      <x:c r="B30" s="32" t="str">
        <x:v>Non-modal Surface</x:v>
      </x:c>
      <x:c r="C30" s="32" t="str">
        <x:v>El inspector abierto no usa backdrop modal que bloquee el Header.</x:v>
      </x:c>
      <x:c r="D30" s="32" t="str">
        <x:v>ACEPTADA</x:v>
      </x:c>
      <x:c r="E30" s="32" t="str">
        <x:v>El usuario debe poder seleccionar otro KPI sin cerrar el inspector.</x:v>
      </x:c>
      <x:c r="F30" s="32" t="str">
        <x:v>Inspection Surface</x:v>
      </x:c>
      <x:c r="G30" s="32" t="str">
        <x:v>KIV-000B</x:v>
      </x:c>
      <x:c r="H30" s="32" t="str">
        <x:v>Cierre explícito mediante X/Escape; política final se valida visualmente.</x:v>
      </x:c>
    </x:row>
    <x:row r="31">
      <x:c r="A31" s="32" t="str">
        <x:v>D-KIV-010</x:v>
      </x:c>
      <x:c r="B31" s="32" t="str">
        <x:v>Loader evolution</x:v>
      </x:c>
      <x:c r="C31" s="32" t="str">
        <x:v>El estado loading actual controla el lock; un loader/spinner ADA más rico queda para calibración futura.</x:v>
      </x:c>
      <x:c r="D31" s="32" t="str">
        <x:v>ACEPTADA</x:v>
      </x:c>
      <x:c r="E31" s="32" t="str">
        <x:v>No se necesita otra abstracción para garantizar anti-saturation.</x:v>
      </x:c>
      <x:c r="F31" s="32" t="str">
        <x:v>UX</x:v>
      </x:c>
      <x:c r="G31" s="32" t="str">
        <x:v>KIV-005</x:v>
      </x:c>
      <x:c r="H31" s="32" t="str">
        <x:v>aria-busy acompaña el estado de carga.</x:v>
      </x:c>
    </x:row>
    <x:row r="32">
      <x:c r="A32" s="30" t="str">
        <x:v>D-KIV-011</x:v>
      </x:c>
      <x:c r="B32" s="30" t="str">
        <x:v>Per-value identity</x:v>
      </x:c>
      <x:c r="C32" s="30" t="str">
        <x:v>Cada valor visual de Global Indicator puede declarar su propio kpi_key: actual y plan por medición, más Última medición. Un valor sin key permanece neutral.</x:v>
      </x:c>
      <x:c r="D32" s="30" t="str">
        <x:v>ACEPTADA</x:v>
      </x:c>
      <x:c r="E32" s="30" t="str">
        <x:v>Cada valor puede representar una lógica/Definition independiente. El slot no debe imponer identidad compartida.</x:v>
      </x:c>
      <x:c r="F32" s="30" t="str">
        <x:v>Global Indicator contract</x:v>
      </x:c>
      <x:c r="G32" s="30" t="str">
        <x:v>KIV-000C</x:v>
      </x:c>
      <x:c r="H32" s="30" t="str">
        <x:v>Si dos valores representan el mismo KPI, la composición puede pasar explícitamente la misma key.</x:v>
      </x:c>
    </x:row>
    <x:row r="33">
      <x:c r="A33" s="30" t="str">
        <x:v>D-KIV-012</x:v>
      </x:c>
      <x:c r="B33" s="30" t="str">
        <x:v>Focus origin</x:v>
      </x:c>
      <x:c r="C33" s="30" t="str">
        <x:v>Cerrar Inspection restaura foco sólo si la apertura fue por teclado; una apertura por pointer no deja outline/borde residual sobre el valor.</x:v>
      </x:c>
      <x:c r="D33" s="30" t="str">
        <x:v>REEMPLAZADA</x:v>
      </x:c>
      <x:c r="E33" s="30" t="str">
        <x:v>La navegación por teclado sobre valores KPI no es estable ni útil con rerender periódico por Interval.</x:v>
      </x:c>
      <x:c r="F33" s="30" t="str">
        <x:v>Global Indicator / Inspection</x:v>
      </x:c>
      <x:c r="G33" s="30" t="str">
        <x:v>KIV-004</x:v>
      </x:c>
      <x:c r="H33" s="30" t="str">
        <x:v>Reemplazada por D-KIV-014. La política pointer-only aplica a los valores KPI; X/Escape se conservan.</x:v>
      </x:c>
    </x:row>
    <x:row r="34">
      <x:c r="A34" s="30" t="str">
        <x:v>D-KIV-013</x:v>
      </x:c>
      <x:c r="B34" s="30" t="str">
        <x:v>Measurement label spacing</x:v>
      </x:c>
      <x:c r="C34" s="30" t="str">
        <x:v>Turno/Día ganan 0.15rem de espacio horizontal adicional respecto del primer valor, sin aumentar altura del Global Indicator.</x:v>
      </x:c>
      <x:c r="D34" s="30" t="str">
        <x:v>ACEPTADA</x:v>
      </x:c>
      <x:c r="E34" s="30" t="str">
        <x:v>La validación visual mostró el label demasiado próximo al número.</x:v>
      </x:c>
      <x:c r="F34" s="30" t="str">
        <x:v>Global Indicator CSS</x:v>
      </x:c>
      <x:c r="G34" s="30" t="str">
        <x:v>KIV-000C</x:v>
      </x:c>
      <x:c r="H34" s="30" t="str">
        <x:v>Padding inline-end pasa de 0.40rem a 0.55rem.</x:v>
      </x:c>
    </x:row>
    <x:row r="35">
      <x:c r="A35" s="32" t="str">
        <x:v>D-KIV-014</x:v>
      </x:c>
      <x:c r="B35" s="32" t="str">
        <x:v>Pointer-only KPI triggers</x:v>
      </x:c>
      <x:c r="C35" s="32" t="str">
        <x:v>Los valores inspeccionables del Global Indicator son click/pointer-only: conservan data-kpi-inspection-key pero no role=button, tabIndex ni aria-haspopup; no entran al orden de Tab ni muestran focus ring.</x:v>
      </x:c>
      <x:c r="D35" s="32" t="str">
        <x:v>ACEPTADA</x:v>
      </x:c>
      <x:c r="E35" s="32" t="str">
        <x:v>El dcc.Interval reemplaza los valores periódicamente y reinicia la secuencia de foco. Mantener navegación por Tab sobre esos nodos agrega complejidad sin valor operacional.</x:v>
      </x:c>
      <x:c r="F35" s="32" t="str">
        <x:v>Global Indicator / UX</x:v>
      </x:c>
      <x:c r="G35" s="32" t="str">
        <x:v>KIV-004 corrective 0.1.1</x:v>
      </x:c>
      <x:c r="H35" s="32" t="str">
        <x:v>No se deshabilita Tab globalmente. El botón X del inspector y otros controles nativos permanecen controles normales; Escape sigue cerrando.</x:v>
      </x:c>
    </x:row>
    <x:row r="36">
      <x:c r="A36" s="32" t="str">
        <x:v>D-TS-013</x:v>
      </x:c>
      <x:c r="B36" s="32" t="str">
        <x:v>ADA source contract</x:v>
      </x:c>
      <x:c r="C36" s="32" t="str">
        <x:v>En ADA, PI siempre existe y es obligatorio en Time Status; Dispatch es opcional según la Tool.</x:v>
      </x:c>
      <x:c r="D36" s="32" t="str">
        <x:v>ACEPTADA</x:v>
      </x:c>
      <x:c r="E36" s="32" t="str">
        <x:v>Refleja el contrato operativo real de ADA.</x:v>
      </x:c>
      <x:c r="F36" s="32" t="str">
        <x:v>Contract/Composition</x:v>
      </x:c>
      <x:c r="G36" s="32" t="str">
        <x:v>TS-001</x:v>
      </x:c>
      <x:c r="H36" s="32" t="str">
        <x:v>La base Atlanticus puede seguir siendo source-agnostic internamente.</x:v>
      </x:c>
    </x:row>
    <x:row r="37">
      <x:c r="A37" s="32" t="str">
        <x:v>D-TS-014</x:v>
      </x:c>
      <x:c r="B37" s="32" t="str">
        <x:v>Summary interaction</x:v>
      </x:c>
      <x:c r="C37" s="32" t="str">
        <x:v>PI y Dispatch se presentan dentro de un único conjunto Time Status. Cuando existe detail, se pincha el conjunto completo; no hay triggers separados por fuente.</x:v>
      </x:c>
      <x:c r="D37" s="32" t="str">
        <x:v>ACEPTADA</x:v>
      </x:c>
      <x:c r="E37" s="32" t="str">
        <x:v>Time Status es una unidad operacional y el detail describe el contexto temporal completo.</x:v>
      </x:c>
      <x:c r="F37" s="32" t="str">
        <x:v>UI Contract</x:v>
      </x:c>
      <x:c r="G37" s="32" t="str">
        <x:v>TS-001/TS-005</x:v>
      </x:c>
      <x:c r="H37" s="32" t="str">
        <x:v>El reloj forma parte visual del conjunto.</x:v>
      </x:c>
    </x:row>
    <x:row r="38">
      <x:c r="A38" s="32" t="str">
        <x:v>D-TS-015</x:v>
      </x:c>
      <x:c r="B38" s="32" t="str">
        <x:v>Relative-age buckets</x:v>
      </x:c>
      <x:c r="C38" s="32" t="str">
        <x:v>La edad visible usa buckets discretos: 0–9 s '&lt;10 s'; 10–19 '&gt;10 s'; 20–29 '&gt;20 s'; 30–39 '&gt;30 s'; 40–49 '&gt;40 s'; 50–59 '&gt;50 s'; desde 60 s usa minutos/horas/días enteros sin segundos residuales.</x:v>
      </x:c>
      <x:c r="D38" s="32" t="str">
        <x:v>ACEPTADA</x:v>
      </x:c>
      <x:c r="E38" s="32" t="str">
        <x:v>Evita ruido por segundos exactos y permite advertencias consistentes.</x:v>
      </x:c>
      <x:c r="F38" s="32" t="str">
        <x:v>Presentation</x:v>
      </x:c>
      <x:c r="G38" s="32" t="str">
        <x:v>TS-001/TS-009</x:v>
      </x:c>
      <x:c r="H38" s="32" t="str">
        <x:v>Los buckets se recalculan con el reloj real aunque no cambie el watermark.</x:v>
      </x:c>
    </x:row>
    <x:row r="39">
      <x:c r="A39" s="32" t="str">
        <x:v>D-TS-016</x:v>
      </x:c>
      <x:c r="B39" s="32" t="str">
        <x:v>Two-stage freshness policy</x:v>
      </x:c>
      <x:c r="C39" s="32" t="str">
        <x:v>Cada fuente summary define dos umbrales configurables: warning_after_seconds (preventivo) y stale_after_seconds (hard). Ejemplo actual: PI 200/300 s; Dispatch 400/600 s.</x:v>
      </x:c>
      <x:c r="D39" s="32" t="str">
        <x:v>ACEPTADA</x:v>
      </x:c>
      <x:c r="E39" s="32" t="str">
        <x:v>Se necesita una advertencia temprana antes de degradar el contenido completo.</x:v>
      </x:c>
      <x:c r="F39" s="32" t="str">
        <x:v>Configuration/Domain</x:v>
      </x:c>
      <x:c r="G39" s="32" t="str">
        <x:v>TS-001/CS-003</x:v>
      </x:c>
      <x:c r="H39" s="32" t="str">
        <x:v>Los valores son configuración de Tool/source, no constantes de UI.</x:v>
      </x:c>
    </x:row>
    <x:row r="40">
      <x:c r="A40" s="32" t="str">
        <x:v>D-TS-017</x:v>
      </x:c>
      <x:c r="B40" s="32" t="str">
        <x:v>Preventive source warning</x:v>
      </x:c>
      <x:c r="C40" s="32" t="str">
        <x:v>Cuando age &gt;= warning_after_seconds y age &lt; stale_after_seconds, sólo la representación visible de esa fuente entra en estado preventivo: aviso visual/parpadeo rojo a iterar. Los componentes permanecen utilizables y sin overlay de desactualización.</x:v>
      </x:c>
      <x:c r="D40" s="32" t="str">
        <x:v>ACEPTADA</x:v>
      </x:c>
      <x:c r="E40" s="32" t="str">
        <x:v>La primera temporalidad avisa al operador sin declarar todavía la información globalmente desactualizada.</x:v>
      </x:c>
      <x:c r="F40" s="32" t="str">
        <x:v>UI/Domain</x:v>
      </x:c>
      <x:c r="G40" s="32" t="str">
        <x:v>TS-001/TS-009</x:v>
      </x:c>
      <x:c r="H40" s="32" t="str">
        <x:v>Color/animación exactos se iteran; la semántica PREVENTIVE sí queda congelada.</x:v>
      </x:c>
    </x:row>
    <x:row r="41">
      <x:c r="A41" s="32" t="str">
        <x:v>D-TS-018</x:v>
      </x:c>
      <x:c r="B41" s="32" t="str">
        <x:v>Hard stale per source</x:v>
      </x:c>
      <x:c r="C41" s="32" t="str">
        <x:v>Cuando age &gt;= stale_after_seconds, esa fuente queda HARD_STALE. Esto se representa claramente en Time Status, pero por sí solo no fuerza todavía el overlay global si existen otras summary sources requeridas que siguen dentro de su hard threshold.</x:v>
      </x:c>
      <x:c r="D41" s="32" t="str">
        <x:v>ACEPTADA</x:v>
      </x:c>
      <x:c r="E41" s="32" t="str">
        <x:v>El usuario definió que la degradación total ocurre cuando todas las fuentes summary requeridas superan su segunda temporalidad.</x:v>
      </x:c>
      <x:c r="F41" s="32" t="str">
        <x:v>Domain</x:v>
      </x:c>
      <x:c r="G41" s="32" t="str">
        <x:v>TS-001/CS-003</x:v>
      </x:c>
      <x:c r="H41" s="32" t="str">
        <x:v>PI-only: PI HARD_STALE basta. PI+Dispatch: se requiere PI HARD_STALE AND Dispatch HARD_STALE.</x:v>
      </x:c>
    </x:row>
    <x:row r="42">
      <x:c r="A42" s="32" t="str">
        <x:v>D-TS-019</x:v>
      </x:c>
      <x:c r="B42" s="32" t="str">
        <x:v>Global stale aggregation</x:v>
      </x:c>
      <x:c r="C42" s="32" t="str">
        <x:v>La Tool entra en CONTENT_STALE cuando todas sus summary sources requeridas están HARD_STALE. En ADA PI-only: PI. En ADA PI+Dispatch: PI AND Dispatch. Al activarse, todos los componentes de la Tool se marcan con un estado tipo 'Información desactualizada'.</x:v>
      </x:c>
      <x:c r="D42" s="32" t="str">
        <x:v>ACEPTADA</x:v>
      </x:c>
      <x:c r="E42" s="32" t="str">
        <x:v>La segunda temporalidad representa pérdida de confianza global en la información operacional.</x:v>
      </x:c>
      <x:c r="F42" s="32" t="str">
        <x:v>Domain/Content State</x:v>
      </x:c>
      <x:c r="G42" s="32" t="str">
        <x:v>TS-001/CS-003/CS-005</x:v>
      </x:c>
      <x:c r="H42" s="32" t="str">
        <x:v>La lógica es AND sobre las summary sources requeridas, no OR.</x:v>
      </x:c>
    </x:row>
    <x:row r="43">
      <x:c r="A43" s="32" t="str">
        <x:v>D-TS-020</x:v>
      </x:c>
      <x:c r="B43" s="32" t="str">
        <x:v>Invalid/missing timestamp</x:v>
      </x:c>
      <x:c r="C43" s="32" t="str">
        <x:v>Timestamp ausente, mal formado, no parseable o semánticamente inválido no se clasifica PREVENTIVE ni STALE. Produce un estado de calidad temporal separado DATA_ERROR/INVALID_DATA y los componentes afectados deben reflejar que la información es mala/inválida.</x:v>
      </x:c>
      <x:c r="D43" s="32" t="str">
        <x:v>ACEPTADA</x:v>
      </x:c>
      <x:c r="E43" s="32" t="str">
        <x:v>No puede calcularse freshness fiable sin un timestamp válido.</x:v>
      </x:c>
      <x:c r="F43" s="32" t="str">
        <x:v>Domain/Content State</x:v>
      </x:c>
      <x:c r="G43" s="32" t="str">
        <x:v>TS-001/DATA-005/CS-001</x:v>
      </x:c>
      <x:c r="H43" s="32" t="str">
        <x:v>Copy/nombre final del overlay se definirá al diseñar Content State; no reutilizar 'Información desactualizada'.</x:v>
      </x:c>
    </x:row>
    <x:row r="44">
      <x:c r="A44" s="32" t="str">
        <x:v>D-TS-021</x:v>
      </x:c>
      <x:c r="B44" s="32" t="str">
        <x:v>Data-error propagation</x:v>
      </x:c>
      <x:c r="C44" s="32" t="str">
        <x:v>El resolver de Content State recibe la condición DATA_ERROR/INVALID_DATA y la propaga al scope de componentes afectado por esa fuente. Si la fuente está declarada como dependencia global de la Tool, el estado alcanza a todos sus componentes.</x:v>
      </x:c>
      <x:c r="D44" s="32" t="str">
        <x:v>ACEPTADA</x:v>
      </x:c>
      <x:c r="E44" s="32" t="str">
        <x:v>Evita marcar componentes no relacionados cuando existan dependencias parciales, pero permite el comportamiento global requerido cuando la fuente sea global.</x:v>
      </x:c>
      <x:c r="F44" s="32" t="str">
        <x:v>Architecture</x:v>
      </x:c>
      <x:c r="G44" s="32" t="str">
        <x:v>TS-001/CS-004</x:v>
      </x:c>
      <x:c r="H44" s="32" t="str">
        <x:v>Congelado: dependency mapping decide scope; una dependencia global propaga DATA_ERROR a todos los componentes.</x:v>
      </x:c>
    </x:row>
    <x:row r="45">
      <x:c r="A45" s="32" t="str">
        <x:v>D-TS-022</x:v>
      </x:c>
      <x:c r="B45" s="32" t="str">
        <x:v>Freshness independence</x:v>
      </x:c>
      <x:c r="C45" s="32" t="str">
        <x:v>Freshness se recalcula contra el reloj real aunque el timestamp almacenado no cambie; las transiciones FRESH→PREVENTIVE→HARD_STALE son independientes de la llegada de nuevos datos.</x:v>
      </x:c>
      <x:c r="D45" s="32" t="str">
        <x:v>ACEPTADA</x:v>
      </x:c>
      <x:c r="E45" s="32" t="str">
        <x:v>Una fuente puede envejecer sin publicar un nuevo watermark.</x:v>
      </x:c>
      <x:c r="F45" s="32" t="str">
        <x:v>Runtime/JS</x:v>
      </x:c>
      <x:c r="G45" s="32" t="str">
        <x:v>TS-001/TS-009</x:v>
      </x:c>
      <x:c r="H45" s="32" t="str">
        <x:v>No depender del Interval de Collector para cruzar thresholds.</x:v>
      </x:c>
    </x:row>
    <x:row r="46">
      <x:c r="A46" s="32" t="str">
        <x:v>D-TS-023</x:v>
      </x:c>
      <x:c r="B46" s="32" t="str">
        <x:v>Real synchronized clock</x:v>
      </x:c>
      <x:c r="C46" s="32" t="str">
        <x:v>El reloj deriva de Date/Date.now en cada actualización y se resincroniza tras suspensión/visibility change; no es un contador incremental desde bootstrap.</x:v>
      </x:c>
      <x:c r="D46" s="32" t="str">
        <x:v>ACEPTADA</x:v>
      </x:c>
      <x:c r="E46" s="32" t="str">
        <x:v>Evita drift y corrige inmediatamente saltos de tiempo reales.</x:v>
      </x:c>
      <x:c r="F46" s="32" t="str">
        <x:v>JS</x:v>
      </x:c>
      <x:c r="G46" s="32" t="str">
        <x:v>TS-001/TS-003</x:v>
      </x:c>
      <x:c r="H46" s="32" t="str">
        <x:v>Timezone/format se inyectan por aplicación; ADA configurará su zona operacional.</x:v>
      </x:c>
    </x:row>
    <x:row r="47">
      <x:c r="A47" s="32" t="str">
        <x:v>D-TS-024</x:v>
      </x:c>
      <x:c r="B47" s="32" t="str">
        <x:v>Visual freeze boundary</x:v>
      </x:c>
      <x:c r="C47" s="32" t="str">
        <x:v>TS-001 congela estados, thresholds, agregación y comportamiento; colores, animación preventiva, iconografía y copy exactos se iteran en previews posteriores.</x:v>
      </x:c>
      <x:c r="D47" s="32" t="str">
        <x:v>ACEPTADA</x:v>
      </x:c>
      <x:c r="E47" s="32" t="str">
        <x:v>La versión visual actual aún requiere calibración.</x:v>
      </x:c>
      <x:c r="F47" s="32" t="str">
        <x:v>UX/Roadmap</x:v>
      </x:c>
      <x:c r="G47" s="32" t="str">
        <x:v>TS-002..TS-012</x:v>
      </x:c>
      <x:c r="H47" s="32" t="str">
        <x:v>No bloquear backend contract por estética.</x:v>
      </x:c>
    </x:row>
    <x:row r="48">
      <x:c r="A48" s="32" t="str">
        <x:v>D-TS-025</x:v>
      </x:c>
      <x:c r="B48" s="32" t="str">
        <x:v>Clock runtime contract</x:v>
      </x:c>
      <x:c r="C48" s="32" t="str">
        <x:v>Time Status publica time_zone en runtime config; ADA usa America/Santiago por defecto. El cliente deriva YYYY-MM-DD HH:mm:ss desde Date.now(), reprograma con setTimeout alineado al segundo y resincroniza tras visibilitychange/focus/pageshow.</x:v>
      </x:c>
      <x:c r="D48" s="32" t="str">
        <x:v>ACEPTADA</x:v>
      </x:c>
      <x:c r="E48" s="32" t="str">
        <x:v>Evita drift, no genera requests al backend y permite recuperar hora correcta después de suspensión del navegador/equipo.</x:v>
      </x:c>
      <x:c r="F48" s="32" t="str">
        <x:v>JS/Runtime Config</x:v>
      </x:c>
      <x:c r="G48" s="32" t="str">
        <x:v>TS-003</x:v>
      </x:c>
      <x:c r="H48" s="32" t="str">
        <x:v>El controller vuelve a resolver data-ada-time-status-clock en cada tick para tolerar rerenders futuros de Dash.</x:v>
      </x:c>
    </x:row>
    <x:row r="49">
      <x:c r="A49" s="32" t="str">
        <x:v>D-TS-026</x:v>
      </x:c>
      <x:c r="B49" s="32" t="str">
        <x:v>Snapshot identity</x:v>
      </x:c>
      <x:c r="C49" s="32" t="str">
        <x:v>Time Status usa tool_key como identidad lógica única del snapshot. No se crea application_key paralela; el canal Time Status queda definido por la capability.</x:v>
      </x:c>
      <x:c r="D49" s="32" t="str">
        <x:v>ACEPTADA</x:v>
      </x:c>
      <x:c r="E49" s="32" t="str">
        <x:v>Evita identidades duplicadas y mantiene aislamiento entre Tools con el identificador estable ya existente.</x:v>
      </x:c>
      <x:c r="F49" s="32" t="str">
        <x:v>Data/Architecture</x:v>
      </x:c>
      <x:c r="G49" s="32" t="str">
        <x:v>TS-004</x:v>
      </x:c>
      <x:c r="H49" s="32" t="str">
        <x:v>Operaciones Integradas y Procesos no pueden compartir snapshot si sus tool_key son distintos.</x:v>
      </x:c>
    </x:row>
    <x:row r="50">
      <x:c r="A50" s="32" t="str">
        <x:v>D-TS-027</x:v>
      </x:c>
      <x:c r="B50" s="32" t="str">
        <x:v>Double tool-scope guard</x:v>
      </x:c>
      <x:c r="C50" s="32" t="str">
        <x:v>El source/provider se consulta explícitamente con tool_key y el adapter rechaza el documento si su tool_key interno no coincide con el solicitado.</x:v>
      </x:c>
      <x:c r="D50" s="32" t="str">
        <x:v>ACEPTADA</x:v>
      </x:c>
      <x:c r="E50" s="32" t="str">
        <x:v>Protege contra provider mal configurado, cache equivocada o routing cruzado.</x:v>
      </x:c>
      <x:c r="F50" s="32" t="str">
        <x:v>Adapter/Isolation</x:v>
      </x:c>
      <x:c r="G50" s="32" t="str">
        <x:v>TS-004</x:v>
      </x:c>
      <x:c r="H50" s="32" t="str">
        <x:v>Mismatch produce TimeStatusToolScopeError; no fallback.</x:v>
      </x:c>
    </x:row>
    <x:row r="51">
      <x:c r="A51" s="32" t="str">
        <x:v>D-TS-028</x:v>
      </x:c>
      <x:c r="B51" s="32" t="str">
        <x:v>Stateless adapter</x:v>
      </x:c>
      <x:c r="C51" s="32" t="str">
        <x:v>TimeStatusStoreAdapter no mantiene snapshot/cache global. Cada load vuelve al source inyectado y devuelve un snapshot inmutable.</x:v>
      </x:c>
      <x:c r="D51" s="32" t="str">
        <x:v>ACEPTADA</x:v>
      </x:c>
      <x:c r="E51" s="32" t="str">
        <x:v>Evita cruces entre Tools/workers y deja caching, si algún día se necesita, como responsabilidad explícita aparte.</x:v>
      </x:c>
      <x:c r="F51" s="32" t="str">
        <x:v>Adapter</x:v>
      </x:c>
      <x:c r="G51" s="32" t="str">
        <x:v>TS-004</x:v>
      </x:c>
      <x:c r="H51" s="32" t="str">
        <x:v>No clientes globales ni localStorage/browser state en esta capa.</x:v>
      </x:c>
    </x:row>
    <x:row r="52">
      <x:c r="A52" s="32" t="str">
        <x:v>D-TS-029</x:v>
      </x:c>
      <x:c r="B52" s="32" t="str">
        <x:v>Normalized store boundary</x:v>
      </x:c>
      <x:c r="C52" s="32" t="str">
        <x:v>TS-004 congela un documento Web normalizado tool_key/generated_at_utc/sources detrás de TimeStatusStoreDocumentSource; no afirma aún la forma física definitiva del Collector.</x:v>
      </x:c>
      <x:c r="D52" s="32" t="str">
        <x:v>ACEPTADA</x:v>
      </x:c>
      <x:c r="E52" s="32" t="str">
        <x:v>Permite avanzar con fake sin acoplar la UI a un backend todavía cambiante.</x:v>
      </x:c>
      <x:c r="F52" s="32" t="str">
        <x:v>Data Contract</x:v>
      </x:c>
      <x:c r="G52" s="32" t="str">
        <x:v>TS-004/DATA-001</x:v>
      </x:c>
      <x:c r="H52" s="32" t="str">
        <x:v>El wiring real deberá adaptar el payload físico a este contrato.</x:v>
      </x:c>
    </x:row>
    <x:row r="53">
      <x:c r="A53" s="32" t="str">
        <x:v>D-TS-030</x:v>
      </x:c>
      <x:c r="B53" s="32" t="str">
        <x:v>Timestamp structural quality</x:v>
      </x:c>
      <x:c r="C53" s="32" t="str">
        <x:v>El adapter clasifica timestamps de fuente como VALID, MISSING o INVALID. Un timestamp futuro parseable sigue VALID estructuralmente; la semántica de skew/freshness se evalúa después.</x:v>
      </x:c>
      <x:c r="D53" s="32" t="str">
        <x:v>ACEPTADA</x:v>
      </x:c>
      <x:c r="E53" s="32" t="str">
        <x:v>Separa parsing/calidad física de políticas temporales de negocio.</x:v>
      </x:c>
      <x:c r="F53" s="32" t="str">
        <x:v>Data Contract</x:v>
      </x:c>
      <x:c r="G53" s="32" t="str">
        <x:v>TS-004/TS-009</x:v>
      </x:c>
      <x:c r="H53" s="32" t="str">
        <x:v>generated_at_utc inválido sí invalida el envelope completo.</x:v>
      </x:c>
    </x:row>
    <x:row r="54">
      <x:c r="A54" s="30" t="str">
        <x:v>D-TS-031</x:v>
      </x:c>
      <x:c r="B54" s="30" t="str">
        <x:v>Local DOM anchoring</x:v>
      </x:c>
      <x:c r="C54" s="30" t="str">
        <x:v>Cada Time Status compuesto crea su propia frontera data-ada-time-status-container. Summary y Detail Surface son hermanos; el detail no usa ID global.</x:v>
      </x:c>
      <x:c r="D54" s="30" t="str">
        <x:v>ACEPTADA</x:v>
      </x:c>
      <x:c r="E54" s="30" t="str">
        <x:v>Permite que TS-006 resuelva trigger→closest container→surface y evita singleton/cruces entre instancias.</x:v>
      </x:c>
      <x:c r="F54" s="30" t="str">
        <x:v>UI/DOM</x:v>
      </x:c>
      <x:c r="G54" s="30" t="str">
        <x:v>TS-005/TS-006</x:v>
      </x:c>
      <x:c r="H54" s="30" t="str">
        <x:v>No agrega application_key ni estado global.</x:v>
      </x:c>
    </x:row>
    <x:row r="55">
      <x:c r="A55" s="30" t="str">
        <x:v>D-TS-032</x:v>
      </x:c>
      <x:c r="B55" s="30" t="str">
        <x:v>TS-005 interaction boundary</x:v>
      </x:c>
      <x:c r="C55" s="30" t="str">
        <x:v>TS-005 sólo crea la Surface cerrada y su geometría anclada. No incorpora open/closed JS, outside click, Escape, keyboard, Interval resilience ni datos.</x:v>
      </x:c>
      <x:c r="D55" s="30" t="str">
        <x:v>ACEPTADA</x:v>
      </x:c>
      <x:c r="E55" s="30" t="str">
        <x:v>Mantiene el incremento aislado y verificable; esas responsabilidades ya pertenecen a TS-006/007/008.</x:v>
      </x:c>
      <x:c r="F55" s="30" t="str">
        <x:v>Scope/Architecture</x:v>
      </x:c>
      <x:c r="G55" s="30" t="str">
        <x:v>TS-005</x:v>
      </x:c>
      <x:c r="H55" s="30" t="str">
        <x:v>La Surface acepta un Component inyectado sin congelar todavía el modelo final de filas.</x:v>
      </x:c>
    </x:row>
    <x:row r="56">
      <x:c r="A56" s="30" t="str">
        <x:v>D-TS-036</x:v>
      </x:c>
      <x:c r="B56" s="30" t="str">
        <x:v>Popover rerender identity</x:v>
      </x:c>
      <x:c r="C56" s="30" t="str">
        <x:v>La resiliencia del open-state reutiliza tool_key como identidad estable del Time Status; no se crea instance_key ni application_key paralelo.</x:v>
      </x:c>
      <x:c r="D56" s="30" t="str">
        <x:v>ACEPTADA</x:v>
      </x:c>
      <x:c r="E56" s="30" t="str">
        <x:v>Alinea UI con la identidad ya congelada en TS-004 y evita cruces entre Operaciones Integradas y Procesos.</x:v>
      </x:c>
      <x:c r="F56" s="30" t="str">
        <x:v>JS/Architecture</x:v>
      </x:c>
      <x:c r="G56" s="30" t="str">
        <x:v>TS-007</x:v>
      </x:c>
      <x:c r="H56" s="30" t="str">
        <x:v>El controller recuerda sólo openToolKey dentro del IIFE de la pestaña; no guarda snapshot, timestamps ni contenido.</x:v>
      </x:c>
    </x:row>
    <x:row r="57">
      <x:c r="A57" s="30" t="str">
        <x:v>D-TS-037</x:v>
      </x:c>
      <x:c r="B57" s="30" t="str">
        <x:v>Rerender reconciliation</x:v>
      </x:c>
      <x:c r="C57" s="30" t="str">
        <x:v>Como la Detail Surface vive dentro del subárbol que Dash puede reemplazar, TS-007 usa MutationObserver sólo sobre childList/subtree para detectar nodos añadidos y re-resolver la misma Tool.</x:v>
      </x:c>
      <x:c r="D57" s="30" t="str">
        <x:v>ACEPTADA</x:v>
      </x:c>
      <x:c r="E57" s="30" t="str">
        <x:v>A diferencia de KPI Inspection, aquí no existe una Surface estable fuera de app_entry; observar inserciones es la frontera mínima para restaurar el estado sin acoplarlo al callback de datos.</x:v>
      </x:c>
      <x:c r="F57" s="30" t="str">
        <x:v>JS/Resilience</x:v>
      </x:c>
      <x:c r="G57" s="30" t="str">
        <x:v>TS-007</x:v>
      </x:c>
      <x:c r="H57" s="30" t="str">
        <x:v>No observa atributos, no usa storage, no retiene nodos viejos y no participa en la actualización de datos.</x:v>
      </x:c>
    </x:row>
    <x:row r="58">
      <x:c r="A58" t="str">
        <x:v>D-TS-038</x:v>
      </x:c>
      <x:c r="B58" t="str">
        <x:v>Control-source authority</x:v>
      </x:c>
      <x:c r="C58" t="str">
        <x:v>La autoridad operacional de Time Status se deriva exclusivamente de source key: PI siempre y Dispatch sólo cuando la Tool lo consume. Las fuentes adicionales del Detail son informativas y no pueden activar freshness, parpadeo ni Content State.</x:v>
      </x:c>
      <x:c r="D58" t="str">
        <x:v>ACEPTADA</x:v>
      </x:c>
      <x:c r="E58" t="str">
        <x:v>Evita convertir una fuente informativa en dependencia operacional mediante flags configurables o metadata del backend.</x:v>
      </x:c>
      <x:c r="F58" t="str">
        <x:v>Architecture/Domain</x:v>
      </x:c>
      <x:c r="G58" t="str">
        <x:v>TS-008/TS-009/CS-003</x:v>
      </x:c>
      <x:c r="H58" t="str">
        <x:v>No existe affects_health configurable en TS-008; el rol control/informational se deriva del key.</x:v>
      </x:c>
    </x:row>
    <x:row r="59">
      <x:c r="A59" t="str">
        <x:v>D-TS-039</x:v>
      </x:c>
      <x:c r="B59" t="str">
        <x:v>Explicit detail consumption boundary</x:v>
      </x:c>
      <x:c r="C59" t="str">
        <x:v>TimeStatusDetailState recibe explícitamente las fuentes que la Tool consume y sólo renderiza esas filas. PI es obligatoria; Dispatch es opcional; las extras se preservan como información opaca. TS-008 no consulta catálogo global ni Tool Configuration directamente.</x:v>
      </x:c>
      <x:c r="D59" t="str">
        <x:v>ACEPTADA</x:v>
      </x:c>
      <x:c r="E59" t="str">
        <x:v>Mantiene ada-web-ui-time-status desacoplado del Manager/configuración y deja DATA-003 como resolver de composición separado.</x:v>
      </x:c>
      <x:c r="F59" t="str">
        <x:v>Architecture/Composition</x:v>
      </x:c>
      <x:c r="G59" t="str">
        <x:v>TS-008/DATA-003</x:v>
      </x:c>
      <x:c r="H59" t="str">
        <x:v>Orden canónico: PI, Dispatch si existe y luego extras en su orden relativo de entrada.</x:v>
      </x:c>
    </x:row>
    <x:row r="60">
      <x:c r="A60" t="str">
        <x:v>D-TS-040</x:v>
      </x:c>
      <x:c r="B60" t="str">
        <x:v>Future timestamp semantics</x:v>
      </x:c>
      <x:c r="C60" t="str">
        <x:v>Un timestamp estructuralmente válido pero posterior a now_utc se clasifica DATA_ERROR en el resolver. No existe tolerancia de skew implícita ni un tercer umbral escondido.</x:v>
      </x:c>
      <x:c r="D60" t="str">
        <x:v>ACEPTADA</x:v>
      </x:c>
      <x:c r="E60" t="str">
        <x:v>Mantiene exactamente dos umbrales configurables por fuente y evita declarar FRESH un dato temporalmente imposible sin una policy explícita.</x:v>
      </x:c>
      <x:c r="F60" t="str">
        <x:v>Domain/Freshness</x:v>
      </x:c>
      <x:c r="G60" t="str">
        <x:v>TS-009/DATA-005</x:v>
      </x:c>
      <x:c r="H60" t="str">
        <x:v>Si operación demuestra necesidad real de tolerancia, debe agregarse como contrato/configuración explícita en otro incremento.</x:v>
      </x:c>
    </x:row>
    <x:row r="61">
      <x:c r="A61" t="str">
        <x:v>D-TS-041</x:v>
      </x:c>
      <x:c r="B61" t="str">
        <x:v>Client freshness authority</x:v>
      </x:c>
      <x:c r="C61" t="str">
        <x:v>El cliente recalcula sólo fuentes que llegaron con condición temporal válida y puede transicionar FRESH/PREVENTIVE/HARD_STALE usando Date.now. DATA_ERROR no se reinterpreta en navegador; una edad local negativa se clampa a cero para no fabricar errores por clock skew del workstation.</x:v>
      </x:c>
      <x:c r="D61" t="str">
        <x:v>ACEPTADA</x:v>
      </x:c>
      <x:c r="E61" t="str">
        <x:v>Separa calidad temporal autoritativa de envejecimiento visual continuo y evita que el reloj del navegador contradiga al resolver de datos.</x:v>
      </x:c>
      <x:c r="F61" t="str">
        <x:v>JS/Domain</x:v>
      </x:c>
      <x:c r="G61" t="str">
        <x:v>TS-009</x:v>
      </x:c>
      <x:c r="H61" t="str">
        <x:v>visibility/focus/pageshow reutilizan el resync de TS-003; no se agrega segundo timer.</x:v>
      </x:c>
    </x:row>
    <x:row r="62">
      <x:c r="A62" t="str">
        <x:v>D-TS-042</x:v>
      </x:c>
      <x:c r="B62" t="str">
        <x:v>Freshness resolver placement</x:v>
      </x:c>
      <x:c r="C62" t="str">
        <x:v>TS-009 mantiene el resolver puro dentro de ada-web-ui-time-status mientras exista un único consumidor real. No se crea package compartido anticipadamente; Content State podrá extraerlo cuando exista reutilización efectiva.</x:v>
      </x:c>
      <x:c r="D62" t="str">
        <x:v>ACEPTADA</x:v>
      </x:c>
      <x:c r="E62" t="str">
        <x:v>Evita una capability/dependencia/lock adicional antes de demostrar reutilización, manteniendo la lógica aislada en resolver.py para una futura extracción limpia.</x:v>
      </x:c>
      <x:c r="F62" t="str">
        <x:v>Architecture</x:v>
      </x:c>
      <x:c r="G62" t="str">
        <x:v>TS-009/CS-003</x:v>
      </x:c>
      <x:c r="H62" t="str">
        <x:v>No introduce dependencia UI→Store Adapter; la futura composición convierte calidad TS-004 a timestamp_utc/None.</x:v>
      </x:c>
    </x:row>
    <x:row r="63" ht="58" hidden="0" customHeight="1">
      <x:c r="A63" t="str">
        <x:v>D-TS-043</x:v>
      </x:c>
      <x:c r="B63" s="30" t="str">
        <x:v>Detail interaction boundary</x:v>
      </x:c>
      <x:c r="C63" s="30" t="str">
        <x:v>Sólo el bloque PI/Dispatch del Summary expone affordance y trigger de Detail. Fecha y hora permanece fuera del trigger y no es interactiva.</x:v>
      </x:c>
      <x:c r="D63" s="30" t="str">
        <x:v>ACEPTADA</x:v>
      </x:c>
      <x:c r="E63" s="30" t="str">
        <x:v>El Detail describe fuentes; limitar el trigger al grupo de fuentes evita una affordance falsa sobre todo el strip.</x:v>
      </x:c>
      <x:c r="F63" s="30" t="str">
        <x:v>UX/DOM</x:v>
      </x:c>
      <x:c r="G63" s="30" t="str">
        <x:v>TS-012A</x:v>
      </x:c>
      <x:c r="H63" s="30" t="str">
        <x:v>El trigger conserva keyboard accessibility en el bloque de fuentes.</x:v>
      </x:c>
    </x:row>
    <x:row r="64" ht="58" hidden="0" customHeight="1">
      <x:c r="A64" t="str">
        <x:v>D-TS-044</x:v>
      </x:c>
      <x:c r="B64" s="30" t="str">
        <x:v>Floating surface visual language</x:v>
      </x:c>
      <x:c r="C64" s="30" t="str">
        <x:v>La Detail Surface de Time Status se ancla a la izquierda bajo PI/Dispatch y usa var(--dark-color) con texto claro para distinguir toda visualización superficial del contenido base.</x:v>
      </x:c>
      <x:c r="D64" s="30" t="str">
        <x:v>ACEPTADA</x:v>
      </x:c>
      <x:c r="E64" s="30" t="str">
        <x:v>Recupera contraste del lenguaje ADA sin convertir la Surface en modal ni portal global.</x:v>
      </x:c>
      <x:c r="F64" s="30" t="str">
        <x:v>UI/CSS</x:v>
      </x:c>
      <x:c r="G64" s="30" t="str">
        <x:v>TS-012A</x:v>
      </x:c>
      <x:c r="H64" s="30" t="str">
        <x:v>Se mantiene position:absolute, no-reflow y collision/mobile de TS-010.</x:v>
      </x:c>
    </x:row>
    <x:row r="65" ht="58" hidden="0" customHeight="1">
      <x:c r="A65" t="str">
        <x:v>D-TS-045</x:v>
      </x:c>
      <x:c r="B65" s="30" t="str">
        <x:v>Legacy red emphasis</x:v>
      </x:c>
      <x:c r="C65" s="30" t="str">
        <x:v>PREVENTIVE aplica cápsula completa roja pulsante; HARD_STALE y DATA_ERROR aplican cápsula completa roja estable con texto blanco. FRESH conserva geometría equivalente sin color crítico.</x:v>
      </x:c>
      <x:c r="D65" s="30" t="str">
        <x:v>ACEPTADA</x:v>
      </x:c>
      <x:c r="E65" s="30" t="str">
        <x:v>La revisión visual mostró que colorear sólo partes del texto no comunica suficientemente una condición operacional.</x:v>
      </x:c>
      <x:c r="F65" s="30" t="str">
        <x:v>UI/Freshness</x:v>
      </x:c>
      <x:c r="G65" s="30" t="str">
        <x:v>TS-012A</x:v>
      </x:c>
      <x:c r="H65" s="30" t="str">
        <x:v>BlockGrade y demás fuentes informativas siguen sin autoridad operacional ni tratamiento rojo por freshness.</x:v>
      </x:c>
    </x:row>
    <x:row r="66" ht="58" hidden="0" customHeight="1">
      <x:c r="A66" t="str">
        <x:v>D-TS-046</x:v>
      </x:c>
      <x:c r="B66" s="30" t="str">
        <x:v>Clock rerender hydration</x:v>
      </x:c>
      <x:c r="C66" s="30" t="str">
        <x:v>El único clock controller hidrata inmediatamente relojes recién insertados mediante MutationObserver además de su tick existente; no se crea segundo timer.</x:v>
      </x:c>
      <x:c r="D66" s="30" t="str">
        <x:v>ACEPTADA</x:v>
      </x:c>
      <x:c r="E66" s="30" t="str">
        <x:v>Elimina el placeholder visible entre un rerender Dash y el siguiente tick sin duplicar lifecycle/timers.</x:v>
      </x:c>
      <x:c r="F66" s="30" t="str">
        <x:v>JS/Resilience</x:v>
      </x:c>
      <x:c r="G66" s="30" t="str">
        <x:v>TS-012A</x:v>
      </x:c>
      <x:c r="H66" s="30" t="str">
        <x:v>El observer reutiliza el boundary childList/subtree ya aceptado para DOM reemplazado.</x:v>
      </x:c>
    </x:row>
    <x:row r="67" ht="60" customHeight="1">
      <x:c r="A67" t="str">
        <x:v>D-TS-047</x:v>
      </x:c>
      <x:c r="B67" s="30" t="str">
        <x:v>Additional-source detail boundary</x:v>
      </x:c>
      <x:c r="C67" s="30" t="str">
        <x:v>El popover de Time Status representa exclusivamente fuentes adicionales. PI y Dispatch permanecen en el Summary como control/trigger y nunca se duplican como filas del Detail.</x:v>
      </x:c>
      <x:c r="D67" s="30" t="str">
        <x:v>ACEPTADA</x:v>
      </x:c>
      <x:c r="E67" s="30" t="str">
        <x:v>Evita repetir la misma información y deja claro que el popover amplía el contexto más allá de las fuentes de control.</x:v>
      </x:c>
      <x:c r="F67" s="30" t="str">
        <x:v>UX/Architecture</x:v>
      </x:c>
      <x:c r="G67" s="30" t="str">
        <x:v>TS-012B</x:v>
      </x:c>
      <x:c r="H67" s="30" t="str">
        <x:v>TimeStatusDetailSourceState rechaza keys pi/dispatch.</x:v>
      </x:c>
    </x:row>
    <x:row r="68" ht="60" customHeight="1">
      <x:c r="A68" t="str">
        <x:v>D-TS-048</x:v>
      </x:c>
      <x:c r="B68" s="30" t="str">
        <x:v>Empty additional-source semantics</x:v>
      </x:c>
      <x:c r="C68" s="30" t="str">
        <x:v>Si la Tool no consume fuentes adicionales, PI/Dispatch siguen abriendo el popover y la Surface comunica explícitamente 'Sin fuentes adicionales' y 'Esta herramienta no consume fuentes de datos adicionales.'.</x:v>
      </x:c>
      <x:c r="D68" s="30" t="str">
        <x:v>ACEPTADA</x:v>
      </x:c>
      <x:c r="E68" s="30" t="str">
        <x:v>Diferencia ausencia de dependencia de una fuente configurada sin información temporal y evita un click sin respuesta.</x:v>
      </x:c>
      <x:c r="F68" s="30" t="str">
        <x:v>UX/Semantics</x:v>
      </x:c>
      <x:c r="G68" s="30" t="str">
        <x:v>TS-012B</x:v>
      </x:c>
      <x:c r="H68" s="30" t="str">
        <x:v>Una fuente adicional configurada sin timestamp usa otra semántica: 'Sin información temporal disponible'.</x:v>
      </x:c>
    </x:row>
    <x:row r="69" ht="60" customHeight="1">
      <x:c r="A69" t="str">
        <x:v>D-TS-049</x:v>
      </x:c>
      <x:c r="B69" s="30" t="str">
        <x:v>Hover-only fit-content affordance</x:v>
      </x:c>
      <x:c r="C69" s="30" t="str">
        <x:v>El bloque PI/Dispatch mantiene borde transparente en reposo y sólo muestra affordance visible en hover/focus, ajustado al ancho real del contenido. No se usan title nativos.</x:v>
      </x:c>
      <x:c r="D69" s="30" t="str">
        <x:v>ACEPTADA</x:v>
      </x:c>
      <x:c r="E69" s="30" t="str">
        <x:v>Reduce ruido visual y comunica exactamente qué región es interactiva sin ensuciar la UI con tooltips del navegador.</x:v>
      </x:c>
      <x:c r="F69" s="30" t="str">
        <x:v>UI/Accessibility</x:v>
      </x:c>
      <x:c r="G69" s="30" t="str">
        <x:v>TS-012B</x:v>
      </x:c>
      <x:c r="H69" s="30" t="str">
        <x:v>La accesibilidad se conserva mediante role, keyboard y aria-label.</x:v>
      </x:c>
    </x:row>
    <x:row r="70" ht="60" customHeight="1">
      <x:c r="A70" t="str">
        <x:v>D-TS-050</x:v>
      </x:c>
      <x:c r="B70" s="30" t="str">
        <x:v>DATA_ERROR visual separation</x:v>
      </x:c>
      <x:c r="C70" s="30" t="str">
        <x:v>En DATA_ERROR el ícono de fuente permanece cloud-slash a la izquierda y el resultado temporal se representa con triángulo de error en la posición del valor. El error no bloquea la apertura del popover.</x:v>
      </x:c>
      <x:c r="D70" s="30" t="str">
        <x:v>ACEPTADA</x:v>
      </x:c>
      <x:c r="E70" s="30" t="str">
        <x:v>Separa identidad/estado de la fuente de la calidad del resultado temporal y recupera la lectura del legado.</x:v>
      </x:c>
      <x:c r="F70" s="30" t="str">
        <x:v>UI/Semantics</x:v>
      </x:c>
      <x:c r="G70" s="30" t="str">
        <x:v>TS-012B</x:v>
      </x:c>
      <x:c r="H70" s="30" t="str">
        <x:v>PI/Dispatch continúan como trigger aun en DATA_ERROR.</x:v>
      </x:c>
    </x:row>
    <x:row r="71" ht="60" customHeight="1">
      <x:c r="A71" t="str">
        <x:v>D-TS-051</x:v>
      </x:c>
      <x:c r="B71" s="30" t="str">
        <x:v>Surface color continuity</x:v>
      </x:c>
      <x:c r="C71" s="30" t="str">
        <x:v>La Surface flotante usa el mismo color base del strip/Header y se diferencia sólo mediante borde y sombra sutil; se descarta dark-color para Time Status Detail.</x:v>
      </x:c>
      <x:c r="D71" s="30" t="str">
        <x:v>ACEPTADA</x:v>
      </x:c>
      <x:c r="E71" s="30" t="str">
        <x:v>La revisión visual mostró que dark-color daba un peso excesivo y rompía continuidad con el Header.</x:v>
      </x:c>
      <x:c r="F71" s="30" t="str">
        <x:v>UI/CSS</x:v>
      </x:c>
      <x:c r="G71" s="30" t="str">
        <x:v>TS-012B</x:v>
      </x:c>
      <x:c r="H71" s="30" t="str">
        <x:v>Se conserva absolute/no-reflow/collision/mobile.</x:v>
      </x:c>
    </x:row>
  </x:sheetData>
  <x:mergeCells>
    <x:mergeCell ref="A1:H1"/>
    <x:mergeCell ref="A2:H2"/>
  </x:mergeCells>
  <x:conditionalFormatting sqref="D5:D23">
    <x:cfRule type="expression" dxfId="10" priority="1">
      <x:formula>D5="ACEPTADA"</x:formula>
    </x:cfRule>
    <x:cfRule type="expression" dxfId="11" priority="2">
      <x:formula>D5="PROPUESTA"</x:formula>
    </x:cfRule>
    <x:cfRule type="expression" dxfId="12" priority="3">
      <x:formula>D5="ABIERTO"</x:formula>
    </x:cfRule>
  </x:conditionalFormatting>
  <x:dataValidations count="7">
    <x:dataValidation type="list" sqref="D5:D23">
      <x:formula1>"ACEPTADA,PROPUESTA,ABIERTO,REEMPLAZADA"</x:formula1>
    </x:dataValidation>
    <x:dataValidation type="list" sqref="D5:D31">
      <x:formula1>"ACEPTADA,PROPUESTA,ABIERTO,REEMPLAZADA"</x:formula1>
    </x:dataValidation>
    <x:dataValidation type="list" sqref="D5:D34">
      <x:formula1>"ACEPTADA,PROPUESTA,ABIERTO,REEMPLAZADA"</x:formula1>
    </x:dataValidation>
    <x:dataValidation type="list" sqref="D5:D42">
      <x:formula1>"ACEPTADA,PROPUESTA,ABIERTO,REEMPLAZADA"</x:formula1>
    </x:dataValidation>
    <x:dataValidation type="list" sqref="D5:D45">
      <x:formula1>"ACEPTADA,PROPUESTA,ABIERTO,REEMPLAZADA"</x:formula1>
    </x:dataValidation>
    <x:dataValidation type="list" sqref="D5:D47">
      <x:formula1>"ACEPTADA,PROPUESTA,ABIERTO,REEMPLAZADA"</x:formula1>
    </x:dataValidation>
    <x:dataValidation type="list" sqref="D5:D53">
      <x:formula1>"ACEPTADA,PROPUESTA,ABIERTO,REEMPLAZADA"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50" hidden="0" customWidth="1"/>
    <x:col min="3" max="3" width="16" hidden="0" customWidth="1"/>
    <x:col min="4" max="4" width="14" hidden="0" customWidth="1"/>
    <x:col min="5" max="5" width="52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30" customHeight="1">
      <x:c r="A1" s="4" t="str">
        <x:v>Riesgos, gaps y deuda de migración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Riesgos detectados al comparar legado completo con latest-v4 y con el roadmap acordado.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Riesgo / gap</x:v>
      </x:c>
      <x:c r="C4" s="19" t="str">
        <x:v>Impacto</x:v>
      </x:c>
      <x:c r="D4" s="19" t="str">
        <x:v>Probabilidad</x:v>
      </x:c>
      <x:c r="E4" s="19" t="str">
        <x:v>Mitigación</x:v>
      </x:c>
      <x:c r="F4" s="19" t="str">
        <x:v>Owner</x:v>
      </x:c>
      <x:c r="G4" s="19" t="str">
        <x:v>Estado</x:v>
      </x:c>
      <x:c r="H4" s="19" t="str">
        <x:v>Trigger de cierre</x:v>
      </x:c>
    </x:row>
    <x:row r="5">
      <x:c r="A5" s="32" t="str">
        <x:v>R-001</x:v>
      </x:c>
      <x:c r="B5" s="32" t="str">
        <x:v>El contrato actual exacto del Collector Time Status Store puede haber cambiado respecto al legacy.</x:v>
      </x:c>
      <x:c r="C5" s="32" t="str">
        <x:v>Alto</x:v>
      </x:c>
      <x:c r="D5" s="32" t="str">
        <x:v>Alta</x:v>
      </x:c>
      <x:c r="E5" s="32" t="str">
        <x:v>Usar fake/port para UI; verificar backend cuando estabilice.</x:v>
      </x:c>
      <x:c r="F5" s="32" t="str">
        <x:v>Backend/Web</x:v>
      </x:c>
      <x:c r="G5" s="32" t="str">
        <x:v>CONTROLADO</x:v>
      </x:c>
      <x:c r="H5" s="32" t="str">
        <x:v>DATA-001 validado.</x:v>
      </x:c>
    </x:row>
    <x:row r="6">
      <x:c r="A6" s="32" t="str">
        <x:v>R-002</x:v>
      </x:c>
      <x:c r="B6" s="32" t="str">
        <x:v>Legacy SOURCE_TIME_STORE no se actualiza si no existen component store_ids.</x:v>
      </x:c>
      <x:c r="C6" s="32" t="str">
        <x:v>Medio</x:v>
      </x:c>
      <x:c r="D6" s="32" t="str">
        <x:v>Media</x:v>
      </x:c>
      <x:c r="E6" s="32" t="str">
        <x:v>Revisar si el contrato actual conserva ese acoplamiento; separar refresh de Time Status.</x:v>
      </x:c>
      <x:c r="F6" s="32" t="str">
        <x:v>Backend/Web</x:v>
      </x:c>
      <x:c r="G6" s="32" t="str">
        <x:v>ABIERTO</x:v>
      </x:c>
      <x:c r="H6" s="32" t="str">
        <x:v>Test Tool sin snapshot component.</x:v>
      </x:c>
    </x:row>
    <x:row r="7">
      <x:c r="A7" s="32" t="str">
        <x:v>R-003</x:v>
      </x:c>
      <x:c r="B7" s="32" t="str">
        <x:v>No existe wiring legacy entre SOURCE_TIME_STORE y Time Status UI en el archive.</x:v>
      </x:c>
      <x:c r="C7" s="32" t="str">
        <x:v>Medio</x:v>
      </x:c>
      <x:c r="D7" s="32" t="str">
        <x:v>Alta</x:v>
      </x:c>
      <x:c r="E7" s="32" t="str">
        <x:v>Construir adapter/composition explícito en nueva arquitectura.</x:v>
      </x:c>
      <x:c r="F7" s="32" t="str">
        <x:v>Web</x:v>
      </x:c>
      <x:c r="G7" s="32" t="str">
        <x:v>CONTROLADO</x:v>
      </x:c>
      <x:c r="H7" s="32" t="str">
        <x:v>TS-004/008 verdes.</x:v>
      </x:c>
    </x:row>
    <x:row r="8">
      <x:c r="A8" s="32" t="str">
        <x:v>R-004</x:v>
      </x:c>
      <x:c r="B8" s="32" t="str">
        <x:v>No existe resolver runtime legacy encontrado para ContentState STALE.</x:v>
      </x:c>
      <x:c r="C8" s="32" t="str">
        <x:v>Alto</x:v>
      </x:c>
      <x:c r="D8" s="32" t="str">
        <x:v>Alta</x:v>
      </x:c>
      <x:c r="E8" s="32" t="str">
        <x:v>Implementar resolver explícito y testeado; no asumir comportamiento viejo.</x:v>
      </x:c>
      <x:c r="F8" s="32" t="str">
        <x:v>Web</x:v>
      </x:c>
      <x:c r="G8" s="32" t="str">
        <x:v>CONTROLADO</x:v>
      </x:c>
      <x:c r="H8" s="32" t="str">
        <x:v>CS-003..005 verdes.</x:v>
      </x:c>
    </x:row>
    <x:row r="9">
      <x:c r="A9" s="32" t="str">
        <x:v>R-005</x:v>
      </x:c>
      <x:c r="B9" s="32" t="str">
        <x:v>Popover puede cerrarse o desanclarse si su estado depende del DOM rerenderizado.</x:v>
      </x:c>
      <x:c r="C9" s="32" t="str">
        <x:v>Alto</x:v>
      </x:c>
      <x:c r="D9" s="32" t="str">
        <x:v>Media</x:v>
      </x:c>
      <x:c r="E9" s="32" t="str">
        <x:v>Estado JS estable + re-resolve anchor tras rerender.</x:v>
      </x:c>
      <x:c r="F9" s="32" t="str">
        <x:v>Web/JS</x:v>
      </x:c>
      <x:c r="G9" s="32" t="str">
        <x:v>CONTROLADO</x:v>
      </x:c>
      <x:c r="H9" s="32" t="str">
        <x:v>TS-007 verde.</x:v>
      </x:c>
    </x:row>
    <x:row r="10">
      <x:c r="A10" s="32" t="str">
        <x:v>R-006</x:v>
      </x:c>
      <x:c r="B10" s="32" t="str">
        <x:v>Clasificar fuentes con flags UI en Collector generaría acoplamiento backend/frontend.</x:v>
      </x:c>
      <x:c r="C10" s="32" t="str">
        <x:v>Medio</x:v>
      </x:c>
      <x:c r="D10" s="32" t="str">
        <x:v>Media</x:v>
      </x:c>
      <x:c r="E10" s="32" t="str">
        <x:v>Mantener clasificación en composición/adapter Web.</x:v>
      </x:c>
      <x:c r="F10" s="32" t="str">
        <x:v>Architecture</x:v>
      </x:c>
      <x:c r="G10" s="32" t="str">
        <x:v>ABIERTO</x:v>
      </x:c>
      <x:c r="H10" s="32" t="str">
        <x:v>D-TS-010 aceptada.</x:v>
      </x:c>
    </x:row>
    <x:row r="11">
      <x:c r="A11" s="32" t="str">
        <x:v>R-007</x:v>
      </x:c>
      <x:c r="B11" s="32" t="str">
        <x:v>STALE wrapper puede bloquear KPI Inspection y empeorar diagnósticos.</x:v>
      </x:c>
      <x:c r="C11" s="32" t="str">
        <x:v>Medio</x:v>
      </x:c>
      <x:c r="D11" s="32" t="str">
        <x:v>Media</x:v>
      </x:c>
      <x:c r="E11" s="32" t="str">
        <x:v>Decidir política UX explícita; test visual.</x:v>
      </x:c>
      <x:c r="F11" s="32" t="str">
        <x:v>UI</x:v>
      </x:c>
      <x:c r="G11" s="32" t="str">
        <x:v>ABIERTO</x:v>
      </x:c>
      <x:c r="H11" s="32" t="str">
        <x:v>CS-007 congelado.</x:v>
      </x:c>
    </x:row>
    <x:row r="12">
      <x:c r="A12" s="32" t="str">
        <x:v>R-008</x:v>
      </x:c>
      <x:c r="B12" s="32" t="str">
        <x:v>display-status y ContentState pueden confundirse por nombre/propósito.</x:v>
      </x:c>
      <x:c r="C12" s="32" t="str">
        <x:v>Medio</x:v>
      </x:c>
      <x:c r="D12" s="32" t="str">
        <x:v>Media</x:v>
      </x:c>
      <x:c r="E12" s="32" t="str">
        <x:v>Packages y contratos separados; documentación clara.</x:v>
      </x:c>
      <x:c r="F12" s="32" t="str">
        <x:v>Architecture</x:v>
      </x:c>
      <x:c r="G12" s="32" t="str">
        <x:v>CONTROLADO</x:v>
      </x:c>
      <x:c r="H12" s="32" t="str">
        <x:v>CS-001.</x:v>
      </x:c>
    </x:row>
    <x:row r="13">
      <x:c r="A13" s="32" t="str">
        <x:v>R-009</x:v>
      </x:c>
      <x:c r="B13" s="32" t="str">
        <x:v>Time Status podría crecer horizontalmente si se muestran detalles inline.</x:v>
      </x:c>
      <x:c r="C13" s="32" t="str">
        <x:v>Alto</x:v>
      </x:c>
      <x:c r="D13" s="32" t="str">
        <x:v>Baja</x:v>
      </x:c>
      <x:c r="E13" s="32" t="str">
        <x:v>Sólo PI/Dispatch en summary; resto en popover.</x:v>
      </x:c>
      <x:c r="F13" s="32" t="str">
        <x:v>UI</x:v>
      </x:c>
      <x:c r="G13" s="32" t="str">
        <x:v>MITIGADO</x:v>
      </x:c>
      <x:c r="H13" s="32" t="str">
        <x:v>TS-001.</x:v>
      </x:c>
    </x:row>
    <x:row r="14">
      <x:c r="A14" s="32" t="str">
        <x:v>R-010</x:v>
      </x:c>
      <x:c r="B14" s="32" t="str">
        <x:v>Body prematuro puede forzar wrappers/adopters incorrectos.</x:v>
      </x:c>
      <x:c r="C14" s="32" t="str">
        <x:v>Alto</x:v>
      </x:c>
      <x:c r="D14" s="32" t="str">
        <x:v>Alta</x:v>
      </x:c>
      <x:c r="E14" s="32" t="str">
        <x:v>Diferir Body hasta cerrar Header/Time Status/Content State.</x:v>
      </x:c>
      <x:c r="F14" s="32" t="str">
        <x:v>Architecture</x:v>
      </x:c>
      <x:c r="G14" s="32" t="str">
        <x:v>MITIGADO</x:v>
      </x:c>
      <x:c r="H14" s="32" t="str">
        <x:v>BODY-000 diferido.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24" hidden="0" customWidth="1"/>
    <x:col min="4" max="4" width="17" hidden="0" customWidth="1"/>
    <x:col min="5" max="5" width="38" hidden="0" customWidth="1"/>
    <x:col min="6" max="6" width="20" hidden="0" customWidth="1"/>
    <x:col min="7" max="7" width="34" hidden="0" customWidth="1"/>
    <x:col min="8" max="8" width="28" hidden="0" customWidth="1"/>
    <x:col min="9" max="9" width="24" hidden="0" customWidth="1"/>
    <x:col min="10" max="10" width="44" hidden="0" customWidth="1"/>
  </x:cols>
  <x:sheetData>
    <x:row r="1" ht="30" customHeight="1">
      <x:c r="A1" s="4" t="str">
        <x:v>Matriz de contratos y responsabilidades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Evita mezclar conceptos visualmente próximos con ownership distinto.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Elemento</x:v>
      </x:c>
      <x:c r="B4" s="19" t="str">
        <x:v>Origen</x:v>
      </x:c>
      <x:c r="C4" s="19" t="str">
        <x:v>Identidad</x:v>
      </x:c>
      <x:c r="D4" s="19" t="str">
        <x:v>Siempre visible</x:v>
      </x:c>
      <x:c r="E4" s="19" t="str">
        <x:v>Presentación</x:v>
      </x:c>
      <x:c r="F4" s="19" t="str">
        <x:v>Puede causar STALE</x:v>
      </x:c>
      <x:c r="G4" s="19" t="str">
        <x:v>Interacción</x:v>
      </x:c>
      <x:c r="H4" s="19" t="str">
        <x:v>Actualización</x:v>
      </x:c>
      <x:c r="I4" s="19" t="str">
        <x:v>Owner UI</x:v>
      </x:c>
      <x:c r="J4" s="19" t="str">
        <x:v>Notas</x:v>
      </x:c>
    </x:row>
    <x:row r="5">
      <x:c r="A5" s="32" t="str">
        <x:v>PI summary</x:v>
      </x:c>
      <x:c r="B5" s="32" t="str">
        <x:v>Time Status Store</x:v>
      </x:c>
      <x:c r="C5" s="32" t="str">
        <x:v>source key PI</x:v>
      </x:c>
      <x:c r="D5" s="32" t="str">
        <x:v>Sí en ADA</x:v>
      </x:c>
      <x:c r="E5" s="32" t="str">
        <x:v>Relative age + tone/icon</x:v>
      </x:c>
      <x:c r="F5" s="32" t="str">
        <x:v>Sí</x:v>
      </x:c>
      <x:c r="G5" s="32" t="str">
        <x:v>Parte del trigger detail si hay detail</x:v>
      </x:c>
      <x:c r="H5" s="32" t="str">
        <x:v>Snapshot/collector interval</x:v>
      </x:c>
      <x:c r="I5" s="32" t="str">
        <x:v>Time Status</x:v>
      </x:c>
      <x:c r="J5" s="32" t="str">
        <x:v>Reusable contract puede aceptarlo None.</x:v>
      </x:c>
    </x:row>
    <x:row r="6">
      <x:c r="A6" s="32" t="str">
        <x:v>Dispatch summary</x:v>
      </x:c>
      <x:c r="B6" s="32" t="str">
        <x:v>Time Status Store</x:v>
      </x:c>
      <x:c r="C6" s="32" t="str">
        <x:v>source key Dispatch</x:v>
      </x:c>
      <x:c r="D6" s="32" t="str">
        <x:v>Sólo si Tool lo usa</x:v>
      </x:c>
      <x:c r="E6" s="32" t="str">
        <x:v>Relative age + tone/icon</x:v>
      </x:c>
      <x:c r="F6" s="32" t="str">
        <x:v>Sí</x:v>
      </x:c>
      <x:c r="G6" s="32" t="str">
        <x:v>Parte del trigger detail si hay detail</x:v>
      </x:c>
      <x:c r="H6" s="32" t="str">
        <x:v>Snapshot/collector interval</x:v>
      </x:c>
      <x:c r="I6" s="32" t="str">
        <x:v>Time Status</x:v>
      </x:c>
      <x:c r="J6" s="32" t="str">
        <x:v>Opcional.</x:v>
      </x:c>
    </x:row>
    <x:row r="7">
      <x:c r="A7" s="32" t="str">
        <x:v>Dynamic detail source</x:v>
      </x:c>
      <x:c r="B7" s="32" t="str">
        <x:v>Time Status Store + Tool consumption</x:v>
      </x:c>
      <x:c r="C7" s="32" t="str">
        <x:v>source key</x:v>
      </x:c>
      <x:c r="D7" s="32" t="str">
        <x:v>No</x:v>
      </x:c>
      <x:c r="E7" s="32" t="str">
        <x:v>Display name + dato recibido</x:v>
      </x:c>
      <x:c r="F7" s="32" t="str">
        <x:v>Sólo PI/Dispatch; extras no</x:v>
      </x:c>
      <x:c r="G7" s="32" t="str">
        <x:v>Fila del anchored popover</x:v>
      </x:c>
      <x:c r="H7" s="32" t="str">
        <x:v>Snapshot/collector interval</x:v>
      </x:c>
      <x:c r="I7" s="32" t="str">
        <x:v>Time Status Detail</x:v>
      </x:c>
      <x:c r="J7" s="32" t="str">
        <x:v>PI/Dispatch derivan role=control; cualquier otra source key es informational y no afecta salud global.</x:v>
      </x:c>
    </x:row>
    <x:row r="8">
      <x:c r="A8" s="32" t="str">
        <x:v>Current datetime</x:v>
      </x:c>
      <x:c r="B8" s="32" t="str">
        <x:v>Browser clock</x:v>
      </x:c>
      <x:c r="C8" s="32" t="str">
        <x:v>N/A</x:v>
      </x:c>
      <x:c r="D8" s="32" t="str">
        <x:v>Sí</x:v>
      </x:c>
      <x:c r="E8" s="32" t="str">
        <x:v>yyyy-mm-dd HH:mm:ss</x:v>
      </x:c>
      <x:c r="F8" s="32" t="str">
        <x:v>No</x:v>
      </x:c>
      <x:c r="G8" s="32" t="str">
        <x:v>Ninguna</x:v>
      </x:c>
      <x:c r="H8" s="32" t="str">
        <x:v>JS 1 s</x:v>
      </x:c>
      <x:c r="I8" s="32" t="str">
        <x:v>Time Status</x:v>
      </x:c>
      <x:c r="J8" s="32" t="str">
        <x:v>No depende del Collector.</x:v>
      </x:c>
    </x:row>
    <x:row r="9">
      <x:c r="A9" s="32" t="str">
        <x:v>ContentState STALE</x:v>
      </x:c>
      <x:c r="B9" s="32" t="str">
        <x:v>Freshness resolver</x:v>
      </x:c>
      <x:c r="C9" s="32" t="str">
        <x:v>state_key</x:v>
      </x:c>
      <x:c r="D9" s="32" t="str">
        <x:v>Sólo cuando aplica</x:v>
      </x:c>
      <x:c r="E9" s="32" t="str">
        <x:v>Overlay 'Información desactualizada'</x:v>
      </x:c>
      <x:c r="F9" s="32" t="str">
        <x:v>N/A</x:v>
      </x:c>
      <x:c r="G9" s="32" t="str">
        <x:v>Por decidir si bloquea Inspection</x:v>
      </x:c>
      <x:c r="H9" s="32" t="str">
        <x:v>Runtime</x:v>
      </x:c>
      <x:c r="I9" s="32" t="str">
        <x:v>Content State</x:v>
      </x:c>
      <x:c r="J9" s="32" t="str">
        <x:v>No es DisplayStatus.</x:v>
      </x:c>
    </x:row>
    <x:row r="10">
      <x:c r="A10" s="32" t="str">
        <x:v>ContentState CONSTRUCTION</x:v>
      </x:c>
      <x:c r="B10" s="32" t="str">
        <x:v>Declaración/config</x:v>
      </x:c>
      <x:c r="C10" s="32" t="str">
        <x:v>state_key</x:v>
      </x:c>
      <x:c r="D10" s="32" t="str">
        <x:v>Sólo cuando aplica</x:v>
      </x:c>
      <x:c r="E10" s="32" t="str">
        <x:v>Overlay 'En construcción' + hammer</x:v>
      </x:c>
      <x:c r="F10" s="32" t="str">
        <x:v>No</x:v>
      </x:c>
      <x:c r="G10" s="32" t="str">
        <x:v>Overlay</x:v>
      </x:c>
      <x:c r="H10" s="32" t="str">
        <x:v>Estático/composición</x:v>
      </x:c>
      <x:c r="I10" s="32" t="str">
        <x:v>Content State</x:v>
      </x:c>
      <x:c r="J10" s="32" t="str">
        <x:v>Independiente de freshness.</x:v>
      </x:c>
    </x:row>
    <x:row r="11">
      <x:c r="A11" s="32" t="str">
        <x:v>DisplayStatus</x:v>
      </x:c>
      <x:c r="B11" s="32" t="str">
        <x:v>Valor KPI/UI</x:v>
      </x:c>
      <x:c r="C11" s="32" t="str">
        <x:v>valor/slot</x:v>
      </x:c>
      <x:c r="D11" s="32" t="str">
        <x:v>Cuando dato degradado</x:v>
      </x:c>
      <x:c r="E11" s="32" t="str">
        <x:v>Iconos empty/error/not_mapped/invalid</x:v>
      </x:c>
      <x:c r="F11" s="32" t="str">
        <x:v>No</x:v>
      </x:c>
      <x:c r="G11" s="32" t="str">
        <x:v>Ninguna específica</x:v>
      </x:c>
      <x:c r="H11" s="32" t="str">
        <x:v>Con valor</x:v>
      </x:c>
      <x:c r="I11" s="32" t="str">
        <x:v>Display Status</x:v>
      </x:c>
      <x:c r="J11" s="32" t="str">
        <x:v>Ya existe en latest-v4; no reemplaza ContentState.</x:v>
      </x:c>
    </x:row>
    <x:row r="12">
      <x:c r="A12" s="32" t="str">
        <x:v>KPI Inspection trigger</x:v>
      </x:c>
      <x:c r="B12" s="32" t="str">
        <x:v>Composición adopter</x:v>
      </x:c>
      <x:c r="C12" s="32" t="str">
        <x:v>kpi_key</x:v>
      </x:c>
      <x:c r="D12" s="32" t="str">
        <x:v>Opt-in</x:v>
      </x:c>
      <x:c r="E12" s="32" t="str">
        <x:v>cursor help + click</x:v>
      </x:c>
      <x:c r="F12" s="32" t="str">
        <x:v>No</x:v>
      </x:c>
      <x:c r="G12" s="32" t="str">
        <x:v>Bottom inspector</x:v>
      </x:c>
      <x:c r="H12" s="32" t="str">
        <x:v>Click/API snapshot</x:v>
      </x:c>
      <x:c r="I12" s="32" t="str">
        <x:v>Inspection</x:v>
      </x:c>
      <x:c r="J12" s="32" t="str">
        <x:v>Puede coexistir con ContentState; política stale pendiente.</x:v>
      </x:c>
    </x:row>
    <x:row r="13">
      <x:c r="A13" s="32" t="str">
        <x:v>PI summary</x:v>
      </x:c>
      <x:c r="B13" s="32" t="str">
        <x:v>Time Status Store + Tool policy</x:v>
      </x:c>
      <x:c r="C13" s="32" t="str">
        <x:v>PI</x:v>
      </x:c>
      <x:c r="D13" s="32" t="str">
        <x:v>Sí en ADA</x:v>
      </x:c>
      <x:c r="E13" s="32" t="str">
        <x:v>Relative bucket + source state</x:v>
      </x:c>
      <x:c r="F13" s="32" t="str">
        <x:v>Sí, global aggregation</x:v>
      </x:c>
      <x:c r="G13" s="32" t="str">
        <x:v>Parte del trigger conjunto</x:v>
      </x:c>
      <x:c r="H13" s="32" t="str">
        <x:v>timestamp store + real clock</x:v>
      </x:c>
      <x:c r="I13" s="32" t="str">
        <x:v>Time Status</x:v>
      </x:c>
      <x:c r="J13" s="32" t="str">
        <x:v>Ejemplo policy: warning=200 s, stale=300 s.</x:v>
      </x:c>
    </x:row>
    <x:row r="14">
      <x:c r="A14" s="32" t="str">
        <x:v>Dispatch summary</x:v>
      </x:c>
      <x:c r="B14" s="32" t="str">
        <x:v>Time Status Store + Tool policy</x:v>
      </x:c>
      <x:c r="C14" s="32" t="str">
        <x:v>Dispatch</x:v>
      </x:c>
      <x:c r="D14" s="32" t="str">
        <x:v>Sólo si Tool lo usa</x:v>
      </x:c>
      <x:c r="E14" s="32" t="str">
        <x:v>Relative bucket + source state</x:v>
      </x:c>
      <x:c r="F14" s="32" t="str">
        <x:v>Sí, global aggregation</x:v>
      </x:c>
      <x:c r="G14" s="32" t="str">
        <x:v>Parte del trigger conjunto</x:v>
      </x:c>
      <x:c r="H14" s="32" t="str">
        <x:v>timestamp store + real clock</x:v>
      </x:c>
      <x:c r="I14" s="32" t="str">
        <x:v>Time Status</x:v>
      </x:c>
      <x:c r="J14" s="32" t="str">
        <x:v>Ejemplo policy: warning=400 s, stale=600 s.</x:v>
      </x:c>
    </x:row>
    <x:row r="15">
      <x:c r="A15" s="32" t="str">
        <x:v>Source FRESH</x:v>
      </x:c>
      <x:c r="B15" s="32" t="str">
        <x:v>timestamp válido + policy</x:v>
      </x:c>
      <x:c r="C15" s="32" t="str">
        <x:v>source</x:v>
      </x:c>
      <x:c r="D15" s="32" t="str">
        <x:v>N/A</x:v>
      </x:c>
      <x:c r="E15" s="32" t="str">
        <x:v>Normal</x:v>
      </x:c>
      <x:c r="F15" s="32" t="str">
        <x:v>No</x:v>
      </x:c>
      <x:c r="G15" s="32" t="str">
        <x:v>N/A</x:v>
      </x:c>
      <x:c r="H15" s="32" t="str">
        <x:v>clock-derived</x:v>
      </x:c>
      <x:c r="I15" s="32" t="str">
        <x:v>Freshness Resolver</x:v>
      </x:c>
      <x:c r="J15" s="32" t="str">
        <x:v>age &lt; warning_after.</x:v>
      </x:c>
    </x:row>
    <x:row r="16">
      <x:c r="A16" s="32" t="str">
        <x:v>Source PREVENTIVE</x:v>
      </x:c>
      <x:c r="B16" s="32" t="str">
        <x:v>timestamp válido + policy</x:v>
      </x:c>
      <x:c r="C16" s="32" t="str">
        <x:v>source</x:v>
      </x:c>
      <x:c r="D16" s="32" t="str">
        <x:v>N/A</x:v>
      </x:c>
      <x:c r="E16" s="32" t="str">
        <x:v>Aviso visual/parpadeo a iterar</x:v>
      </x:c>
      <x:c r="F16" s="32" t="str">
        <x:v>No overlay componentes</x:v>
      </x:c>
      <x:c r="G16" s="32" t="str">
        <x:v>N/A</x:v>
      </x:c>
      <x:c r="H16" s="32" t="str">
        <x:v>clock-derived</x:v>
      </x:c>
      <x:c r="I16" s="32" t="str">
        <x:v>Freshness Resolver + Time Status</x:v>
      </x:c>
      <x:c r="J16" s="32" t="str">
        <x:v>warning_after &lt;= age &lt; stale_after.</x:v>
      </x:c>
    </x:row>
    <x:row r="17">
      <x:c r="A17" s="32" t="str">
        <x:v>Source HARD_STALE</x:v>
      </x:c>
      <x:c r="B17" s="32" t="str">
        <x:v>timestamp válido + policy</x:v>
      </x:c>
      <x:c r="C17" s="32" t="str">
        <x:v>source</x:v>
      </x:c>
      <x:c r="D17" s="32" t="str">
        <x:v>N/A</x:v>
      </x:c>
      <x:c r="E17" s="32" t="str">
        <x:v>Alerta fuerte</x:v>
      </x:c>
      <x:c r="F17" s="32" t="str">
        <x:v>Participa en AND global</x:v>
      </x:c>
      <x:c r="G17" s="32" t="str">
        <x:v>N/A</x:v>
      </x:c>
      <x:c r="H17" s="32" t="str">
        <x:v>clock-derived</x:v>
      </x:c>
      <x:c r="I17" s="32" t="str">
        <x:v>Freshness Resolver</x:v>
      </x:c>
      <x:c r="J17" s="32" t="str">
        <x:v>age &gt;= stale_after.</x:v>
      </x:c>
    </x:row>
    <x:row r="18">
      <x:c r="A18" s="32" t="str">
        <x:v>Tool CONTENT_STALE</x:v>
      </x:c>
      <x:c r="B18" s="32" t="str">
        <x:v>Agregador summary sources</x:v>
      </x:c>
      <x:c r="C18" s="32" t="str">
        <x:v>tool</x:v>
      </x:c>
      <x:c r="D18" s="32" t="str">
        <x:v>Cuando aplica</x:v>
      </x:c>
      <x:c r="E18" s="32" t="str">
        <x:v>Overlay componentes</x:v>
      </x:c>
      <x:c r="F18" s="32" t="str">
        <x:v>N/A</x:v>
      </x:c>
      <x:c r="G18" s="32" t="str">
        <x:v>N/A</x:v>
      </x:c>
      <x:c r="H18" s="32" t="str">
        <x:v>runtime</x:v>
      </x:c>
      <x:c r="I18" s="32" t="str">
        <x:v>Content State</x:v>
      </x:c>
      <x:c r="J18" s="32" t="str">
        <x:v>all(required_summary_sources == HARD_STALE).</x:v>
      </x:c>
    </x:row>
    <x:row r="19">
      <x:c r="A19" s="32" t="str">
        <x:v>Source DATA_ERROR</x:v>
      </x:c>
      <x:c r="B19" s="32" t="str">
        <x:v>timestamp missing/invalid</x:v>
      </x:c>
      <x:c r="C19" s="32" t="str">
        <x:v>source</x:v>
      </x:c>
      <x:c r="D19" s="32" t="str">
        <x:v>Cuando aplica</x:v>
      </x:c>
      <x:c r="E19" s="32" t="str">
        <x:v>Error de fuente</x:v>
      </x:c>
      <x:c r="F19" s="32" t="str">
        <x:v>Sí, según dependency scope</x:v>
      </x:c>
      <x:c r="G19" s="32" t="str">
        <x:v>N/A</x:v>
      </x:c>
      <x:c r="H19" s="32" t="str">
        <x:v>store/parse</x:v>
      </x:c>
      <x:c r="I19" s="32" t="str">
        <x:v>Freshness/Data Quality Resolver</x:v>
      </x:c>
      <x:c r="J19" s="32" t="str">
        <x:v>No convertir a STALE.</x:v>
      </x:c>
    </x:row>
    <x:row r="20">
      <x:c r="A20" s="32" t="str">
        <x:v>Current datetime</x:v>
      </x:c>
      <x:c r="B20" s="32" t="str">
        <x:v>Real browser/system clock + app timezone</x:v>
      </x:c>
      <x:c r="C20" s="32" t="str">
        <x:v>N/A</x:v>
      </x:c>
      <x:c r="D20" s="32" t="str">
        <x:v>Sí</x:v>
      </x:c>
      <x:c r="E20" s="32" t="str">
        <x:v>Fecha/hora real sincronizada</x:v>
      </x:c>
      <x:c r="F20" s="32" t="str">
        <x:v>No</x:v>
      </x:c>
      <x:c r="G20" s="32" t="str">
        <x:v>Parte visual del conjunto</x:v>
      </x:c>
      <x:c r="H20" s="32" t="str">
        <x:v>Date.now + resync</x:v>
      </x:c>
      <x:c r="I20" s="32" t="str">
        <x:v>Time Status</x:v>
      </x:c>
      <x:c r="J20" s="32" t="str">
        <x:v>No contador incremental.</x:v>
      </x:c>
    </x:row>
    <x:row r="21">
      <x:c r="A21" s="32" t="str">
        <x:v>Time Status trigger</x:v>
      </x:c>
      <x:c r="B21" s="32" t="str">
        <x:v>Summary container</x:v>
      </x:c>
      <x:c r="C21" s="32" t="str">
        <x:v>Time Status instance</x:v>
      </x:c>
      <x:c r="D21" s="32" t="str">
        <x:v>Si detail aplica</x:v>
      </x:c>
      <x:c r="E21" s="32" t="str">
        <x:v>Affordance a iterar</x:v>
      </x:c>
      <x:c r="F21" s="32" t="str">
        <x:v>No</x:v>
      </x:c>
      <x:c r="G21" s="32" t="str">
        <x:v>Click en todo el conjunto</x:v>
      </x:c>
      <x:c r="H21" s="32" t="str">
        <x:v>JS open state</x:v>
      </x:c>
      <x:c r="I21" s="32" t="str">
        <x:v>Time Status</x:v>
      </x:c>
      <x:c r="J21" s="32" t="str">
        <x:v>No trigger individual PI/Dispatch.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8" hidden="0" customWidth="1"/>
    <x:col min="3" max="3" width="42" hidden="0" customWidth="1"/>
    <x:col min="4" max="4" width="48" hidden="0" customWidth="1"/>
    <x:col min="5" max="5" width="42" hidden="0" customWidth="1"/>
    <x:col min="6" max="6" width="14" hidden="0" customWidth="1"/>
    <x:col min="7" max="7" width="18" hidden="0" customWidth="1"/>
    <x:col min="8" max="8" width="36" hidden="0" customWidth="1"/>
  </x:cols>
  <x:sheetData>
    <x:row r="1" ht="30" customHeight="1">
      <x:c r="A1" s="4" t="str">
        <x:v>Preguntas a verificar contra Collector/backend actual</x:v>
      </x:c>
      <x:c r="B1" s="4"/>
      <x:c r="C1" s="4"/>
      <x:c r="D1" s="4"/>
      <x:c r="E1" s="4"/>
      <x:c r="F1" s="4"/>
      <x:c r="G1" s="4"/>
      <x:c r="H1" s="4"/>
    </x:row>
    <x:row r="2" ht="32" customHeight="1">
      <x:c r="A2" s="11" t="str">
        <x:v>No bloquean el trabajo UI si se usa un port/fake, pero deben resolverse antes del wiring productivo.</x:v>
      </x:c>
      <x:c r="B2" s="11"/>
      <x:c r="C2" s="11"/>
      <x:c r="D2" s="11"/>
      <x:c r="E2" s="11"/>
      <x:c r="F2" s="11"/>
      <x:c r="G2" s="11"/>
      <x:c r="H2" s="11"/>
    </x:row>
    <x:row r="4">
      <x:c r="A4" s="19" t="str">
        <x:v>ID</x:v>
      </x:c>
      <x:c r="B4" s="19" t="str">
        <x:v>Pregunta</x:v>
      </x:c>
      <x:c r="C4" s="19" t="str">
        <x:v>Por qué importa</x:v>
      </x:c>
      <x:c r="D4" s="19" t="str">
        <x:v>Evidencia legacy</x:v>
      </x:c>
      <x:c r="E4" s="19" t="str">
        <x:v>Hipótesis actual</x:v>
      </x:c>
      <x:c r="F4" s="19" t="str">
        <x:v>Estado</x:v>
      </x:c>
      <x:c r="G4" s="19" t="str">
        <x:v>Bloquea</x:v>
      </x:c>
      <x:c r="H4" s="19" t="str">
        <x:v>Próxima evidencia</x:v>
      </x:c>
    </x:row>
    <x:row r="5">
      <x:c r="A5" s="32" t="str">
        <x:v>Q-001</x:v>
      </x:c>
      <x:c r="B5" s="32" t="str">
        <x:v>¿Cuál es el payload exacto del Time Status Store actual?</x:v>
      </x:c>
      <x:c r="C5" s="32" t="str">
        <x:v>Define adapter Web.</x:v>
      </x:c>
      <x:c r="D5" s="32" t="str">
        <x:v>tool_key/generated_at_utc/sources en SOURCE_TIME_STORE legacy.</x:v>
      </x:c>
      <x:c r="E5" s="32" t="str">
        <x:v>TS-004 congela documento Web normalizado tool_key/generated_at_utc/sources; payload físico Collector sigue por inspeccionar.</x:v>
      </x:c>
      <x:c r="F5" s="32" t="str">
        <x:v>PENDIENTE</x:v>
      </x:c>
      <x:c r="G5" s="32" t="str">
        <x:v>DATA-002</x:v>
      </x:c>
      <x:c r="H5" s="32" t="str">
        <x:v>Inspeccionar backend estable y crear implementación de TimeStatusStoreDocumentSource.</x:v>
      </x:c>
    </x:row>
    <x:row r="6">
      <x:c r="A6" s="32" t="str">
        <x:v>Q-002</x:v>
      </x:c>
      <x:c r="B6" s="32" t="str">
        <x:v>¿Qué claves concretas identifican PI y Dispatch?</x:v>
      </x:c>
      <x:c r="C6" s="32" t="str">
        <x:v>Necesitamos slots summary sin hardcode frágil.</x:v>
      </x:c>
      <x:c r="D6" s="32" t="str">
        <x:v>sources usa keys genéricas; test legacy usa 'pi'.</x:v>
      </x:c>
      <x:c r="E6" s="32" t="str">
        <x:v>Probablemente keys conocidas de Collector.</x:v>
      </x:c>
      <x:c r="F6" s="32" t="str">
        <x:v>PENDIENTE</x:v>
      </x:c>
      <x:c r="G6" s="32" t="str">
        <x:v>TS-009</x:v>
      </x:c>
      <x:c r="H6" s="32" t="str">
        <x:v>Fixture/contract actual.</x:v>
      </x:c>
    </x:row>
    <x:row r="7">
      <x:c r="A7" s="32" t="str">
        <x:v>Q-003</x:v>
      </x:c>
      <x:c r="B7" s="32" t="str">
        <x:v>¿El store actual ya viene scopeado por Tool?</x:v>
      </x:c>
      <x:c r="C7" s="32" t="str">
        <x:v>Determina si filtrado es local o backend.</x:v>
      </x:c>
      <x:c r="D7" s="32" t="str">
        <x:v>Legacy store id incluye tool y snapshot tiene tool_key.</x:v>
      </x:c>
      <x:c r="E7" s="32" t="str">
        <x:v>Probablemente sí.</x:v>
      </x:c>
      <x:c r="F7" s="32" t="str">
        <x:v>PENDIENTE</x:v>
      </x:c>
      <x:c r="G7" s="32" t="str">
        <x:v>TS-008</x:v>
      </x:c>
      <x:c r="H7" s="32" t="str">
        <x:v>Inspeccionar store real.</x:v>
      </x:c>
    </x:row>
    <x:row r="8">
      <x:c r="A8" s="32" t="str">
        <x:v>Q-004</x:v>
      </x:c>
      <x:c r="B8" s="32" t="str">
        <x:v>¿Qué significa cada timestamp: watermark de fuente, última publicación o last_success?</x:v>
      </x:c>
      <x:c r="C8" s="32" t="str">
        <x:v>Afecta copy y stale policy.</x:v>
      </x:c>
      <x:c r="D8" s="32" t="str">
        <x:v>Producer states tienen source_watermark, last_change, last_success.</x:v>
      </x:c>
      <x:c r="E8" s="32" t="str">
        <x:v>Debe elegirse semántica explícita por source.</x:v>
      </x:c>
      <x:c r="F8" s="32" t="str">
        <x:v>PENDIENTE</x:v>
      </x:c>
      <x:c r="G8" s="32" t="str">
        <x:v>CS-003</x:v>
      </x:c>
      <x:c r="H8" s="32" t="str">
        <x:v>Contrato Collector.</x:v>
      </x:c>
    </x:row>
    <x:row r="9">
      <x:c r="A9" s="32" t="str">
        <x:v>Q-005</x:v>
      </x:c>
      <x:c r="B9" s="32" t="str">
        <x:v>¿Collector ya calcula stale o sólo entrega timestamps?</x:v>
      </x:c>
      <x:c r="C9" s="32" t="str">
        <x:v>Evita duplicar reglas.</x:v>
      </x:c>
      <x:c r="D9" s="32" t="str">
        <x:v>Legacy KpiRuntimeSnapshot sólo trae timestamps.</x:v>
      </x:c>
      <x:c r="E9" s="32" t="str">
        <x:v>No asumir.</x:v>
      </x:c>
      <x:c r="F9" s="32" t="str">
        <x:v>PENDIENTE</x:v>
      </x:c>
      <x:c r="G9" s="32" t="str">
        <x:v>CS-003</x:v>
      </x:c>
      <x:c r="H9" s="32" t="str">
        <x:v>Contrato actual.</x:v>
      </x:c>
    </x:row>
    <x:row r="10">
      <x:c r="A10" s="32" t="str">
        <x:v>Q-006</x:v>
      </x:c>
      <x:c r="B10" s="32" t="str">
        <x:v>¿Cómo se declaran fuentes que causan STALE versus detail-only?</x:v>
      </x:c>
      <x:c r="C10" s="32" t="str">
        <x:v>Es la clasificación clave acordada.</x:v>
      </x:c>
      <x:c r="D10" s="32" t="str">
        <x:v>No existe en legacy.</x:v>
      </x:c>
      <x:c r="E10" s="32" t="str">
        <x:v>PI y Dispatch son las únicas fuentes de control. Cualquier otra fuente del Detail es informativa y no causa stale/parpadeo/Content State.</x:v>
      </x:c>
      <x:c r="F10" s="32" t="str">
        <x:v>RESUELTO DISEÑO</x:v>
      </x:c>
      <x:c r="G10" s="32" t="str">
        <x:v>CS-003/004</x:v>
      </x:c>
      <x:c r="H10" s="32" t="str">
        <x:v>D-TS-038 + TS-008 contract.</x:v>
      </x:c>
    </x:row>
    <x:row r="11">
      <x:c r="A11" s="32" t="str">
        <x:v>Q-007</x:v>
      </x:c>
      <x:c r="B11" s="32" t="str">
        <x:v>¿Cómo se resuelve source → componentes afectados?</x:v>
      </x:c>
      <x:c r="C11" s="32" t="str">
        <x:v>Permite stale selectivo.</x:v>
      </x:c>
      <x:c r="D11" s="32" t="str">
        <x:v>Legacy GlobalIndicatorsState existía pero no resolver.</x:v>
      </x:c>
      <x:c r="E11" s="32" t="str">
        <x:v>Tool/KPI consumption/dependency mapping.</x:v>
      </x:c>
      <x:c r="F11" s="32" t="str">
        <x:v>EN DISEÑO</x:v>
      </x:c>
      <x:c r="G11" s="32" t="str">
        <x:v>CS-004</x:v>
      </x:c>
      <x:c r="H11" s="32" t="str">
        <x:v>Diseño con Tool actual.</x:v>
      </x:c>
    </x:row>
    <x:row r="12">
      <x:c r="A12" s="32" t="str">
        <x:v>Q-008</x:v>
      </x:c>
      <x:c r="B12" s="32" t="str">
        <x:v>¿Qué ocurre si source falta o timestamp=None?</x:v>
      </x:c>
      <x:c r="C12" s="32" t="str">
        <x:v>Debe distinguir unknown de stale.</x:v>
      </x:c>
      <x:c r="D12" s="32" t="str">
        <x:v>Legacy source view recibía texto/tone ya resuelto.</x:v>
      </x:c>
      <x:c r="E12" s="32" t="str">
        <x:v>Missing/invalid timestamp debe ser ERROR, no STALE.</x:v>
      </x:c>
      <x:c r="F12" s="32" t="str">
        <x:v>RESUELTO DISEÑO</x:v>
      </x:c>
      <x:c r="G12" s="32" t="str">
        <x:v>DATA-005</x:v>
      </x:c>
      <x:c r="H12" s="32" t="str">
        <x:v>Truth table.</x:v>
      </x:c>
    </x:row>
    <x:row r="13">
      <x:c r="A13" s="32" t="str">
        <x:v>Q-009</x:v>
      </x:c>
      <x:c r="B13" s="32" t="str">
        <x:v>¿Dispatch existe como una entrada o múltiples streams internos?</x:v>
      </x:c>
      <x:c r="C13" s="32" t="str">
        <x:v>Summary debe ser uno solo.</x:v>
      </x:c>
      <x:c r="D13" s="32" t="str">
        <x:v>Dispatch producer state tiene streams por table.</x:v>
      </x:c>
      <x:c r="E13" s="32" t="str">
        <x:v>Collector probablemente consolida.</x:v>
      </x:c>
      <x:c r="F13" s="32" t="str">
        <x:v>PENDIENTE</x:v>
      </x:c>
      <x:c r="G13" s="32" t="str">
        <x:v>TS-009</x:v>
      </x:c>
      <x:c r="H13" s="32" t="str">
        <x:v>Snapshot/store actual.</x:v>
      </x:c>
    </x:row>
    <x:row r="14">
      <x:c r="A14" s="32" t="str">
        <x:v>Q-010</x:v>
      </x:c>
      <x:c r="B14" s="32" t="str">
        <x:v>¿Los detalles del popover son source keys o KPI keys?</x:v>
      </x:c>
      <x:c r="C14" s="32" t="str">
        <x:v>Afecta labels y relación con Tool consumption.</x:v>
      </x:c>
      <x:c r="D14" s="32" t="str">
        <x:v>Legacy sources mapping no impone significado.</x:v>
      </x:c>
      <x:c r="E14" s="32" t="str">
        <x:v>TS-008 congela source keys para el Detail; no KPI keys. El resolver real de qué sources consume cada Tool queda en DATA-003.</x:v>
      </x:c>
      <x:c r="F14" s="32" t="str">
        <x:v>RESUELTO DISEÑO</x:v>
      </x:c>
      <x:c r="G14" s="32" t="str">
        <x:v>TS-008</x:v>
      </x:c>
      <x:c r="H14" s="32" t="str">
        <x:v>TS-008 + DATA-003.</x:v>
      </x:c>
    </x:row>
    <x:row r="15">
      <x:c r="A15" s="32" t="str">
        <x:v>Q-011</x:v>
      </x:c>
      <x:c r="B15" s="32" t="str">
        <x:v>¿Dónde vive la policy warning_after/stale_after definitiva?</x:v>
      </x:c>
      <x:c r="C15" s="32" t="str">
        <x:v>Debe ser configurable por Tool/source y reutilizable por Content State.</x:v>
      </x:c>
      <x:c r="D15" s="32" t="str">
        <x:v>Defaults actuales de diseño: PI 200/300, Dispatch 400/600.</x:v>
      </x:c>
      <x:c r="E15" s="32" t="str">
        <x:v>Tool Configuration/ToolManifest policy.</x:v>
      </x:c>
      <x:c r="F15" s="32" t="str">
        <x:v>EN DISEÑO</x:v>
      </x:c>
      <x:c r="G15" s="32" t="str">
        <x:v>TS-001/CS-003</x:v>
      </x:c>
      <x:c r="H15" s="32" t="str">
        <x:v>Congelar shape exacto antes del adapter real.</x:v>
      </x:c>
    </x:row>
    <x:row r="16">
      <x:c r="A16" s="32" t="str">
        <x:v>Q-012</x:v>
      </x:c>
      <x:c r="B16" s="32" t="str">
        <x:v>¿Qué visual exacto representa PREVENTIVE?</x:v>
      </x:c>
      <x:c r="C16" s="32" t="str">
        <x:v>Semántica congelada; estética no.</x:v>
      </x:c>
      <x:c r="D16" s="32" t="str">
        <x:v>Usuario propone parpadeo rojo como aviso temprano.</x:v>
      </x:c>
      <x:c r="E16" s="32" t="str">
        <x:v>TS-009 adopta pulse rojo preventivo mínimo; calibración visual final permanece en TS-012.</x:v>
      </x:c>
      <x:c r="F16" s="32" t="str">
        <x:v>PARCIAL</x:v>
      </x:c>
      <x:c r="G16" s="32" t="str">
        <x:v>TS-009/TS-012</x:v>
      </x:c>
      <x:c r="H16" s="32" t="str">
        <x:v>Semántica aplicada; estética final en TS-012.</x:v>
      </x:c>
    </x:row>
    <x:row r="17">
      <x:c r="A17" s="32" t="str">
        <x:v>Q-013</x:v>
      </x:c>
      <x:c r="B17" s="32" t="str">
        <x:v>¿Cómo tratar timestamp en futuro?</x:v>
      </x:c>
      <x:c r="C17" s="32" t="str">
        <x:v>Debe distinguir error real de pequeño skew de reloj.</x:v>
      </x:c>
      <x:c r="D17" s="32" t="str">
        <x:v>No hay regla recuperada suficiente.</x:v>
      </x:c>
      <x:c r="E17" s="32" t="str">
        <x:v>TS-009 define cero tolerancia oculta: timestamp futuro respecto de now_utc autoritativo =&gt; DATA_ERROR. El cliente no crea DATA_ERROR por skew local; sólo envejece fuentes ya válidas.</x:v>
      </x:c>
      <x:c r="F17" s="32" t="str">
        <x:v>RESUELTO DISEÑO</x:v>
      </x:c>
      <x:c r="G17" s="32" t="str">
        <x:v>TS-009</x:v>
      </x:c>
      <x:c r="H17" s="32" t="str">
        <x:v>D-TS-040/D-TS-041 + resolver contract.</x:v>
      </x:c>
    </x:row>
    <x:row r="18">
      <x:c r="A18" s="32" t="str">
        <x:v>Q-014</x:v>
      </x:c>
      <x:c r="B18" s="32" t="str">
        <x:v>¿Timezone del reloj ADA?</x:v>
      </x:c>
      <x:c r="C18" s="32" t="str">
        <x:v>Clock y timestamps absolutos deben usar zona operacional consistente.</x:v>
      </x:c>
      <x:c r="D18" s="32" t="str">
        <x:v>Contrato previo apunta a America/Santiago.</x:v>
      </x:c>
      <x:c r="E18" s="32" t="str">
        <x:v>Timezone configurable por app; ADA inyecta su zona.</x:v>
      </x:c>
      <x:c r="F18" s="32" t="str">
        <x:v>EN DISEÑO</x:v>
      </x:c>
      <x:c r="G18" s="32" t="str">
        <x:v>TS-003</x:v>
      </x:c>
      <x:c r="H18" s="32" t="str">
        <x:v>Congelar con clock implementation.</x:v>
      </x:c>
    </x:row>
    <x:row r="19">
      <x:c r="A19" s="32" t="str">
        <x:v>Q-015</x:v>
      </x:c>
      <x:c r="B19" s="32" t="str">
        <x:v>¿Scope exacto de DATA_ERROR por fuente?</x:v>
      </x:c>
      <x:c r="C19" s="32" t="str">
        <x:v>Define si error temporal cubre todos o sólo componentes dependientes.</x:v>
      </x:c>
      <x:c r="D19" s="32" t="str">
        <x:v>Usuario exige marcar componentes cuando timestamp está malo.</x:v>
      </x:c>
      <x:c r="E19" s="32" t="str">
        <x:v>Dependency resolver: source→affected component scopes; global dependency=&gt;todos.</x:v>
      </x:c>
      <x:c r="F19" s="32" t="str">
        <x:v>EN DISEÑO</x:v>
      </x:c>
      <x:c r="G19" s="32" t="str">
        <x:v>CS-004</x:v>
      </x:c>
      <x:c r="H19" s="32" t="str">
        <x:v>Validar contra contrato actual de Tool.</x:v>
      </x:c>
    </x:row>
    <x:row r="20">
      <x:c r="A20" s="32" t="str">
        <x:v>Q-016</x:v>
      </x:c>
      <x:c r="B20" s="32" t="str">
        <x:v>¿Copy/nombre final de DATA_ERROR overlay?</x:v>
      </x:c>
      <x:c r="C20" s="32" t="str">
        <x:v>No debe confundirse con 'Información desactualizada'.</x:v>
      </x:c>
      <x:c r="D20" s="32" t="str">
        <x:v>Usuario sugiere 'la data está mala o algo así'.</x:v>
      </x:c>
      <x:c r="E20" s="32" t="str">
        <x:v>Probar 'Información inválida' / 'Datos no disponibles' / 'Error de actualización' en preview.</x:v>
      </x:c>
      <x:c r="F20" s="32" t="str">
        <x:v>ABIERTO</x:v>
      </x:c>
      <x:c r="G20" s="32" t="str">
        <x:v>CS-001/CS-008</x:v>
      </x:c>
      <x:c r="H20" s="32" t="str">
        <x:v>Semántica antes que copy.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" hidden="0" customWidth="1"/>
    <x:col min="4" max="4" width="24" hidden="0" customWidth="1"/>
    <x:col min="5" max="5" width="20" hidden="0" customWidth="1"/>
    <x:col min="6" max="6" width="16" hidden="0" customWidth="1"/>
    <x:col min="7" max="7" width="3" hidden="0" customWidth="1"/>
    <x:col min="8" max="8" width="3" hidden="0" customWidth="1"/>
    <x:col min="9" max="9" width="3" hidden="0" customWidth="1"/>
    <x:col min="10" max="10" width="3" hidden="0" customWidth="1"/>
  </x:cols>
  <x:sheetData>
    <x:row r="1" ht="30" customHeight="1">
      <x:c r="A1" s="4" t="str">
        <x:v>Dashboard del roadmap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2" customHeight="1">
      <x:c r="A2" s="11" t="str">
        <x:v>Resumen visual del backlog. Los conteos se alimentan de 03_Roadmap.</x:v>
      </x:c>
      <x:c r="B2" s="11"/>
      <x:c r="C2" s="11"/>
      <x:c r="D2" s="11"/>
      <x:c r="E2" s="11"/>
      <x:c r="F2" s="11"/>
      <x:c r="G2" s="11"/>
      <x:c r="H2" s="11"/>
      <x:c r="I2" s="11"/>
      <x:c r="J2" s="11"/>
    </x:row>
    <x:row r="4">
      <x:c r="A4" s="19" t="str">
        <x:v>Métrica</x:v>
      </x:c>
      <x:c r="B4" s="19" t="str">
        <x:v>Valor</x:v>
      </x:c>
      <x:c r="D4" s="19" t="str">
        <x:v>Track</x:v>
      </x:c>
      <x:c r="E4" s="19" t="str">
        <x:v>Pendiente/En diseño</x:v>
      </x:c>
      <x:c r="F4" s="19" t="str">
        <x:v>Cerrado</x:v>
      </x:c>
    </x:row>
    <x:row r="5">
      <x:c r="A5" t="str">
        <x:v>Total</x:v>
      </x:c>
      <x:c r="B5" t="n">
        <x:f>COUNTA('03_Roadmap'!A5:A200)</x:f>
        <x:v>39</x:v>
      </x:c>
      <x:c r="D5" t="str">
        <x:v>KPI Inspection Visual</x:v>
      </x:c>
      <x:c r="E5" t="n">
        <x:f>COUNTIFS('03_Roadmap'!B5:B200,D5,'03_Roadmap'!J5:J200,"PENDIENTE")+COUNTIFS('03_Roadmap'!B5:B200,D5,'03_Roadmap'!J5:J200,"EN DISEÑO")</x:f>
        <x:v>0</x:v>
      </x:c>
      <x:c r="F5" t="n">
        <x:f>COUNTIFS('03_Roadmap'!B5:B200,D5,'03_Roadmap'!J5:J200,"CERRADO")</x:f>
        <x:v>8</x:v>
      </x:c>
    </x:row>
    <x:row r="6">
      <x:c r="A6" t="str">
        <x:v>Cerrado</x:v>
      </x:c>
      <x:c r="B6" t="n">
        <x:v>22</x:v>
      </x:c>
      <x:c r="D6" t="str">
        <x:v>Time Status</x:v>
      </x:c>
      <x:c r="E6" t="n">
        <x:v>1</x:v>
      </x:c>
      <x:c r="F6" t="n">
        <x:v>12</x:v>
      </x:c>
    </x:row>
    <x:row r="7">
      <x:c r="A7" t="str">
        <x:v>Pendiente</x:v>
      </x:c>
      <x:c r="B7" t="n">
        <x:v>10</x:v>
      </x:c>
      <x:c r="D7" t="str">
        <x:v>Time Status Data</x:v>
      </x:c>
      <x:c r="E7" t="n">
        <x:f>COUNTIFS('03_Roadmap'!B5:B200,D7,'03_Roadmap'!J5:J200,"PENDIENTE")+COUNTIFS('03_Roadmap'!B5:B200,D7,'03_Roadmap'!J5:J200,"EN DISEÑO")</x:f>
        <x:v>3</x:v>
      </x:c>
      <x:c r="F7" t="n">
        <x:f>COUNTIFS('03_Roadmap'!B5:B200,D7,'03_Roadmap'!J5:J200,"CERRADO")</x:f>
        <x:v>1</x:v>
      </x:c>
    </x:row>
    <x:row r="8">
      <x:c r="A8" t="str">
        <x:v>En diseño</x:v>
      </x:c>
      <x:c r="B8" t="n">
        <x:v>2</x:v>
      </x:c>
      <x:c r="D8" t="str">
        <x:v>Content State</x:v>
      </x:c>
      <x:c r="E8" t="n">
        <x:f>COUNTIFS('03_Roadmap'!B5:B200,D8,'03_Roadmap'!J5:J200,"PENDIENTE")+COUNTIFS('03_Roadmap'!B5:B200,D8,'03_Roadmap'!J5:J200,"EN DISEÑO")</x:f>
        <x:v>8</x:v>
      </x:c>
      <x:c r="F8" t="n">
        <x:f>COUNTIFS('03_Roadmap'!B5:B200,D8,'03_Roadmap'!J5:J200,"CERRADO")</x:f>
        <x:v>1</x:v>
      </x:c>
    </x:row>
    <x:row r="9">
      <x:c r="A9" t="str">
        <x:v>Diferido</x:v>
      </x:c>
      <x:c r="B9" t="n">
        <x:v>5</x:v>
      </x:c>
      <x:c r="D9" t="str">
        <x:v>KPI Inspection</x:v>
      </x:c>
      <x:c r="E9" t="n">
        <x:f>COUNTIFS('03_Roadmap'!B5:B200,D9,'03_Roadmap'!J5:J200,"PENDIENTE")+COUNTIFS('03_Roadmap'!B5:B200,D9,'03_Roadmap'!J5:J200,"EN DISEÑO")</x:f>
        <x:v>0</x:v>
      </x:c>
      <x:c r="F9" t="n">
        <x:f>COUNTIFS('03_Roadmap'!B5:B200,D9,'03_Roadmap'!J5:J200,"CERRADO")</x:f>
        <x:v>0</x:v>
      </x:c>
    </x:row>
    <x:row r="10">
      <x:c r="D10" t="str">
        <x:v>Body</x:v>
      </x:c>
      <x:c r="E10" t="n">
        <x:f>COUNTIFS('03_Roadmap'!B5:B200,D10,'03_Roadmap'!J5:J200,"PENDIENTE")+COUNTIFS('03_Roadmap'!B5:B200,D10,'03_Roadmap'!J5:J200,"EN DISEÑO")</x:f>
        <x:v>0</x:v>
      </x:c>
      <x:c r="F10" t="n">
        <x:f>COUNTIFS('03_Roadmap'!B5:B200,D10,'03_Roadmap'!J5:J200,"CERRADO")</x:f>
        <x:v>0</x:v>
      </x:c>
    </x:row>
    <x:row r="12">
      <x:c r="A12" s="36" t="str">
        <x:v>Próximo gate</x:v>
      </x:c>
      <x:c r="B12" s="32" t="str">
        <x:v>TS-012B Visual Polish corrective gate</x:v>
      </x:c>
    </x:row>
    <x:row r="13">
      <x:c r="A13" s="36" t="str">
        <x:v>Después</x:v>
      </x:c>
      <x:c r="B13" s="32" t="str">
        <x:v>Revalidar 01/02, 03, 04/05, 08/09 y 10</x:v>
      </x:c>
    </x:row>
    <x:row r="14">
      <x:c r="A14" s="36" t="str">
        <x:v>Luego</x:v>
      </x:c>
      <x:c r="B14" s="32" t="str">
        <x:v>Content State track separado</x:v>
      </x:c>
    </x:row>
    <x:row r="15">
      <x:c r="A15" s="36" t="str">
        <x:v>Después del freeze</x:v>
      </x:c>
      <x:c r="B15" s="32" t="str">
        <x:v>Content State track separado</x:v>
      </x:c>
    </x:row>
    <x:row r="16">
      <x:c r="A16" s="36" t="str">
        <x:v>Data</x:v>
      </x:c>
      <x:c r="B16" s="32" t="str">
        <x:v>DATA-001 sigue diferido; DATA-003 resolver real de consumo permanece separado.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84cead60a5434655"/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6" hidden="0" customWidth="1"/>
    <x:col min="4" max="4" width="32" hidden="0" customWidth="1"/>
    <x:col min="5" max="5" width="36" hidden="0" customWidth="1"/>
    <x:col min="6" max="6" width="22" hidden="0" customWidth="1"/>
    <x:col min="7" max="7" width="64" hidden="0" customWidth="1"/>
    <x:col min="8" max="8" width="48" hidden="0" customWidth="1"/>
    <x:col min="9" max="9" width="48" hidden="0" customWidth="1"/>
  </x:cols>
  <x:sheetData>
    <x:row r="1">
      <x:c r="A1" s="40" t="str">
        <x:v>Evidencia del roadmap UI / Time Status</x:v>
      </x:c>
      <x:c r="B1" s="40"/>
      <x:c r="C1" s="40"/>
      <x:c r="D1" s="40"/>
      <x:c r="E1" s="40"/>
      <x:c r="F1" s="40"/>
      <x:c r="G1" s="40"/>
      <x:c r="H1" s="40"/>
      <x:c r="I1" s="40"/>
    </x:row>
    <x:row r="2">
      <x:c r="A2" s="43" t="str">
        <x:v>Registro de gates, prechecks y aprobaciones autoritativas. Los PRECHECK no sustituyen el gate Python 3.14.2 + UV del usuario.</x:v>
      </x:c>
      <x:c r="B2" s="43"/>
      <x:c r="C2" s="43"/>
      <x:c r="D2" s="43"/>
      <x:c r="E2" s="43"/>
      <x:c r="F2" s="43"/>
      <x:c r="G2" s="43"/>
      <x:c r="H2" s="43"/>
      <x:c r="I2" s="43"/>
    </x:row>
    <x:row r="4">
      <x:c r="A4" s="46" t="str">
        <x:v>Evidence ID</x:v>
      </x:c>
      <x:c r="B4" s="46" t="str">
        <x:v>Fecha</x:v>
      </x:c>
      <x:c r="C4" s="46" t="str">
        <x:v>Track</x:v>
      </x:c>
      <x:c r="D4" s="46" t="str">
        <x:v>Entorno</x:v>
      </x:c>
      <x:c r="E4" s="46" t="str">
        <x:v>Acción</x:v>
      </x:c>
      <x:c r="F4" s="46" t="str">
        <x:v>Resultado</x:v>
      </x:c>
      <x:c r="G4" s="46" t="str">
        <x:v>Detalle</x:v>
      </x:c>
      <x:c r="H4" s="46" t="str">
        <x:v>Artifact</x:v>
      </x:c>
      <x:c r="I4" s="46" t="str">
        <x:v>Notas</x:v>
      </x:c>
    </x:row>
    <x:row r="5">
      <x:c r="A5" s="32" t="str">
        <x:v>KIV000-PRECHECK-20260827</x:v>
      </x:c>
      <x:c r="B5" s="32" t="str">
        <x:v>2026-08-27</x:v>
      </x:c>
      <x:c r="C5" s="32" t="str">
        <x:v>KIV-000</x:v>
      </x:c>
      <x:c r="D5" s="32" t="str">
        <x:v>latest-v4 / local container</x:v>
      </x:c>
      <x:c r="E5" s="32" t="str">
        <x:v>compileall + semantic mirrors + bash -n + installer success/forced rollback simulation + ZIP hygiene</x:v>
      </x:c>
      <x:c r="F5" s="32" t="str">
        <x:v>PRECHECK PASS</x:v>
      </x:c>
      <x:c r="G5" s="32" t="str">
        <x:v>Preview compone Generic Application 0.1.21, Global Indicator 0.1.4, KPI Inspection API 0.1.0 y Surface 0.1.0. Tres estados de Definition preparados sin Cosmos/Azure: populated, empty stub y missing. No se ejecutó Dash/Flask completo porque Python 3.14.2/dependencias no están materializados en este contenedor.</x:v>
      </x:c>
      <x:c r="H5" s="32" t="str">
        <x:v>atlanticus-ada-kpi-inspection-kiv000-interactive-preview-0.1.0.zip</x:v>
      </x:c>
      <x:c r="I5" s="32" t="str">
        <x:v>Gate autoritativo y validación visual quedan pendientes.</x:v>
      </x:c>
    </x:row>
    <x:row r="6">
      <x:c r="A6" s="32" t="str">
        <x:v>KIV000-AUTH-FAIL-NAMESPACE-SHADOW-20260827</x:v>
      </x:c>
      <x:c r="B6" s="32" t="str">
        <x:v>2026-08-27</x:v>
      </x:c>
      <x:c r="C6" s="32" t="str">
        <x:v>KIV-000</x:v>
      </x:c>
      <x:c r="D6" s="32" t="str">
        <x:v>Repo usuario / macOS / Python 3.14.2 + UV</x:v>
      </x:c>
      <x:c r="E6" s="32" t="str">
        <x:v>apply KIV-000 0.1.0</x:v>
      </x:c>
      <x:c r="F6" s="32" t="str">
        <x:v>FAIL / ROLLBACK PASS</x:v>
      </x:c>
      <x:c r="G6" s="32" t="str">
        <x:v>Core 14 PASS, API 7 PASS, Surface 15 PASS, Global Indicator 16 PASS, Application 7 PASS. Preview falló durante collection con ModuleNotFoundError: atlanticus.web.navigation. Causa: pythonpath manual añadió observability/src, que contiene paquetes regulares atlanticus y atlanticus.web y sombreó el navigation package ya instalado.</x:v>
      </x:c>
      <x:c r="H6" s="32" t="str">
        <x:v>atlanticus-ada-kpi-inspection-kiv000-interactive-preview-0.1.0.zip</x:v>
      </x:c>
      <x:c r="I6" s="32" t="str">
        <x:v>Fallo exclusivo de configuración de tests del preview; no finding productivo en Navigation/Application.</x:v>
      </x:c>
    </x:row>
    <x:row r="7">
      <x:c r="A7" s="32" t="str">
        <x:v>KIV000-CORRECTIVE-011-PRECHECK-20260827</x:v>
      </x:c>
      <x:c r="B7" s="32" t="str">
        <x:v>2026-08-27</x:v>
      </x:c>
      <x:c r="C7" s="32" t="str">
        <x:v>KIV-000</x:v>
      </x:c>
      <x:c r="D7" s="32" t="str">
        <x:v>latest-v4 + KI-010B current checkpoint / local container</x:v>
      </x:c>
      <x:c r="E7" s="32" t="str">
        <x:v>pythonpath correction + compileall + bash -n + registry preservation + installer success/forced rollback simulations</x:v>
      </x:c>
      <x:c r="F7" s="32" t="str">
        <x:v>PRECHECK PASS</x:v>
      </x:c>
      <x:c r="G7" s="32" t="str">
        <x:v>Corrective 0.1.1 mantiene package preview 0.1.0. pytest pythonpath sólo agrega src, ../api/src, ../core/src y ../surface/src; Generic Application y Atlanticus dependencies se resuelven desde el entorno bloqueado de application. Registry de kpi-inspection-empty-definition-flow se preserva explícitamente.</x:v>
      </x:c>
      <x:c r="H7" s="32" t="str">
        <x:v>atlanticus-ada-kpi-inspection-kiv000-interactive-preview-0.1.1.zip</x:v>
      </x:c>
      <x:c r="I7" s="32" t="str">
        <x:v>Gate Python 3.14.2 + UV y validación visual siguen pendientes.</x:v>
      </x:c>
    </x:row>
    <x:row r="8">
      <x:c r="A8" s="32" t="str">
        <x:v>KIV000B-PRECHECK-20260827</x:v>
      </x:c>
      <x:c r="B8" s="32" t="str">
        <x:v>2026-08-27</x:v>
      </x:c>
      <x:c r="C8" s="32" t="str">
        <x:v>KIV-000B</x:v>
      </x:c>
      <x:c r="D8" s="32" t="str">
        <x:v>latest-v4 + KI-010B; preview absent/present simulations</x:v>
      </x:c>
      <x:c r="E8" s="32" t="str">
        <x:v>compileall changed dirs + node --check + semantic mirrors + bash -n + installer success (preview absent/present) + forced rollback exact</x:v>
      </x:c>
      <x:c r="F8" s="32" t="str">
        <x:v>PRECHECK PASS</x:v>
      </x:c>
      <x:c r="G8" s="32" t="str">
        <x:v>GI root neutral y value-only triggers; Surface dark/square/selectable/non-modal; request lock client-side. Exact-pin consumers alineados: GI 0.1.5, Surface 0.1.1, Generic Application 0.1.22, Interval Resilience 0.1.1, Empty Definition Flow 0.1.1, Preview 0.1.1. Installer acepta preview ausente o ada-web-kpi-inspection-preview 0.1.0 y rollback restaura manifest exacto.</x:v>
      </x:c>
      <x:c r="H8" s="32" t="str">
        <x:v>atlanticus-ada-kpi-inspection-kiv000b-interaction-calibration-0.1.0.zip</x:v>
      </x:c>
      <x:c r="I8" s="32" t="str">
        <x:v>Python 3.14.2 + UV/Ruff/Dash full gate y validación visual quedan para el repo del usuario.</x:v>
      </x:c>
    </x:row>
    <x:row r="9">
      <x:c r="A9" s="32" t="str">
        <x:v>KIV000C-PRECHECK-20260827</x:v>
      </x:c>
      <x:c r="B9" s="32" t="str">
        <x:v>2026-08-27</x:v>
      </x:c>
      <x:c r="C9" s="32" t="str">
        <x:v>KIV-000C</x:v>
      </x:c>
      <x:c r="D9" s="32" t="str">
        <x:v>KIV-000B calibrated baseline / local container</x:v>
      </x:c>
      <x:c r="E9" s="32" t="str">
        <x:v>per-value contract + focus-origin JS + spacing + compileall + node --check + semantic mirrors + bash -n + installer success/forced rollback</x:v>
      </x:c>
      <x:c r="F9" s="32" t="str">
        <x:v>PRECHECK PASS</x:v>
      </x:c>
      <x:c r="G9" s="32" t="str">
        <x:v>24 agreed files changed. Global Indicator 0.2.0 removes slot-level kpi_key and exposes actual_kpi_key/plan_kpi_key per measurement plus actual_kpi_key for latest. Preview contains 5 independent keys per indicator; recovery_day_plan remains empty stub and mine_movement_latest remains missing. Pointer close does not restore trigger focus; keyboard close does. Label-to-value spacing increases by 0.15rem inline.</x:v>
      </x:c>
      <x:c r="H9" s="32" t="str">
        <x:v>atlanticus-ada-kpi-inspection-kiv000c-per-value-identity-0.1.0.zip</x:v>
      </x:c>
      <x:c r="I9" s="32" t="str">
        <x:v>Full Python 3.14.2 + UV/Ruff/Dash gate and browser validation remain authoritative.</x:v>
      </x:c>
    </x:row>
    <x:row r="10">
      <x:c r="A10" s="32" t="str">
        <x:v>KIV000C-AUTH-FAIL-KI010B-FOCUS-ASSERT-20260828</x:v>
      </x:c>
      <x:c r="B10" s="32" t="str">
        <x:v>2026-08-28</x:v>
      </x:c>
      <x:c r="C10" s="32" t="str">
        <x:v>KIV-000C</x:v>
      </x:c>
      <x:c r="D10" s="32" t="str">
        <x:v>Repo usuario / macOS / Python 3.14.2 + UV</x:v>
      </x:c>
      <x:c r="E10" s="32" t="str">
        <x:v>apply KIV-000C 0.1.0</x:v>
      </x:c>
      <x:c r="F10" s="32" t="str">
        <x:v>FAIL / ROLLBACK PASS</x:v>
      </x:c>
      <x:c r="G10" s="32" t="str">
        <x:v>Core 14 PASS, API 7 PASS, Surface 17 PASS, Interval Resilience 7 PASS. Empty Definition Flow: 7 PASS / 1 FAIL. El test heredado buscaba el literal 'focusTarget &amp;&amp; focusTarget.isConnected'; KIV-000C introduce restoreFocus &amp;&amp; focusTarget &amp;&amp; focusTarget.isConnected para restaurar foco sólo tras activación por teclado.</x:v>
      </x:c>
      <x:c r="H10" s="32" t="str">
        <x:v>atlanticus-ada-kpi-inspection-kiv000c-per-value-identity-0.1.0.zip</x:v>
      </x:c>
      <x:c r="I10" s="32" t="str">
        <x:v>Fallo del harness KI-010B desactualizado; no finding productivo en Surface ni Global Indicator.</x:v>
      </x:c>
    </x:row>
    <x:row r="11">
      <x:c r="A11" s="32" t="str">
        <x:v>KIV000C-CORRECTIVE-011-PRECHECK-20260828</x:v>
      </x:c>
      <x:c r="B11" s="32" t="str">
        <x:v>2026-08-28</x:v>
      </x:c>
      <x:c r="C11" s="32" t="str">
        <x:v>KIV-000C</x:v>
      </x:c>
      <x:c r="D11" s="32" t="str">
        <x:v>KIV-000B baseline after rollback / local container</x:v>
      </x:c>
      <x:c r="E11" s="32" t="str">
        <x:v>KI-010B focus-contract test correction + Python compile + node --check + bash -n + installer success/forced rollback simulation</x:v>
      </x:c>
      <x:c r="F11" s="32" t="str">
        <x:v>PRECHECK PASS</x:v>
      </x:c>
      <x:c r="G11" s="32" t="str">
        <x:v>Corrective 0.1.1 mantiene GI 0.2.0, Surface 0.1.2, Application 0.1.23, Interval/Empty/Preview 0.1.2. El único cambio respecto del payload KIV-000C 0.1.0 es la aserción de compatibilidad del Empty Definition Flow. Simulación success PASS y rollback forzado restauró el manifest exacto.</x:v>
      </x:c>
      <x:c r="H11" s="32" t="str">
        <x:v>atlanticus-ada-kpi-inspection-kiv000c-per-value-identity-0.1.1.zip</x:v>
      </x:c>
      <x:c r="I11" s="32" t="str">
        <x:v>Gate autoritativo Python 3.14.2 + UV y validación visual siguen pendientes.</x:v>
      </x:c>
    </x:row>
    <x:row r="12">
      <x:c r="A12" s="32" t="str">
        <x:v>KIV000C-AUTH-TECH-PASS-20260828</x:v>
      </x:c>
      <x:c r="B12" s="32" t="str">
        <x:v>2026-08-28</x:v>
      </x:c>
      <x:c r="C12" s="32" t="str">
        <x:v>KIV-000C</x:v>
      </x:c>
      <x:c r="D12" s="32" t="str">
        <x:v>Repo usuario / macOS / Python 3.14.2 + UV</x:v>
      </x:c>
      <x:c r="E12" s="32" t="str">
        <x:v>apply KIV-000C corrective 0.1.1</x:v>
      </x:c>
      <x:c r="F12" s="32" t="str">
        <x:v>TECHNICAL PASS</x:v>
      </x:c>
      <x:c r="G12" s="32" t="str">
        <x:v>Usuario confirmó descompresión y ejecución correctas del corrective 0.1.1. El instalador completó sin rollback; las versiones objetivo de KIV-000C quedan materializadas. El cierre completo se mantiene pendiente hasta la revisión visual en navegador.</x:v>
      </x:c>
      <x:c r="H12" s="32" t="str">
        <x:v>atlanticus-ada-kpi-inspection-kiv000c-per-value-identity-0.1.1.zip</x:v>
      </x:c>
      <x:c r="I12" s="32" t="str">
        <x:v>Próximo gate: preview visual de identidad por valor, focus Escape y spacing.</x:v>
      </x:c>
    </x:row>
    <x:row r="13">
      <x:c r="A13" s="32" t="str">
        <x:v>KIV000C-AUTH-VISUAL-PASS-20260828</x:v>
      </x:c>
      <x:c r="B13" s="32" t="str">
        <x:v>2026-08-28</x:v>
      </x:c>
      <x:c r="C13" s="32" t="str">
        <x:v>KIV-000C</x:v>
      </x:c>
      <x:c r="D13" s="32" t="str">
        <x:v>Preview usuario / navegador</x:v>
      </x:c>
      <x:c r="E13" s="32" t="str">
        <x:v>Validación visual final</x:v>
      </x:c>
      <x:c r="F13" s="32" t="str">
        <x:v>PASS / CLOSED</x:v>
      </x:c>
      <x:c r="G13" s="32" t="str">
        <x:v>Usuario aprobó identidad independiente por valor, Surface dark sin rounded, selección/copia en inspector, panel persistente, loading lock, focus Escape correcto según pointer/teclado y micro-spacing Turno/Día. Ajustes por resolución se difieren.</x:v>
      </x:c>
      <x:c r="H13" s="32" t="str">
        <x:v>atlanticus-ada-kpi-inspection-kiv000c-per-value-identity-0.1.1.zip</x:v>
      </x:c>
      <x:c r="I13" s="32" t="str">
        <x:v>KIV-000, KIV-000B y KIV-000C quedan cerrados como cadena de calibración.</x:v>
      </x:c>
    </x:row>
    <x:row r="14">
      <x:c r="A14" s="32" t="str">
        <x:v>KIV003-PRECHECK-20260828</x:v>
      </x:c>
      <x:c r="B14" s="32" t="str">
        <x:v>2026-08-28</x:v>
      </x:c>
      <x:c r="C14" s="32" t="str">
        <x:v>KIV-001/KIV-002/KIV-003</x:v>
      </x:c>
      <x:c r="D14" s="32" t="str">
        <x:v>KIV-000C closed baseline / local container</x:v>
      </x:c>
      <x:c r="E14" s="32" t="str">
        <x:v>Preview 0.1.3 + real dcc.Interval + 750 ms local API delay + compileall + semantic mirrors + bash -n + ZIP hygiene + success/forced rollback simulation</x:v>
      </x:c>
      <x:c r="F14" s="32" t="str">
        <x:v>PRECHECK PASS</x:v>
      </x:c>
      <x:c r="G14" s="32" t="str">
        <x:v>Sólo 4 archivos de preview cambian. Interval=2000 ms, Output únicamente kiv003-global-indicators-host.children; Surface no forma parte del callback. Los valores cambian por tick manteniendo las mismas per-value kpi_key. Latencia artificial existe sólo en PreviewDelayedSnapshotStore.</x:v>
      </x:c>
      <x:c r="H14" s="32" t="str">
        <x:v>atlanticus-ada-kpi-inspection-kiv003-interval-visual-resilience-0.1.0.zip</x:v>
      </x:c>
      <x:c r="I14" s="32" t="str">
        <x:v>Sin cambios productivos: GI 0.2.0, Surface 0.1.2 y Generic Application 0.1.23 permanecen intactos. Gate Python 3.14.2 + UV y smoke visual pendientes.</x:v>
      </x:c>
    </x:row>
    <x:row r="15">
      <x:c r="A15" s="32" t="str">
        <x:v>KIV003-AUTH-FAIL-REQUEST-CONTEXT-20260828</x:v>
      </x:c>
      <x:c r="B15" s="32" t="str">
        <x:v>2026-08-28</x:v>
      </x:c>
      <x:c r="C15" s="32" t="str">
        <x:v>KIV-003</x:v>
      </x:c>
      <x:c r="D15" s="32" t="str">
        <x:v>Repo usuario / macOS / Python 3.14.2 + UV</x:v>
      </x:c>
      <x:c r="E15" s="32" t="str">
        <x:v>apply KIV-003 0.1.0</x:v>
      </x:c>
      <x:c r="F15" s="32" t="str">
        <x:v>FAIL / ROLLBACK PASS</x:v>
      </x:c>
      <x:c r="G15" s="32" t="str">
        <x:v>Core 14 PASS, API 7 PASS, Surface 17 PASS, Interval Resilience 7 PASS, Empty Definition Flow 8 PASS, Global Indicator 20 PASS, Application 7 PASS. Preview 11 PASS / 1 FAIL. El test test_preview_runtime_uses_real_interval_and_replaces_only_global_indicator_children llamó preview_runtime.dash.layout() fuera de request context; AccessRuntime lanzó el error esperado por contrato.</x:v>
      </x:c>
      <x:c r="H15" s="32" t="str">
        <x:v>atlanticus-ada-kpi-inspection-kiv003-interval-visual-resilience-0.1.0.zip</x:v>
      </x:c>
      <x:c r="I15" s="32" t="str">
        <x:v>Fallo exclusivo del harness Preview; no finding productivo en Identity, Navigation, Application, Surface ni Interval.</x:v>
      </x:c>
    </x:row>
    <x:row r="16">
      <x:c r="A16" s="32" t="str">
        <x:v>KIV003-CORRECTIVE-011-PRECHECK-20260828</x:v>
      </x:c>
      <x:c r="B16" s="32" t="str">
        <x:v>2026-08-28</x:v>
      </x:c>
      <x:c r="C16" s="32" t="str">
        <x:v>KIV-003</x:v>
      </x:c>
      <x:c r="D16" s="32" t="str">
        <x:v>KIV-000C closed baseline after rollback / local container</x:v>
      </x:c>
      <x:c r="E16" s="32" t="str">
        <x:v>Request-context test correction + compileall + bash -n + ZIP hygiene + installer success/forced rollback simulation</x:v>
      </x:c>
      <x:c r="F16" s="32" t="str">
        <x:v>PRECHECK PASS</x:v>
      </x:c>
      <x:c r="G16" s="32" t="str">
        <x:v>Corrective 0.1.1 conserva Preview 0.1.3 y todos los módulos productivos sin cambio. El test abre test_request_context('/', Accept=text/html), ejecuta server.preprocess_request() para aplicar el middleware real de Identity/Access y evalúa dash.layout() dentro del mismo request. Rollback forzado restauró exactamente el Preview 0.1.2 preexistente.</x:v>
      </x:c>
      <x:c r="H16" s="32" t="str">
        <x:v>atlanticus-ada-kpi-inspection-kiv003-interval-visual-resilience-0.1.1.zip</x:v>
      </x:c>
      <x:c r="I16" s="32" t="str">
        <x:v>Gate autoritativo Python 3.14.2 + UV y smoke visual KIV-001/002/003 siguen pendientes.</x:v>
      </x:c>
    </x:row>
    <x:row r="17">
      <x:c r="A17" s="32" t="str">
        <x:v>KIV003-AUTH-PASS-20260828</x:v>
      </x:c>
      <x:c r="B17" s="32" t="str">
        <x:v>2026-08-28</x:v>
      </x:c>
      <x:c r="C17" s="32" t="str">
        <x:v>KIV-001/KIV-002/KIV-003</x:v>
      </x:c>
      <x:c r="D17" s="32" t="str">
        <x:v>Repo usuario + Preview navegador / macOS / Python 3.14.2 + UV</x:v>
      </x:c>
      <x:c r="E17" s="32" t="str">
        <x:v>apply KIV-003 corrective 0.1.1 + smoke visual</x:v>
      </x:c>
      <x:c r="F17" s="32" t="str">
        <x:v>PASS / CLOSED</x:v>
      </x:c>
      <x:c r="G17" s="32" t="str">
        <x:v>Usuario confirmó funcionamiento esperado. Sequential switching mantiene la misma Surface; loading lock evita nuevos triggers durante request; dcc.Interval real actualiza Global Indicators cada 2 s sin cerrar Inspection y los valores rerenderizados siguen operables.</x:v>
      </x:c>
      <x:c r="H17" s="32" t="str">
        <x:v>atlanticus-ada-kpi-inspection-kiv003-interval-visual-resilience-0.1.1.zip</x:v>
      </x:c>
      <x:c r="I17" s="32" t="str">
        <x:v>KIV-001, KIV-002 y KIV-003 cerrados. Preview-only; sin cambios productivos.</x:v>
      </x:c>
    </x:row>
    <x:row r="18">
      <x:c r="A18" s="32" t="str">
        <x:v>KIV004-PRECHECK-20260828</x:v>
      </x:c>
      <x:c r="B18" s="32" t="str">
        <x:v>2026-08-28</x:v>
      </x:c>
      <x:c r="C18" s="32" t="str">
        <x:v>KIV-004</x:v>
      </x:c>
      <x:c r="D18" s="32" t="str">
        <x:v>KIV-003 closed baseline / local container</x:v>
      </x:c>
      <x:c r="E18" s="32" t="str">
        <x:v>Preview 0.1.4 contract tests + compileall + semantic mirrors + bash -n + ZIP hygiene + success/forced rollback simulation</x:v>
      </x:c>
      <x:c r="F18" s="32" t="str">
        <x:v>PRECHECK PASS</x:v>
      </x:c>
      <x:c r="G18" s="32" t="str">
        <x:v>Sólo 4 archivos de Preview cambian: pyproject, runtime version, mirror y tests. Se agregan 3 tests de cierre/accesibilidad. Surface 0.1.2, Global Indicator 0.2.0 y Generic Application 0.1.23 permanecen intactos. Rollback forzado restaura Preview 0.1.3 exactamente.</x:v>
      </x:c>
      <x:c r="H18" s="32" t="str">
        <x:v>atlanticus-ada-kpi-inspection-kiv004-close-accessibility-smoke-0.1.0.zip</x:v>
      </x:c>
      <x:c r="I18" s="32" t="str">
        <x:v>Gate Python 3.14.2 + UV y smoke manual X/Escape/Enter/Space/focus pendientes.</x:v>
      </x:c>
    </x:row>
    <x:row r="19">
      <x:c r="A19" s="32" t="str">
        <x:v>KIV004-DESIGN-REPLACED-20260828</x:v>
      </x:c>
      <x:c r="B19" s="32" t="str">
        <x:v>2026-08-28</x:v>
      </x:c>
      <x:c r="C19" s="32" t="str">
        <x:v>KIV-004</x:v>
      </x:c>
      <x:c r="D19" s="32" t="str">
        <x:v>Diseño / preview antes de aplicar 0.1.0</x:v>
      </x:c>
      <x:c r="E19" s="32" t="str">
        <x:v>Revisión UX de keyboard-operable trigger</x:v>
      </x:c>
      <x:c r="F19" s="32" t="str">
        <x:v>REPLACED</x:v>
      </x:c>
      <x:c r="G19" s="32" t="str">
        <x:v>El usuario descartó navegación Tab/Enter/Space sobre valores KPI porque el dcc.Interval reemplaza el DOM y reinicia el recorrido de foco. El artefacto KIV-004 0.1.0 no debe aplicarse.</x:v>
      </x:c>
      <x:c r="H19" s="32" t="str">
        <x:v>atlanticus-ada-kpi-inspection-kiv004-close-accessibility-smoke-0.1.0.zip</x:v>
      </x:c>
      <x:c r="I19" s="32" t="str">
        <x:v>Se reemplaza por KIV-004 corrective 0.1.1 pointer-only.</x:v>
      </x:c>
    </x:row>
    <x:row r="20">
      <x:c r="A20" s="32" t="str">
        <x:v>KIV004-POINTER-011-PRECHECK-20260828</x:v>
      </x:c>
      <x:c r="B20" s="32" t="str">
        <x:v>2026-08-28</x:v>
      </x:c>
      <x:c r="C20" s="32" t="str">
        <x:v>KIV-004</x:v>
      </x:c>
      <x:c r="D20" s="32" t="str">
        <x:v>KIV-003 closed baseline / local container</x:v>
      </x:c>
      <x:c r="E20" s="32" t="str">
        <x:v>Pointer-only GI contract + exact-pin alignment + compileall + semantic mirrors + bash -n + ZIP hygiene + success/forced rollback simulation</x:v>
      </x:c>
      <x:c r="F20" s="32" t="str">
        <x:v>PRECHECK PASS</x:v>
      </x:c>
      <x:c r="G20" s="32" t="str">
        <x:v>Global Indicator 0.2.1 conserva sólo data-kpi-inspection-key en valores inspeccionables; elimina role=button/tabIndex/aria-haspopup. Generic Application 0.1.24, Interval Resilience 0.1.3, Empty Definition Flow 0.1.3 y Preview 0.1.5 alinean pins. Inspection Surface permanece 0.1.2. Rollback forzado restauró exactamente el baseline KIV-003.</x:v>
      </x:c>
      <x:c r="H20" s="32" t="str">
        <x:v>atlanticus-ada-kpi-inspection-kiv004-pointer-only-triggers-0.1.1.zip</x:v>
      </x:c>
      <x:c r="I20" s="32" t="str">
        <x:v>Gate Python 3.14.2 + UV y smoke visual Tab-skip/click/X/Escape pendientes.</x:v>
      </x:c>
    </x:row>
    <x:row r="21">
      <x:c r="A21" s="32" t="str">
        <x:v>KIV004-INSTALL-GUARD-FAIL-20260828</x:v>
      </x:c>
      <x:c r="B21" s="32" t="str">
        <x:v>2026-08-28</x:v>
      </x:c>
      <x:c r="C21" s="32" t="str">
        <x:v>KIV-004</x:v>
      </x:c>
      <x:c r="D21" s="32" t="str">
        <x:v>Repo usuario / macOS</x:v>
      </x:c>
      <x:c r="E21" s="32" t="str">
        <x:v>apply KIV-004 pointer-only corrective 0.1.1</x:v>
      </x:c>
      <x:c r="F21" s="32" t="str">
        <x:v>NO-OP / PRESTATE REJECTED</x:v>
      </x:c>
      <x:c r="G21" s="32" t="str">
        <x:v>El instalador terminó inmediatamente con 'Expected ada-web-kpi-inspection-preview 0.1.3 pre-state'. No había comenzado backup/aplicación, por lo que el repo quedó intacto. Preview 0.1.4 es un pre-state válido si KIV-004 0.1.0 había sido materializado previamente.</x:v>
      </x:c>
      <x:c r="H21" s="32" t="str">
        <x:v>atlanticus-ada-kpi-inspection-kiv004-pointer-only-triggers-0.1.1.zip</x:v>
      </x:c>
      <x:c r="I21" s="32" t="str">
        <x:v>Finding del instalador: guard de Preview demasiado estricto; no finding productivo.</x:v>
      </x:c>
    </x:row>
    <x:row r="22">
      <x:c r="A22" s="32" t="str">
        <x:v>KIV004-POINTER-012-PRECHECK-20260828</x:v>
      </x:c>
      <x:c r="B22" s="32" t="str">
        <x:v>2026-08-28</x:v>
      </x:c>
      <x:c r="C22" s="32" t="str">
        <x:v>KIV-004</x:v>
      </x:c>
      <x:c r="D22" s="32" t="str">
        <x:v>KIV-003/KIV-004-preview valid pre-states / local container</x:v>
      </x:c>
      <x:c r="E22" s="32" t="str">
        <x:v>Dual pre-state installer validation + bash -n + success from Preview 0.1.3 + success from Preview 0.1.4 + forced rollback from 0.1.4</x:v>
      </x:c>
      <x:c r="F22" s="32" t="str">
        <x:v>PRECHECK PASS</x:v>
      </x:c>
      <x:c r="G22" s="32" t="str">
        <x:v>Corrective 0.1.2 acepta sólo Preview 0.1.3 o 0.1.4. Ambos convergen a Preview 0.1.5, GI 0.2.1, Application 0.1.24, Interval/Empty 0.1.3 y Surface 0.1.2. Rollback forzado restauró hash exacto del preestado 0.1.4.</x:v>
      </x:c>
      <x:c r="H22" s="32" t="str">
        <x:v>atlanticus-ada-kpi-inspection-kiv004-pointer-only-triggers-0.1.2.zip</x:v>
      </x:c>
      <x:c r="I22" s="32" t="str">
        <x:v>Gate autoritativo Python 3.14.2 + UV y smoke visual pointer-only siguen pendientes.</x:v>
      </x:c>
    </x:row>
    <x:row r="23">
      <x:c r="A23" s="32" t="str">
        <x:v>KIV004-AUTH-PASS-20260828</x:v>
      </x:c>
      <x:c r="B23" s="32" t="str">
        <x:v>2026-08-28</x:v>
      </x:c>
      <x:c r="C23" s="32" t="str">
        <x:v>KIV-004</x:v>
      </x:c>
      <x:c r="D23" s="32" t="str">
        <x:v>Preview usuario / navegador</x:v>
      </x:c>
      <x:c r="E23" s="32" t="str">
        <x:v>Pointer-only close smoke</x:v>
      </x:c>
      <x:c r="F23" s="32" t="str">
        <x:v>PASS / CLOSED</x:v>
      </x:c>
      <x:c r="G23" s="32" t="str">
        <x:v>Usuario confirmó que la experiencia quedó bien: los valores KPI quedan fuera del Tab order y click/X/Escape funcionan como esperado.</x:v>
      </x:c>
      <x:c r="H23" s="32" t="str">
        <x:v>atlanticus-ada-kpi-inspection-kiv004-pointer-only-triggers-0.1.2.zip</x:v>
      </x:c>
      <x:c r="I23" s="32" t="str">
        <x:v>KIV-004 cerrado.</x:v>
      </x:c>
    </x:row>
    <x:row r="24">
      <x:c r="A24" s="32" t="str">
        <x:v>KIV005-FREEZE-20260828</x:v>
      </x:c>
      <x:c r="B24" s="32" t="str">
        <x:v>2026-08-28</x:v>
      </x:c>
      <x:c r="C24" s="32" t="str">
        <x:v>KIV-005</x:v>
      </x:c>
      <x:c r="D24" s="32" t="str">
        <x:v>Roadmap / contract freeze</x:v>
      </x:c>
      <x:c r="E24" s="32" t="str">
        <x:v>Freeze visual/funcional KPI Inspection</x:v>
      </x:c>
      <x:c r="F24" s="32" t="str">
        <x:v>CLOSED</x:v>
      </x:c>
      <x:c r="G24" s="32" t="str">
        <x:v>Se congela el diseño aprobado sin cambios productivos adicionales. Responsive/resolution queda diferido como refinamiento posterior y no bloquea Time Status.</x:v>
      </x:c>
      <x:c r="H24" s="32" t="str">
        <x:v>Atlanticus_ADA_UI_Time_Status_Roadmap_v1.0.12.xlsx</x:v>
      </x:c>
      <x:c r="I24" s="32" t="str">
        <x:v>Siguiente track activo: TS-001.</x:v>
      </x:c>
    </x:row>
    <x:row r="25">
      <x:c r="A25" s="32" t="str">
        <x:v>TS001-FULL-CONTRACT-RECOVERY-20260828</x:v>
      </x:c>
      <x:c r="B25" s="32" t="str">
        <x:v>2026-08-28</x:v>
      </x:c>
      <x:c r="C25" s="32" t="str">
        <x:v>TS-001</x:v>
      </x:c>
      <x:c r="D25" s="32" t="str">
        <x:v>Legacy analysis + prior validated design context</x:v>
      </x:c>
      <x:c r="E25" s="32" t="str">
        <x:v>Recover full freshness/time semantics before implementation</x:v>
      </x:c>
      <x:c r="F25" s="32" t="str">
        <x:v>DESIGN RECOVERY</x:v>
      </x:c>
      <x:c r="G25" s="32" t="str">
        <x:v>Recuperados stale_after configurables (PI default 300 s, Dispatch default 600 s), age&gt;=threshold=&gt;STALE, missing/invalid timestamp=&gt;ERROR, relative buckets discretos, stale visual critical/red, freshness transitions independientes del watermark, trigger sobre todo Time Status y clock derivado de hora real.</x:v>
      </x:c>
      <x:c r="H25" s="32" t="str">
        <x:v>Atlanticus_ADA_UI_Time_Status_Roadmap_v1.0.13.xlsx</x:v>
      </x:c>
      <x:c r="I25" s="32" t="str">
        <x:v>WARNING temporal exacto no está recuperado: queda abierto y no se inventa. Visual final Time Status tampoco se congela en TS-001.</x:v>
      </x:c>
    </x:row>
    <x:row r="26">
      <x:c r="A26" s="32" t="str">
        <x:v>TS001-TWO-STAGE-FRESHNESS-20260828</x:v>
      </x:c>
      <x:c r="B26" s="32" t="str">
        <x:v>2026-08-28</x:v>
      </x:c>
      <x:c r="C26" s="32" t="str">
        <x:v>TS-001</x:v>
      </x:c>
      <x:c r="D26" s="32" t="str">
        <x:v>Design refinement with user</x:v>
      </x:c>
      <x:c r="E26" s="32" t="str">
        <x:v>Freeze two-stage freshness and invalid-time semantics</x:v>
      </x:c>
      <x:c r="F26" s="32" t="str">
        <x:v>DESIGN ACCEPTED</x:v>
      </x:c>
      <x:c r="G26" s="32" t="str">
        <x:v>Cada summary source usa warning_after y stale_after configurables. Ejemplo: PI 200/300 s, Dispatch 400/600 s. PREVENTIVE alerta sólo en Time Status; HARD_STALE participa en agregación global AND. PI-only entra CONTENT_STALE con PI hard; PI+Dispatch requiere ambas hard. Timestamp inválido/missing produce DATA_ERROR/INVALID_DATA, no STALE.</x:v>
      </x:c>
      <x:c r="H26" s="32" t="str">
        <x:v>Atlanticus_ADA_UI_Time_Status_Roadmap_v1.0.14.xlsx</x:v>
      </x:c>
      <x:c r="I26" s="32" t="str">
        <x:v>Visual preventivo y copy de data error quedan para iteración posterior.</x:v>
      </x:c>
    </x:row>
    <x:row r="27">
      <x:c r="A27" s="32" t="str">
        <x:v>TS001-CONTRACT-FREEZE-20260828</x:v>
      </x:c>
      <x:c r="B27" s="32" t="str">
        <x:v>2026-08-28</x:v>
      </x:c>
      <x:c r="C27" s="32" t="str">
        <x:v>TS-001</x:v>
      </x:c>
      <x:c r="D27" s="32" t="str">
        <x:v>Architecture / user-approved design</x:v>
      </x:c>
      <x:c r="E27" s="32" t="str">
        <x:v>Freeze full Time Status semantics</x:v>
      </x:c>
      <x:c r="F27" s="32" t="str">
        <x:v>CLOSED</x:v>
      </x:c>
      <x:c r="G27" s="32" t="str">
        <x:v>PI requerido en ADA; Dispatch opcional; relative buckets; warning_after/stale_after configurables; PREVENTIVE visible only; HARD_STALE; Tool CONTENT_STALE por AND de required summary sources; invalid/missing timestamp =&gt; DATA_ERROR; dependency-scoped error propagation; real synchronized clock; whole-summary detail trigger.</x:v>
      </x:c>
      <x:c r="H27" s="32" t="str">
        <x:v>Atlanticus_ADA_UI_Time_Status_Roadmap_v1.0.15.xlsx</x:v>
      </x:c>
      <x:c r="I27" s="32" t="str">
        <x:v>Colores, pulse, iconos y copy de overlays no se congelan todavía.</x:v>
      </x:c>
    </x:row>
    <x:row r="28">
      <x:c r="A28" s="32" t="str">
        <x:v>TS002-PRECHECK-20260828</x:v>
      </x:c>
      <x:c r="B28" s="32" t="str">
        <x:v>2026-08-28</x:v>
      </x:c>
      <x:c r="C28" s="32" t="str">
        <x:v>TS-002</x:v>
      </x:c>
      <x:c r="D28" s="32" t="str">
        <x:v>KIV-004 closed baseline reconstructed locally</x:v>
      </x:c>
      <x:c r="E28" s="32" t="str">
        <x:v>Create ada-web-ui-time-status 0.1.0 + registry + compileall + semantic mirrors + bash -n + ZIP hygiene + installer success/forced rollback simulation</x:v>
      </x:c>
      <x:c r="F28" s="32" t="str">
        <x:v>PRECHECK PASS</x:v>
      </x:c>
      <x:c r="G28" s="32" t="str">
        <x:v>Nueva capability aislada con 4 archivos productivos Python + CSS + mirrors + 10 tests. Asset layer load_order=150. No modifica Header 0.1.1, Generic Application 0.1.24, Global Indicator 0.2.1 ni Inspection Surface 0.1.2. No se pudo ejecutar Ruff/Pytest real por ausencia de Python 3.14.2/Dash en el contenedor local.</x:v>
      </x:c>
      <x:c r="H28" s="32" t="str">
        <x:v>atlanticus-ada-time-status-ts002-summary-contract-0.1.0.zip</x:v>
      </x:c>
      <x:c r="I28" s="32" t="str">
        <x:v>Gate autoritativo Python 3.14.2 + UV pendiente.</x:v>
      </x:c>
    </x:row>
    <x:row r="29">
      <x:c r="A29" s="32" t="str">
        <x:v>TS002-AUTH-FAIL-SRCPATH-20260828</x:v>
      </x:c>
      <x:c r="B29" s="32" t="str">
        <x:v>2026-08-28</x:v>
      </x:c>
      <x:c r="C29" s="32" t="str">
        <x:v>TS-002</x:v>
      </x:c>
      <x:c r="D29" s="32" t="str">
        <x:v>Repo usuario / macOS / Python 3.14.2 + UV</x:v>
      </x:c>
      <x:c r="E29" s="32" t="str">
        <x:v>apply TS-002 0.1.0</x:v>
      </x:c>
      <x:c r="F29" s="32" t="str">
        <x:v>FAIL / ROLLBACK PASS</x:v>
      </x:c>
      <x:c r="G29" s="32" t="str">
        <x:v>uv lock resolvió 40 packages. UI Core gate quedó 8 passed. Time Status falló en collection con 3 ModuleNotFoundError: ada.web.ui.time_status (test_models, test_module, test_presentation). El proyecto usa src layout pero el gate ejecuta pytest desde el entorno sincronizado de Generic Application, donde Time Status aún no es dependencia por diseño.</x:v>
      </x:c>
      <x:c r="H29" s="32" t="str">
        <x:v>atlanticus-ada-time-status-ts002-summary-contract-0.1.0.zip</x:v>
      </x:c>
      <x:c r="I29" s="32" t="str">
        <x:v>Finding de packaging/test-path; no se alcanzaron los tests del contrato y no hay evidencia de fallo semántico.</x:v>
      </x:c>
    </x:row>
    <x:row r="30">
      <x:c r="A30" s="32" t="str">
        <x:v>TS002-CORRECTIVE-011-PRECHECK-20260828</x:v>
      </x:c>
      <x:c r="B30" s="32" t="str">
        <x:v>2026-08-28</x:v>
      </x:c>
      <x:c r="C30" s="32" t="str">
        <x:v>TS-002</x:v>
      </x:c>
      <x:c r="D30" s="32" t="str">
        <x:v>KIV-004 closed baseline / local container</x:v>
      </x:c>
      <x:c r="E30" s="32" t="str">
        <x:v>Add pytest pythonpath=['src'] + package discovery + compileall + bash -n + ZIP hygiene + success/forced rollback simulation</x:v>
      </x:c>
      <x:c r="F30" s="32" t="str">
        <x:v>PRECHECK PASS</x:v>
      </x:c>
      <x:c r="G30" s="32" t="str">
        <x:v>ada-web-ui-time-status permanece 0.1.0. setuptools descubre ada.web.ui.time_status desde src. El correctivo no integra Generic Application ni cambia contratos/product code. Success simulation PASS y rollback forzado eliminó capability y restauró ambos registries exactamente.</x:v>
      </x:c>
      <x:c r="H30" s="32" t="str">
        <x:v>atlanticus-ada-time-status-ts002-summary-contract-0.1.1.zip</x:v>
      </x:c>
      <x:c r="I30" s="32" t="str">
        <x:v>Gate autoritativo Python 3.14.2 + UV pendiente.</x:v>
      </x:c>
    </x:row>
    <x:row r="31">
      <x:c r="A31" s="32" t="str">
        <x:v>TS002-AUTH-PASS-20260828</x:v>
      </x:c>
      <x:c r="B31" s="32" t="str">
        <x:v>2026-08-28</x:v>
      </x:c>
      <x:c r="C31" s="32" t="str">
        <x:v>TS-002</x:v>
      </x:c>
      <x:c r="D31" s="32" t="str">
        <x:v>Repo usuario / macOS / Python 3.14.2 + UV</x:v>
      </x:c>
      <x:c r="E31" s="32" t="str">
        <x:v>apply TS-002 corrective 0.1.1</x:v>
      </x:c>
      <x:c r="F31" s="32" t="str">
        <x:v>PASS / CLOSED</x:v>
      </x:c>
      <x:c r="G31" s="32" t="str">
        <x:v>Usuario confirmó gate verde. ada-web-ui-time-status==0.1.0 queda materializado y validado. TS-002 continúa aislado de Header/Application/Collector por diseño.</x:v>
      </x:c>
      <x:c r="H31" s="32" t="str">
        <x:v>atlanticus-ada-time-status-ts002-summary-contract-0.1.1.zip</x:v>
      </x:c>
      <x:c r="I31" s="32" t="str">
        <x:v>Siguiente incremento: TS-003 Real Synchronized Clock.</x:v>
      </x:c>
    </x:row>
    <x:row r="32">
      <x:c r="A32" s="32" t="str">
        <x:v>TS003-PRECHECK-20260828</x:v>
      </x:c>
      <x:c r="B32" s="32" t="str">
        <x:v>2026-08-28</x:v>
      </x:c>
      <x:c r="C32" s="32" t="str">
        <x:v>TS-003</x:v>
      </x:c>
      <x:c r="D32" s="32" t="str">
        <x:v>TS-002 closed baseline / local container</x:v>
      </x:c>
      <x:c r="E32" s="32" t="str">
        <x:v>Time Status 0.1.1 real-clock asset + runtime timezone config + Python compile + semantic mirrors + node --check + JS functional smoke + bash -n + ZIP hygiene + success/forced rollback simulation</x:v>
      </x:c>
      <x:c r="F32" s="32" t="str">
        <x:v>PRECHECK PASS</x:v>
      </x:c>
      <x:c r="G32" s="32" t="str">
        <x:v>JS smoke confirmó formato YYYY-MM-DD HH:mm:ss, scheduler alineado y listeners visibilitychange/focus/pageshow. No setInterval ni contador incremental. Re-query del clock marker en cada tick. No se ejecutó gate Python 3.14.2 + UV local; queda autoritativo en repo usuario.</x:v>
      </x:c>
      <x:c r="H32" s="32" t="str">
        <x:v>atlanticus-ada-time-status-ts003-real-synchronized-clock-0.1.0.zip</x:v>
      </x:c>
      <x:c r="I32" s="32" t="str">
        <x:v>Producto objetivo: ada-web-ui-time-status==0.1.1. Sin cambios a otros paquetes.</x:v>
      </x:c>
    </x:row>
    <x:row r="33">
      <x:c r="A33" s="32" t="str">
        <x:v>TS004-PRECHECK-20260828</x:v>
      </x:c>
      <x:c r="B33" s="32" t="str">
        <x:v>2026-08-28</x:v>
      </x:c>
      <x:c r="C33" s="32" t="str">
        <x:v>TS-004</x:v>
      </x:c>
      <x:c r="D33" s="32" t="str">
        <x:v>TS-002/TS-003 compatible baseline / local container</x:v>
      </x:c>
      <x:c r="E33" s="32" t="str">
        <x:v>Create ada-web-time-status-store-adapter 0.1.0 + 14 unit tests + semantic mirrors + compileall + bash -n + ZIP hygiene + success simulation from UI 0.1.0/0.1.1 + forced rollback</x:v>
      </x:c>
      <x:c r="F33" s="32" t="str">
        <x:v>PRECHECK PASS</x:v>
      </x:c>
      <x:c r="G33" s="32" t="str">
        <x:v>Adapter tool-scoped y stateless. Source se consulta con tool_key y payload se verifica contra expected_tool_key. UTC normalization; VALID/MISSING/INVALID; extra sources preservadas; future timestamp queda structural VALID. 14 pytest locales PASS en Python disponible del contenedor; gate autoritativo 3.14.2 + UV pendiente.</x:v>
      </x:c>
      <x:c r="H33" s="32" t="str">
        <x:v>atlanticus-ada-time-status-ts004-store-adapter-contract-0.1.0.zip</x:v>
      </x:c>
      <x:c r="I33" s="32" t="str">
        <x:v>No cambia ada-web-ui-time-status y no conecta Collector real.</x:v>
      </x:c>
    </x:row>
    <x:row r="34">
      <x:c r="A34" s="30" t="str">
        <x:v>TS003-AUTH-PASS-20260828</x:v>
      </x:c>
      <x:c r="B34" s="30" t="str">
        <x:v>2026-08-28</x:v>
      </x:c>
      <x:c r="C34" s="30" t="str">
        <x:v>TS-003</x:v>
      </x:c>
      <x:c r="D34" s="30" t="str">
        <x:v>Repo usuario / Python 3.14.2 + UV</x:v>
      </x:c>
      <x:c r="E34" s="30" t="str">
        <x:v>Gate time-status</x:v>
      </x:c>
      <x:c r="F34" s="30" t="str">
        <x:v>PASS / CLOSED</x:v>
      </x:c>
      <x:c r="G34" s="30" t="str">
        <x:v>Usuario confirmó gate autoritativo verde para TS-003. ada-web-ui-time-status==0.1.1 queda validado; reloj real y resync cerrados.</x:v>
      </x:c>
      <x:c r="H34" s="30" t="str">
        <x:v>atlanticus-ada-time-status-ts003-real-synchronized-clock-0.1.0.zip</x:v>
      </x:c>
      <x:c r="I34" s="30" t="str">
        <x:v>Confirmación recibida al retomar la conversación.</x:v>
      </x:c>
    </x:row>
    <x:row r="35">
      <x:c r="A35" s="30" t="str">
        <x:v>TS004-AUTH-PASS-20260828</x:v>
      </x:c>
      <x:c r="B35" s="30" t="str">
        <x:v>2026-08-28</x:v>
      </x:c>
      <x:c r="C35" s="30" t="str">
        <x:v>TS-004</x:v>
      </x:c>
      <x:c r="D35" s="30" t="str">
        <x:v>Repo usuario / Python 3.14.2 + UV</x:v>
      </x:c>
      <x:c r="E35" s="30" t="str">
        <x:v>Gate time-status-store-adapter</x:v>
      </x:c>
      <x:c r="F35" s="30" t="str">
        <x:v>PASS / CLOSED</x:v>
      </x:c>
      <x:c r="G35" s="30" t="str">
        <x:v>Usuario confirmó gate autoritativo verde para TS-004. ada-web-time-status-store-adapter==0.1.0 queda validado con frontera tool-scoped y stateless.</x:v>
      </x:c>
      <x:c r="H35" s="30" t="str">
        <x:v>atlanticus-ada-time-status-ts004-store-adapter-contract-0.1.0.zip</x:v>
      </x:c>
      <x:c r="I35" s="30" t="str">
        <x:v>Confirmación recibida junto con TS-003.</x:v>
      </x:c>
    </x:row>
    <x:row r="36">
      <x:c r="A36" s="30" t="str">
        <x:v>TS005-PRECHECK-20260828</x:v>
      </x:c>
      <x:c r="B36" s="30" t="str">
        <x:v>2026-08-28</x:v>
      </x:c>
      <x:c r="C36" s="30" t="str">
        <x:v>TS-005</x:v>
      </x:c>
      <x:c r="D36" s="30" t="str">
        <x:v>atlanticus-last-version-3.0.0-actually baseline / local container</x:v>
      </x:c>
      <x:c r="E36" s="30" t="str">
        <x:v>Time Status 0.1.2 anchored detail surface + compileall + semantic mirrors + node --check + installer simulations</x:v>
      </x:c>
      <x:c r="F36" s="30" t="str">
        <x:v>PRECHECK PASS</x:v>
      </x:c>
      <x:c r="G36" s="30" t="str">
        <x:v>Cambio limitado a ada-web-ui-time-status: build_time_status wrapper, Surface sibling hidden, local anchor relative/absolute, no ID global ni backdrop; modelos y clock JS sin cambios. Gate Python 3.14.2 + UV queda autoritativo.</x:v>
      </x:c>
      <x:c r="H36" s="30" t="str">
        <x:v>atlanticus-ada-time-status-ts005-anchored-detail-surface-0.1.0.zip</x:v>
      </x:c>
      <x:c r="I36" s="30" t="str">
        <x:v>TS-006 queda fuera del alcance.</x:v>
      </x:c>
    </x:row>
    <x:row r="37" ht="54" customHeight="1">
      <x:c r="A37" s="30" t="str">
        <x:v>TS005-AUTH-PASS-20260828</x:v>
      </x:c>
      <x:c r="B37" s="30" t="str">
        <x:v>2026-08-28</x:v>
      </x:c>
      <x:c r="C37" s="30" t="str">
        <x:v>TS-005</x:v>
      </x:c>
      <x:c r="D37" s="30" t="str">
        <x:v>Repo usuario / Python 3.14.2 + UV</x:v>
      </x:c>
      <x:c r="E37" s="30" t="str">
        <x:v>Gate time-status</x:v>
      </x:c>
      <x:c r="F37" s="30" t="str">
        <x:v>PASS / CLOSED</x:v>
      </x:c>
      <x:c r="G37" s="30" t="str">
        <x:v>Usuario confirmó gate autoritativo verde para TS-005. ada-web-ui-time-status==0.1.2 queda validado con Anchored Detail Surface local, no modal y sin reflow.</x:v>
      </x:c>
      <x:c r="H37" s="30" t="str">
        <x:v>atlanticus-ada-time-status-ts005-anchored-detail-surface-0.1.0.zip</x:v>
      </x:c>
      <x:c r="I37" s="30" t="str">
        <x:v>Confirmación recibida antes de iniciar TS-006.</x:v>
      </x:c>
    </x:row>
    <x:row r="38" ht="54" customHeight="1">
      <x:c r="A38" s="30" t="str">
        <x:v>TS006-PRECHECK-20260828</x:v>
      </x:c>
      <x:c r="B38" s="30" t="str">
        <x:v>2026-08-28</x:v>
      </x:c>
      <x:c r="C38" s="30" t="str">
        <x:v>TS-006</x:v>
      </x:c>
      <x:c r="D38" s="30" t="str">
        <x:v>TS-005 closed baseline / local container</x:v>
      </x:c>
      <x:c r="E38" s="30" t="str">
        <x:v>Time Status 0.1.3 popover JS controller + compileall + semantic mirrors + node --check + behavioral DOM smoke + installer simulations</x:v>
      </x:c>
      <x:c r="F38" s="30" t="str">
        <x:v>PRECHECK PASS</x:v>
      </x:c>
      <x:c r="G38" s="30" t="str">
        <x:v>Cambio limitado a ada-web-ui-time-status. Summary detail-enabled publica role=button/tabIndex/aria-expanded; asset 20-time-status-detail.js implementa toggle, outside click, Escape y teclado con resolución local por closest container. Behavioral smoke Node PASS. Gate Python 3.14.2 + UV queda autoritativo.</x:v>
      </x:c>
      <x:c r="H38" s="30" t="str">
        <x:v>atlanticus-ada-time-status-ts006-popover-js-controller-0.1.0.zip</x:v>
      </x:c>
      <x:c r="I38" s="30" t="str">
        <x:v>TS-007 rerender/Interval resilience queda fuera del alcance.</x:v>
      </x:c>
    </x:row>
    <x:row r="39">
      <x:c r="A39" s="30" t="str">
        <x:v>TS006-AUTH-PASS-20260829</x:v>
      </x:c>
      <x:c r="B39" s="30" t="str">
        <x:v>2026-08-29</x:v>
      </x:c>
      <x:c r="C39" s="30" t="str">
        <x:v>TS-006</x:v>
      </x:c>
      <x:c r="D39" s="30" t="str">
        <x:v>Repo usuario / Python 3.14.2 + UV</x:v>
      </x:c>
      <x:c r="E39" s="30" t="str">
        <x:v>Gate time-status</x:v>
      </x:c>
      <x:c r="F39" s="30" t="str">
        <x:v>PASS / CLOSED</x:v>
      </x:c>
      <x:c r="G39" s="30" t="str">
        <x:v>Usuario confirmó gate autoritativo verde para TS-006. ada-web-ui-time-status==0.1.3 queda validado con Popover JS Controller local, keyboard, outside click y Escape.</x:v>
      </x:c>
      <x:c r="H39" s="30" t="str">
        <x:v>atlanticus-ada-time-status-ts006-popover-js-controller-0.1.0.zip</x:v>
      </x:c>
      <x:c r="I39" s="30" t="str">
        <x:v>Confirmación recibida antes de iniciar TS-007.</x:v>
      </x:c>
    </x:row>
    <x:row r="40">
      <x:c r="A40" s="30" t="str">
        <x:v>TS007-PRECHECK-20260829</x:v>
      </x:c>
      <x:c r="B40" s="30" t="str">
        <x:v>2026-08-29</x:v>
      </x:c>
      <x:c r="C40" s="30" t="str">
        <x:v>TS-007</x:v>
      </x:c>
      <x:c r="D40" s="30" t="str">
        <x:v>TS-006 closed baseline / local container</x:v>
      </x:c>
      <x:c r="E40" s="30" t="str">
        <x:v>Time Status 0.1.4 tool-key rerender identity + MutationObserver reconciliation + compileall + semantic mirrors + node --check + 32-test stub harness + behavioral Node DOM smoke + installer success/forced rollback simulations</x:v>
      </x:c>
      <x:c r="F40" s="30" t="str">
        <x:v>PRECHECK PASS</x:v>
      </x:c>
      <x:c r="G40" s="30" t="str">
        <x:v>Cambio limitado a ada-web-ui-time-status. tool_key se reutiliza como identidad estable; openToolKey contiene sólo estado visual. Node DOM smoke validó process/integrated_operations isolation y persistencia open/closed tras reemplazo. 32 tests pasan con stubs locales de Dash/Atlanticus para validar lógica; el gate real 3.14.2 + UV sigue siendo autoritativo.</x:v>
      </x:c>
      <x:c r="H40" s="30" t="str">
        <x:v>atlanticus-ada-time-status-ts007-interval-resilience-0.1.0.zip</x:v>
      </x:c>
      <x:c r="I40" s="30" t="str">
        <x:v>TS-008 dynamic detail queda fuera del alcance.</x:v>
      </x:c>
    </x:row>
    <x:row r="41">
      <x:c r="A41" s="30" t="str">
        <x:v>TS007-INSTALLER-CORRECTIVE-20260829</x:v>
      </x:c>
      <x:c r="B41" s="30" t="str">
        <x:v>2026-08-29</x:v>
      </x:c>
      <x:c r="C41" s="30" t="str">
        <x:v>TS-007</x:v>
      </x:c>
      <x:c r="D41" s="30" t="str">
        <x:v>TS-006 authoritative post-gate state / packaging validation</x:v>
      </x:c>
      <x:c r="E41" s="30" t="str">
        <x:v>Corrective installer 0.1.1: exact SHA pre-state + AST-equivalent Ruff formatting exception for test_assets.py</x:v>
      </x:c>
      <x:c r="F41" s="30" t="str">
        <x:v>CORRECTIVE PRECHECK PASS</x:v>
      </x:c>
      <x:c r="G41" s="30" t="str">
        <x:v>Installer 0.1.0 rejected the valid TS-006 post-gate repository because the TS-006 gate reformatted tests/test_assets.py after payload installation. Installer 0.1.1 changes only pre-state validation: all other files remain SHA-256 exact, while test_assets.py may differ in formatting only if its Python AST matches the TS-006 reference. Semantic drift is rejected.</x:v>
      </x:c>
      <x:c r="H41" s="30" t="str">
        <x:v>atlanticus-ada-time-status-ts007-interval-resilience-0.1.1.zip</x:v>
      </x:c>
      <x:c r="I41" s="30" t="str">
        <x:v>No productive TS-007 code changed; target remains ada-web-ui-time-status 0.1.4 and authoritative gate is still pending.</x:v>
      </x:c>
    </x:row>
    <x:row r="42">
      <x:c r="A42" t="str">
        <x:v>TS007-AUTH-PASS-20260829</x:v>
      </x:c>
      <x:c r="B42" t="str">
        <x:v>2026-08-29</x:v>
      </x:c>
      <x:c r="C42" t="str">
        <x:v>TS-007</x:v>
      </x:c>
      <x:c r="D42" t="str">
        <x:v>Repo usuario / Python 3.14.2 + UV</x:v>
      </x:c>
      <x:c r="E42" t="str">
        <x:v>apply TS-007 corrective 0.1.1 + gate time-status</x:v>
      </x:c>
      <x:c r="F42" t="str">
        <x:v>PASS / CLOSED</x:v>
      </x:c>
      <x:c r="G42" t="str">
        <x:v>Usuario confirmó gate verde. ada-web-ui-time-status==0.1.4 queda validado con tool_key como identidad de rerender, MutationObserver childList/subtree y aislamiento process/integrated_operations.</x:v>
      </x:c>
      <x:c r="H42" t="str">
        <x:v>atlanticus-ada-time-status-ts007-interval-resilience-0.1.1.zip</x:v>
      </x:c>
      <x:c r="I42" t="str">
        <x:v>TS-007 cerrado; TS-008 habilitado.</x:v>
      </x:c>
    </x:row>
    <x:row r="43">
      <x:c r="A43" t="str">
        <x:v>TS008-PRECHECK-20260829</x:v>
      </x:c>
      <x:c r="B43" t="str">
        <x:v>2026-08-29</x:v>
      </x:c>
      <x:c r="C43" t="str">
        <x:v>TS-008</x:v>
      </x:c>
      <x:c r="D43" t="str">
        <x:v>TS-007 closed baseline / local container</x:v>
      </x:c>
      <x:c r="E43" t="str">
        <x:v>Time Status 0.1.5 detail consumption model + neutral rows + 39-test harness + compileall + semantic mirrors + installer success/rollback/AST-format tolerance/semantic-reject</x:v>
      </x:c>
      <x:c r="F43" t="str">
        <x:v>PRECHECK PASS</x:v>
      </x:c>
      <x:c r="G43" t="str">
        <x:v>TimeStatusDetailState exige PI, acepta Dispatch y extras, normaliza PI→Dispatch→extras y deriva control sólo para pi/dispatch. BlockGrade='Error' permanece informativo y no altera summary health. Installer acepta diferencias Python sólo si AST coincide.</x:v>
      </x:c>
      <x:c r="H43" t="str">
        <x:v>atlanticus-ada-time-status-ts008-dynamic-detail-under-consumption-0.1.0.zip</x:v>
      </x:c>
      <x:c r="I43" t="str">
        <x:v>Gate autoritativo Python 3.14.2 + UV pendiente; DATA-003 sigue pendiente para resolver consumo real desde Tool Configuration.</x:v>
      </x:c>
    </x:row>
    <x:row r="44">
      <x:c r="A44" t="str">
        <x:v>EV-TS009-001</x:v>
      </x:c>
      <x:c r="B44" t="str">
        <x:v>2026-08-29</x:v>
      </x:c>
      <x:c r="C44" t="str">
        <x:v>TS-009</x:v>
      </x:c>
      <x:c r="D44" t="str">
        <x:v>Local preparation</x:v>
      </x:c>
      <x:c r="E44" t="str">
        <x:v>Resolver + client real-clock freshness + installer</x:v>
      </x:c>
      <x:c r="F44" t="str">
        <x:v>PASS local / EN VALIDACIÓN autoritativa</x:v>
      </x:c>
      <x:c r="G44" t="str">
        <x:v>73 tests local PASS con Dash stub; compileall, node --check y semantic mirrors PASS. Installer success/rollback simulados PASS. Gate Python 3.14.2 + UV pendiente.</x:v>
      </x:c>
      <x:c r="H44" t="str">
        <x:v>ada-web-ui-time-status==0.1.6</x:v>
      </x:c>
      <x:c r="I44" t="str">
        <x:v>TS-009</x:v>
      </x:c>
    </x:row>
    <x:row r="45">
      <x:c r="A45" s="30" t="str">
        <x:v>TS008-AUTH-PASS-20260829</x:v>
      </x:c>
      <x:c r="B45" s="30" t="str">
        <x:v>2026-08-29</x:v>
      </x:c>
      <x:c r="C45" s="30" t="str">
        <x:v>TS-008</x:v>
      </x:c>
      <x:c r="D45" s="30" t="str">
        <x:v>Repo usuario / Python 3.14.2 + UV</x:v>
      </x:c>
      <x:c r="E45" s="30" t="str">
        <x:v>Gate time-status</x:v>
      </x:c>
      <x:c r="F45" s="30" t="str">
        <x:v>PASS / CLOSED</x:v>
      </x:c>
      <x:c r="G45" s="30" t="str">
        <x:v>Usuario confirmó gate verde. ada-web-ui-time-status==0.1.5 queda validado con detail dinámico bajo consumo; PI obligatorio/control, Dispatch opcional/control y extras informativas.</x:v>
      </x:c>
      <x:c r="H45" s="30" t="str">
        <x:v>atlanticus-ada-time-status-ts008-dynamic-detail-under-consumption-0.1.0.zip</x:v>
      </x:c>
      <x:c r="I45" s="30" t="str">
        <x:v>TS-008 cerrado; TS-009 habilitado.</x:v>
      </x:c>
    </x:row>
    <x:row r="46">
      <x:c r="A46" s="30" t="str">
        <x:v>TS009-AUTH-PASS-20260829</x:v>
      </x:c>
      <x:c r="B46" s="30" t="str">
        <x:v>2026-08-29</x:v>
      </x:c>
      <x:c r="C46" s="30" t="str">
        <x:v>TS-009</x:v>
      </x:c>
      <x:c r="D46" s="30" t="str">
        <x:v>Repo usuario / Python 3.14.2 + UV</x:v>
      </x:c>
      <x:c r="E46" s="30" t="str">
        <x:v>Gate time-status</x:v>
      </x:c>
      <x:c r="F46" s="30" t="str">
        <x:v>PASS / CLOSED</x:v>
      </x:c>
      <x:c r="G46" s="30" t="str">
        <x:v>Usuario confirmó gate verde. ada-web-ui-time-status==0.1.6 queda validado con freshness FRESH/PREVENTIVE/HARD_STALE/DATA_ERROR exclusivo para PI/Dispatch y envejecimiento client-side.</x:v>
      </x:c>
      <x:c r="H46" s="30" t="str">
        <x:v>atlanticus-ada-time-status-ts009-freshness-state-resolver-0.1.0.zip</x:v>
      </x:c>
      <x:c r="I46" s="30" t="str">
        <x:v>TS-009 cerrado; TS-010 habilitado.</x:v>
      </x:c>
    </x:row>
    <x:row r="47">
      <x:c r="A47" s="30" t="str">
        <x:v>TS010-PRECHECK-20260829</x:v>
      </x:c>
      <x:c r="B47" s="30" t="str">
        <x:v>2026-08-29</x:v>
      </x:c>
      <x:c r="C47" s="30" t="str">
        <x:v>TS-010</x:v>
      </x:c>
      <x:c r="D47" s="30" t="str">
        <x:v>TS-009 closed baseline / local container</x:v>
      </x:c>
      <x:c r="E47" s="30" t="str">
        <x:v>Time Status 0.1.7 collision/mobile geometry + 77-test harness + Node DOM geometry smoke + compileall + semantic mirrors + node --check + installer success/rollback/AST-format tolerance/semantic-reject</x:v>
      </x:c>
      <x:c r="F47" s="30" t="str">
        <x:v>PRECHECK PASS</x:v>
      </x:c>
      <x:c r="G47" s="30" t="str">
        <x:v>Surface permanece absolute/local. JS usa visualViewport cuando existe, flip vertical bottom/top, shift horizontal, max-height disponible y requestAnimationFrame para resize/scroll. Mobile usa ancho útil sin modal/reflow. Installer success, rollback forzado, formatter-only AST tolerance y semantic drift rejection: PASS.</x:v>
      </x:c>
      <x:c r="H47" s="30" t="str">
        <x:v>atlanticus-ada-time-status-ts010-anchoring-collision-mobile-0.1.0.zip</x:v>
      </x:c>
      <x:c r="I47" s="30" t="str">
        <x:v>Gate autoritativo Python 3.14.2 + UV pendiente; TS-011 fuera de alcance.</x:v>
      </x:c>
    </x:row>
    <x:row r="48">
      <x:c r="A48" s="30" t="str">
        <x:v>TS010-AUTH-PASS-20260829</x:v>
      </x:c>
      <x:c r="B48" s="30" t="str">
        <x:v>2026-08-29</x:v>
      </x:c>
      <x:c r="C48" s="30" t="str">
        <x:v>TS-010</x:v>
      </x:c>
      <x:c r="D48" s="30" t="str">
        <x:v>Repo usuario / Python 3.14.2 + UV</x:v>
      </x:c>
      <x:c r="E48" s="30" t="str">
        <x:v>Gate time-status</x:v>
      </x:c>
      <x:c r="F48" s="30" t="str">
        <x:v>PASS / CLOSED</x:v>
      </x:c>
      <x:c r="G48" s="30" t="str">
        <x:v>Usuario confirmó gate verde. ada-web-ui-time-status==0.1.7 queda validado con anchoring/collision/mobile, visualViewport, flip top/bottom, shift horizontal y no-reflow.</x:v>
      </x:c>
      <x:c r="H48" s="30" t="str">
        <x:v>atlanticus-ada-time-status-ts010-anchoring-collision-mobile-0.1.0.zip</x:v>
      </x:c>
      <x:c r="I48" s="30" t="str">
        <x:v>TS-010 cerrado; TS-011 habilitado.</x:v>
      </x:c>
    </x:row>
    <x:row r="49" ht="66" hidden="0" customHeight="1">
      <x:c r="A49" s="30" t="str">
        <x:v>TS011-PRECHECK-20260829</x:v>
      </x:c>
      <x:c r="B49" s="30" t="str">
        <x:v>2026-08-29</x:v>
      </x:c>
      <x:c r="C49" s="30" t="str">
        <x:v>TS-011</x:v>
      </x:c>
      <x:c r="D49" s="30" t="str">
        <x:v>TS-010 closed baseline / local container</x:v>
      </x:c>
      <x:c r="E49" s="30" t="str">
        <x:v>Header 0.1.2 + Generic Application 0.1.25 integration; compileall; semantic mirrors; header presentation tests with local stub; installer success/rollback</x:v>
      </x:c>
      <x:c r="F49" s="30" t="str">
        <x:v>PRECHECK PASS</x:v>
      </x:c>
      <x:c r="G49" s="30" t="str">
        <x:v>Time Status se integra como slot inferior del Header. La fila operacional de 5.5rem permanece separada y Navigation desktop se ancla a esa fila, evitando desplazamiento por la nueva altura total. Generic Application recibe tool_key/summary/detail explícitos y publica assets Time Status sólo cuando existe summary. uv.lock actualizado de forma determinista; gate locked 3.14.2 pendiente.</x:v>
      </x:c>
      <x:c r="H49" s="30" t="str">
        <x:v>atlanticus-ada-time-status-ts011-header-integration-0.1.0.zip</x:v>
      </x:c>
      <x:c r="I49" s="30" t="str">
        <x:v>TS-012 visual freeze queda fuera del alcance.</x:v>
      </x:c>
    </x:row>
    <x:row r="50" ht="15" hidden="0" customHeight="1">
      <x:c r="A50" t="str">
        <x:v>TS011-CORRECTIVE-20260829</x:v>
      </x:c>
      <x:c r="B50" t="str">
        <x:v>2026-08-29</x:v>
      </x:c>
      <x:c r="C50" t="str">
        <x:v>TS-011</x:v>
      </x:c>
      <x:c r="D50" t="str">
        <x:v>Repo usuario + corrective local validation</x:v>
      </x:c>
      <x:c r="E50" t="str">
        <x:v>Installer lock regeneration / registry version guard / rollback</x:v>
      </x:c>
      <x:c r="F50" t="str">
        <x:v>CORRECTIVE READY</x:v>
      </x:c>
      <x:c r="G50" t="str">
        <x:v>TS-011 0.1.0 falló en uv sync --locked porque el uv.lock de Generic Application editado manualmente quedó stale. El rollback restauró el repo. Corrective 0.1.1 conserva los locks válidos del preestado, ejecuta uv lock --python 3.14.2 en Header y Generic Application y aborta si cambia cualquier versión de paquete registry. Simulación success y rollback byte-for-byte: PASS.</x:v>
      </x:c>
      <x:c r="H50" t="str">
        <x:v>atlanticus-ada-time-status-ts011-header-integration-0.1.1.zip</x:v>
      </x:c>
      <x:c r="I50" t="str">
        <x:v>Contrato funcional TS-011 sin cambios; gate autoritativo Python 3.14.2 + UV pendiente.</x:v>
      </x:c>
    </x:row>
    <x:row r="51" ht="15" hidden="0" customHeight="1">
      <x:c r="A51" t="str">
        <x:v>TS011-AUTH-PASS-20260830</x:v>
      </x:c>
      <x:c r="B51" t="str">
        <x:v>2026-08-30</x:v>
      </x:c>
      <x:c r="C51" t="str">
        <x:v>TS-011</x:v>
      </x:c>
      <x:c r="D51" t="str">
        <x:v>Repo usuario / Python 3.14.2 + UV</x:v>
      </x:c>
      <x:c r="E51" t="str">
        <x:v>Gate time-status + header + application</x:v>
      </x:c>
      <x:c r="F51" t="str">
        <x:v>PASS / CLOSED</x:v>
      </x:c>
      <x:c r="G51" t="str">
        <x:v>Usuario confirmó gate verde con corrective installer 0.1.1. ada-web-shell-header==0.1.2 y ada-generic-application==0.1.25 quedan validados; Time Status 0.1.7 está integrado como strip inferior del Header sin alterar la fila primaria.</x:v>
      </x:c>
      <x:c r="H51" t="str">
        <x:v>atlanticus-ada-time-status-ts011-header-integration-0.1.1.zip</x:v>
      </x:c>
      <x:c r="I51" t="str">
        <x:v>TS-011 cerrado; TS-012 habilitado.</x:v>
      </x:c>
    </x:row>
    <x:row r="52" ht="15" hidden="0" customHeight="1">
      <x:c r="A52" t="str">
        <x:v>TS012-PREVIEW-READY-20260830</x:v>
      </x:c>
      <x:c r="B52" t="str">
        <x:v>2026-08-30</x:v>
      </x:c>
      <x:c r="C52" t="str">
        <x:v>TS-012</x:v>
      </x:c>
      <x:c r="D52" t="str">
        <x:v>TS-011 closed baseline / local validation harness</x:v>
      </x:c>
      <x:c r="E52" t="str">
        <x:v>Preview 0.1.0 + 10 visual scenarios + 2 s rerender + dual-tool CLI + installer guards</x:v>
      </x:c>
      <x:c r="F52" t="str">
        <x:v>PRECHECK PASS</x:v>
      </x:c>
      <x:c r="G52" t="str">
        <x:v>Preview nuevo y aislado; no modifica Time Status, Header ni Generic Application. Cubre PI-only, PI+Dispatch, detail vacío/poblado, BlockGrade Error informativo, PREVENTIVE, HARD_STALE, DATA_ERROR, split health y aging acelerado. Compileall, semantic mirrors, installer success, rollback y registry-version guard: PASS.</x:v>
      </x:c>
      <x:c r="H52" t="str">
        <x:v>atlanticus-ada-time-status-ts012-visual-functional-freeze-preview-0.1.0.zip</x:v>
      </x:c>
      <x:c r="I52" t="str">
        <x:v>TS-012 queda EN VALIDACIÓN hasta aprobación visual del usuario.</x:v>
      </x:c>
    </x:row>
    <x:row r="53" ht="15" hidden="0" customHeight="1">
      <x:c r="A53" t="str">
        <x:v>TS012-CORRECTIVE-20260830</x:v>
      </x:c>
      <x:c r="B53" t="str">
        <x:v>2026-08-30</x:v>
      </x:c>
      <x:c r="C53" t="str">
        <x:v>TS-012</x:v>
      </x:c>
      <x:c r="D53" t="str">
        <x:v>Repo usuario + corrective local validation</x:v>
      </x:c>
      <x:c r="E53" t="str">
        <x:v>Constraint inheritance / registry equality guard / rollback</x:v>
      </x:c>
      <x:c r="F53" t="str">
        <x:v>CORRECTIVE READY</x:v>
      </x:c>
      <x:c r="G53" t="str">
        <x:v>TS-012 preview installer 0.1.0 fue rechazado porque UV eligió cuatro parches registry más recientes. Corrective 0.1.1 genera 37 constraint-dependencies desde el uv.lock de Generic Application antes del lock del preview y mantiene rechazo de cualquier paquete/versión registry diferente. Simulación success PASS; click 8.4.2→8.5.0 forzado REJECTED; preview eliminado en rollback.</x:v>
      </x:c>
      <x:c r="H53" t="str">
        <x:v>atlanticus-ada-time-status-ts012-visual-functional-freeze-preview-0.1.1.zip</x:v>
      </x:c>
      <x:c r="I53" t="str">
        <x:v>Contrato TS-012 sin cambios; gate 3.14.2 + UV y aprobación visual pendientes.</x:v>
      </x:c>
    </x:row>
    <x:row r="54" ht="15" hidden="0" customHeight="1">
      <x:c r="A54" t="str">
        <x:v>TS012-DOM-SLOT-CORRECTIVE-20260830</x:v>
      </x:c>
      <x:c r="B54" t="str">
        <x:v>2026-08-30</x:v>
      </x:c>
      <x:c r="C54" t="str">
        <x:v>TS-012</x:v>
      </x:c>
      <x:c r="D54" t="str">
        <x:v>Repo usuario + corrective local validation</x:v>
      </x:c>
      <x:c r="E54" t="str">
        <x:v>Canonical ADA slot identity / preview runtime mount / rollback</x:v>
      </x:c>
      <x:c r="F54" t="str">
        <x:v>CORRECTIVE READY</x:v>
      </x:c>
      <x:c r="G54" t="str">
        <x:v>El gate real de preview 0.1.1 llegó a pytest con registry versions preservadas y falló 2/13 casos: /_dash-layout devolvió 500 porque _build_preview_layout buscaba data-slot-key='time_status'. Header 0.1.2 publica data-ada-slot-key='time_status'. Corrective 0.1.2 cambia únicamente runtime productivo, mirror comentado y assertion de test. Instalación simulada PASS; rollback forzado elimina completamente el preview.</x:v>
      </x:c>
      <x:c r="H54" t="str">
        <x:v>atlanticus-ada-time-status-ts012-visual-functional-freeze-preview-0.1.2.zip</x:v>
      </x:c>
      <x:c r="I54" t="str">
        <x:v>Contrato/productivo sin cambios; gate Python 3.14.2 + UV y aprobación visual pendientes.</x:v>
      </x:c>
    </x:row>
    <x:row r="55" ht="72" hidden="0" customHeight="1">
      <x:c r="A55" s="30" t="str">
        <x:v>TS012A-VISUAL-CALIBRATION-20260830</x:v>
      </x:c>
      <x:c r="B55" s="30" t="str">
        <x:v>2026-08-30</x:v>
      </x:c>
      <x:c r="C55" s="30" t="str">
        <x:v>TS-012/TS-012A</x:v>
      </x:c>
      <x:c r="D55" s="30" t="str">
        <x:v>Revisión visual usuario + legacy ADA + current TS-012 preview</x:v>
      </x:c>
      <x:c r="E55" s="30" t="str">
        <x:v>Clock rerender / interaction boundary / dark detail / legacy red emphasis / compact strip</x:v>
      </x:c>
      <x:c r="F55" s="30" t="str">
        <x:v>CORRECTIVE READY</x:v>
      </x:c>
      <x:c r="G55" s="30" t="str">
        <x:v>Revisión visual identificó placeholder intermitente en Fecha y hora durante rerender, trigger demasiado amplio, Detail alineado al lado incorrecto y con poco contraste, estados críticos con énfasis insuficiente y strip demasiado alto. TS-012A corrige: hidratación inmediata del clock, trigger sólo PI/Dispatch a la izquierda, Surface dark-color left-anchored, cápsula roja legacy para PREVENTIVE/HARD_STALE/DATA_ERROR y Header strip compacto. Compileall, node --check y mirrors PASS; ZIP hygiene PASS; rollback forzado byte-for-byte PASS. La simulación success completa del sandbox no representa los locks reales generados en macOS, por lo que el gate autoritativo Python 3.14.2 + UV sigue siendo la fuente de verdad.</x:v>
      </x:c>
      <x:c r="H55" s="30" t="str">
        <x:v>atlanticus-ada-time-status-ts012a-visual-calibration-0.1.0.zip</x:v>
      </x:c>
      <x:c r="I55" s="30" t="str">
        <x:v>TS-012 no se congela todavía; revalidar escenarios 03, 05 y 10. Overlays de componentes quedan para Content State.</x:v>
      </x:c>
    </x:row>
    <x:row r="56" ht="72" customHeight="1">
      <x:c r="A56" s="30" t="str">
        <x:v>TS012A-TEST-CORRECTIVE-20260830</x:v>
      </x:c>
      <x:c r="B56" s="30" t="str">
        <x:v>2026-08-30</x:v>
      </x:c>
      <x:c r="C56" s="30" t="str">
        <x:v>TS-012/TS-012A</x:v>
      </x:c>
      <x:c r="D56" s="30" t="str">
        <x:v>Repo usuario / Python 3.14.2 + UV</x:v>
      </x:c>
      <x:c r="E56" s="30" t="str">
        <x:v>Gate time-status / stale CSS assertion / rollback</x:v>
      </x:c>
      <x:c r="F56" s="30" t="str">
        <x:v>CORRECTIVE READY</x:v>
      </x:c>
      <x:c r="G56" s="30" t="str">
        <x:v>TS-012A 0.1.0 regeneró locks y alcanzó pytest: 78 passed, 1 failed. El failure test_time_status_css_maps_preventive_to_pulse_and_hard_stale_to_solid_alert seguía buscando selectores data-source-condition del contrato anterior. El CSS nuevo usa clases de cápsula source-content--preventive/hard_stale/data_error y 10-time-status-clock.js actualiza className junto con data-source-condition. Corrective 0.1.1 no modifica código productivo; reemplaza sólo las assertions obsoletas por checks de clases, pulse, background rojo y texto blanco. Rollback del intento 0.1.0: PASS.</x:v>
      </x:c>
      <x:c r="H56" s="30" t="str">
        <x:v>atlanticus-ada-time-status-ts012a-visual-calibration-0.1.1.zip</x:v>
      </x:c>
      <x:c r="I56" s="30" t="str">
        <x:v>Repetir gate TS-012A; luego revalidar visualmente 03, 05 y 10.</x:v>
      </x:c>
    </x:row>
    <x:row r="57" ht="78" customHeight="1">
      <x:c r="A57" t="str">
        <x:v>TS012B-VISUAL-POLISH-20260830</x:v>
      </x:c>
      <x:c r="B57" t="str">
        <x:v>2026-08-30</x:v>
      </x:c>
      <x:c r="C57" s="30" t="str">
        <x:v>TS-012/TS-012B</x:v>
      </x:c>
      <x:c r="D57" s="30" t="str">
        <x:v>TS-012A baseline + segunda revisión visual usuario + local harness</x:v>
      </x:c>
      <x:c r="E57" s="30" t="str">
        <x:v>Additional-only detail / empty state / hover affordance / DATA_ERROR icon split / compact clock / pulse calibration / rollback</x:v>
      </x:c>
      <x:c r="F57" s="30" t="str">
        <x:v>CORRECTIVE READY</x:v>
      </x:c>
      <x:c r="G57" s="30" t="str">
        <x:v>TS-012B implementado sobre preestado TS-012A: Time Status 0.1.9, Generic Application 0.1.27, Preview 0.1.2 y Header sin cambio 0.1.3. Popover adicional-only con empty-state explícito; PI/Dispatch fit-content trigger sin title; DATA_ERROR cloud-slash + triangle en valor; Surface color Header; PREVENTIVE 1.35s con mayor contraste; HARD_STALE/DATA_ERROR sólidos. Full Time Status harness local 80/80 PASS; compileall, node --check y semantic mirrors PASS; baseline manifest 0 mismatches; rollback forzado de 19 archivos/locks byte-for-byte PASS. El lock success real permanece sujeto al gate Python 3.14.2 + UV del usuario.</x:v>
      </x:c>
      <x:c r="H57" s="30" t="str">
        <x:v>atlanticus-ada-time-status-ts012b-visual-polish-0.1.0.zip</x:v>
      </x:c>
      <x:c r="I57" s="30" t="str">
        <x:v>Repetir gate y validación visual. Content State overlays quedan fuera de TS-012B.</x:v>
      </x:c>
    </x:row>
  </x:sheetData>
  <x:mergeCells>
    <x:mergeCell ref="A1:I1"/>
    <x:mergeCell ref="A2:I2"/>
  </x:mergeCells>
  <x:pageMargins left="0.7" right="0.7" top="0.75" bottom="0.75" header="0.3" footer="0.3"/>
</x:worksheet>
</file>