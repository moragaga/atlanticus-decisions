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b5f5b79bf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0d548beb1d2d40ed"/>
    <x:sheet xmlns:r="http://schemas.openxmlformats.org/officeDocument/2006/relationships" name="01_Legacy_Analysis" sheetId="2" r:id="R3c3b3c812e404776"/>
    <x:sheet xmlns:r="http://schemas.openxmlformats.org/officeDocument/2006/relationships" name="02_Target_Architecture" sheetId="3" r:id="Reed5405a09564ab2"/>
    <x:sheet xmlns:r="http://schemas.openxmlformats.org/officeDocument/2006/relationships" name="03_Roadmap" sheetId="4" r:id="R20a12124392f49f4"/>
    <x:sheet xmlns:r="http://schemas.openxmlformats.org/officeDocument/2006/relationships" name="04_Test_Plan" sheetId="5" r:id="R92094db9f17949fd"/>
    <x:sheet xmlns:r="http://schemas.openxmlformats.org/officeDocument/2006/relationships" name="05_Decisions" sheetId="6" r:id="R1095253e9e494188"/>
    <x:sheet xmlns:r="http://schemas.openxmlformats.org/officeDocument/2006/relationships" name="06_Risks_Open" sheetId="7" r:id="R8214f2fccf7345c3"/>
    <x:sheet xmlns:r="http://schemas.openxmlformats.org/officeDocument/2006/relationships" name="07_Contract_Matrix" sheetId="8" r:id="Ra9604845d4a84387"/>
    <x:sheet xmlns:r="http://schemas.openxmlformats.org/officeDocument/2006/relationships" name="08_Data_Questions" sheetId="9" r:id="R6cb280a04fae413b"/>
    <x:sheet xmlns:r="http://schemas.openxmlformats.org/officeDocument/2006/relationships" name="09_Dashboard" sheetId="10" r:id="R9a3c70ae115a426a"/>
    <x:sheet xmlns:r="http://schemas.openxmlformats.org/officeDocument/2006/relationships" name="10_Evidence" sheetId="11" r:id="R2e7ecca270f0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0c9f7c29a4de3" /><Relationship Type="http://schemas.openxmlformats.org/officeDocument/2006/relationships/theme" Target="/xl/theme/theme1.xml" Id="Rc032521878ea43c5" /><Relationship Type="http://schemas.openxmlformats.org/officeDocument/2006/relationships/sharedStrings" Target="/xl/sharedStrings.xml" Id="Ra5552f71b684468a" /><Relationship Type="http://schemas.openxmlformats.org/officeDocument/2006/relationships/worksheet" Target="/xl/worksheets/sheet1.xml" Id="R0d548beb1d2d40ed" /><Relationship Type="http://schemas.openxmlformats.org/officeDocument/2006/relationships/worksheet" Target="/xl/worksheets/sheet2.xml" Id="R3c3b3c812e404776" /><Relationship Type="http://schemas.openxmlformats.org/officeDocument/2006/relationships/worksheet" Target="/xl/worksheets/sheet3.xml" Id="Reed5405a09564ab2" /><Relationship Type="http://schemas.openxmlformats.org/officeDocument/2006/relationships/worksheet" Target="/xl/worksheets/sheet4.xml" Id="R20a12124392f49f4" /><Relationship Type="http://schemas.openxmlformats.org/officeDocument/2006/relationships/worksheet" Target="/xl/worksheets/sheet5.xml" Id="R92094db9f17949fd" /><Relationship Type="http://schemas.openxmlformats.org/officeDocument/2006/relationships/worksheet" Target="/xl/worksheets/sheet6.xml" Id="R1095253e9e494188" /><Relationship Type="http://schemas.openxmlformats.org/officeDocument/2006/relationships/worksheet" Target="/xl/worksheets/sheet7.xml" Id="R8214f2fccf7345c3" /><Relationship Type="http://schemas.openxmlformats.org/officeDocument/2006/relationships/worksheet" Target="/xl/worksheets/sheet8.xml" Id="Ra9604845d4a84387" /><Relationship Type="http://schemas.openxmlformats.org/officeDocument/2006/relationships/worksheet" Target="/xl/worksheets/sheet9.xml" Id="R6cb280a04fae413b" /><Relationship Type="http://schemas.openxmlformats.org/officeDocument/2006/relationships/worksheet" Target="/xl/worksheets/sheet10.xml" Id="R9a3c70ae115a426a" /><Relationship Type="http://schemas.openxmlformats.org/officeDocument/2006/relationships/worksheet" Target="/xl/worksheets/sheet11.xml" Id="R2e7ecca270f043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21a53482aa44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21a53482aa44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683b37ea385f440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1.0.7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6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23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KIV-003 EN VALIDACIÓN — Interval Visual Resilience Preview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KIV-000/KIV-000B/KIV-000C cerrados tras aprobación técnica y visual. Aplicar preview 0.1.3 para validar KIV-001 switching, KIV-002 loading lock y KIV-003 rerender real con dcc.Interval.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EN VALIDACIÓN</x:v>
      </x:c>
      <x:c r="K8" s="32" t="str">
        <x:v>Web/UI</x:v>
      </x:c>
      <x:c r="L8" s="32" t="str">
        <x:v>Se valida dentro de la preview KIV-003: seleccionar A, esperar ready y luego B/C sin cerrar Surface.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EN VALIDACIÓN</x:v>
      </x:c>
      <x:c r="K9" s="32" t="str">
        <x:v>Web/UI</x:v>
      </x:c>
      <x:c r="L9" s="32" t="str">
        <x:v>Se valida dentro de la preview KIV-003 con 750 ms de latencia local: clicks adicionales durante loading deben ignorarse.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EN VALIDACIÓN</x:v>
      </x:c>
      <x:c r="K10" s="32" t="str">
        <x:v>Web/UI</x:v>
      </x:c>
      <x:c r="L10" s="32" t="str">
        <x:v>Preview 0.1.3 preparada: dcc.Interval real cada 2 s reemplaza sólo children de Global Indicators; kpi_key estable y Surface fuera del callback. Precheck + success/rollback simulation PASS.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Close/accessibility behavior</x:v>
      </x:c>
      <x:c r="E11" s="32" t="str">
        <x:v>Validar X, Escape, Enter/Space, focus restore y ausencia de backdrop modal.</x:v>
      </x:c>
      <x:c r="F11" s="32" t="str">
        <x:v>KIV-000C</x:v>
      </x:c>
      <x:c r="G11" s="32" t="str">
        <x:v>No</x:v>
      </x:c>
      <x:c r="H11" s="32" t="str">
        <x:v>El Header sigue interactuable con inspector abierto; cierre explícito por X/Escape.</x:v>
      </x:c>
      <x:c r="I11" s="32" t="str">
        <x:v>P1</x:v>
      </x:c>
      <x:c r="J11" s="32" t="str">
        <x:v>PENDIENTE</x:v>
      </x:c>
      <x:c r="K11" s="32" t="str">
        <x:v>Web/UI</x:v>
      </x:c>
      <x:c r="L11" s="32"/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PENDIENTE</x:v>
      </x:c>
      <x:c r="K12" s="32" t="str">
        <x:v>Web/UI</x:v>
      </x:c>
      <x:c r="L12" s="32" t="str">
        <x:v>No continuar adopters antes del freeze.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Completado en este planner.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PENDIENTE</x:v>
      </x:c>
      <x:c r="K14" s="32" t="str">
        <x:v>Architecture</x:v>
      </x:c>
      <x:c r="L14" s="32" t="str">
        <x:v>PI obligatorio sólo en composición ADA.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PENDIENTE</x:v>
      </x:c>
      <x:c r="K15" s="32" t="str">
        <x:v>Web/UI</x:v>
      </x:c>
      <x:c r="L15" s="32" t="str">
        <x:v>Sólo PI/Dispatch + reloj.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PENDIENTE</x:v>
      </x:c>
      <x:c r="J5" s="32" t="str"/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EN VALIDACIÓN</x:v>
      </x:c>
      <x:c r="J6" s="32" t="str">
        <x:v>KIV-003 preview: sequential switching con Surface persistente.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EN VALIDACIÓN</x:v>
      </x:c>
      <x:c r="J9" s="32" t="str">
        <x:v>KIV-003 preview añade 750 ms de latencia local para observar el lock.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EN VALIDACIÓN</x:v>
      </x:c>
      <x:c r="J10" s="32" t="str">
        <x:v>KIV-003 preview usa dcc.Interval real cada 2 s y reemplaza sólo Global Indicator children.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PENDIENTE</x:v>
      </x:c>
      <x:c r="J33" s="30" t="str">
        <x:v>Gate JS/contract PASS; falta confirmar visualmente pointer vs keyboard en navegador.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PENDIENTE</x:v>
      </x:c>
      <x:c r="J34" s="30" t="str">
        <x:v>CSS aplicado; falta aprobación visual del micro-spacing.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3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ACEPTADA</x:v>
      </x:c>
      <x:c r="E33" s="30" t="str">
        <x:v>Conserva accesibilidad keyboard sin generar foco visual inesperado después de clicks con mouse.</x:v>
      </x:c>
      <x:c r="F33" s="30" t="str">
        <x:v>Inspection Surface JS</x:v>
      </x:c>
      <x:c r="G33" s="30" t="str">
        <x:v>KIV-000C</x:v>
      </x:c>
      <x:c r="H33" s="30" t="str">
        <x:v>focus-visible se conserva para navegación real por teclado.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3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Definir neutral/unknown antes de critical.</x:v>
      </x:c>
      <x:c r="F12" s="32" t="str">
        <x:v>ABIERTO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2</x:v>
      </x:c>
      <x:c r="F5" t="n">
        <x:f>COUNTIFS('03_Roadmap'!B5:B200,D5,'03_Roadmap'!J5:J200,"CERRADO")</x:f>
        <x:v>3</x:v>
      </x:c>
    </x:row>
    <x:row r="6">
      <x:c r="A6" t="str">
        <x:v>Cerrado</x:v>
      </x:c>
      <x:c r="B6" t="n">
        <x:f>COUNTIF('03_Roadmap'!J5:J200,"CERRADO")</x:f>
        <x:v>6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23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683b37ea385f4408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</x:sheetData>
  <x:mergeCells>
    <x:mergeCell ref="A1:I1"/>
    <x:mergeCell ref="A2:I2"/>
  </x:mergeCells>
  <x:pageMargins left="0.7" right="0.7" top="0.75" bottom="0.75" header="0.3" footer="0.3"/>
</x:worksheet>
</file>