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30c7c323324c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abbf0b33e14a403f"/>
    <x:sheet xmlns:r="http://schemas.openxmlformats.org/officeDocument/2006/relationships" name="01_Legacy_Analysis" sheetId="2" r:id="R37bdaefa81f34561"/>
    <x:sheet xmlns:r="http://schemas.openxmlformats.org/officeDocument/2006/relationships" name="02_Target_Architecture" sheetId="3" r:id="R5b801a1aac4c4ccb"/>
    <x:sheet xmlns:r="http://schemas.openxmlformats.org/officeDocument/2006/relationships" name="03_Roadmap" sheetId="4" r:id="R7764961d2068410e"/>
    <x:sheet xmlns:r="http://schemas.openxmlformats.org/officeDocument/2006/relationships" name="04_Test_Plan" sheetId="5" r:id="R9c74483bea4c47e2"/>
    <x:sheet xmlns:r="http://schemas.openxmlformats.org/officeDocument/2006/relationships" name="05_Decisions" sheetId="6" r:id="R68dbe4e80229478d"/>
    <x:sheet xmlns:r="http://schemas.openxmlformats.org/officeDocument/2006/relationships" name="06_Risks_Open" sheetId="7" r:id="R0b3426830ac34005"/>
    <x:sheet xmlns:r="http://schemas.openxmlformats.org/officeDocument/2006/relationships" name="07_Contract_Matrix" sheetId="8" r:id="Rcf6861fcbe5e42c2"/>
    <x:sheet xmlns:r="http://schemas.openxmlformats.org/officeDocument/2006/relationships" name="08_Data_Questions" sheetId="9" r:id="Rc6ba3a044f9e4552"/>
    <x:sheet xmlns:r="http://schemas.openxmlformats.org/officeDocument/2006/relationships" name="09_Dashboard" sheetId="10" r:id="R03ba7ededd444104"/>
    <x:sheet xmlns:r="http://schemas.openxmlformats.org/officeDocument/2006/relationships" name="10_Evidence" sheetId="11" r:id="R348ddf6d1b614b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  <x:font>
      <x:i/>
      <x:sz val="11"/>
      <x:color rgb="FF5F6B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553baa6a424f8d" /><Relationship Type="http://schemas.openxmlformats.org/officeDocument/2006/relationships/theme" Target="/xl/theme/theme1.xml" Id="Ra8e19106410f4a14" /><Relationship Type="http://schemas.openxmlformats.org/officeDocument/2006/relationships/sharedStrings" Target="/xl/sharedStrings.xml" Id="R2c2150c60de8412b" /><Relationship Type="http://schemas.openxmlformats.org/officeDocument/2006/relationships/worksheet" Target="/xl/worksheets/sheet1.xml" Id="Rabbf0b33e14a403f" /><Relationship Type="http://schemas.openxmlformats.org/officeDocument/2006/relationships/worksheet" Target="/xl/worksheets/sheet2.xml" Id="R37bdaefa81f34561" /><Relationship Type="http://schemas.openxmlformats.org/officeDocument/2006/relationships/worksheet" Target="/xl/worksheets/sheet3.xml" Id="R5b801a1aac4c4ccb" /><Relationship Type="http://schemas.openxmlformats.org/officeDocument/2006/relationships/worksheet" Target="/xl/worksheets/sheet4.xml" Id="R7764961d2068410e" /><Relationship Type="http://schemas.openxmlformats.org/officeDocument/2006/relationships/worksheet" Target="/xl/worksheets/sheet5.xml" Id="R9c74483bea4c47e2" /><Relationship Type="http://schemas.openxmlformats.org/officeDocument/2006/relationships/worksheet" Target="/xl/worksheets/sheet6.xml" Id="R68dbe4e80229478d" /><Relationship Type="http://schemas.openxmlformats.org/officeDocument/2006/relationships/worksheet" Target="/xl/worksheets/sheet7.xml" Id="R0b3426830ac34005" /><Relationship Type="http://schemas.openxmlformats.org/officeDocument/2006/relationships/worksheet" Target="/xl/worksheets/sheet8.xml" Id="Rcf6861fcbe5e42c2" /><Relationship Type="http://schemas.openxmlformats.org/officeDocument/2006/relationships/worksheet" Target="/xl/worksheets/sheet9.xml" Id="Rc6ba3a044f9e4552" /><Relationship Type="http://schemas.openxmlformats.org/officeDocument/2006/relationships/worksheet" Target="/xl/worksheets/sheet10.xml" Id="R03ba7ededd444104" /><Relationship Type="http://schemas.openxmlformats.org/officeDocument/2006/relationships/worksheet" Target="/xl/worksheets/sheet11.xml" Id="R348ddf6d1b614be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7eac238963f4d5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eac238963f4d5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7b1a4cf9ae2043c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>
      <x:c r="A5" t="str">
        <x:v>Versión planner</x:v>
      </x:c>
      <x:c r="B5" t="str">
        <x:v>1.0.3</x:v>
      </x:c>
      <x:c r="C5" t="str"/>
      <x:c r="D5" t="str">
        <x:v>Roadmap total</x:v>
      </x:c>
      <x:c r="E5" t="n">
        <x:f>COUNTA('03_Roadmap'!A5:A200)</x:f>
        <x:v>38</x:v>
      </x:c>
      <x:c r="F5" t="str"/>
      <x:c r="G5" t="str">
        <x:v>Legado completo</x:v>
      </x:c>
      <x:c r="H5" t="str">
        <x:v>244736f17b39d695547c9e6e9c62f592c2013631342addbf0e422b40930c1750</x:v>
      </x:c>
      <x:c r="I5" t="str"/>
      <x:c r="J5" t="str"/>
    </x:row>
    <x:row r="6">
      <x:c r="A6" t="str">
        <x:v>Fecha análisis</x:v>
      </x:c>
      <x:c r="B6" t="str">
        <x:v>2026-08-27</x:v>
      </x:c>
      <x:c r="C6" t="str"/>
      <x:c r="D6" t="str">
        <x:v>Cerrados</x:v>
      </x:c>
      <x:c r="E6" t="n">
        <x:f>COUNTIF('03_Roadmap'!J5:J200,"CERRADO")</x:f>
        <x:v>3</x:v>
      </x:c>
      <x:c r="F6" t="str"/>
      <x:c r="G6" t="str">
        <x:v>Current baseline</x:v>
      </x:c>
      <x:c r="H6" t="str">
        <x:v>aec231ec383aa79a6eee8c65dadb980807a48a6be39cb4dca090f7fc99b195c2</x:v>
      </x:c>
      <x:c r="I6" t="str"/>
      <x:c r="J6" t="str"/>
    </x:row>
    <x:row r="7">
      <x:c r="A7" t="str">
        <x:v>Baseline legado</x:v>
      </x:c>
      <x:c r="B7" t="str">
        <x:v>atlanticus-last-version-0.1.0-20260824-191735(1).zip</x:v>
      </x:c>
      <x:c r="C7" t="str"/>
      <x:c r="D7" t="str">
        <x:v>Pendientes</x:v>
      </x:c>
      <x:c r="E7" t="n">
        <x:f>COUNTIF('03_Roadmap'!J5:J200,"PENDIENTE")</x:f>
        <x:v>26</x:v>
      </x:c>
      <x:c r="F7" t="str"/>
      <x:c r="G7" t="str">
        <x:v>Current code</x:v>
      </x:c>
      <x:c r="H7" t="str">
        <x:v>atlanticus-latest-v4.zip</x:v>
      </x:c>
      <x:c r="I7" t="str"/>
      <x:c r="J7" t="str"/>
    </x:row>
    <x:row r="8">
      <x:c r="A8" t="str">
        <x:v>Baseline actual</x:v>
      </x:c>
      <x:c r="B8" t="str">
        <x:v>atlanticus-latest-v4.zip</x:v>
      </x:c>
      <x:c r="C8" t="str"/>
      <x:c r="D8" t="str">
        <x:v>En diseño</x:v>
      </x:c>
      <x:c r="E8" t="n">
        <x:f>COUNTIF('03_Roadmap'!J5:J200,"EN DISEÑO")</x:f>
        <x:v>2</x:v>
      </x:c>
      <x:c r="F8" t="str"/>
      <x:c r="G8" t="str"/>
      <x:c r="H8" t="str"/>
      <x:c r="I8" t="str"/>
      <x:c r="J8" t="str"/>
    </x:row>
    <x:row r="9">
      <x:c r="A9" t="str">
        <x:v>Checkpoint actual</x:v>
      </x:c>
      <x:c r="B9" t="str">
        <x:v>KIV-000B EN VALIDACIÓN — Inspection Interaction Calibration</x:v>
      </x:c>
      <x:c r="C9" t="str"/>
      <x:c r="D9" t="str">
        <x:v>Diferidos</x:v>
      </x:c>
      <x:c r="E9" t="n">
        <x:f>COUNTIF('03_Roadmap'!J5:J200,"DIFERIDO")</x:f>
        <x:v>5</x:v>
      </x:c>
      <x:c r="F9" t="str"/>
      <x:c r="G9" t="str"/>
      <x:c r="H9" t="str"/>
      <x:c r="I9" t="str"/>
      <x:c r="J9" t="str"/>
    </x:row>
    <x:row r="10">
      <x:c r="A10" t="str">
        <x:v>Siguiente trabajo</x:v>
      </x:c>
      <x:c r="B10" t="str">
        <x:v>Aplicar calibración 0.1.0, ejecutar gate autoritativo y volver a abrir la preview para validar value-only triggers, Surface dark/square y loading lock.</x:v>
      </x:c>
      <x:c r="C10" t="str"/>
      <x:c r="D10" t="str">
        <x:v>Bloqueados</x:v>
      </x:c>
      <x:c r="E10" t="n">
        <x:f>COUNTIF('03_Roadmap'!J5:J200,"BLOQUEADO")</x:f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6 tests de composición/runtime + gate Core/API/Surface/GI/Application + smoke visual</x:v>
      </x:c>
      <x:c r="I5" s="32" t="str">
        <x:v>P0</x:v>
      </x:c>
      <x:c r="J5" s="32" t="str">
        <x:v>EN VALIDACIÓN</x:v>
      </x:c>
      <x:c r="K5" s="32" t="str">
        <x:v>Web/UI</x:v>
      </x:c>
      <x:c r="L5" s="32" t="str">
        <x:v>Preview base disponible; la aprobación visual queda condicionada a KIV-000B. KIV-000B reemplaza la interacción root-clickable observada en el primer preview.</x:v>
      </x:c>
    </x:row>
    <x:row r="6">
      <x:c r="A6" s="32" t="str">
        <x:v>KIV-000B</x:v>
      </x:c>
      <x:c r="B6" s="32" t="str">
        <x:v>KPI Inspection Visual</x:v>
      </x:c>
      <x:c r="C6" s="32" t="str">
        <x:v>Calibration</x:v>
      </x:c>
      <x:c r="D6" s="32" t="str">
        <x:v>Inspection interaction calibration</x:v>
      </x:c>
      <x:c r="E6" s="32" t="str">
        <x:v>Corregir el piloto visual antes del freeze: triggers sólo en valores, Surface oscura/cuadrada, copy-selectable y lock durante loading.</x:v>
      </x:c>
      <x:c r="F6" s="32" t="str">
        <x:v>KIV-000; KI-010B</x:v>
      </x:c>
      <x:c r="G6" s="32" t="str">
        <x:v>Sí: Global Indicator + Inspection Surface + exact-pin consumers</x:v>
      </x:c>
      <x:c r="H6" s="32" t="str">
        <x:v>Gates Core/API/Surface/Interval/Empty/GI/Application/Preview + smoke visual</x:v>
      </x:c>
      <x:c r="I6" s="32" t="str">
        <x:v>P0</x:v>
      </x:c>
      <x:c r="J6" s="32" t="str">
        <x:v>EN VALIDACIÓN</x:v>
      </x:c>
      <x:c r="K6" s="32" t="str">
        <x:v>Web/UI</x:v>
      </x:c>
      <x:c r="L6" s="32" t="str">
        <x:v>Calibración 0.1.0 preparada: GI 0.1.5, Surface 0.1.1, Application 0.1.22, Interval Resilience 0.1.1, Empty Definition Flow 0.1.1 y Preview 0.1.1. Root GI neutral; sólo actual values de Turno/Día/Última medición llevan kpi_key. Panel bottom usa var(--dark-color), border-radius 0, sin backdrop modal y permite selección/copia. Mientras hay request activa, nuevos triggers se ignoran; AbortController/requestSequence se conservan como defensa. Installer probado con preview ausente/presente y rollback exacto.</x:v>
      </x:c>
    </x:row>
    <x:row r="7">
      <x:c r="A7" s="32" t="str">
        <x:v>KIV-001</x:v>
      </x:c>
      <x:c r="B7" s="32" t="str">
        <x:v>KPI Inspection Visual</x:v>
      </x:c>
      <x:c r="C7" s="32" t="str">
        <x:v>Interaction</x:v>
      </x:c>
      <x:c r="D7" s="32" t="str">
        <x:v>Sequential KPI switching</x:v>
      </x:c>
      <x:c r="E7" s="32" t="str">
        <x:v>Abrir KPI A y, cuando termine de cargar, seleccionar B/C sin cerrar la Surface.</x:v>
      </x:c>
      <x:c r="F7" s="32" t="str">
        <x:v>KIV-000B</x:v>
      </x:c>
      <x:c r="G7" s="32" t="str">
        <x:v>No</x:v>
      </x:c>
      <x:c r="H7" s="32" t="str">
        <x:v>Mismo panel permanece abierto; cada selección completada reemplaza contenido sin close/reopen.</x:v>
      </x:c>
      <x:c r="I7" s="32" t="str">
        <x:v>P0</x:v>
      </x:c>
      <x:c r="J7" s="32" t="str">
        <x:v>PENDIENTE</x:v>
      </x:c>
      <x:c r="K7" s="32" t="str">
        <x:v>Web/UI</x:v>
      </x:c>
      <x:c r="L7" s="32" t="str">
        <x:v>El mismo inspector debe permanecer abierto.</x:v>
      </x:c>
    </x:row>
    <x:row r="8">
      <x:c r="A8" s="32" t="str">
        <x:v>KIV-002</x:v>
      </x:c>
      <x:c r="B8" s="32" t="str">
        <x:v>KPI Inspection Visual</x:v>
      </x:c>
      <x:c r="C8" s="32" t="str">
        <x:v>Interaction</x:v>
      </x:c>
      <x:c r="D8" s="32" t="str">
        <x:v>Loading lock / API saturation guard</x:v>
      </x:c>
      <x:c r="E8" s="32" t="str">
        <x:v>Ignorar nuevos triggers mientras una definición está cargando y conservar defensas de carrera.</x:v>
      </x:c>
      <x:c r="F8" s="32" t="str">
        <x:v>KIV-000B</x:v>
      </x:c>
      <x:c r="G8" s="32" t="str">
        <x:v>No</x:v>
      </x:c>
      <x:c r="H8" s="32" t="str">
        <x:v>Una request activa máximo; clicks/Enter/Space adicionales durante loading no generan otra llamada.</x:v>
      </x:c>
      <x:c r="I8" s="32" t="str">
        <x:v>P0</x:v>
      </x:c>
      <x:c r="J8" s="32" t="str">
        <x:v>PENDIENTE</x:v>
      </x:c>
      <x:c r="K8" s="32" t="str">
        <x:v>Web/UI</x:v>
      </x:c>
      <x:c r="L8" s="32" t="str">
        <x:v>AbortController/requestSequence permanecen como defensa secundaria.</x:v>
      </x:c>
    </x:row>
    <x:row r="9">
      <x:c r="A9" s="32" t="str">
        <x:v>KIV-003</x:v>
      </x:c>
      <x:c r="B9" s="32" t="str">
        <x:v>KPI Inspection Visual</x:v>
      </x:c>
      <x:c r="C9" s="32" t="str">
        <x:v>Resilience</x:v>
      </x:c>
      <x:c r="D9" s="32" t="str">
        <x:v>Open inspector during rerender</x:v>
      </x:c>
      <x:c r="E9" s="32" t="str">
        <x:v>Mantener panel abierto mientras Global Indicator rerenderiza.</x:v>
      </x:c>
      <x:c r="F9" s="32" t="str">
        <x:v>KIV-000B; KI-010</x:v>
      </x:c>
      <x:c r="G9" s="32" t="str">
        <x:v>No</x:v>
      </x:c>
      <x:c r="H9" s="32" t="str">
        <x:v>Smoke con Interval</x:v>
      </x:c>
      <x:c r="I9" s="32" t="str">
        <x:v>P0</x:v>
      </x:c>
      <x:c r="J9" s="32" t="str">
        <x:v>PENDIENTE</x:v>
      </x:c>
      <x:c r="K9" s="32" t="str">
        <x:v>Web/UI</x:v>
      </x:c>
      <x:c r="L9" s="32" t="str">
        <x:v>Revalidar visualmente además del harness.</x:v>
      </x:c>
    </x:row>
    <x:row r="10">
      <x:c r="A10" s="32" t="str">
        <x:v>KIV-004</x:v>
      </x:c>
      <x:c r="B10" s="32" t="str">
        <x:v>KPI Inspection Visual</x:v>
      </x:c>
      <x:c r="C10" s="32" t="str">
        <x:v>UX</x:v>
      </x:c>
      <x:c r="D10" s="32" t="str">
        <x:v>Close/accessibility behavior</x:v>
      </x:c>
      <x:c r="E10" s="32" t="str">
        <x:v>Validar X, Escape, Enter/Space, focus restore y ausencia de backdrop modal.</x:v>
      </x:c>
      <x:c r="F10" s="32" t="str">
        <x:v>KIV-000B</x:v>
      </x:c>
      <x:c r="G10" s="32" t="str">
        <x:v>No</x:v>
      </x:c>
      <x:c r="H10" s="32" t="str">
        <x:v>El Header sigue interactuable con inspector abierto; cierre explícito por X/Escape.</x:v>
      </x:c>
      <x:c r="I10" s="32" t="str">
        <x:v>P1</x:v>
      </x:c>
      <x:c r="J10" s="32" t="str">
        <x:v>PENDIENTE</x:v>
      </x:c>
      <x:c r="K10" s="32" t="str">
        <x:v>Web/UI</x:v>
      </x:c>
      <x:c r="L10" s="32"/>
    </x:row>
    <x:row r="11">
      <x:c r="A11" s="32" t="str">
        <x:v>KIV-005</x:v>
      </x:c>
      <x:c r="B11" s="32" t="str">
        <x:v>KPI Inspection Visual</x:v>
      </x:c>
      <x:c r="C11" s="32" t="str">
        <x:v>Freeze</x:v>
      </x:c>
      <x:c r="D11" s="32" t="str">
        <x:v>Visual calibration &amp; freeze</x:v>
      </x:c>
      <x:c r="E11" s="32" t="str">
        <x:v>Ajustar altura, spacing, copy y layout de fields sobre Surface dark/square; congelar diseño piloto.</x:v>
      </x:c>
      <x:c r="F11" s="32" t="str">
        <x:v>KIV-000B; KIV-001..004</x:v>
      </x:c>
      <x:c r="G11" s="32" t="str">
        <x:v>Sí, sólo Surface si se acuerda</x:v>
      </x:c>
      <x:c r="H11" s="32" t="str">
        <x:v>Aprobación visual usuario</x:v>
      </x:c>
      <x:c r="I11" s="32" t="str">
        <x:v>P0</x:v>
      </x:c>
      <x:c r="J11" s="32" t="str">
        <x:v>PENDIENTE</x:v>
      </x:c>
      <x:c r="K11" s="32" t="str">
        <x:v>Web/UI</x:v>
      </x:c>
      <x:c r="L11" s="32" t="str">
        <x:v>No continuar adopters antes del freeze.</x:v>
      </x:c>
    </x:row>
    <x:row r="12">
      <x:c r="A12" s="32" t="str">
        <x:v>TS-000</x:v>
      </x:c>
      <x:c r="B12" s="32" t="str">
        <x:v>Time Status</x:v>
      </x:c>
      <x:c r="C12" s="32" t="str">
        <x:v>Discovery</x:v>
      </x:c>
      <x:c r="D12" s="32" t="str">
        <x:v>Legacy contract recovery</x:v>
      </x:c>
      <x:c r="E12" s="32" t="str">
        <x:v>Analizar status, SOURCE_TIME_STORE y ContentState del archive completo.</x:v>
      </x:c>
      <x:c r="F12" s="32" t="str">
        <x:v>—</x:v>
      </x:c>
      <x:c r="G12" s="32" t="str">
        <x:v>No</x:v>
      </x:c>
      <x:c r="H12" s="32" t="str">
        <x:v>Análisis + planner</x:v>
      </x:c>
      <x:c r="I12" s="32" t="str">
        <x:v>P0</x:v>
      </x:c>
      <x:c r="J12" s="32" t="str">
        <x:v>CERRADO</x:v>
      </x:c>
      <x:c r="K12" s="32" t="str">
        <x:v>Architecture</x:v>
      </x:c>
      <x:c r="L12" s="32" t="str">
        <x:v>Completado en este planner.</x:v>
      </x:c>
    </x:row>
    <x:row r="13">
      <x:c r="A13" s="32" t="str">
        <x:v>TS-001</x:v>
      </x:c>
      <x:c r="B13" s="32" t="str">
        <x:v>Time Status</x:v>
      </x:c>
      <x:c r="C13" s="32" t="str">
        <x:v>Design</x:v>
      </x:c>
      <x:c r="D13" s="32" t="str">
        <x:v>Freeze Time Status contract</x:v>
      </x:c>
      <x:c r="E13" s="32" t="str">
        <x:v>Congelar summary PI/Dispatch, detail dinámico, current time y opcionalidad reusable.</x:v>
      </x:c>
      <x:c r="F13" s="32" t="str">
        <x:v>TS-000</x:v>
      </x:c>
      <x:c r="G13" s="32" t="str">
        <x:v>No</x:v>
      </x:c>
      <x:c r="H13" s="32" t="str">
        <x:v>Contract tests/decision</x:v>
      </x:c>
      <x:c r="I13" s="32" t="str">
        <x:v>P0</x:v>
      </x:c>
      <x:c r="J13" s="32" t="str">
        <x:v>PENDIENTE</x:v>
      </x:c>
      <x:c r="K13" s="32" t="str">
        <x:v>Architecture</x:v>
      </x:c>
      <x:c r="L13" s="32" t="str">
        <x:v>PI obligatorio sólo en composición ADA.</x:v>
      </x:c>
    </x:row>
    <x:row r="14">
      <x:c r="A14" s="32" t="str">
        <x:v>TS-002</x:v>
      </x:c>
      <x:c r="B14" s="32" t="str">
        <x:v>Time Status</x:v>
      </x:c>
      <x:c r="C14" s="32" t="str">
        <x:v>UI</x:v>
      </x:c>
      <x:c r="D14" s="32" t="str">
        <x:v>Summary component</x:v>
      </x:c>
      <x:c r="E14" s="32" t="str">
        <x:v>Reconstruir Time Status Summary modular en arquitectura latest-v4.</x:v>
      </x:c>
      <x:c r="F14" s="32" t="str">
        <x:v>TS-001</x:v>
      </x:c>
      <x:c r="G14" s="32" t="str">
        <x:v>Sí</x:v>
      </x:c>
      <x:c r="H14" s="32" t="str">
        <x:v>Unit/presentation/mirror</x:v>
      </x:c>
      <x:c r="I14" s="32" t="str">
        <x:v>P0</x:v>
      </x:c>
      <x:c r="J14" s="32" t="str">
        <x:v>PENDIENTE</x:v>
      </x:c>
      <x:c r="K14" s="32" t="str">
        <x:v>Web/UI</x:v>
      </x:c>
      <x:c r="L14" s="32" t="str">
        <x:v>Sólo PI/Dispatch + reloj.</x:v>
      </x:c>
    </x:row>
    <x:row r="15">
      <x:c r="A15" s="32" t="str">
        <x:v>TS-003</x:v>
      </x:c>
      <x:c r="B15" s="32" t="str">
        <x:v>Time Status</x:v>
      </x:c>
      <x:c r="C15" s="32" t="str">
        <x:v>Client</x:v>
      </x:c>
      <x:c r="D15" s="32" t="str">
        <x:v>Local current datetime</x:v>
      </x:c>
      <x:c r="E15" s="32" t="str">
        <x:v>Recuperar reloj JS local independiente de Dash/servidor.</x:v>
      </x:c>
      <x:c r="F15" s="32" t="str">
        <x:v>TS-002</x:v>
      </x:c>
      <x:c r="G15" s="32" t="str">
        <x:v>Sí</x:v>
      </x:c>
      <x:c r="H15" s="32" t="str">
        <x:v>JS syntax + clock marker tests</x:v>
      </x:c>
      <x:c r="I15" s="32" t="str">
        <x:v>P1</x:v>
      </x:c>
      <x:c r="J15" s="32" t="str">
        <x:v>PENDIENTE</x:v>
      </x:c>
      <x:c r="K15" s="32" t="str">
        <x:v>Web/JS</x:v>
      </x:c>
      <x:c r="L15" s="32" t="str">
        <x:v>No usar polling backend para reloj.</x:v>
      </x:c>
    </x:row>
    <x:row r="16">
      <x:c r="A16" s="32" t="str">
        <x:v>TS-004</x:v>
      </x:c>
      <x:c r="B16" s="32" t="str">
        <x:v>Time Status</x:v>
      </x:c>
      <x:c r="C16" s="32" t="str">
        <x:v>Data contract</x:v>
      </x:c>
      <x:c r="D16" s="32" t="str">
        <x:v>Time Status store adapter contract</x:v>
      </x:c>
      <x:c r="E16" s="32" t="str">
        <x:v>Definir puerto/adaptador que reciba el store de Collector sin acoplar UI al backend.</x:v>
      </x:c>
      <x:c r="F16" s="32" t="str">
        <x:v>TS-001; DATA-001</x:v>
      </x:c>
      <x:c r="G16" s="32" t="str">
        <x:v>Sí</x:v>
      </x:c>
      <x:c r="H16" s="32" t="str">
        <x:v>Fake provider/store tests</x:v>
      </x:c>
      <x:c r="I16" s="32" t="str">
        <x:v>P0</x:v>
      </x:c>
      <x:c r="J16" s="32" t="str">
        <x:v>PENDIENTE</x:v>
      </x:c>
      <x:c r="K16" s="32" t="str">
        <x:v>Web/Adapter</x:v>
      </x:c>
      <x:c r="L16" s="32" t="str">
        <x:v>Puede adelantarse con fake si backend sigue cambiando.</x:v>
      </x:c>
    </x:row>
    <x:row r="17">
      <x:c r="A17" s="32" t="str">
        <x:v>TS-005</x:v>
      </x:c>
      <x:c r="B17" s="32" t="str">
        <x:v>Time Status</x:v>
      </x:c>
      <x:c r="C17" s="32" t="str">
        <x:v>Detail UI</x:v>
      </x:c>
      <x:c r="D17" s="32" t="str">
        <x:v>Anchored detail surface</x:v>
      </x:c>
      <x:c r="E17" s="32" t="str">
        <x:v>Crear extensión/popover anclada, sin modal/backdrop ni reflow.</x:v>
      </x:c>
      <x:c r="F17" s="32" t="str">
        <x:v>TS-002</x:v>
      </x:c>
      <x:c r="G17" s="32" t="str">
        <x:v>Sí</x:v>
      </x:c>
      <x:c r="H17" s="32" t="str">
        <x:v>DOM/CSS contract</x:v>
      </x:c>
      <x:c r="I17" s="32" t="str">
        <x:v>P0</x:v>
      </x:c>
      <x:c r="J17" s="32" t="str">
        <x:v>PENDIENTE</x:v>
      </x:c>
      <x:c r="K17" s="32" t="str">
        <x:v>Web/UI</x:v>
      </x:c>
      <x:c r="L17" s="32" t="str">
        <x:v>Overlay local debajo del Time Status.</x:v>
      </x:c>
    </x:row>
    <x:row r="18">
      <x:c r="A18" s="32" t="str">
        <x:v>TS-006</x:v>
      </x:c>
      <x:c r="B18" s="32" t="str">
        <x:v>Time Status</x:v>
      </x:c>
      <x:c r="C18" s="32" t="str">
        <x:v>Client</x:v>
      </x:c>
      <x:c r="D18" s="32" t="str">
        <x:v>Popover JS controller</x:v>
      </x:c>
      <x:c r="E18" s="32" t="str">
        <x:v>Estado open/closed client-side; click toggle, outside click, Escape, keyboard.</x:v>
      </x:c>
      <x:c r="F18" s="32" t="str">
        <x:v>TS-005</x:v>
      </x:c>
      <x:c r="G18" s="32" t="str">
        <x:v>Sí</x:v>
      </x:c>
      <x:c r="H18" s="32" t="str">
        <x:v>JS tests + node --check</x:v>
      </x:c>
      <x:c r="I18" s="32" t="str">
        <x:v>P0</x:v>
      </x:c>
      <x:c r="J18" s="32" t="str">
        <x:v>PENDIENTE</x:v>
      </x:c>
      <x:c r="K18" s="32" t="str">
        <x:v>Web/JS</x:v>
      </x:c>
      <x:c r="L18" s="32" t="str">
        <x:v>No depender de callbacks Dash.</x:v>
      </x:c>
    </x:row>
    <x:row r="19">
      <x:c r="A19" s="32" t="str">
        <x:v>TS-007</x:v>
      </x:c>
      <x:c r="B19" s="32" t="str">
        <x:v>Time Status</x:v>
      </x:c>
      <x:c r="C19" s="32" t="str">
        <x:v>Resilience</x:v>
      </x:c>
      <x:c r="D19" s="32" t="str">
        <x:v>Popover survives Interval</x:v>
      </x:c>
      <x:c r="E19" s="32" t="str">
        <x:v>Actualizar summary/detail y reanclar tras rerender sin cerrar.</x:v>
      </x:c>
      <x:c r="F19" s="32" t="str">
        <x:v>TS-006</x:v>
      </x:c>
      <x:c r="G19" s="32" t="str">
        <x:v>No/Tests</x:v>
      </x:c>
      <x:c r="H19" s="32" t="str">
        <x:v>dcc.Interval harness + browser smoke</x:v>
      </x:c>
      <x:c r="I19" s="32" t="str">
        <x:v>P0</x:v>
      </x:c>
      <x:c r="J19" s="32" t="str">
        <x:v>PENDIENTE</x:v>
      </x:c>
      <x:c r="K19" s="32" t="str">
        <x:v>Web/Validation</x:v>
      </x:c>
      <x:c r="L19" s="32" t="str">
        <x:v>is_open y data deben ser estados independientes.</x:v>
      </x:c>
    </x:row>
    <x:row r="20">
      <x:c r="A20" s="32" t="str">
        <x:v>TS-008</x:v>
      </x:c>
      <x:c r="B20" s="32" t="str">
        <x:v>Time Status</x:v>
      </x:c>
      <x:c r="C20" s="32" t="str">
        <x:v>Composition</x:v>
      </x:c>
      <x:c r="D20" s="32" t="str">
        <x:v>Dynamic detail under consumption</x:v>
      </x:c>
      <x:c r="E20" s="32" t="str">
        <x:v>Mostrar sólo entradas consumidas por la Tool, con nombre + timestamp real.</x:v>
      </x:c>
      <x:c r="F20" s="32" t="str">
        <x:v>TS-004; TS-005; DATA-003</x:v>
      </x:c>
      <x:c r="G20" s="32" t="str">
        <x:v>Sí</x:v>
      </x:c>
      <x:c r="H20" s="32" t="str">
        <x:v>Tool A/B composition tests</x:v>
      </x:c>
      <x:c r="I20" s="32" t="str">
        <x:v>P0</x:v>
      </x:c>
      <x:c r="J20" s="32" t="str">
        <x:v>PENDIENTE</x:v>
      </x:c>
      <x:c r="K20" s="32" t="str">
        <x:v>Web/Composition</x:v>
      </x:c>
      <x:c r="L20" s="32" t="str">
        <x:v>No catálogo global.</x:v>
      </x:c>
    </x:row>
    <x:row r="21">
      <x:c r="A21" s="32" t="str">
        <x:v>TS-009</x:v>
      </x:c>
      <x:c r="B21" s="32" t="str">
        <x:v>Time Status</x:v>
      </x:c>
      <x:c r="C21" s="32" t="str">
        <x:v>Semantics</x:v>
      </x:c>
      <x:c r="D21" s="32" t="str">
        <x:v>PI/Dispatch relative freshness</x:v>
      </x:c>
      <x:c r="E21" s="32" t="str">
        <x:v>Resolver edad relativa/tone para PI y Dispatch sin aplicar esa presentación al detail dinámico.</x:v>
      </x:c>
      <x:c r="F21" s="32" t="str">
        <x:v>TS-004</x:v>
      </x:c>
      <x:c r="G21" s="32" t="str">
        <x:v>Sí</x:v>
      </x:c>
      <x:c r="H21" s="32" t="str">
        <x:v>Boundary/threshold tests</x:v>
      </x:c>
      <x:c r="I21" s="32" t="str">
        <x:v>P0</x:v>
      </x:c>
      <x:c r="J21" s="32" t="str">
        <x:v>PENDIENTE</x:v>
      </x:c>
      <x:c r="K21" s="32" t="str">
        <x:v>Web/Composition</x:v>
      </x:c>
      <x:c r="L21" s="32" t="str">
        <x:v>Critical visual reutiliza patrón antiguo.</x:v>
      </x:c>
    </x:row>
    <x:row r="22">
      <x:c r="A22" s="32" t="str">
        <x:v>TS-010</x:v>
      </x:c>
      <x:c r="B22" s="32" t="str">
        <x:v>Time Status</x:v>
      </x:c>
      <x:c r="C22" s="32" t="str">
        <x:v>Responsive</x:v>
      </x:c>
      <x:c r="D22" s="32" t="str">
        <x:v>Anchoring/collision/mobile</x:v>
      </x:c>
      <x:c r="E22" s="32" t="str">
        <x:v>Definir posicionamiento de flyout en viewport y comportamiento mobile.</x:v>
      </x:c>
      <x:c r="F22" s="32" t="str">
        <x:v>TS-005..007</x:v>
      </x:c>
      <x:c r="G22" s="32" t="str">
        <x:v>Sí</x:v>
      </x:c>
      <x:c r="H22" s="32" t="str">
        <x:v>Visual responsive gate</x:v>
      </x:c>
      <x:c r="I22" s="32" t="str">
        <x:v>P1</x:v>
      </x:c>
      <x:c r="J22" s="32" t="str">
        <x:v>PENDIENTE</x:v>
      </x:c>
      <x:c r="K22" s="32" t="str">
        <x:v>Web/UI</x:v>
      </x:c>
      <x:c r="L22" s="32" t="str">
        <x:v>Evitar offscreen y reflow.</x:v>
      </x:c>
    </x:row>
    <x:row r="23">
      <x:c r="A23" s="32" t="str">
        <x:v>TS-011</x:v>
      </x:c>
      <x:c r="B23" s="32" t="str">
        <x:v>Time Status</x:v>
      </x:c>
      <x:c r="C23" s="32" t="str">
        <x:v>Integration</x:v>
      </x:c>
      <x:c r="D23" s="32" t="str">
        <x:v>Header integration</x:v>
      </x:c>
      <x:c r="E23" s="32" t="str">
        <x:v>Insertar Time Status bajo header actual y mantener geometría estable.</x:v>
      </x:c>
      <x:c r="F23" s="32" t="str">
        <x:v>TS-002..010</x:v>
      </x:c>
      <x:c r="G23" s="32" t="str">
        <x:v>Sí</x:v>
      </x:c>
      <x:c r="H23" s="32" t="str">
        <x:v>Header/application gates + preview</x:v>
      </x:c>
      <x:c r="I23" s="32" t="str">
        <x:v>P0</x:v>
      </x:c>
      <x:c r="J23" s="32" t="str">
        <x:v>PENDIENTE</x:v>
      </x:c>
      <x:c r="K23" s="32" t="str">
        <x:v>Web/Shell</x:v>
      </x:c>
      <x:c r="L23" s="32" t="str">
        <x:v>No Body.</x:v>
      </x:c>
    </x:row>
    <x:row r="24">
      <x:c r="A24" s="32" t="str">
        <x:v>TS-012</x:v>
      </x:c>
      <x:c r="B24" s="32" t="str">
        <x:v>Time Status</x:v>
      </x:c>
      <x:c r="C24" s="32" t="str">
        <x:v>Freeze</x:v>
      </x:c>
      <x:c r="D24" s="32" t="str">
        <x:v>Visual functional freeze</x:v>
      </x:c>
      <x:c r="E24" s="32" t="str">
        <x:v>Validar PI-only, PI+Dispatch, detail vacío y detail poblado.</x:v>
      </x:c>
      <x:c r="F24" s="32" t="str">
        <x:v>TS-011</x:v>
      </x:c>
      <x:c r="G24" s="32" t="str">
        <x:v>No</x:v>
      </x:c>
      <x:c r="H24" s="32" t="str">
        <x:v>Aprobación visual usuario</x:v>
      </x:c>
      <x:c r="I24" s="32" t="str">
        <x:v>P0</x:v>
      </x:c>
      <x:c r="J24" s="32" t="str">
        <x:v>PENDIENTE</x:v>
      </x:c>
      <x:c r="K24" s="32" t="str">
        <x:v>Web/UI</x:v>
      </x:c>
      <x:c r="L24" s="32"/>
    </x:row>
    <x:row r="25">
      <x:c r="A25" s="32" t="str">
        <x:v>DATA-000</x:v>
      </x:c>
      <x:c r="B25" s="32" t="str">
        <x:v>Time Status Data</x:v>
      </x:c>
      <x:c r="C25" s="32" t="str">
        <x:v>Discovery</x:v>
      </x:c>
      <x:c r="D25" s="32" t="str">
        <x:v>Legacy SOURCE_TIME_STORE analysis</x:v>
      </x:c>
      <x:c r="E25" s="32" t="str">
        <x:v>Confirmar store por Tool, payload y refresh del legado.</x:v>
      </x:c>
      <x:c r="F25" s="32" t="str">
        <x:v>—</x:v>
      </x:c>
      <x:c r="G25" s="32" t="str">
        <x:v>No</x:v>
      </x:c>
      <x:c r="H25" s="32" t="str">
        <x:v>Análisis</x:v>
      </x:c>
      <x:c r="I25" s="32" t="str">
        <x:v>P0</x:v>
      </x:c>
      <x:c r="J25" s="32" t="str">
        <x:v>CERRADO</x:v>
      </x:c>
      <x:c r="K25" s="32" t="str">
        <x:v>Architecture</x:v>
      </x:c>
      <x:c r="L25" s="32" t="str">
        <x:v>Completado.</x:v>
      </x:c>
    </x:row>
    <x:row r="26">
      <x:c r="A26" s="32" t="str">
        <x:v>DATA-001</x:v>
      </x:c>
      <x:c r="B26" s="32" t="str">
        <x:v>Time Status Data</x:v>
      </x:c>
      <x:c r="C26" s="32" t="str">
        <x:v>Current backend</x:v>
      </x:c>
      <x:c r="D26" s="32" t="str">
        <x:v>Verify current Collector Time Status Store</x:v>
      </x:c>
      <x:c r="E26" s="32" t="str">
        <x:v>Inspeccionar contrato exacto actual cuando backend esté estable: identidad, timestamps, stale state.</x:v>
      </x:c>
      <x:c r="F26" s="32" t="str">
        <x:v>Backend actual</x:v>
      </x:c>
      <x:c r="G26" s="32" t="str">
        <x:v>No</x:v>
      </x:c>
      <x:c r="H26" s="32" t="str">
        <x:v>Contract review</x:v>
      </x:c>
      <x:c r="I26" s="32" t="str">
        <x:v>P0</x:v>
      </x:c>
      <x:c r="J26" s="32" t="str">
        <x:v>DIFERIDO</x:v>
      </x:c>
      <x:c r="K26" s="32" t="str">
        <x:v>Backend/Web</x:v>
      </x:c>
      <x:c r="L26" s="32" t="str">
        <x:v>No bloquear UI con fake.</x:v>
      </x:c>
    </x:row>
    <x:row r="27">
      <x:c r="A27" s="32" t="str">
        <x:v>DATA-002</x:v>
      </x:c>
      <x:c r="B27" s="32" t="str">
        <x:v>Time Status Data</x:v>
      </x:c>
      <x:c r="C27" s="32" t="str">
        <x:v>Normalization</x:v>
      </x:c>
      <x:c r="D27" s="32" t="str">
        <x:v>Normalize current store</x:v>
      </x:c>
      <x:c r="E27" s="32" t="str">
        <x:v>Mapear store actual a contrato Web sin lógica de presentación.</x:v>
      </x:c>
      <x:c r="F27" s="32" t="str">
        <x:v>DATA-001; TS-004</x:v>
      </x:c>
      <x:c r="G27" s="32" t="str">
        <x:v>Sí</x:v>
      </x:c>
      <x:c r="H27" s="32" t="str">
        <x:v>Adapter tests</x:v>
      </x:c>
      <x:c r="I27" s="32" t="str">
        <x:v>P0</x:v>
      </x:c>
      <x:c r="J27" s="32" t="str">
        <x:v>DIFERIDO</x:v>
      </x:c>
      <x:c r="K27" s="32" t="str">
        <x:v>Web/Adapter</x:v>
      </x:c>
      <x:c r="L27" s="32" t="str">
        <x:v>Se activa cuando backend estabilice.</x:v>
      </x:c>
    </x:row>
    <x:row r="28">
      <x:c r="A28" s="32" t="str">
        <x:v>DATA-003</x:v>
      </x:c>
      <x:c r="B28" s="32" t="str">
        <x:v>Time Status Data</x:v>
      </x:c>
      <x:c r="C28" s="32" t="str">
        <x:v>Consumption</x:v>
      </x:c>
      <x:c r="D28" s="32" t="str">
        <x:v>Tool consumption filter</x:v>
      </x:c>
      <x:c r="E28" s="32" t="str">
        <x:v>Resolver qué entradas dinámicas pertenecen a la Tool actual.</x:v>
      </x:c>
      <x:c r="F28" s="32" t="str">
        <x:v>TS-001; contrato Tool actual</x:v>
      </x:c>
      <x:c r="G28" s="32" t="str">
        <x:v>Sí</x:v>
      </x:c>
      <x:c r="H28" s="32" t="str">
        <x:v>Tool fixture tests</x:v>
      </x:c>
      <x:c r="I28" s="32" t="str">
        <x:v>P0</x:v>
      </x:c>
      <x:c r="J28" s="32" t="str">
        <x:v>PENDIENTE</x:v>
      </x:c>
      <x:c r="K28" s="32" t="str">
        <x:v>Web/Composition</x:v>
      </x:c>
      <x:c r="L28" s="32" t="str">
        <x:v>Bajo consumo.</x:v>
      </x:c>
    </x:row>
    <x:row r="29">
      <x:c r="A29" s="32" t="str">
        <x:v>DATA-004</x:v>
      </x:c>
      <x:c r="B29" s="32" t="str">
        <x:v>Time Status Data</x:v>
      </x:c>
      <x:c r="C29" s="32" t="str">
        <x:v>Classification</x:v>
      </x:c>
      <x:c r="D29" s="32" t="str">
        <x:v>Source role classification</x:v>
      </x:c>
      <x:c r="E29" s="32" t="str">
        <x:v>Distinguir summary PI/Dispatch, detail popover y stale-driving sin flags UI en Collector.</x:v>
      </x:c>
      <x:c r="F29" s="32" t="str">
        <x:v>TS-001</x:v>
      </x:c>
      <x:c r="G29" s="32" t="str">
        <x:v>Sí</x:v>
      </x:c>
      <x:c r="H29" s="32" t="str">
        <x:v>Classification tests</x:v>
      </x:c>
      <x:c r="I29" s="32" t="str">
        <x:v>P0</x:v>
      </x:c>
      <x:c r="J29" s="32" t="str">
        <x:v>PENDIENTE</x:v>
      </x:c>
      <x:c r="K29" s="32" t="str">
        <x:v>Web/Composition</x:v>
      </x:c>
      <x:c r="L29" s="32" t="str">
        <x:v>Una entrada puede ser detail-only.</x:v>
      </x:c>
    </x:row>
    <x:row r="30">
      <x:c r="A30" s="32" t="str">
        <x:v>DATA-005</x:v>
      </x:c>
      <x:c r="B30" s="32" t="str">
        <x:v>Time Status Data</x:v>
      </x:c>
      <x:c r="C30" s="32" t="str">
        <x:v>Edge cases</x:v>
      </x:c>
      <x:c r="D30" s="32" t="str">
        <x:v>Missing/unknown source semantics</x:v>
      </x:c>
      <x:c r="E30" s="32" t="str">
        <x:v>Definir qué mostrar si una fuente no tiene timestamp, desaparece o nunca publicó.</x:v>
      </x:c>
      <x:c r="F30" s="32" t="str">
        <x:v>DATA-004</x:v>
      </x:c>
      <x:c r="G30" s="32" t="str">
        <x:v>Sí</x:v>
      </x:c>
      <x:c r="H30" s="32" t="str">
        <x:v>Truth-table tests</x:v>
      </x:c>
      <x:c r="I30" s="32" t="str">
        <x:v>P1</x:v>
      </x:c>
      <x:c r="J30" s="32" t="str">
        <x:v>PENDIENTE</x:v>
      </x:c>
      <x:c r="K30" s="32" t="str">
        <x:v>Architecture</x:v>
      </x:c>
      <x:c r="L30" s="32" t="str">
        <x:v>No inventar stale automáticamente.</x:v>
      </x:c>
    </x:row>
    <x:row r="31">
      <x:c r="A31" s="32" t="str">
        <x:v>CS-000</x:v>
      </x:c>
      <x:c r="B31" s="32" t="str">
        <x:v>Content State</x:v>
      </x:c>
      <x:c r="C31" s="32" t="str">
        <x:v>Discovery</x:v>
      </x:c>
      <x:c r="D31" s="32" t="str">
        <x:v>Legacy wrapper recovery</x:v>
      </x:c>
      <x:c r="E31" s="32" t="str">
        <x:v>Analizar READY/STALE/CONSTRUCTION, CSS y static/runtime ids.</x:v>
      </x:c>
      <x:c r="F31" s="32" t="str">
        <x:v>—</x:v>
      </x:c>
      <x:c r="G31" s="32" t="str">
        <x:v>No</x:v>
      </x:c>
      <x:c r="H31" s="32" t="str">
        <x:v>Análisis</x:v>
      </x:c>
      <x:c r="I31" s="32" t="str">
        <x:v>P0</x:v>
      </x:c>
      <x:c r="J31" s="32" t="str">
        <x:v>CERRADO</x:v>
      </x:c>
      <x:c r="K31" s="32" t="str">
        <x:v>Architecture</x:v>
      </x:c>
      <x:c r="L31" s="32" t="str">
        <x:v>Completado.</x:v>
      </x:c>
    </x:row>
    <x:row r="32">
      <x:c r="A32" s="32" t="str">
        <x:v>CS-001</x:v>
      </x:c>
      <x:c r="B32" s="32" t="str">
        <x:v>Content State</x:v>
      </x:c>
      <x:c r="C32" s="32" t="str">
        <x:v>Contract</x:v>
      </x:c>
      <x:c r="D32" s="32" t="str">
        <x:v>Extract reusable Content State contract</x:v>
      </x:c>
      <x:c r="E32" s="32" t="str">
        <x:v>Crear capability nueva separada de display-status y de Time Status.</x:v>
      </x:c>
      <x:c r="F32" s="32" t="str">
        <x:v>CS-000</x:v>
      </x:c>
      <x:c r="G32" s="32" t="str">
        <x:v>Sí</x:v>
      </x:c>
      <x:c r="H32" s="32" t="str">
        <x:v>Models/builders/mirrors</x:v>
      </x:c>
      <x:c r="I32" s="32" t="str">
        <x:v>P0</x:v>
      </x:c>
      <x:c r="J32" s="32" t="str">
        <x:v>PENDIENTE</x:v>
      </x:c>
      <x:c r="K32" s="32" t="str">
        <x:v>Web/UI</x:v>
      </x:c>
      <x:c r="L32" s="32" t="str">
        <x:v>No copiar ada-ui monolítico.</x:v>
      </x:c>
    </x:row>
    <x:row r="33">
      <x:c r="A33" s="32" t="str">
        <x:v>CS-002</x:v>
      </x:c>
      <x:c r="B33" s="32" t="str">
        <x:v>Content State</x:v>
      </x:c>
      <x:c r="C33" s="32" t="str">
        <x:v>Static</x:v>
      </x:c>
      <x:c r="D33" s="32" t="str">
        <x:v>Construction support</x:v>
      </x:c>
      <x:c r="E33" s="32" t="str">
        <x:v>Integrar CONSTRUCTION declarativo con mensaje/icono y wrapper estable.</x:v>
      </x:c>
      <x:c r="F33" s="32" t="str">
        <x:v>CS-001</x:v>
      </x:c>
      <x:c r="G33" s="32" t="str">
        <x:v>Sí</x:v>
      </x:c>
      <x:c r="H33" s="32" t="str">
        <x:v>Unit + visual gate</x:v>
      </x:c>
      <x:c r="I33" s="32" t="str">
        <x:v>P0</x:v>
      </x:c>
      <x:c r="J33" s="32" t="str">
        <x:v>PENDIENTE</x:v>
      </x:c>
      <x:c r="K33" s="32" t="str">
        <x:v>Web/UI</x:v>
      </x:c>
      <x:c r="L33" s="32" t="str">
        <x:v>Default legacy: En construcción + hammer.</x:v>
      </x:c>
    </x:row>
    <x:row r="34">
      <x:c r="A34" s="32" t="str">
        <x:v>CS-003</x:v>
      </x:c>
      <x:c r="B34" s="32" t="str">
        <x:v>Content State</x:v>
      </x:c>
      <x:c r="C34" s="32" t="str">
        <x:v>Runtime</x:v>
      </x:c>
      <x:c r="D34" s="32" t="str">
        <x:v>Freshness policy contract</x:v>
      </x:c>
      <x:c r="E34" s="32" t="str">
        <x:v>Definir estado READY/STALE desde timestamps/policies sin lógica UI.</x:v>
      </x:c>
      <x:c r="F34" s="32" t="str">
        <x:v>DATA-004; CS-001</x:v>
      </x:c>
      <x:c r="G34" s="32" t="str">
        <x:v>Sí</x:v>
      </x:c>
      <x:c r="H34" s="32" t="str">
        <x:v>Policy truth table</x:v>
      </x:c>
      <x:c r="I34" s="32" t="str">
        <x:v>P0</x:v>
      </x:c>
      <x:c r="J34" s="32" t="str">
        <x:v>PENDIENTE</x:v>
      </x:c>
      <x:c r="K34" s="32" t="str">
        <x:v>Web/Domain</x:v>
      </x:c>
      <x:c r="L34" s="32" t="str">
        <x:v>Thresholds/config deben ser inyectables.</x:v>
      </x:c>
    </x:row>
    <x:row r="35">
      <x:c r="A35" s="32" t="str">
        <x:v>CS-004</x:v>
      </x:c>
      <x:c r="B35" s="32" t="str">
        <x:v>Content State</x:v>
      </x:c>
      <x:c r="C35" s="32" t="str">
        <x:v>Runtime</x:v>
      </x:c>
      <x:c r="D35" s="32" t="str">
        <x:v>Dependency resolver</x:v>
      </x:c>
      <x:c r="E35" s="32" t="str">
        <x:v>Mapear source stale → state_key/componentes afectados.</x:v>
      </x:c>
      <x:c r="F35" s="32" t="str">
        <x:v>CS-003; Tool dependency contract</x:v>
      </x:c>
      <x:c r="G35" s="32" t="str">
        <x:v>Sí</x:v>
      </x:c>
      <x:c r="H35" s="32" t="str">
        <x:v>Composition tests</x:v>
      </x:c>
      <x:c r="I35" s="32" t="str">
        <x:v>P0</x:v>
      </x:c>
      <x:c r="J35" s="32" t="str">
        <x:v>PENDIENTE</x:v>
      </x:c>
      <x:c r="K35" s="32" t="str">
        <x:v>Web/Composition</x:v>
      </x:c>
      <x:c r="L35" s="32" t="str">
        <x:v>No hacer que Time Status modifique componentes directamente.</x:v>
      </x:c>
    </x:row>
    <x:row r="36">
      <x:c r="A36" s="32" t="str">
        <x:v>CS-005</x:v>
      </x:c>
      <x:c r="B36" s="32" t="str">
        <x:v>Content State</x:v>
      </x:c>
      <x:c r="C36" s="32" t="str">
        <x:v>Runtime</x:v>
      </x:c>
      <x:c r="D36" s="32" t="str">
        <x:v>Update runtime wrappers</x:v>
      </x:c>
      <x:c r="E36" s="32" t="str">
        <x:v>Cambiar wrapper READY↔STALE sin reflow y sin recrear componentes innecesariamente.</x:v>
      </x:c>
      <x:c r="F36" s="32" t="str">
        <x:v>CS-001; CS-004</x:v>
      </x:c>
      <x:c r="G36" s="32" t="str">
        <x:v>Sí</x:v>
      </x:c>
      <x:c r="H36" s="32" t="str">
        <x:v>Interval/rerender harness</x:v>
      </x:c>
      <x:c r="I36" s="32" t="str">
        <x:v>P0</x:v>
      </x:c>
      <x:c r="J36" s="32" t="str">
        <x:v>PENDIENTE</x:v>
      </x:c>
      <x:c r="K36" s="32" t="str">
        <x:v>Web/Runtime</x:v>
      </x:c>
      <x:c r="L36" s="32"/>
    </x:row>
    <x:row r="37">
      <x:c r="A37" s="32" t="str">
        <x:v>CS-006</x:v>
      </x:c>
      <x:c r="B37" s="32" t="str">
        <x:v>Content State</x:v>
      </x:c>
      <x:c r="C37" s="32" t="str">
        <x:v>Semantics</x:v>
      </x:c>
      <x:c r="D37" s="32" t="str">
        <x:v>Construction precedence</x:v>
      </x:c>
      <x:c r="E37" s="32" t="str">
        <x:v>Congelar precedencia propuesta CONSTRUCTION &gt; STALE &gt; READY.</x:v>
      </x:c>
      <x:c r="F37" s="32" t="str">
        <x:v>CS-002; CS-003</x:v>
      </x:c>
      <x:c r="G37" s="32" t="str">
        <x:v>No/Contract</x:v>
      </x:c>
      <x:c r="H37" s="32" t="str">
        <x:v>Truth-table gate</x:v>
      </x:c>
      <x:c r="I37" s="32" t="str">
        <x:v>P1</x:v>
      </x:c>
      <x:c r="J37" s="32" t="str">
        <x:v>EN DISEÑO</x:v>
      </x:c>
      <x:c r="K37" s="32" t="str">
        <x:v>Architecture</x:v>
      </x:c>
      <x:c r="L37" s="32" t="str">
        <x:v>Necesita aprobación explícita.</x:v>
      </x:c>
    </x:row>
    <x:row r="38">
      <x:c r="A38" s="32" t="str">
        <x:v>CS-007</x:v>
      </x:c>
      <x:c r="B38" s="32" t="str">
        <x:v>Content State</x:v>
      </x:c>
      <x:c r="C38" s="32" t="str">
        <x:v>Interaction</x:v>
      </x:c>
      <x:c r="D38" s="32" t="str">
        <x:v>Stale vs KPI Inspection interaction</x:v>
      </x:c>
      <x:c r="E38" s="32" t="str">
        <x:v>Decidir si overlay STALE bloquea click de Inspection o permite abrir definición.</x:v>
      </x:c>
      <x:c r="F38" s="32" t="str">
        <x:v>CS-001; KIV-005</x:v>
      </x:c>
      <x:c r="G38" s="32" t="str">
        <x:v>Puede</x:v>
      </x:c>
      <x:c r="H38" s="32" t="str">
        <x:v>Visual/UX decision</x:v>
      </x:c>
      <x:c r="I38" s="32" t="str">
        <x:v>P0</x:v>
      </x:c>
      <x:c r="J38" s="32" t="str">
        <x:v>EN DISEÑO</x:v>
      </x:c>
      <x:c r="K38" s="32" t="str">
        <x:v>Architecture/UI</x:v>
      </x:c>
      <x:c r="L38" s="32" t="str">
        <x:v>Legacy bloqueaba pointer events.</x:v>
      </x:c>
    </x:row>
    <x:row r="39">
      <x:c r="A39" s="32" t="str">
        <x:v>CS-008</x:v>
      </x:c>
      <x:c r="B39" s="32" t="str">
        <x:v>Content State</x:v>
      </x:c>
      <x:c r="C39" s="32" t="str">
        <x:v>Visual</x:v>
      </x:c>
      <x:c r="D39" s="32" t="str">
        <x:v>Content State visual freeze</x:v>
      </x:c>
      <x:c r="E39" s="32" t="str">
        <x:v>Validar stale/construction en Global Indicator y otra superficie representativa.</x:v>
      </x:c>
      <x:c r="F39" s="32" t="str">
        <x:v>CS-002..007</x:v>
      </x:c>
      <x:c r="G39" s="32" t="str">
        <x:v>No</x:v>
      </x:c>
      <x:c r="H39" s="32" t="str">
        <x:v>Aprobación visual usuario</x:v>
      </x:c>
      <x:c r="I39" s="32" t="str">
        <x:v>P0</x:v>
      </x:c>
      <x:c r="J39" s="32" t="str">
        <x:v>PENDIENTE</x:v>
      </x:c>
      <x:c r="K39" s="32" t="str">
        <x:v>Web/UI</x:v>
      </x:c>
      <x:c r="L39" s="32"/>
    </x:row>
    <x:row r="40">
      <x:c r="A40" s="32" t="str">
        <x:v>KI-011</x:v>
      </x:c>
      <x:c r="B40" s="32" t="str">
        <x:v>KPI Inspection</x:v>
      </x:c>
      <x:c r="C40" s="32" t="str">
        <x:v>Backend</x:v>
      </x:c>
      <x:c r="D40" s="32" t="str">
        <x:v>Cosmos real pilot</x:v>
      </x:c>
      <x:c r="E40" s="32" t="str">
        <x:v>Conectar repository real de KPI Definition cuando backend estabilice.</x:v>
      </x:c>
      <x:c r="F40" s="32" t="str">
        <x:v>Backend estable</x:v>
      </x:c>
      <x:c r="G40" s="32" t="str">
        <x:v>Sí adapter only</x:v>
      </x:c>
      <x:c r="H40" s="32" t="str">
        <x:v>Integration Azure gate</x:v>
      </x:c>
      <x:c r="I40" s="32" t="str">
        <x:v>P2</x:v>
      </x:c>
      <x:c r="J40" s="32" t="str">
        <x:v>DIFERIDO</x:v>
      </x:c>
      <x:c r="K40" s="32" t="str">
        <x:v>Backend/Web</x:v>
      </x:c>
      <x:c r="L40" s="32" t="str">
        <x:v>Provider/Runtime/API/Surface no cambian.</x:v>
      </x:c>
    </x:row>
    <x:row r="41">
      <x:c r="A41" s="32" t="str">
        <x:v>KI-012</x:v>
      </x:c>
      <x:c r="B41" s="32" t="str">
        <x:v>KPI Inspection</x:v>
      </x:c>
      <x:c r="C41" s="32" t="str">
        <x:v>Body</x:v>
      </x:c>
      <x:c r="D41" s="32" t="str">
        <x:v>Body adoption contract</x:v>
      </x:c>
      <x:c r="E41" s="32" t="str">
        <x:v>Definir adopción en Body sólo después de Body Foundation.</x:v>
      </x:c>
      <x:c r="F41" s="32" t="str">
        <x:v>Body Foundation</x:v>
      </x:c>
      <x:c r="G41" s="32" t="str">
        <x:v>No por ahora</x:v>
      </x:c>
      <x:c r="H41" s="32" t="str">
        <x:v>Design freeze futuro</x:v>
      </x:c>
      <x:c r="I41" s="32" t="str">
        <x:v>P2</x:v>
      </x:c>
      <x:c r="J41" s="32" t="str">
        <x:v>DIFERIDO</x:v>
      </x:c>
      <x:c r="K41" s="32" t="str">
        <x:v>Web/UI</x:v>
      </x:c>
      <x:c r="L41" s="32"/>
    </x:row>
    <x:row r="42">
      <x:c r="A42" s="32" t="str">
        <x:v>BODY-000</x:v>
      </x:c>
      <x:c r="B42" s="32" t="str">
        <x:v>Body</x:v>
      </x:c>
      <x:c r="C42" s="32" t="str">
        <x:v>Architecture</x:v>
      </x:c>
      <x:c r="D42" s="32" t="str">
        <x:v>Body Foundation</x:v>
      </x:c>
      <x:c r="E42" s="32" t="str">
        <x:v>Diseñar composición de rows/images/text/tables/overlays antes de adopción masiva.</x:v>
      </x:c>
      <x:c r="F42" s="32" t="str">
        <x:v>Header/Time Status estabilizados</x:v>
      </x:c>
      <x:c r="G42" s="32" t="str">
        <x:v>Sí futuro</x:v>
      </x:c>
      <x:c r="H42" s="32" t="str">
        <x:v>Track separado</x:v>
      </x:c>
      <x:c r="I42" s="32" t="str">
        <x:v>P2</x:v>
      </x:c>
      <x:c r="J42" s="32" t="str">
        <x:v>DIFERIDO</x:v>
      </x:c>
      <x:c r="K42" s="32" t="str">
        <x:v>Architecture</x:v>
      </x:c>
      <x:c r="L42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4">
    <x:dataValidation type="list" sqref="J5:J41">
      <x:formula1>"CERRADO,EN DISEÑO,PENDIENTE,DIFERIDO,BLOQUEADO"</x:formula1>
    </x:dataValidation>
    <x:dataValidation type="list" sqref="I5:I41">
      <x:formula1>"P0,P1,P2"</x:formula1>
    </x:dataValidation>
    <x:dataValidation type="list" sqref="I5:I42">
      <x:formula1>"P0,P1,P2"</x:formula1>
    </x:dataValidation>
    <x:dataValidation type="list" sqref="J5:J42">
      <x:formula1>"CERRADO,EN DISEÑO,PENDIENTE,DIFERIDO,BLOQUEADO,EN VALIDACIÓN"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PENDIENTE</x:v>
      </x:c>
      <x:c r="J5" s="32" t="str"/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PENDIENTE</x:v>
      </x:c>
      <x:c r="J6" s="32" t="str"/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Loading lock</x:v>
      </x:c>
      <x:c r="D9" s="32" t="str">
        <x:v>KPI A request activa</x:v>
      </x:c>
      <x:c r="E9" s="32" t="str">
        <x:v>Click/Enter/Space sobre KPI B/C durante loading</x:v>
      </x:c>
      <x:c r="F9" s="32" t="str">
        <x:v>No se inicia otra request; KPI A completa y luego se habilitan nuevos triggers</x:v>
      </x:c>
      <x:c r="G9" s="32" t="str">
        <x:v>Functional/JS</x:v>
      </x:c>
      <x:c r="H9" s="32" t="str">
        <x:v>P0</x:v>
      </x:c>
      <x:c r="I9" s="32" t="str">
        <x:v>PENDIENTE</x:v>
      </x:c>
      <x:c r="J9" s="32" t="str">
        <x:v>KIV-000B</x:v>
      </x:c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PENDIENTE</x:v>
      </x:c>
      <x:c r="J10" s="32" t="str">
        <x:v>KI-010 prueba contrato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  <x:row r="29">
      <x:c r="A29" s="32" t="str">
        <x:v>VT-007</x:v>
      </x:c>
      <x:c r="B29" s="32" t="str">
        <x:v>KIV</x:v>
      </x:c>
      <x:c r="C29" s="32" t="str">
        <x:v>Value-only triggers</x:v>
      </x:c>
      <x:c r="D29" s="32" t="str">
        <x:v>Global Indicator con Turno, Día y Última medición</x:v>
      </x:c>
      <x:c r="E29" s="32" t="str">
        <x:v>Inspeccionar DOM / click labels y values</x:v>
      </x:c>
      <x:c r="F29" s="32" t="str">
        <x:v>Root, heading, labels y plan son neutrales; sólo los 3 valores actuales son triggers con el mismo kpi_key</x:v>
      </x:c>
      <x:c r="G29" s="32" t="str">
        <x:v>Unit/DOM</x:v>
      </x:c>
      <x:c r="H29" s="32" t="str">
        <x:v>P0</x:v>
      </x:c>
      <x:c r="I29" s="32" t="str">
        <x:v>PENDIENTE</x:v>
      </x:c>
      <x:c r="J29" s="32" t="str">
        <x:v>KIV-000B</x:v>
      </x:c>
    </x:row>
    <x:row r="30">
      <x:c r="A30" s="32" t="str">
        <x:v>VT-008</x:v>
      </x:c>
      <x:c r="B30" s="32" t="str">
        <x:v>KIV</x:v>
      </x:c>
      <x:c r="C30" s="32" t="str">
        <x:v>Dark square Surface</x:v>
      </x:c>
      <x:c r="D30" s="32" t="str">
        <x:v>Inspection Surface montada</x:v>
      </x:c>
      <x:c r="E30" s="32" t="str">
        <x:v>Abrir inspector</x:v>
      </x:c>
      <x:c r="F30" s="32" t="str">
        <x:v>Panel full-width bottom usa var(--dark-color), border-radius 0 y no tiene backdrop modal</x:v>
      </x:c>
      <x:c r="G30" s="32" t="str">
        <x:v>Visual/CSS</x:v>
      </x:c>
      <x:c r="H30" s="32" t="str">
        <x:v>P0</x:v>
      </x:c>
      <x:c r="I30" s="32" t="str">
        <x:v>PENDIENTE</x:v>
      </x:c>
      <x:c r="J30" s="32" t="str">
        <x:v>KIV-000B</x:v>
      </x:c>
    </x:row>
    <x:row r="31">
      <x:c r="A31" s="32" t="str">
        <x:v>VT-009</x:v>
      </x:c>
      <x:c r="B31" s="32" t="str">
        <x:v>KIV</x:v>
      </x:c>
      <x:c r="C31" s="32" t="str">
        <x:v>Selection policy</x:v>
      </x:c>
      <x:c r="D31" s="32" t="str">
        <x:v>Global Indicator + inspector abierto</x:v>
      </x:c>
      <x:c r="E31" s="32" t="str">
        <x:v>Intentar seleccionar texto</x:v>
      </x:c>
      <x:c r="F31" s="32" t="str">
        <x:v>Global Indicator evita selección accidental; contenido del inspector permite seleccionar/copiar</x:v>
      </x:c>
      <x:c r="G31" s="32" t="str">
        <x:v>Visual/CSS</x:v>
      </x:c>
      <x:c r="H31" s="32" t="str">
        <x:v>P1</x:v>
      </x:c>
      <x:c r="I31" s="32" t="str">
        <x:v>PENDIENTE</x:v>
      </x:c>
      <x:c r="J31" s="32" t="str">
        <x:v>KIV-000B</x:v>
      </x:c>
    </x:row>
    <x:row r="32">
      <x:c r="A32" s="32" t="str">
        <x:v>VT-010</x:v>
      </x:c>
      <x:c r="B32" s="32" t="str">
        <x:v>KIV</x:v>
      </x:c>
      <x:c r="C32" s="32" t="str">
        <x:v>Persistent sequential inspection</x:v>
      </x:c>
      <x:c r="D32" s="32" t="str">
        <x:v>KPI A cargado con panel abierto</x:v>
      </x:c>
      <x:c r="E32" s="32" t="str">
        <x:v>Click KPI B después de finalizar loading</x:v>
      </x:c>
      <x:c r="F32" s="32" t="str">
        <x:v>Misma Surface permanece abierta y pasa a loading/resultado B sin close/reopen</x:v>
      </x:c>
      <x:c r="G32" s="32" t="str">
        <x:v>Functional/Visual</x:v>
      </x:c>
      <x:c r="H32" s="32" t="str">
        <x:v>P0</x:v>
      </x:c>
      <x:c r="I32" s="32" t="str">
        <x:v>PENDIENTE</x:v>
      </x:c>
      <x:c r="J32" s="32" t="str">
        <x:v>KIV-000B/KIV-001</x:v>
      </x:c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2">
    <x:dataValidation type="list" sqref="I5:I28">
      <x:formula1>"CERRADO,EN DISEÑO,PENDIENTE,DIFERIDO,BLOQUEADO"</x:formula1>
    </x:dataValidation>
    <x:dataValidation type="list" sqref="I5:I32">
      <x:formula1>"CERRADO,EN DISEÑO,PENDIENTE,DIFERIDO,BLOQUEADO,EN VALIDACIÓN"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  <x:row r="24">
      <x:c r="A24" s="32" t="str">
        <x:v>D-KIV-003</x:v>
      </x:c>
      <x:c r="B24" s="32" t="str">
        <x:v>Trigger scope</x:v>
      </x:c>
      <x:c r="C24" s="32" t="str">
        <x:v>Global Indicator root no es trigger; sólo los valores actuales de Turno, Día y Última medición optan a Inspection.</x:v>
      </x:c>
      <x:c r="D24" s="32" t="str">
        <x:v>ACEPTADA</x:v>
      </x:c>
      <x:c r="E24" s="32" t="str">
        <x:v>Una Definition describe el KPI representado por el valor; hacer clickable todo el slot genera una superficie semánticamente demasiado amplia.</x:v>
      </x:c>
      <x:c r="F24" s="32" t="str">
        <x:v>Global Indicator</x:v>
      </x:c>
      <x:c r="G24" s="32" t="str">
        <x:v>KIV-000B</x:v>
      </x:c>
      <x:c r="H24" s="32" t="str">
        <x:v>Plan/labels/headings permanecen neutrales.</x:v>
      </x:c>
    </x:row>
    <x:row r="25">
      <x:c r="A25" s="32" t="str">
        <x:v>D-KIV-004</x:v>
      </x:c>
      <x:c r="B25" s="32" t="str">
        <x:v>KPI identity</x:v>
      </x:c>
      <x:c r="C25" s="32" t="str">
        <x:v>Todos los valores del mismo Global Indicator comparten el mismo kpi_key.</x:v>
      </x:c>
      <x:c r="D25" s="32" t="str">
        <x:v>ACEPTADA</x:v>
      </x:c>
      <x:c r="E25" s="32" t="str">
        <x:v>Turno/Día/Última medición son vistas temporales del mismo KPI, no nuevas identidades.</x:v>
      </x:c>
      <x:c r="F25" s="32" t="str">
        <x:v>Contract</x:v>
      </x:c>
      <x:c r="G25" s="32" t="str">
        <x:v>KIV-000B</x:v>
      </x:c>
      <x:c r="H25" s="32" t="str">
        <x:v>No crear turno_key/day_key/measurement_key.</x:v>
      </x:c>
    </x:row>
    <x:row r="26">
      <x:c r="A26" s="32" t="str">
        <x:v>D-KIV-005</x:v>
      </x:c>
      <x:c r="B26" s="32" t="str">
        <x:v>Surface geometry</x:v>
      </x:c>
      <x:c r="C26" s="32" t="str">
        <x:v>Inspection Surface inferior usa border-radius 0 y var(--dark-color) como background.</x:v>
      </x:c>
      <x:c r="D26" s="32" t="str">
        <x:v>ACEPTADA</x:v>
      </x:c>
      <x:c r="E26" s="32" t="str">
        <x:v>Debe distinguirse claramente del Body y comportarse como superficie operacional persistente, no card flotante.</x:v>
      </x:c>
      <x:c r="F26" s="32" t="str">
        <x:v>Inspection Surface</x:v>
      </x:c>
      <x:c r="G26" s="32" t="str">
        <x:v>KIV-000B</x:v>
      </x:c>
      <x:c r="H26" s="32" t="str"/>
    </x:row>
    <x:row r="27">
      <x:c r="A27" s="32" t="str">
        <x:v>D-KIV-006</x:v>
      </x:c>
      <x:c r="B27" s="32" t="str">
        <x:v>Text selection</x:v>
      </x:c>
      <x:c r="C27" s="32" t="str">
        <x:v>Global Indicator evita selección accidental; el contenido del inspector permite seleccionar/copiar texto.</x:v>
      </x:c>
      <x:c r="D27" s="32" t="str">
        <x:v>ACEPTADA</x:v>
      </x:c>
      <x:c r="E27" s="32" t="str">
        <x:v>Clicks repetidos en valores no deben marcar texto, mientras Definition sí debe ser copiable.</x:v>
      </x:c>
      <x:c r="F27" s="32" t="str">
        <x:v>CSS/UX</x:v>
      </x:c>
      <x:c r="G27" s="32" t="str">
        <x:v>KIV-000B</x:v>
      </x:c>
      <x:c r="H27" s="32" t="str"/>
    </x:row>
    <x:row r="28">
      <x:c r="A28" s="32" t="str">
        <x:v>D-KIV-007</x:v>
      </x:c>
      <x:c r="B28" s="32" t="str">
        <x:v>Persistent panel</x:v>
      </x:c>
      <x:c r="C28" s="32" t="str">
        <x:v>Seleccionar otro KPI no cierra el inspector; reutiliza la misma Surface.</x:v>
      </x:c>
      <x:c r="D28" s="32" t="str">
        <x:v>ACEPTADA</x:v>
      </x:c>
      <x:c r="E28" s="32" t="str">
        <x:v>Inspection es una sesión de consulta sucesiva y no debe cerrar/reabrir entre KPI.</x:v>
      </x:c>
      <x:c r="F28" s="32" t="str">
        <x:v>JS/UX</x:v>
      </x:c>
      <x:c r="G28" s="32" t="str">
        <x:v>KIV-000B/KIV-001</x:v>
      </x:c>
      <x:c r="H28" s="32" t="str"/>
    </x:row>
    <x:row r="29">
      <x:c r="A29" s="32" t="str">
        <x:v>D-KIV-008</x:v>
      </x:c>
      <x:c r="B29" s="32" t="str">
        <x:v>Loading lock</x:v>
      </x:c>
      <x:c r="C29" s="32" t="str">
        <x:v>Mientras existe una request de Definition activa, nuevos triggers de KPI se ignoran.</x:v>
      </x:c>
      <x:c r="D29" s="32" t="str">
        <x:v>ACEPTADA</x:v>
      </x:c>
      <x:c r="E29" s="32" t="str">
        <x:v>Evita generar múltiples requests/aborts y reduce presión innecesaria sobre la API.</x:v>
      </x:c>
      <x:c r="F29" s="32" t="str">
        <x:v>JS/API</x:v>
      </x:c>
      <x:c r="G29" s="32" t="str">
        <x:v>KIV-000B/KIV-002</x:v>
      </x:c>
      <x:c r="H29" s="32" t="str">
        <x:v>AbortController/requestSequence se mantienen como defensa secundaria.</x:v>
      </x:c>
    </x:row>
    <x:row r="30">
      <x:c r="A30" s="32" t="str">
        <x:v>D-KIV-009</x:v>
      </x:c>
      <x:c r="B30" s="32" t="str">
        <x:v>Non-modal Surface</x:v>
      </x:c>
      <x:c r="C30" s="32" t="str">
        <x:v>El inspector abierto no usa backdrop modal que bloquee el Header.</x:v>
      </x:c>
      <x:c r="D30" s="32" t="str">
        <x:v>ACEPTADA</x:v>
      </x:c>
      <x:c r="E30" s="32" t="str">
        <x:v>El usuario debe poder seleccionar otro KPI sin cerrar el inspector.</x:v>
      </x:c>
      <x:c r="F30" s="32" t="str">
        <x:v>Inspection Surface</x:v>
      </x:c>
      <x:c r="G30" s="32" t="str">
        <x:v>KIV-000B</x:v>
      </x:c>
      <x:c r="H30" s="32" t="str">
        <x:v>Cierre explícito mediante X/Escape; política final se valida visualmente.</x:v>
      </x:c>
    </x:row>
    <x:row r="31">
      <x:c r="A31" s="32" t="str">
        <x:v>D-KIV-010</x:v>
      </x:c>
      <x:c r="B31" s="32" t="str">
        <x:v>Loader evolution</x:v>
      </x:c>
      <x:c r="C31" s="32" t="str">
        <x:v>El estado loading actual controla el lock; un loader/spinner ADA más rico queda para calibración futura.</x:v>
      </x:c>
      <x:c r="D31" s="32" t="str">
        <x:v>ACEPTADA</x:v>
      </x:c>
      <x:c r="E31" s="32" t="str">
        <x:v>No se necesita otra abstracción para garantizar anti-saturation.</x:v>
      </x:c>
      <x:c r="F31" s="32" t="str">
        <x:v>UX</x:v>
      </x:c>
      <x:c r="G31" s="32" t="str">
        <x:v>KIV-005</x:v>
      </x:c>
      <x:c r="H31" s="32" t="str">
        <x:v>aria-busy acompaña el estado de carga.</x:v>
      </x:c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2">
    <x:dataValidation type="list" sqref="D5:D23">
      <x:formula1>"ACEPTADA,PROPUESTA,ABIERTO,REEMPLAZADA"</x:formula1>
    </x:dataValidation>
    <x:dataValidation type="list" sqref="D5:D31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source/kpi consumption key</x:v>
      </x:c>
      <x:c r="D7" s="32" t="str">
        <x:v>No</x:v>
      </x:c>
      <x:c r="E7" s="32" t="str">
        <x:v>Display name + timestamp real</x:v>
      </x:c>
      <x:c r="F7" s="32" t="str">
        <x:v>Sí o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Rol stale separado de rol detail.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Existe store pequeño separado del Collector.</x:v>
      </x:c>
      <x:c r="F5" s="32" t="str">
        <x:v>PENDIENTE</x:v>
      </x:c>
      <x:c r="G5" s="32" t="str">
        <x:v>DATA-002</x:v>
      </x:c>
      <x:c r="H5" s="32" t="str">
        <x:v>Inspeccionar backend estable.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Composición/policy Web.</x:v>
      </x:c>
      <x:c r="F10" s="32" t="str">
        <x:v>EN DISEÑO</x:v>
      </x:c>
      <x:c r="G10" s="32" t="str">
        <x:v>CS-003/004</x:v>
      </x:c>
      <x:c r="H10" s="32" t="str">
        <x:v>TS-001 design freeze.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Definir neutral/unknown antes de critical.</x:v>
      </x:c>
      <x:c r="F12" s="32" t="str">
        <x:v>ABIERTO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Puede ser mixto; no asumir.</x:v>
      </x:c>
      <x:c r="F14" s="32" t="str">
        <x:v>PENDIENTE</x:v>
      </x:c>
      <x:c r="G14" s="32" t="str">
        <x:v>TS-008</x:v>
      </x:c>
      <x:c r="H14" s="32" t="str">
        <x:v>Store real + Tool config.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38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5</x:v>
      </x:c>
      <x:c r="F5" t="n">
        <x:f>COUNTIFS('03_Roadmap'!B5:B200,D5,'03_Roadmap'!J5:J200,"CERRADO")</x:f>
        <x:v>0</x:v>
      </x:c>
    </x:row>
    <x:row r="6">
      <x:c r="A6" t="str">
        <x:v>Cerrado</x:v>
      </x:c>
      <x:c r="B6" t="n">
        <x:f>COUNTIF('03_Roadmap'!J5:J200,"CERRADO")</x:f>
        <x:v>3</x:v>
      </x:c>
      <x:c r="D6" t="str">
        <x:v>Time Status</x:v>
      </x:c>
      <x:c r="E6" t="n">
        <x:f>COUNTIFS('03_Roadmap'!B5:B200,D6,'03_Roadmap'!J5:J200,"PENDIENTE")+COUNTIFS('03_Roadmap'!B5:B200,D6,'03_Roadmap'!J5:J200,"EN DISEÑO")</x:f>
        <x:v>12</x:v>
      </x:c>
      <x:c r="F6" t="n">
        <x:f>COUNTIFS('03_Roadmap'!B5:B200,D6,'03_Roadmap'!J5:J200,"CERRADO")</x:f>
        <x:v>1</x:v>
      </x:c>
    </x:row>
    <x:row r="7">
      <x:c r="A7" t="str">
        <x:v>Pendiente</x:v>
      </x:c>
      <x:c r="B7" t="n">
        <x:f>COUNTIF('03_Roadmap'!J5:J200,"PENDIENTE")</x:f>
        <x:v>26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3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f>COUNTIF('03_Roadmap'!J5:J200,"EN DISEÑO")</x:f>
        <x:v>2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8</x:v>
      </x:c>
      <x:c r="F8" t="n">
        <x:f>COUNTIFS('03_Roadmap'!B5:B200,D8,'03_Roadmap'!J5:J200,"CERRADO")</x:f>
        <x:v>1</x:v>
      </x:c>
    </x:row>
    <x:row r="9">
      <x:c r="A9" t="str">
        <x:v>Diferido</x:v>
      </x:c>
      <x:c r="B9" t="n">
        <x:f>COUNTIF('03_Roadmap'!J5:J200,"DIFERIDO")</x:f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KIV-000 Interactive preview composition</x:v>
      </x:c>
    </x:row>
    <x:row r="13">
      <x:c r="A13" s="36" t="str">
        <x:v>Después</x:v>
      </x:c>
      <x:c r="B13" s="32" t="str">
        <x:v>KIV-001..005 Visual/interaction freeze</x:v>
      </x:c>
    </x:row>
    <x:row r="14">
      <x:c r="A14" s="36" t="str">
        <x:v>Luego</x:v>
      </x:c>
      <x:c r="B14" s="32" t="str">
        <x:v>TS-001 Time Status contract freeze</x:v>
      </x:c>
    </x:row>
    <x:row r="15">
      <x:c r="A15" s="36" t="str">
        <x:v>Backend</x:v>
      </x:c>
      <x:c r="B15" s="32" t="str">
        <x:v>DATA-001 diferido hasta estabilización</x:v>
      </x:c>
    </x:row>
    <x:row r="16">
      <x:c r="A16" s="36" t="str">
        <x:v>Body</x:v>
      </x:c>
      <x:c r="B16" s="32" t="str">
        <x:v>Diferido hasta cerrar Header/Time Status/Content State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7b1a4cf9ae2043ce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2" hidden="0" customWidth="1"/>
    <x:col min="5" max="5" width="36" hidden="0" customWidth="1"/>
    <x:col min="6" max="6" width="22" hidden="0" customWidth="1"/>
    <x:col min="7" max="7" width="64" hidden="0" customWidth="1"/>
    <x:col min="8" max="8" width="48" hidden="0" customWidth="1"/>
    <x:col min="9" max="9" width="48" hidden="0" customWidth="1"/>
  </x:cols>
  <x:sheetData>
    <x:row r="1">
      <x:c r="A1" s="40" t="str">
        <x:v>Evidencia del roadmap UI / Time Status</x:v>
      </x:c>
      <x:c r="B1" s="40"/>
      <x:c r="C1" s="40"/>
      <x:c r="D1" s="40"/>
      <x:c r="E1" s="40"/>
      <x:c r="F1" s="40"/>
      <x:c r="G1" s="40"/>
      <x:c r="H1" s="40"/>
      <x:c r="I1" s="40"/>
    </x:row>
    <x:row r="2">
      <x:c r="A2" s="43" t="str">
        <x:v>Registro de gates, prechecks y aprobaciones autoritativas. Los PRECHECK no sustituyen el gate Python 3.14.2 + UV del usuario.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6" t="str">
        <x:v>Evidence ID</x:v>
      </x:c>
      <x:c r="B4" s="46" t="str">
        <x:v>Fecha</x:v>
      </x:c>
      <x:c r="C4" s="46" t="str">
        <x:v>Track</x:v>
      </x:c>
      <x:c r="D4" s="46" t="str">
        <x:v>Entorno</x:v>
      </x:c>
      <x:c r="E4" s="46" t="str">
        <x:v>Acción</x:v>
      </x:c>
      <x:c r="F4" s="46" t="str">
        <x:v>Resultado</x:v>
      </x:c>
      <x:c r="G4" s="46" t="str">
        <x:v>Detalle</x:v>
      </x:c>
      <x:c r="H4" s="46" t="str">
        <x:v>Artifact</x:v>
      </x:c>
      <x:c r="I4" s="46" t="str">
        <x:v>Notas</x:v>
      </x:c>
    </x:row>
    <x:row r="5">
      <x:c r="A5" s="32" t="str">
        <x:v>KIV000-PRECHECK-20260827</x:v>
      </x:c>
      <x:c r="B5" s="32" t="str">
        <x:v>2026-08-27</x:v>
      </x:c>
      <x:c r="C5" s="32" t="str">
        <x:v>KIV-000</x:v>
      </x:c>
      <x:c r="D5" s="32" t="str">
        <x:v>latest-v4 / local container</x:v>
      </x:c>
      <x:c r="E5" s="32" t="str">
        <x:v>compileall + semantic mirrors + bash -n + installer success/forced rollback simulation + ZIP hygiene</x:v>
      </x:c>
      <x:c r="F5" s="32" t="str">
        <x:v>PRECHECK PASS</x:v>
      </x:c>
      <x:c r="G5" s="32" t="str">
        <x:v>Preview compone Generic Application 0.1.21, Global Indicator 0.1.4, KPI Inspection API 0.1.0 y Surface 0.1.0. Tres estados de Definition preparados sin Cosmos/Azure: populated, empty stub y missing. No se ejecutó Dash/Flask completo porque Python 3.14.2/dependencias no están materializados en este contenedor.</x:v>
      </x:c>
      <x:c r="H5" s="32" t="str">
        <x:v>atlanticus-ada-kpi-inspection-kiv000-interactive-preview-0.1.0.zip</x:v>
      </x:c>
      <x:c r="I5" s="32" t="str">
        <x:v>Gate autoritativo y validación visual quedan pendientes.</x:v>
      </x:c>
    </x:row>
    <x:row r="6">
      <x:c r="A6" s="32" t="str">
        <x:v>KIV000-AUTH-FAIL-NAMESPACE-SHADOW-20260827</x:v>
      </x:c>
      <x:c r="B6" s="32" t="str">
        <x:v>2026-08-27</x:v>
      </x:c>
      <x:c r="C6" s="32" t="str">
        <x:v>KIV-000</x:v>
      </x:c>
      <x:c r="D6" s="32" t="str">
        <x:v>Repo usuario / macOS / Python 3.14.2 + UV</x:v>
      </x:c>
      <x:c r="E6" s="32" t="str">
        <x:v>apply KIV-000 0.1.0</x:v>
      </x:c>
      <x:c r="F6" s="32" t="str">
        <x:v>FAIL / ROLLBACK PASS</x:v>
      </x:c>
      <x:c r="G6" s="32" t="str">
        <x:v>Core 14 PASS, API 7 PASS, Surface 15 PASS, Global Indicator 16 PASS, Application 7 PASS. Preview falló durante collection con ModuleNotFoundError: atlanticus.web.navigation. Causa: pythonpath manual añadió observability/src, que contiene paquetes regulares atlanticus y atlanticus.web y sombreó el navigation package ya instalado.</x:v>
      </x:c>
      <x:c r="H6" s="32" t="str">
        <x:v>atlanticus-ada-kpi-inspection-kiv000-interactive-preview-0.1.0.zip</x:v>
      </x:c>
      <x:c r="I6" s="32" t="str">
        <x:v>Fallo exclusivo de configuración de tests del preview; no finding productivo en Navigation/Application.</x:v>
      </x:c>
    </x:row>
    <x:row r="7">
      <x:c r="A7" s="32" t="str">
        <x:v>KIV000-CORRECTIVE-011-PRECHECK-20260827</x:v>
      </x:c>
      <x:c r="B7" s="32" t="str">
        <x:v>2026-08-27</x:v>
      </x:c>
      <x:c r="C7" s="32" t="str">
        <x:v>KIV-000</x:v>
      </x:c>
      <x:c r="D7" s="32" t="str">
        <x:v>latest-v4 + KI-010B current checkpoint / local container</x:v>
      </x:c>
      <x:c r="E7" s="32" t="str">
        <x:v>pythonpath correction + compileall + bash -n + registry preservation + installer success/forced rollback simulations</x:v>
      </x:c>
      <x:c r="F7" s="32" t="str">
        <x:v>PRECHECK PASS</x:v>
      </x:c>
      <x:c r="G7" s="32" t="str">
        <x:v>Corrective 0.1.1 mantiene package preview 0.1.0. pytest pythonpath sólo agrega src, ../api/src, ../core/src y ../surface/src; Generic Application y Atlanticus dependencies se resuelven desde el entorno bloqueado de application. Registry de kpi-inspection-empty-definition-flow se preserva explícitamente.</x:v>
      </x:c>
      <x:c r="H7" s="32" t="str">
        <x:v>atlanticus-ada-kpi-inspection-kiv000-interactive-preview-0.1.1.zip</x:v>
      </x:c>
      <x:c r="I7" s="32" t="str">
        <x:v>Gate Python 3.14.2 + UV y validación visual siguen pendientes.</x:v>
      </x:c>
    </x:row>
    <x:row r="8">
      <x:c r="A8" s="32" t="str">
        <x:v>KIV000B-PRECHECK-20260827</x:v>
      </x:c>
      <x:c r="B8" s="32" t="str">
        <x:v>2026-08-27</x:v>
      </x:c>
      <x:c r="C8" s="32" t="str">
        <x:v>KIV-000B</x:v>
      </x:c>
      <x:c r="D8" s="32" t="str">
        <x:v>latest-v4 + KI-010B; preview absent/present simulations</x:v>
      </x:c>
      <x:c r="E8" s="32" t="str">
        <x:v>compileall changed dirs + node --check + semantic mirrors + bash -n + installer success (preview absent/present) + forced rollback exact</x:v>
      </x:c>
      <x:c r="F8" s="32" t="str">
        <x:v>PRECHECK PASS</x:v>
      </x:c>
      <x:c r="G8" s="32" t="str">
        <x:v>GI root neutral y value-only triggers; Surface dark/square/selectable/non-modal; request lock client-side. Exact-pin consumers alineados: GI 0.1.5, Surface 0.1.1, Generic Application 0.1.22, Interval Resilience 0.1.1, Empty Definition Flow 0.1.1, Preview 0.1.1. Installer acepta preview ausente o ada-web-kpi-inspection-preview 0.1.0 y rollback restaura manifest exacto.</x:v>
      </x:c>
      <x:c r="H8" s="32" t="str">
        <x:v>atlanticus-ada-kpi-inspection-kiv000b-interaction-calibration-0.1.0.zip</x:v>
      </x:c>
      <x:c r="I8" s="32" t="str">
        <x:v>Python 3.14.2 + UV/Ruff/Dash full gate y validación visual quedan para el repo del usuario.</x:v>
      </x:c>
    </x:row>
  </x:sheetData>
  <x:mergeCells>
    <x:mergeCell ref="A1:I1"/>
    <x:mergeCell ref="A2:I2"/>
  </x:mergeCells>
  <x:pageMargins left="0.7" right="0.7" top="0.75" bottom="0.75" header="0.3" footer="0.3"/>
</x:worksheet>
</file>