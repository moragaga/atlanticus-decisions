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0f2839874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5a00636810874beb"/>
    <x:sheet xmlns:r="http://schemas.openxmlformats.org/officeDocument/2006/relationships" name="01_Legacy_Analysis" sheetId="2" r:id="Rd1f6c55a0d1240ac"/>
    <x:sheet xmlns:r="http://schemas.openxmlformats.org/officeDocument/2006/relationships" name="02_Target_Architecture" sheetId="3" r:id="Rc53dd3697d6341ec"/>
    <x:sheet xmlns:r="http://schemas.openxmlformats.org/officeDocument/2006/relationships" name="03_Roadmap" sheetId="4" r:id="R320ac5d5a25c49fe"/>
    <x:sheet xmlns:r="http://schemas.openxmlformats.org/officeDocument/2006/relationships" name="04_Test_Plan" sheetId="5" r:id="R670858296d0d4542"/>
    <x:sheet xmlns:r="http://schemas.openxmlformats.org/officeDocument/2006/relationships" name="05_Decisions" sheetId="6" r:id="Rd8337960ab664cde"/>
    <x:sheet xmlns:r="http://schemas.openxmlformats.org/officeDocument/2006/relationships" name="06_Risks_Open" sheetId="7" r:id="R2cfbe50f09874757"/>
    <x:sheet xmlns:r="http://schemas.openxmlformats.org/officeDocument/2006/relationships" name="07_Contract_Matrix" sheetId="8" r:id="R8bd6583539574509"/>
    <x:sheet xmlns:r="http://schemas.openxmlformats.org/officeDocument/2006/relationships" name="08_Data_Questions" sheetId="9" r:id="Rf156ac822fa54f00"/>
    <x:sheet xmlns:r="http://schemas.openxmlformats.org/officeDocument/2006/relationships" name="09_Dashboard" sheetId="10" r:id="Rea272c1d589343dc"/>
    <x:sheet xmlns:r="http://schemas.openxmlformats.org/officeDocument/2006/relationships" name="10_Evidence" sheetId="11" r:id="R3bb0b7d4b82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a75a9d11a4640" /><Relationship Type="http://schemas.openxmlformats.org/officeDocument/2006/relationships/theme" Target="/xl/theme/theme1.xml" Id="Rb59a42a3b3a740ef" /><Relationship Type="http://schemas.openxmlformats.org/officeDocument/2006/relationships/sharedStrings" Target="/xl/sharedStrings.xml" Id="R8a6c07246e6c40f9" /><Relationship Type="http://schemas.openxmlformats.org/officeDocument/2006/relationships/worksheet" Target="/xl/worksheets/sheet1.xml" Id="R5a00636810874beb" /><Relationship Type="http://schemas.openxmlformats.org/officeDocument/2006/relationships/worksheet" Target="/xl/worksheets/sheet2.xml" Id="Rd1f6c55a0d1240ac" /><Relationship Type="http://schemas.openxmlformats.org/officeDocument/2006/relationships/worksheet" Target="/xl/worksheets/sheet3.xml" Id="Rc53dd3697d6341ec" /><Relationship Type="http://schemas.openxmlformats.org/officeDocument/2006/relationships/worksheet" Target="/xl/worksheets/sheet4.xml" Id="R320ac5d5a25c49fe" /><Relationship Type="http://schemas.openxmlformats.org/officeDocument/2006/relationships/worksheet" Target="/xl/worksheets/sheet5.xml" Id="R670858296d0d4542" /><Relationship Type="http://schemas.openxmlformats.org/officeDocument/2006/relationships/worksheet" Target="/xl/worksheets/sheet6.xml" Id="Rd8337960ab664cde" /><Relationship Type="http://schemas.openxmlformats.org/officeDocument/2006/relationships/worksheet" Target="/xl/worksheets/sheet7.xml" Id="R2cfbe50f09874757" /><Relationship Type="http://schemas.openxmlformats.org/officeDocument/2006/relationships/worksheet" Target="/xl/worksheets/sheet8.xml" Id="R8bd6583539574509" /><Relationship Type="http://schemas.openxmlformats.org/officeDocument/2006/relationships/worksheet" Target="/xl/worksheets/sheet9.xml" Id="Rf156ac822fa54f00" /><Relationship Type="http://schemas.openxmlformats.org/officeDocument/2006/relationships/worksheet" Target="/xl/worksheets/sheet10.xml" Id="Rea272c1d589343dc" /><Relationship Type="http://schemas.openxmlformats.org/officeDocument/2006/relationships/worksheet" Target="/xl/worksheets/sheet11.xml" Id="R3bb0b7d4b82446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26e555fc1b4c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26e555fc1b4c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df8d677c503f4e7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>
      <x:c r="A5" t="str">
        <x:v>Versión planner</x:v>
      </x:c>
      <x:c r="B5" t="str">
        <x:v>1.0.15</x:v>
      </x:c>
      <x:c r="C5" t="str"/>
      <x:c r="D5" t="str">
        <x:v>Roadmap total</x:v>
      </x:c>
      <x:c r="E5" t="n">
        <x:f>COUNTA('03_Roadmap'!A5:A200)</x:f>
        <x:v>39</x:v>
      </x:c>
      <x:c r="F5" t="str"/>
      <x:c r="G5" t="str">
        <x:v>Legado completo</x:v>
      </x:c>
      <x:c r="H5" t="str">
        <x:v>244736f17b39d695547c9e6e9c62f592c2013631342addbf0e422b40930c1750</x:v>
      </x:c>
      <x:c r="I5" t="str"/>
      <x:c r="J5" t="str"/>
    </x:row>
    <x:row r="6">
      <x:c r="A6" t="str">
        <x:v>Fecha análisis</x:v>
      </x:c>
      <x:c r="B6" t="str">
        <x:v>2026-08-27</x:v>
      </x:c>
      <x:c r="C6" t="str"/>
      <x:c r="D6" t="str">
        <x:v>Cerrados</x:v>
      </x:c>
      <x:c r="E6" t="n">
        <x:f>COUNTIF('03_Roadmap'!J5:J200,"CERRADO")</x:f>
        <x:v>12</x:v>
      </x:c>
      <x:c r="F6" t="str"/>
      <x:c r="G6" t="str">
        <x:v>Current baseline</x:v>
      </x:c>
      <x:c r="H6" t="str">
        <x:v>aec231ec383aa79a6eee8c65dadb980807a48a6be39cb4dca090f7fc99b195c2</x:v>
      </x:c>
      <x:c r="I6" t="str"/>
      <x:c r="J6" t="str"/>
    </x:row>
    <x:row r="7">
      <x:c r="A7" t="str">
        <x:v>Baseline legado</x:v>
      </x:c>
      <x:c r="B7" t="str">
        <x:v>atlanticus-last-version-0.1.0-20260824-191735(1).zip</x:v>
      </x:c>
      <x:c r="C7" t="str"/>
      <x:c r="D7" t="str">
        <x:v>Pendientes</x:v>
      </x:c>
      <x:c r="E7" t="n">
        <x:f>COUNTIF('03_Roadmap'!J5:J200,"PENDIENTE")</x:f>
        <x:v>19</x:v>
      </x:c>
      <x:c r="F7" t="str"/>
      <x:c r="G7" t="str">
        <x:v>Current code</x:v>
      </x:c>
      <x:c r="H7" t="str">
        <x:v>atlanticus-latest-v4.zip</x:v>
      </x:c>
      <x:c r="I7" t="str"/>
      <x:c r="J7" t="str"/>
    </x:row>
    <x:row r="8">
      <x:c r="A8" t="str">
        <x:v>Baseline actual</x:v>
      </x:c>
      <x:c r="B8" t="str">
        <x:v>atlanticus-latest-v4.zip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>
      <x:c r="A9" t="str">
        <x:v>Checkpoint actual</x:v>
      </x:c>
      <x:c r="B9" t="str">
        <x:v>TS-002 EN VALIDACIÓN — Time Status Summary Contract/UI 0.1.0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>
      <x:c r="A10" t="str">
        <x:v>Siguiente trabajo</x:v>
      </x:c>
      <x:c r="B10" t="str">
        <x:v>TS-001 cerrado semánticamente. TS-002 crea ada-web-ui-time-status==0.1.0 sin integrar todavía Header/Application. Gate autoritativo Python 3.14.2 + UV pendiente.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EN VALIDACIÓN</x:v>
      </x:c>
      <x:c r="K15" s="32" t="str">
        <x:v>Web/UI</x:v>
      </x:c>
      <x:c r="L15" s="32" t="str">
        <x:v>ada-web-ui-time-status==0.1.0 preparado. Capability aislada: modelos + policy + estados resueltos + agregación AND + presentación baseline + asset layer. No integra Generic Application, no conecta Collector, no implementa clock JS ni resolver de buckets todavía. Installer success/rollback simulation PASS.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PENDIENTE</x:v>
      </x:c>
      <x:c r="K16" s="32" t="str">
        <x:v>Web/JS</x:v>
      </x:c>
      <x:c r="L16" s="32" t="str">
        <x:v>No usar polling backend para reloj.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PENDIENTE</x:v>
      </x:c>
      <x:c r="K17" s="32" t="str">
        <x:v>Web/Adapter</x:v>
      </x:c>
      <x:c r="L17" s="32" t="str">
        <x:v>Puede adelantarse con fake si backend sigue cambiando.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PENDIENTE</x:v>
      </x:c>
      <x:c r="K18" s="32" t="str">
        <x:v>Web/UI</x:v>
      </x:c>
      <x:c r="L18" s="32" t="str">
        <x:v>Overlay local debajo del Time Status.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PENDIENTE</x:v>
      </x:c>
      <x:c r="K19" s="32" t="str">
        <x:v>Web/JS</x:v>
      </x:c>
      <x:c r="L19" s="32" t="str">
        <x:v>No depender de callbacks Dash.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No/Tests</x:v>
      </x:c>
      <x:c r="H20" s="32" t="str">
        <x:v>dcc.Interval harness + browser smoke</x:v>
      </x:c>
      <x:c r="I20" s="32" t="str">
        <x:v>P0</x:v>
      </x:c>
      <x:c r="J20" s="32" t="str">
        <x:v>PENDIENTE</x:v>
      </x:c>
      <x:c r="K20" s="32" t="str">
        <x:v>Web/Validation</x:v>
      </x:c>
      <x:c r="L20" s="32" t="str">
        <x:v>is_open y data deben ser estados independientes.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y detail</x:v>
      </x:c>
      <x:c r="E47" s="32" t="str">
        <x:v>Click en distintas zonas del conjunto</x:v>
      </x:c>
      <x:c r="F47" s="32" t="str">
        <x:v>Cualquier click abre el mismo detail; no triggers por fuente</x:v>
      </x:c>
      <x:c r="G47" s="32" t="str">
        <x:v>Visual/Functional</x:v>
      </x:c>
      <x:c r="H47" s="32" t="str">
        <x:v>P0</x:v>
      </x:c>
      <x:c r="I47" s="32" t="str">
        <x:v>PENDIENTE</x:v>
      </x:c>
      <x:c r="J47" s="32" t="str">
        <x:v>TS-005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EN VALIDACIÓN</x:v>
      </x:c>
      <x:c r="J49" s="32" t="str">
        <x:v>TS-002 package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EN VALIDACIÓN</x:v>
      </x:c>
      <x:c r="J50" s="32" t="str">
        <x:v>TS-002 package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EN VALIDACIÓN</x:v>
      </x:c>
      <x:c r="J51" s="32" t="str">
        <x:v>TS-002 package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EN VALIDACIÓN</x:v>
      </x:c>
      <x:c r="J52" s="32" t="str">
        <x:v>TS-002 package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EN VALIDACIÓN</x:v>
      </x:c>
      <x:c r="J53" s="32" t="str">
        <x:v>TS-002 package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EN VALIDACIÓN</x:v>
      </x:c>
      <x:c r="J54" s="32" t="str">
        <x:v>TS-002 package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EN VALIDACIÓN</x:v>
      </x:c>
      <x:c r="J55" s="32" t="str">
        <x:v>TS-002 package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6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Existe store pequeño separado del Collector.</x:v>
      </x:c>
      <x:c r="F5" s="32" t="str">
        <x:v>PENDIENTE</x:v>
      </x:c>
      <x:c r="G5" s="32" t="str">
        <x:v>DATA-002</x:v>
      </x:c>
      <x:c r="H5" s="32" t="str">
        <x:v>Inspeccionar backend estable.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f>COUNTIF('03_Roadmap'!J5:J200,"CERRADO")</x:f>
        <x:v>12</x:v>
      </x:c>
      <x:c r="D6" t="str">
        <x:v>Time Status</x:v>
      </x:c>
      <x:c r="E6" t="n">
        <x:f>COUNTIFS('03_Roadmap'!B5:B200,D6,'03_Roadmap'!J5:J200,"PENDIENTE")+COUNTIFS('03_Roadmap'!B5:B200,D6,'03_Roadmap'!J5:J200,"EN DISEÑO")</x:f>
        <x:v>10</x:v>
      </x:c>
      <x:c r="F6" t="n">
        <x:f>COUNTIFS('03_Roadmap'!B5:B200,D6,'03_Roadmap'!J5:J200,"CERRADO")</x:f>
        <x:v>2</x:v>
      </x:c>
    </x:row>
    <x:row r="7">
      <x:c r="A7" t="str">
        <x:v>Pendiente</x:v>
      </x:c>
      <x:c r="B7" t="n">
        <x:f>COUNTIF('03_Roadmap'!J5:J200,"PENDIENTE")</x:f>
        <x:v>19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f>COUNTIF('03_Roadmap'!J5:J200,"EN DISEÑO")</x:f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f>COUNTIF('03_Roadmap'!J5:J200,"DIFERIDO")</x:f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KIV-000 Interactive preview composition</x:v>
      </x:c>
    </x:row>
    <x:row r="13">
      <x:c r="A13" s="36" t="str">
        <x:v>Después</x:v>
      </x:c>
      <x:c r="B13" s="32" t="str">
        <x:v>KIV-001..005 Visual/interaction freeze</x:v>
      </x:c>
    </x:row>
    <x:row r="14">
      <x:c r="A14" s="36" t="str">
        <x:v>Luego</x:v>
      </x:c>
      <x:c r="B14" s="32" t="str">
        <x:v>TS-001 Time Status contract freeze</x:v>
      </x:c>
    </x:row>
    <x:row r="15">
      <x:c r="A15" s="36" t="str">
        <x:v>Backend</x:v>
      </x:c>
      <x:c r="B15" s="32" t="str">
        <x:v>DATA-001 diferido hasta estabilización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df8d677c503f4e76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</x:sheetData>
  <x:mergeCells>
    <x:mergeCell ref="A1:I1"/>
    <x:mergeCell ref="A2:I2"/>
  </x:mergeCells>
  <x:pageMargins left="0.7" right="0.7" top="0.75" bottom="0.75" header="0.3" footer="0.3"/>
</x:worksheet>
</file>