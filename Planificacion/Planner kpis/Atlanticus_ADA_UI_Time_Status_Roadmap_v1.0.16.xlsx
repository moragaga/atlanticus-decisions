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865780537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4df59d0557334a2a"/>
    <x:sheet xmlns:r="http://schemas.openxmlformats.org/officeDocument/2006/relationships" name="01_Legacy_Analysis" sheetId="2" r:id="R4f70cdab6a7c4478"/>
    <x:sheet xmlns:r="http://schemas.openxmlformats.org/officeDocument/2006/relationships" name="02_Target_Architecture" sheetId="3" r:id="R346e90fb8aaa4bc4"/>
    <x:sheet xmlns:r="http://schemas.openxmlformats.org/officeDocument/2006/relationships" name="03_Roadmap" sheetId="4" r:id="R7f2b859582d341de"/>
    <x:sheet xmlns:r="http://schemas.openxmlformats.org/officeDocument/2006/relationships" name="04_Test_Plan" sheetId="5" r:id="R065d03c19bf54d7a"/>
    <x:sheet xmlns:r="http://schemas.openxmlformats.org/officeDocument/2006/relationships" name="05_Decisions" sheetId="6" r:id="Rb5947e8f5e4d41a4"/>
    <x:sheet xmlns:r="http://schemas.openxmlformats.org/officeDocument/2006/relationships" name="06_Risks_Open" sheetId="7" r:id="Rbc272941c3d44083"/>
    <x:sheet xmlns:r="http://schemas.openxmlformats.org/officeDocument/2006/relationships" name="07_Contract_Matrix" sheetId="8" r:id="Rddca25e8220d4e38"/>
    <x:sheet xmlns:r="http://schemas.openxmlformats.org/officeDocument/2006/relationships" name="08_Data_Questions" sheetId="9" r:id="R3080b5278efa4944"/>
    <x:sheet xmlns:r="http://schemas.openxmlformats.org/officeDocument/2006/relationships" name="09_Dashboard" sheetId="10" r:id="R1ee4b207b0d84eba"/>
    <x:sheet xmlns:r="http://schemas.openxmlformats.org/officeDocument/2006/relationships" name="10_Evidence" sheetId="11" r:id="R3632c84db0ad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e3f4e7083421f" /><Relationship Type="http://schemas.openxmlformats.org/officeDocument/2006/relationships/theme" Target="/xl/theme/theme1.xml" Id="Rd63f970b07e44aaf" /><Relationship Type="http://schemas.openxmlformats.org/officeDocument/2006/relationships/sharedStrings" Target="/xl/sharedStrings.xml" Id="R9b4e2c3530594294" /><Relationship Type="http://schemas.openxmlformats.org/officeDocument/2006/relationships/worksheet" Target="/xl/worksheets/sheet1.xml" Id="R4df59d0557334a2a" /><Relationship Type="http://schemas.openxmlformats.org/officeDocument/2006/relationships/worksheet" Target="/xl/worksheets/sheet2.xml" Id="R4f70cdab6a7c4478" /><Relationship Type="http://schemas.openxmlformats.org/officeDocument/2006/relationships/worksheet" Target="/xl/worksheets/sheet3.xml" Id="R346e90fb8aaa4bc4" /><Relationship Type="http://schemas.openxmlformats.org/officeDocument/2006/relationships/worksheet" Target="/xl/worksheets/sheet4.xml" Id="R7f2b859582d341de" /><Relationship Type="http://schemas.openxmlformats.org/officeDocument/2006/relationships/worksheet" Target="/xl/worksheets/sheet5.xml" Id="R065d03c19bf54d7a" /><Relationship Type="http://schemas.openxmlformats.org/officeDocument/2006/relationships/worksheet" Target="/xl/worksheets/sheet6.xml" Id="Rb5947e8f5e4d41a4" /><Relationship Type="http://schemas.openxmlformats.org/officeDocument/2006/relationships/worksheet" Target="/xl/worksheets/sheet7.xml" Id="Rbc272941c3d44083" /><Relationship Type="http://schemas.openxmlformats.org/officeDocument/2006/relationships/worksheet" Target="/xl/worksheets/sheet8.xml" Id="Rddca25e8220d4e38" /><Relationship Type="http://schemas.openxmlformats.org/officeDocument/2006/relationships/worksheet" Target="/xl/worksheets/sheet9.xml" Id="R3080b5278efa4944" /><Relationship Type="http://schemas.openxmlformats.org/officeDocument/2006/relationships/worksheet" Target="/xl/worksheets/sheet10.xml" Id="R1ee4b207b0d84eba" /><Relationship Type="http://schemas.openxmlformats.org/officeDocument/2006/relationships/worksheet" Target="/xl/worksheets/sheet11.xml" Id="R3632c84db0ad4c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3937d0395640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3937d0395640a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949d9ce18df6488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1.0.16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12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19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TS-002 EN VALIDACIÓN — corrective 0.1.1 src-path preparado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TS-002 0.1.0 hizo rollback: UI Core quedó 8/8 PASS y Time Status falló sólo durante collection porque el gate corre pytest desde Generic Application y la capability aislada aún no está instalada allí. Corrective 0.1.1 agrega pytest pythonpath=['src']; producto permanece ada-web-ui-time-status==0.1.0.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EN VALIDACIÓN</x:v>
      </x:c>
      <x:c r="K15" s="32" t="str">
        <x:v>Web/UI</x:v>
      </x:c>
      <x:c r="L15" s="32" t="str">
        <x:v>TS-002 0.1.0: uv lock PASS, UI Core 8 PASS. Time Status no llegó a ejecutar tests: 3 collection errors ModuleNotFoundError ada.web.ui.time_status. Causa: capability nueva no integrada en Generic Application y pyproject sin pythonpath local. Rollback PASS. Corrective installer 0.1.1 cambia sólo pytest config a pythonpath=['src']; producto sigue 0.1.0. Package discovery, compileall, bash -n, ZIP hygiene, success simulation y forced rollback PASS.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y detail</x:v>
      </x:c>
      <x:c r="E47" s="32" t="str">
        <x:v>Click en distintas zonas del conjunto</x:v>
      </x:c>
      <x:c r="F47" s="32" t="str">
        <x:v>Cualquier click abre el mismo detail; no triggers por fuente</x:v>
      </x:c>
      <x:c r="G47" s="32" t="str">
        <x:v>Visual/Functional</x:v>
      </x:c>
      <x:c r="H47" s="32" t="str">
        <x:v>P0</x:v>
      </x:c>
      <x:c r="I47" s="32" t="str">
        <x:v>PENDIENTE</x:v>
      </x:c>
      <x:c r="J47" s="32" t="str">
        <x:v>TS-005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EN VALIDACIÓN</x:v>
      </x:c>
      <x:c r="J49" s="32" t="str">
        <x:v>TS-002 package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EN VALIDACIÓN</x:v>
      </x:c>
      <x:c r="J50" s="32" t="str">
        <x:v>TS-002 package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EN VALIDACIÓN</x:v>
      </x:c>
      <x:c r="J51" s="32" t="str">
        <x:v>TS-002 package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EN VALIDACIÓN</x:v>
      </x:c>
      <x:c r="J52" s="32" t="str">
        <x:v>TS-002 package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EN VALIDACIÓN</x:v>
      </x:c>
      <x:c r="J53" s="32" t="str">
        <x:v>TS-002 package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EN VALIDACIÓN</x:v>
      </x:c>
      <x:c r="J54" s="32" t="str">
        <x:v>TS-002 package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EN VALIDACIÓN</x:v>
      </x:c>
      <x:c r="J55" s="32" t="str">
        <x:v>TS-002 package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6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f>COUNTIF('03_Roadmap'!J5:J200,"CERRADO")</x:f>
        <x:v>12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10</x:v>
      </x:c>
      <x:c r="F6" t="n">
        <x:f>COUNTIFS('03_Roadmap'!B5:B200,D6,'03_Roadmap'!J5:J200,"CERRADO")</x:f>
        <x:v>2</x:v>
      </x:c>
    </x:row>
    <x:row r="7">
      <x:c r="A7" t="str">
        <x:v>Pendiente</x:v>
      </x:c>
      <x:c r="B7" t="n">
        <x:f>COUNTIF('03_Roadmap'!J5:J200,"PENDIENTE")</x:f>
        <x:v>19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949d9ce18df64881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</x:sheetData>
  <x:mergeCells>
    <x:mergeCell ref="A1:I1"/>
    <x:mergeCell ref="A2:I2"/>
  </x:mergeCells>
  <x:pageMargins left="0.7" right="0.7" top="0.75" bottom="0.75" header="0.3" footer="0.3"/>
</x:worksheet>
</file>