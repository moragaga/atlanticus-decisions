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6506d4d98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dee3d5c046c4111"/>
    <x:sheet xmlns:r="http://schemas.openxmlformats.org/officeDocument/2006/relationships" name="01_Legacy_Analysis" sheetId="2" r:id="R00dbdb4cc3cf431b"/>
    <x:sheet xmlns:r="http://schemas.openxmlformats.org/officeDocument/2006/relationships" name="02_Target_Architecture" sheetId="3" r:id="R11d8c74e0f464bab"/>
    <x:sheet xmlns:r="http://schemas.openxmlformats.org/officeDocument/2006/relationships" name="03_Roadmap" sheetId="4" r:id="R4d3829b7a03e48b6"/>
    <x:sheet xmlns:r="http://schemas.openxmlformats.org/officeDocument/2006/relationships" name="04_Test_Plan" sheetId="5" r:id="R5dcbea7a149944c4"/>
    <x:sheet xmlns:r="http://schemas.openxmlformats.org/officeDocument/2006/relationships" name="05_Decisions" sheetId="6" r:id="R3be4bb59e79d4b71"/>
    <x:sheet xmlns:r="http://schemas.openxmlformats.org/officeDocument/2006/relationships" name="06_Risks_Open" sheetId="7" r:id="Re3875da6b9a041c8"/>
    <x:sheet xmlns:r="http://schemas.openxmlformats.org/officeDocument/2006/relationships" name="07_Contract_Matrix" sheetId="8" r:id="R7efe3d136eb746e7"/>
    <x:sheet xmlns:r="http://schemas.openxmlformats.org/officeDocument/2006/relationships" name="08_Data_Questions" sheetId="9" r:id="Rf9a8c7485e1a4c72"/>
    <x:sheet xmlns:r="http://schemas.openxmlformats.org/officeDocument/2006/relationships" name="09_Dashboard" sheetId="10" r:id="R84ba2e4955784a56"/>
    <x:sheet xmlns:r="http://schemas.openxmlformats.org/officeDocument/2006/relationships" name="10_Evidence" sheetId="11" r:id="R3873d6aea34d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ef65f51b04e13" /><Relationship Type="http://schemas.openxmlformats.org/officeDocument/2006/relationships/theme" Target="/xl/theme/theme1.xml" Id="Rb65a3df0bb344b2f" /><Relationship Type="http://schemas.openxmlformats.org/officeDocument/2006/relationships/sharedStrings" Target="/xl/sharedStrings.xml" Id="R58b0cad2e7c54d43" /><Relationship Type="http://schemas.openxmlformats.org/officeDocument/2006/relationships/worksheet" Target="/xl/worksheets/sheet1.xml" Id="R2dee3d5c046c4111" /><Relationship Type="http://schemas.openxmlformats.org/officeDocument/2006/relationships/worksheet" Target="/xl/worksheets/sheet2.xml" Id="R00dbdb4cc3cf431b" /><Relationship Type="http://schemas.openxmlformats.org/officeDocument/2006/relationships/worksheet" Target="/xl/worksheets/sheet3.xml" Id="R11d8c74e0f464bab" /><Relationship Type="http://schemas.openxmlformats.org/officeDocument/2006/relationships/worksheet" Target="/xl/worksheets/sheet4.xml" Id="R4d3829b7a03e48b6" /><Relationship Type="http://schemas.openxmlformats.org/officeDocument/2006/relationships/worksheet" Target="/xl/worksheets/sheet5.xml" Id="R5dcbea7a149944c4" /><Relationship Type="http://schemas.openxmlformats.org/officeDocument/2006/relationships/worksheet" Target="/xl/worksheets/sheet6.xml" Id="R3be4bb59e79d4b71" /><Relationship Type="http://schemas.openxmlformats.org/officeDocument/2006/relationships/worksheet" Target="/xl/worksheets/sheet7.xml" Id="Re3875da6b9a041c8" /><Relationship Type="http://schemas.openxmlformats.org/officeDocument/2006/relationships/worksheet" Target="/xl/worksheets/sheet8.xml" Id="R7efe3d136eb746e7" /><Relationship Type="http://schemas.openxmlformats.org/officeDocument/2006/relationships/worksheet" Target="/xl/worksheets/sheet9.xml" Id="Rf9a8c7485e1a4c72" /><Relationship Type="http://schemas.openxmlformats.org/officeDocument/2006/relationships/worksheet" Target="/xl/worksheets/sheet10.xml" Id="R84ba2e4955784a56" /><Relationship Type="http://schemas.openxmlformats.org/officeDocument/2006/relationships/worksheet" Target="/xl/worksheets/sheet11.xml" Id="R3873d6aea34d45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ec50a933574c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ec50a933574ca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4814008830ea44c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1.0.14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11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20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3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TS-001 EN DISEÑO — Two-stage Freshness + Data Error Semantics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TS-001 incorpora dos umbrales por fuente: preventivo y hard stale. Preventivo avisa sólo en Time Status; hard globaliza 'Información desactualizada' cuando todas las fuentes summary requeridas cruzan su hard threshold. Timestamp inválido/ausente usa un estado de calidad de datos separado, no STALE.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EN DISEÑO</x:v>
      </x:c>
      <x:c r="K14" s="32" t="str">
        <x:v>Architecture</x:v>
      </x:c>
      <x:c r="L14" s="32" t="str">
        <x:v>Contrato TS-001 refinado: PI siempre requerido en ADA; Dispatch opcional. Cada fuente tiene warning_after_seconds y stale_after_seconds. Ejemplo de diseño actual: PI 200/300 s y Dispatch 400/600 s. En preventivo sólo la fuente visible alerta/parpadea; la Tool entra a CONTENT_STALE cuando todas sus summary sources requeridas han cruzado stale_after. Timestamp inválido/ausente deriva a DATA_ERROR/INVALID_DATA para componentes, no a STALE. Colores/copys exactos se iteran en preview.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PENDIENTE</x:v>
      </x:c>
      <x:c r="K15" s="32" t="str">
        <x:v>Web/UI</x:v>
      </x:c>
      <x:c r="L15" s="32" t="str">
        <x:v>Sólo PI/Dispatch + reloj.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PENDIENTE</x:v>
      </x:c>
      <x:c r="K16" s="32" t="str">
        <x:v>Web/JS</x:v>
      </x:c>
      <x:c r="L16" s="32" t="str">
        <x:v>No usar polling backend para reloj.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PENDIENTE</x:v>
      </x:c>
      <x:c r="K17" s="32" t="str">
        <x:v>Web/Adapter</x:v>
      </x:c>
      <x:c r="L17" s="32" t="str">
        <x:v>Puede adelantarse con fake si backend sigue cambiando.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PENDIENTE</x:v>
      </x:c>
      <x:c r="J38" s="32" t="str">
        <x:v>TS-001/TS-009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PENDIENTE</x:v>
      </x:c>
      <x:c r="J39" s="32" t="str">
        <x:v>TS-001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PENDIENTE</x:v>
      </x:c>
      <x:c r="J40" s="32" t="str">
        <x:v>TS-001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PENDIENTE</x:v>
      </x:c>
      <x:c r="J43" s="32" t="str">
        <x:v>TS-001/DATA-005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PENDIENTE</x:v>
      </x:c>
      <x:c r="J44" s="32" t="str">
        <x:v>TS-001/DATA-005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PENDIENTE</x:v>
      </x:c>
      <x:c r="J45" s="32" t="str">
        <x:v>TS-001/TS-009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y detail</x:v>
      </x:c>
      <x:c r="E47" s="32" t="str">
        <x:v>Click en distintas zonas del conjunto</x:v>
      </x:c>
      <x:c r="F47" s="32" t="str">
        <x:v>Cualquier click abre el mismo detail; no triggers por fuente</x:v>
      </x:c>
      <x:c r="G47" s="32" t="str">
        <x:v>Visual/Functional</x:v>
      </x:c>
      <x:c r="H47" s="32" t="str">
        <x:v>P0</x:v>
      </x:c>
      <x:c r="I47" s="32" t="str">
        <x:v>PENDIENTE</x:v>
      </x:c>
      <x:c r="J47" s="32" t="str">
        <x:v>TS-005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PROPUESTA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Congelar el scope exacto al revisar el dependency mapping real de Tool.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6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Iterar color/pulse/icon en preview TS-002/TS-009.</x:v>
      </x:c>
      <x:c r="F16" s="32" t="str">
        <x:v>ABIERTO</x:v>
      </x:c>
      <x:c r="G16" s="32" t="str">
        <x:v>TS-009/TS-012</x:v>
      </x:c>
      <x:c r="H16" s="32" t="str">
        <x:v>No afecta contrato backend.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Definir tolerancia de future skew o INVALID temporal explícito.</x:v>
      </x:c>
      <x:c r="F17" s="32" t="str">
        <x:v>ABIERTO</x:v>
      </x:c>
      <x:c r="G17" s="32" t="str">
        <x:v>DATA-005/TS-009</x:v>
      </x:c>
      <x:c r="H17" s="32" t="str">
        <x:v>No inventar en TS-001.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f>COUNTIF('03_Roadmap'!J5:J200,"CERRADO")</x:f>
        <x:v>11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12</x:v>
      </x:c>
      <x:c r="F6" t="n">
        <x:f>COUNTIFS('03_Roadmap'!B5:B200,D6,'03_Roadmap'!J5:J200,"CERRADO")</x:f>
        <x:v>1</x:v>
      </x:c>
    </x:row>
    <x:row r="7">
      <x:c r="A7" t="str">
        <x:v>Pendiente</x:v>
      </x:c>
      <x:c r="B7" t="n">
        <x:f>COUNTIF('03_Roadmap'!J5:J200,"PENDIENTE")</x:f>
        <x:v>20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3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4814008830ea44c7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</x:sheetData>
  <x:mergeCells>
    <x:mergeCell ref="A1:I1"/>
    <x:mergeCell ref="A2:I2"/>
  </x:mergeCells>
  <x:pageMargins left="0.7" right="0.7" top="0.75" bottom="0.75" header="0.3" footer="0.3"/>
</x:worksheet>
</file>