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8f4727c83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d10c65f93eee42fa"/>
    <x:sheet xmlns:r="http://schemas.openxmlformats.org/officeDocument/2006/relationships" name="01_Legacy_Analysis" sheetId="2" r:id="Rf450d89fae364619"/>
    <x:sheet xmlns:r="http://schemas.openxmlformats.org/officeDocument/2006/relationships" name="02_Target_Architecture" sheetId="3" r:id="Rce05b875683e4528"/>
    <x:sheet xmlns:r="http://schemas.openxmlformats.org/officeDocument/2006/relationships" name="03_Roadmap" sheetId="4" r:id="Re9080b08f3ae40d4"/>
    <x:sheet xmlns:r="http://schemas.openxmlformats.org/officeDocument/2006/relationships" name="04_Test_Plan" sheetId="5" r:id="R30697875db794308"/>
    <x:sheet xmlns:r="http://schemas.openxmlformats.org/officeDocument/2006/relationships" name="05_Decisions" sheetId="6" r:id="R549b7bfe8a0a4ee0"/>
    <x:sheet xmlns:r="http://schemas.openxmlformats.org/officeDocument/2006/relationships" name="06_Risks_Open" sheetId="7" r:id="R50bdc6acf44b4e41"/>
    <x:sheet xmlns:r="http://schemas.openxmlformats.org/officeDocument/2006/relationships" name="07_Contract_Matrix" sheetId="8" r:id="R9f0765920cc845fc"/>
    <x:sheet xmlns:r="http://schemas.openxmlformats.org/officeDocument/2006/relationships" name="08_Data_Questions" sheetId="9" r:id="Rd6e6bc81d3604971"/>
    <x:sheet xmlns:r="http://schemas.openxmlformats.org/officeDocument/2006/relationships" name="09_Dashboard" sheetId="10" r:id="Rce33d5f380664b27"/>
    <x:sheet xmlns:r="http://schemas.openxmlformats.org/officeDocument/2006/relationships" name="10_Evidence" sheetId="11" r:id="R6bb19039e1f043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34e39aea314d12" /><Relationship Type="http://schemas.openxmlformats.org/officeDocument/2006/relationships/theme" Target="/xl/theme/theme1.xml" Id="Re3d8474eae924e12" /><Relationship Type="http://schemas.openxmlformats.org/officeDocument/2006/relationships/sharedStrings" Target="/xl/sharedStrings.xml" Id="R5368e4210d6c444c" /><Relationship Type="http://schemas.openxmlformats.org/officeDocument/2006/relationships/worksheet" Target="/xl/worksheets/sheet1.xml" Id="Rd10c65f93eee42fa" /><Relationship Type="http://schemas.openxmlformats.org/officeDocument/2006/relationships/worksheet" Target="/xl/worksheets/sheet2.xml" Id="Rf450d89fae364619" /><Relationship Type="http://schemas.openxmlformats.org/officeDocument/2006/relationships/worksheet" Target="/xl/worksheets/sheet3.xml" Id="Rce05b875683e4528" /><Relationship Type="http://schemas.openxmlformats.org/officeDocument/2006/relationships/worksheet" Target="/xl/worksheets/sheet4.xml" Id="Re9080b08f3ae40d4" /><Relationship Type="http://schemas.openxmlformats.org/officeDocument/2006/relationships/worksheet" Target="/xl/worksheets/sheet5.xml" Id="R30697875db794308" /><Relationship Type="http://schemas.openxmlformats.org/officeDocument/2006/relationships/worksheet" Target="/xl/worksheets/sheet6.xml" Id="R549b7bfe8a0a4ee0" /><Relationship Type="http://schemas.openxmlformats.org/officeDocument/2006/relationships/worksheet" Target="/xl/worksheets/sheet7.xml" Id="R50bdc6acf44b4e41" /><Relationship Type="http://schemas.openxmlformats.org/officeDocument/2006/relationships/worksheet" Target="/xl/worksheets/sheet8.xml" Id="R9f0765920cc845fc" /><Relationship Type="http://schemas.openxmlformats.org/officeDocument/2006/relationships/worksheet" Target="/xl/worksheets/sheet9.xml" Id="Rd6e6bc81d3604971" /><Relationship Type="http://schemas.openxmlformats.org/officeDocument/2006/relationships/worksheet" Target="/xl/worksheets/sheet10.xml" Id="Rce33d5f380664b27" /><Relationship Type="http://schemas.openxmlformats.org/officeDocument/2006/relationships/worksheet" Target="/xl/worksheets/sheet11.xml" Id="R6bb19039e1f043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c3cf0cfc2a4a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c3cf0cfc2a4a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e9dabc48fa8642e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>
      <x:c r="A5" t="str">
        <x:v>Versión planner</x:v>
      </x:c>
      <x:c r="B5" t="str">
        <x:v>1.0.11</x:v>
      </x:c>
      <x:c r="C5" t="str"/>
      <x:c r="D5" t="str">
        <x:v>Roadmap total</x:v>
      </x:c>
      <x:c r="E5" t="n">
        <x:f>COUNTA('03_Roadmap'!A5:A200)</x:f>
        <x:v>39</x:v>
      </x:c>
      <x:c r="F5" t="str"/>
      <x:c r="G5" t="str">
        <x:v>Legado completo</x:v>
      </x:c>
      <x:c r="H5" t="str">
        <x:v>244736f17b39d695547c9e6e9c62f592c2013631342addbf0e422b40930c1750</x:v>
      </x:c>
      <x:c r="I5" t="str"/>
      <x:c r="J5" t="str"/>
    </x:row>
    <x:row r="6">
      <x:c r="A6" t="str">
        <x:v>Fecha análisis</x:v>
      </x:c>
      <x:c r="B6" t="str">
        <x:v>2026-08-27</x:v>
      </x:c>
      <x:c r="C6" t="str"/>
      <x:c r="D6" t="str">
        <x:v>Cerrados</x:v>
      </x:c>
      <x:c r="E6" t="n">
        <x:f>COUNTIF('03_Roadmap'!J5:J200,"CERRADO")</x:f>
        <x:v>9</x:v>
      </x:c>
      <x:c r="F6" t="str"/>
      <x:c r="G6" t="str">
        <x:v>Current baseline</x:v>
      </x:c>
      <x:c r="H6" t="str">
        <x:v>aec231ec383aa79a6eee8c65dadb980807a48a6be39cb4dca090f7fc99b195c2</x:v>
      </x:c>
      <x:c r="I6" t="str"/>
      <x:c r="J6" t="str"/>
    </x:row>
    <x:row r="7">
      <x:c r="A7" t="str">
        <x:v>Baseline legado</x:v>
      </x:c>
      <x:c r="B7" t="str">
        <x:v>atlanticus-last-version-0.1.0-20260824-191735(1).zip</x:v>
      </x:c>
      <x:c r="C7" t="str"/>
      <x:c r="D7" t="str">
        <x:v>Pendientes</x:v>
      </x:c>
      <x:c r="E7" t="n">
        <x:f>COUNTIF('03_Roadmap'!J5:J200,"PENDIENTE")</x:f>
        <x:v>22</x:v>
      </x:c>
      <x:c r="F7" t="str"/>
      <x:c r="G7" t="str">
        <x:v>Current code</x:v>
      </x:c>
      <x:c r="H7" t="str">
        <x:v>atlanticus-latest-v4.zip</x:v>
      </x:c>
      <x:c r="I7" t="str"/>
      <x:c r="J7" t="str"/>
    </x:row>
    <x:row r="8">
      <x:c r="A8" t="str">
        <x:v>Baseline actual</x:v>
      </x:c>
      <x:c r="B8" t="str">
        <x:v>atlanticus-latest-v4.zip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>
      <x:c r="A9" t="str">
        <x:v>Checkpoint actual</x:v>
      </x:c>
      <x:c r="B9" t="str">
        <x:v>KIV-004 EN VALIDACIÓN — corrective 0.1.2 preparado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>
      <x:c r="A10" t="str">
        <x:v>Siguiente trabajo</x:v>
      </x:c>
      <x:c r="B10" t="str">
        <x:v>KIV-004 corrective 0.1.1 no aplicó cambios porque el guard esperaba Preview 0.1.3 y el repo puede estar válidamente en 0.1.4. Corrective 0.1.2 acepta explícitamente Preview 0.1.3 o 0.1.4, manteniendo estrictos todos los demás pre-states.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EN VALIDACIÓN</x:v>
      </x:c>
      <x:c r="K11" s="32" t="str">
        <x:v>Web/UI</x:v>
      </x:c>
      <x:c r="L11" s="32" t="str">
        <x:v>KIV-004 corrective 0.1.1 se detuvo antes de aplicar cambios por guard demasiado estricto: esperaba Preview 0.1.3. El estado Preview 0.1.4 también es válido si el primer KIV-004 alcanzó a instalarse. Corrective 0.1.2 acepta únicamente 0.1.3 o 0.1.4 para Preview; Core/API/Surface/GI/Application/harnesses siguen con pre-state exacto. Simulación success PASS desde ambos pre-states y rollback forzado exacto PASS.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PENDIENTE</x:v>
      </x:c>
      <x:c r="K12" s="32" t="str">
        <x:v>Web/UI</x:v>
      </x:c>
      <x:c r="L12" s="32" t="str">
        <x:v>No continuar adopters antes del freeze.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Completado en este planner.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PENDIENTE</x:v>
      </x:c>
      <x:c r="K14" s="32" t="str">
        <x:v>Architecture</x:v>
      </x:c>
      <x:c r="L14" s="32" t="str">
        <x:v>PI obligatorio sólo en composición ADA.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PENDIENTE</x:v>
      </x:c>
      <x:c r="K15" s="32" t="str">
        <x:v>Web/UI</x:v>
      </x:c>
      <x:c r="L15" s="32" t="str">
        <x:v>Sólo PI/Dispatch + reloj.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PENDIENTE</x:v>
      </x:c>
      <x:c r="K16" s="32" t="str">
        <x:v>Web/JS</x:v>
      </x:c>
      <x:c r="L16" s="32" t="str">
        <x:v>No usar polling backend para reloj.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PENDIENTE</x:v>
      </x:c>
      <x:c r="K17" s="32" t="str">
        <x:v>Web/Adapter</x:v>
      </x:c>
      <x:c r="L17" s="32" t="str">
        <x:v>Puede adelantarse con fake si backend sigue cambiando.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PENDIENTE</x:v>
      </x:c>
      <x:c r="K18" s="32" t="str">
        <x:v>Web/UI</x:v>
      </x:c>
      <x:c r="L18" s="32" t="str">
        <x:v>Overlay local debajo del Time Status.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PENDIENTE</x:v>
      </x:c>
      <x:c r="K19" s="32" t="str">
        <x:v>Web/JS</x:v>
      </x:c>
      <x:c r="L19" s="32" t="str">
        <x:v>No depender de callbacks Dash.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No/Tests</x:v>
      </x:c>
      <x:c r="H20" s="32" t="str">
        <x:v>dcc.Interval harness + browser smoke</x:v>
      </x:c>
      <x:c r="I20" s="32" t="str">
        <x:v>P0</x:v>
      </x:c>
      <x:c r="J20" s="32" t="str">
        <x:v>PENDIENTE</x:v>
      </x:c>
      <x:c r="K20" s="32" t="str">
        <x:v>Web/Validation</x:v>
      </x:c>
      <x:c r="L20" s="32" t="str">
        <x:v>is_open y data deben ser estados independientes.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Mostrar sólo entradas consumidas por la Tool, con nombre + timestamp real.</x:v>
      </x:c>
      <x:c r="F21" s="32" t="str">
        <x:v>TS-004; TS-005; DATA-003</x:v>
      </x:c>
      <x:c r="G21" s="32" t="str">
        <x:v>Sí</x:v>
      </x:c>
      <x:c r="H21" s="32" t="str">
        <x:v>Tool A/B composition tests</x:v>
      </x:c>
      <x:c r="I21" s="32" t="str">
        <x:v>P0</x:v>
      </x:c>
      <x:c r="J21" s="32" t="str">
        <x:v>PENDIENTE</x:v>
      </x:c>
      <x:c r="K21" s="32" t="str">
        <x:v>Web/Composition</x:v>
      </x:c>
      <x:c r="L21" s="32" t="str">
        <x:v>No catálogo global.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</x:v>
      </x:c>
      <x:c r="H22" s="32" t="str">
        <x:v>Boundary/threshold tests</x:v>
      </x:c>
      <x:c r="I22" s="32" t="str">
        <x:v>P0</x:v>
      </x:c>
      <x:c r="J22" s="32" t="str">
        <x:v>PENDIENTE</x:v>
      </x:c>
      <x:c r="K22" s="32" t="str">
        <x:v>Web/Composition</x:v>
      </x:c>
      <x:c r="L22" s="32" t="str">
        <x:v>Critical visual reutiliza patrón antiguo.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PENDIENTE</x:v>
      </x:c>
      <x:c r="K23" s="32" t="str">
        <x:v>Web/UI</x:v>
      </x:c>
      <x:c r="L23" s="32" t="str">
        <x:v>Evitar offscreen y reflow.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EN VALIDACIÓN</x:v>
      </x:c>
      <x:c r="J35" s="32" t="str">
        <x:v>KIV-004 corrective 0.1.1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EN VALIDACIÓN</x:v>
      </x:c>
      <x:c r="J36" s="32" t="str">
        <x:v>KIV-004 corrective 0.1.1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EN VALIDACIÓN</x:v>
      </x:c>
      <x:c r="J37" s="32" t="str">
        <x:v>KIV-004 corrective 0.1.1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3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source/kpi consumption key</x:v>
      </x:c>
      <x:c r="D7" s="32" t="str">
        <x:v>No</x:v>
      </x:c>
      <x:c r="E7" s="32" t="str">
        <x:v>Display name + timestamp real</x:v>
      </x:c>
      <x:c r="F7" s="32" t="str">
        <x:v>Sí o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Rol stale separado de rol detail.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Existe store pequeño separado del Collector.</x:v>
      </x:c>
      <x:c r="F5" s="32" t="str">
        <x:v>PENDIENTE</x:v>
      </x:c>
      <x:c r="G5" s="32" t="str">
        <x:v>DATA-002</x:v>
      </x:c>
      <x:c r="H5" s="32" t="str">
        <x:v>Inspeccionar backend estable.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Composición/policy Web.</x:v>
      </x:c>
      <x:c r="F10" s="32" t="str">
        <x:v>EN DISEÑO</x:v>
      </x:c>
      <x:c r="G10" s="32" t="str">
        <x:v>CS-003/004</x:v>
      </x:c>
      <x:c r="H10" s="32" t="str">
        <x:v>TS-001 design freeze.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Definir neutral/unknown antes de critical.</x:v>
      </x:c>
      <x:c r="F12" s="32" t="str">
        <x:v>ABIERTO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Puede ser mixto; no asumir.</x:v>
      </x:c>
      <x:c r="F14" s="32" t="str">
        <x:v>PENDIENTE</x:v>
      </x:c>
      <x:c r="G14" s="32" t="str">
        <x:v>TS-008</x:v>
      </x:c>
      <x:c r="H14" s="32" t="str">
        <x:v>Store real + Tool config.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1</x:v>
      </x:c>
      <x:c r="F5" t="n">
        <x:f>COUNTIFS('03_Roadmap'!B5:B200,D5,'03_Roadmap'!J5:J200,"CERRADO")</x:f>
        <x:v>6</x:v>
      </x:c>
    </x:row>
    <x:row r="6">
      <x:c r="A6" t="str">
        <x:v>Cerrado</x:v>
      </x:c>
      <x:c r="B6" t="n">
        <x:f>COUNTIF('03_Roadmap'!J5:J200,"CERRADO")</x:f>
        <x:v>9</x:v>
      </x:c>
      <x:c r="D6" t="str">
        <x:v>Time Status</x:v>
      </x:c>
      <x:c r="E6" t="n">
        <x:f>COUNTIFS('03_Roadmap'!B5:B200,D6,'03_Roadmap'!J5:J200,"PENDIENTE")+COUNTIFS('03_Roadmap'!B5:B200,D6,'03_Roadmap'!J5:J200,"EN DISEÑO")</x:f>
        <x:v>12</x:v>
      </x:c>
      <x:c r="F6" t="n">
        <x:f>COUNTIFS('03_Roadmap'!B5:B200,D6,'03_Roadmap'!J5:J200,"CERRADO")</x:f>
        <x:v>1</x:v>
      </x:c>
    </x:row>
    <x:row r="7">
      <x:c r="A7" t="str">
        <x:v>Pendiente</x:v>
      </x:c>
      <x:c r="B7" t="n">
        <x:f>COUNTIF('03_Roadmap'!J5:J200,"PENDIENTE")</x:f>
        <x:v>22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f>COUNTIF('03_Roadmap'!J5:J200,"EN DISEÑO")</x:f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f>COUNTIF('03_Roadmap'!J5:J200,"DIFERIDO")</x:f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KIV-000 Interactive preview composition</x:v>
      </x:c>
    </x:row>
    <x:row r="13">
      <x:c r="A13" s="36" t="str">
        <x:v>Después</x:v>
      </x:c>
      <x:c r="B13" s="32" t="str">
        <x:v>KIV-001..005 Visual/interaction freeze</x:v>
      </x:c>
    </x:row>
    <x:row r="14">
      <x:c r="A14" s="36" t="str">
        <x:v>Luego</x:v>
      </x:c>
      <x:c r="B14" s="32" t="str">
        <x:v>TS-001 Time Status contract freeze</x:v>
      </x:c>
    </x:row>
    <x:row r="15">
      <x:c r="A15" s="36" t="str">
        <x:v>Backend</x:v>
      </x:c>
      <x:c r="B15" s="32" t="str">
        <x:v>DATA-001 diferido hasta estabilización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e9dabc48fa8642ef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</x:sheetData>
  <x:mergeCells>
    <x:mergeCell ref="A1:I1"/>
    <x:mergeCell ref="A2:I2"/>
  </x:mergeCells>
  <x:pageMargins left="0.7" right="0.7" top="0.75" bottom="0.75" header="0.3" footer="0.3"/>
</x:worksheet>
</file>