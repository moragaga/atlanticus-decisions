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2c7c6406f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515958e04dc04c47"/>
    <x:sheet xmlns:r="http://schemas.openxmlformats.org/officeDocument/2006/relationships" name="01_Legacy_Analysis" sheetId="2" r:id="Ra7dce71676764c50"/>
    <x:sheet xmlns:r="http://schemas.openxmlformats.org/officeDocument/2006/relationships" name="02_Target_Architecture" sheetId="3" r:id="Rfb4f5eb314ff44f1"/>
    <x:sheet xmlns:r="http://schemas.openxmlformats.org/officeDocument/2006/relationships" name="03_Roadmap" sheetId="4" r:id="R25a058ff043d4e70"/>
    <x:sheet xmlns:r="http://schemas.openxmlformats.org/officeDocument/2006/relationships" name="04_Test_Plan" sheetId="5" r:id="R9964e7a8743c4b85"/>
    <x:sheet xmlns:r="http://schemas.openxmlformats.org/officeDocument/2006/relationships" name="05_Decisions" sheetId="6" r:id="Re4327df8ba754738"/>
    <x:sheet xmlns:r="http://schemas.openxmlformats.org/officeDocument/2006/relationships" name="06_Risks_Open" sheetId="7" r:id="R09b31c273e344ba0"/>
    <x:sheet xmlns:r="http://schemas.openxmlformats.org/officeDocument/2006/relationships" name="07_Contract_Matrix" sheetId="8" r:id="Rdc97a1931fa84d0f"/>
    <x:sheet xmlns:r="http://schemas.openxmlformats.org/officeDocument/2006/relationships" name="08_Data_Questions" sheetId="9" r:id="R410fd7bf7caf4bee"/>
    <x:sheet xmlns:r="http://schemas.openxmlformats.org/officeDocument/2006/relationships" name="09_Dashboard" sheetId="10" r:id="R49c919f32bea4f16"/>
    <x:sheet xmlns:r="http://schemas.openxmlformats.org/officeDocument/2006/relationships" name="10_Evidence" sheetId="11" r:id="R46194b24c5a3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80f264f3040f6" /><Relationship Type="http://schemas.openxmlformats.org/officeDocument/2006/relationships/theme" Target="/xl/theme/theme1.xml" Id="R747ef40b45ea4793" /><Relationship Type="http://schemas.openxmlformats.org/officeDocument/2006/relationships/sharedStrings" Target="/xl/sharedStrings.xml" Id="R91fcf68a01784442" /><Relationship Type="http://schemas.openxmlformats.org/officeDocument/2006/relationships/worksheet" Target="/xl/worksheets/sheet1.xml" Id="R515958e04dc04c47" /><Relationship Type="http://schemas.openxmlformats.org/officeDocument/2006/relationships/worksheet" Target="/xl/worksheets/sheet2.xml" Id="Ra7dce71676764c50" /><Relationship Type="http://schemas.openxmlformats.org/officeDocument/2006/relationships/worksheet" Target="/xl/worksheets/sheet3.xml" Id="Rfb4f5eb314ff44f1" /><Relationship Type="http://schemas.openxmlformats.org/officeDocument/2006/relationships/worksheet" Target="/xl/worksheets/sheet4.xml" Id="R25a058ff043d4e70" /><Relationship Type="http://schemas.openxmlformats.org/officeDocument/2006/relationships/worksheet" Target="/xl/worksheets/sheet5.xml" Id="R9964e7a8743c4b85" /><Relationship Type="http://schemas.openxmlformats.org/officeDocument/2006/relationships/worksheet" Target="/xl/worksheets/sheet6.xml" Id="Re4327df8ba754738" /><Relationship Type="http://schemas.openxmlformats.org/officeDocument/2006/relationships/worksheet" Target="/xl/worksheets/sheet7.xml" Id="R09b31c273e344ba0" /><Relationship Type="http://schemas.openxmlformats.org/officeDocument/2006/relationships/worksheet" Target="/xl/worksheets/sheet8.xml" Id="Rdc97a1931fa84d0f" /><Relationship Type="http://schemas.openxmlformats.org/officeDocument/2006/relationships/worksheet" Target="/xl/worksheets/sheet9.xml" Id="R410fd7bf7caf4bee" /><Relationship Type="http://schemas.openxmlformats.org/officeDocument/2006/relationships/worksheet" Target="/xl/worksheets/sheet10.xml" Id="R49c919f32bea4f16" /><Relationship Type="http://schemas.openxmlformats.org/officeDocument/2006/relationships/worksheet" Target="/xl/worksheets/sheet11.xml" Id="R46194b24c5a348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98b0f3d39e45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98b0f3d39e45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b4e50357ba6a4e1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1.0.17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v>13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v>18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TS-003 EN VALIDACIÓN — Real Synchronized Clock 0.1.1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TS-002 corrective 0.1.1 quedó verde en el gate autoritativo Python 3.14.2 + UV. TS-003 prepara ada-web-ui-time-status 0.1.1 con Date.now(), timezone runtime config, setTimeout alineado al segundo real y resync por visibilitychange/focus/pageshow.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EN VALIDACIÓN</x:v>
      </x:c>
      <x:c r="K16" s="32" t="str">
        <x:v>Web/JS</x:v>
      </x:c>
      <x:c r="L16" s="32" t="str">
        <x:v>ada-web-ui-time-status 0.1.1 preparado. Reloj usa Date.now() en cada tick, formato YYYY-MM-DD HH:mm:ss, timezone por runtime config (ADA default America/Santiago), setTimeout recursivo alineado al segundo real y resync en visibilitychange/focus/pageshow. Re-resuelve el marker DOM en cada tick. Sin callback Dash ni polling backend. Python compile, semantic mirrors, node --check, JS functional smoke, ZIP hygiene, success/forced rollback simulation PASS.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PENDIENTE</x:v>
      </x:c>
      <x:c r="K17" s="32" t="str">
        <x:v>Web/Adapter</x:v>
      </x:c>
      <x:c r="L17" s="32" t="str">
        <x:v>Puede adelantarse con fake si backend sigue cambiando.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PENDIENTE</x:v>
      </x:c>
      <x:c r="J38" s="32" t="str">
        <x:v>TS-001/TS-009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PENDIENTE</x:v>
      </x:c>
      <x:c r="J39" s="32" t="str">
        <x:v>TS-001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PENDIENTE</x:v>
      </x:c>
      <x:c r="J40" s="32" t="str">
        <x:v>TS-001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PENDIENTE</x:v>
      </x:c>
      <x:c r="J43" s="32" t="str">
        <x:v>TS-001/DATA-005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PENDIENTE</x:v>
      </x:c>
      <x:c r="J44" s="32" t="str">
        <x:v>TS-001/DATA-005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PENDIENTE</x:v>
      </x:c>
      <x:c r="J45" s="32" t="str">
        <x:v>TS-001/TS-009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y detail</x:v>
      </x:c>
      <x:c r="E47" s="32" t="str">
        <x:v>Click en distintas zonas del conjunto</x:v>
      </x:c>
      <x:c r="F47" s="32" t="str">
        <x:v>Cualquier click abre el mismo detail; no triggers por fuente</x:v>
      </x:c>
      <x:c r="G47" s="32" t="str">
        <x:v>Visual/Functional</x:v>
      </x:c>
      <x:c r="H47" s="32" t="str">
        <x:v>P0</x:v>
      </x:c>
      <x:c r="I47" s="32" t="str">
        <x:v>PENDIENTE</x:v>
      </x:c>
      <x:c r="J47" s="32" t="str">
        <x:v>TS-005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EN VALIDACIÓN</x:v>
      </x:c>
      <x:c r="J56" s="32" t="str">
        <x:v>TS-003 package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EN VALIDACIÓN</x:v>
      </x:c>
      <x:c r="J57" s="32" t="str">
        <x:v>TS-003 package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EN VALIDACIÓN</x:v>
      </x:c>
      <x:c r="J58" s="32" t="str">
        <x:v>TS-003 package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EN VALIDACIÓN</x:v>
      </x:c>
      <x:c r="J59" s="32" t="str">
        <x:v>TS-003 package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EN VALIDACIÓN</x:v>
      </x:c>
      <x:c r="J60" s="32" t="str">
        <x:v>TS-003 package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6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Iterar color/pulse/icon en preview TS-002/TS-009.</x:v>
      </x:c>
      <x:c r="F16" s="32" t="str">
        <x:v>ABIERTO</x:v>
      </x:c>
      <x:c r="G16" s="32" t="str">
        <x:v>TS-009/TS-012</x:v>
      </x:c>
      <x:c r="H16" s="32" t="str">
        <x:v>No afecta contrato backend.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Definir tolerancia de future skew o INVALID temporal explícito.</x:v>
      </x:c>
      <x:c r="F17" s="32" t="str">
        <x:v>ABIERTO</x:v>
      </x:c>
      <x:c r="G17" s="32" t="str">
        <x:v>DATA-005/TS-009</x:v>
      </x:c>
      <x:c r="H17" s="32" t="str">
        <x:v>No inventar en TS-001.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f>COUNTIF('03_Roadmap'!J5:J200,"CERRADO")</x:f>
        <x:v>13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9</x:v>
      </x:c>
      <x:c r="F6" t="n">
        <x:f>COUNTIFS('03_Roadmap'!B5:B200,D6,'03_Roadmap'!J5:J200,"CERRADO")</x:f>
        <x:v>3</x:v>
      </x:c>
    </x:row>
    <x:row r="7">
      <x:c r="A7" t="str">
        <x:v>Pendiente</x:v>
      </x:c>
      <x:c r="B7" t="n">
        <x:f>COUNTIF('03_Roadmap'!J5:J200,"PENDIENTE")</x:f>
        <x:v>18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b4e50357ba6a4e16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</x:sheetData>
  <x:mergeCells>
    <x:mergeCell ref="A1:I1"/>
    <x:mergeCell ref="A2:I2"/>
  </x:mergeCells>
  <x:pageMargins left="0.7" right="0.7" top="0.75" bottom="0.75" header="0.3" footer="0.3"/>
</x:worksheet>
</file>