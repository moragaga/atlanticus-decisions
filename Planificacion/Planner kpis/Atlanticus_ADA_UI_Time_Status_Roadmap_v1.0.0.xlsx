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59d0ad56a446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64f1af03fec4483a"/>
    <x:sheet xmlns:r="http://schemas.openxmlformats.org/officeDocument/2006/relationships" name="01_Legacy_Analysis" sheetId="2" r:id="Rb9b62ac35fb146fb"/>
    <x:sheet xmlns:r="http://schemas.openxmlformats.org/officeDocument/2006/relationships" name="02_Target_Architecture" sheetId="3" r:id="R3b6b295a08d14441"/>
    <x:sheet xmlns:r="http://schemas.openxmlformats.org/officeDocument/2006/relationships" name="03_Roadmap" sheetId="4" r:id="R5c5969007f504e31"/>
    <x:sheet xmlns:r="http://schemas.openxmlformats.org/officeDocument/2006/relationships" name="04_Test_Plan" sheetId="5" r:id="R113077c2acae408d"/>
    <x:sheet xmlns:r="http://schemas.openxmlformats.org/officeDocument/2006/relationships" name="05_Decisions" sheetId="6" r:id="R5e6476e0a59f4390"/>
    <x:sheet xmlns:r="http://schemas.openxmlformats.org/officeDocument/2006/relationships" name="06_Risks_Open" sheetId="7" r:id="Re4ca0ce07a3243a9"/>
    <x:sheet xmlns:r="http://schemas.openxmlformats.org/officeDocument/2006/relationships" name="07_Contract_Matrix" sheetId="8" r:id="R0fbfb266ab094d73"/>
    <x:sheet xmlns:r="http://schemas.openxmlformats.org/officeDocument/2006/relationships" name="08_Data_Questions" sheetId="9" r:id="R9105837062a94796"/>
    <x:sheet xmlns:r="http://schemas.openxmlformats.org/officeDocument/2006/relationships" name="09_Dashboard" sheetId="10" r:id="R314b83d26ef242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F6B7A"/>
      <x:name val="Carlito"/>
    </x:font>
    <x:font>
      <x:b/>
      <x:sz val="11"/>
      <x:color rgb="FFFFFFFF"/>
      <x:name val="Carlito"/>
    </x:font>
    <x:font>
      <x:b/>
      <x:sz val="11"/>
      <x:color rgb="FF0D1B2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D1B2A"/>
      </x:patternFill>
    </x:fill>
    <x:fill>
      <x:patternFill patternType="solid">
        <x:fgColor rgb="FFE8EEF5"/>
      </x:patternFill>
    </x:fill>
    <x:fill>
      <x:patternFill patternType="solid">
        <x:fgColor rgb="FF1B263B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0D1B2A"/>
      </x:font>
      <x:fill>
        <x:patternFill patternType="solid">
          <x:bgColor rgb="FFE8EEF5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4B5563"/>
      </x:font>
      <x:fill>
        <x:patternFill patternType="solid">
          <x:bgColor rgb="FFE5E7EB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0D1B2A"/>
      </x:font>
      <x:fill>
        <x:patternFill patternType="solid">
          <x:bgColor rgb="FFE8EEF5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4B5563"/>
      </x:font>
      <x:fill>
        <x:patternFill patternType="solid">
          <x:bgColor rgb="FFE5E7EB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2d43ee3ba545d1" /><Relationship Type="http://schemas.openxmlformats.org/officeDocument/2006/relationships/theme" Target="/xl/theme/theme1.xml" Id="R8674cc44d63342c4" /><Relationship Type="http://schemas.openxmlformats.org/officeDocument/2006/relationships/sharedStrings" Target="/xl/sharedStrings.xml" Id="R60354e65f6c74bac" /><Relationship Type="http://schemas.openxmlformats.org/officeDocument/2006/relationships/worksheet" Target="/xl/worksheets/sheet1.xml" Id="R64f1af03fec4483a" /><Relationship Type="http://schemas.openxmlformats.org/officeDocument/2006/relationships/worksheet" Target="/xl/worksheets/sheet2.xml" Id="Rb9b62ac35fb146fb" /><Relationship Type="http://schemas.openxmlformats.org/officeDocument/2006/relationships/worksheet" Target="/xl/worksheets/sheet3.xml" Id="R3b6b295a08d14441" /><Relationship Type="http://schemas.openxmlformats.org/officeDocument/2006/relationships/worksheet" Target="/xl/worksheets/sheet4.xml" Id="R5c5969007f504e31" /><Relationship Type="http://schemas.openxmlformats.org/officeDocument/2006/relationships/worksheet" Target="/xl/worksheets/sheet5.xml" Id="R113077c2acae408d" /><Relationship Type="http://schemas.openxmlformats.org/officeDocument/2006/relationships/worksheet" Target="/xl/worksheets/sheet6.xml" Id="R5e6476e0a59f4390" /><Relationship Type="http://schemas.openxmlformats.org/officeDocument/2006/relationships/worksheet" Target="/xl/worksheets/sheet7.xml" Id="Re4ca0ce07a3243a9" /><Relationship Type="http://schemas.openxmlformats.org/officeDocument/2006/relationships/worksheet" Target="/xl/worksheets/sheet8.xml" Id="R0fbfb266ab094d73" /><Relationship Type="http://schemas.openxmlformats.org/officeDocument/2006/relationships/worksheet" Target="/xl/worksheets/sheet9.xml" Id="R9105837062a94796" /><Relationship Type="http://schemas.openxmlformats.org/officeDocument/2006/relationships/worksheet" Target="/xl/worksheets/sheet10.xml" Id="R314b83d26ef2429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a3731151c5441b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Roadmap por track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Pendiente/En diseño</c:v>
          </c:tx>
          <c:cat>
            <c:strRef>
              <c:f>'09_Dashboard'!$D$5:$D$10</c:f>
              <c:strCache>
                <c:ptCount val="0"/>
              </c:strCache>
            </c:strRef>
          </c:cat>
          <c:val>
            <c:numRef>
              <c:f>'09_Dashboard'!$E$5:$E$10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Cerrado</c:v>
          </c:tx>
          <c:cat>
            <c:strRef>
              <c:f>'09_Dashboard'!$D$5:$D$10</c:f>
              <c:strCache>
                <c:ptCount val="0"/>
              </c:strCache>
            </c:strRef>
          </c:cat>
          <c:val>
            <c:numRef>
              <c:f>'09_Dashboard'!$F$5:$F$10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10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a3731151c5441b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2c1db32e35d340ef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3" hidden="0" customWidth="1"/>
    <x:col min="4" max="4" width="18" hidden="0" customWidth="1"/>
    <x:col min="5" max="5" width="12" hidden="0" customWidth="1"/>
    <x:col min="6" max="6" width="3" hidden="0" customWidth="1"/>
    <x:col min="7" max="7" width="22" hidden="0" customWidth="1"/>
    <x:col min="8" max="8" width="48" hidden="0" customWidth="1"/>
    <x:col min="9" max="9" width="3" hidden="0" customWidth="1"/>
    <x:col min="10" max="10" width="3" hidden="0" customWidth="1"/>
  </x:cols>
  <x:sheetData>
    <x:row r="1" ht="30" customHeight="1">
      <x:c r="A1" s="4" t="str">
        <x:v>Atlanticus / ADA — UI Continuation &amp; Time Status Recovery Roadmap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Análisis funcional del legado completo 2026-08-24 + baseline actual latest-v4. Fuente de verdad operativa para KPI Inspection visual, Time Status, popover de fuentes y Content State.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Campo</x:v>
      </x:c>
      <x:c r="B4" s="19" t="str">
        <x:v>Valor</x:v>
      </x:c>
      <x:c r="C4" s="19" t="str"/>
      <x:c r="D4" s="19" t="str">
        <x:v>Indicador</x:v>
      </x:c>
      <x:c r="E4" s="19" t="str">
        <x:v>Valor</x:v>
      </x:c>
      <x:c r="F4" s="19" t="str"/>
      <x:c r="G4" s="19" t="str">
        <x:v>Baseline</x:v>
      </x:c>
      <x:c r="H4" s="19" t="str">
        <x:v>SHA-256</x:v>
      </x:c>
      <x:c r="I4" s="19" t="str"/>
      <x:c r="J4" s="19" t="str"/>
    </x:row>
    <x:row r="5">
      <x:c r="A5" t="str">
        <x:v>Versión planner</x:v>
      </x:c>
      <x:c r="B5" t="str">
        <x:v>1.0.0</x:v>
      </x:c>
      <x:c r="C5" t="str"/>
      <x:c r="D5" t="str">
        <x:v>Roadmap total</x:v>
      </x:c>
      <x:c r="E5" t="n">
        <x:f>COUNTA('03_Roadmap'!A5:A200)</x:f>
        <x:v>37</x:v>
      </x:c>
      <x:c r="F5" t="str"/>
      <x:c r="G5" t="str">
        <x:v>Legado completo</x:v>
      </x:c>
      <x:c r="H5" t="str">
        <x:v>244736f17b39d695547c9e6e9c62f592c2013631342addbf0e422b40930c1750</x:v>
      </x:c>
      <x:c r="I5" t="str"/>
      <x:c r="J5" t="str"/>
    </x:row>
    <x:row r="6">
      <x:c r="A6" t="str">
        <x:v>Fecha análisis</x:v>
      </x:c>
      <x:c r="B6" t="str">
        <x:v>2026-08-27</x:v>
      </x:c>
      <x:c r="C6" t="str"/>
      <x:c r="D6" t="str">
        <x:v>Cerrados</x:v>
      </x:c>
      <x:c r="E6" t="n">
        <x:f>COUNTIF('03_Roadmap'!J5:J200,"CERRADO")</x:f>
        <x:v>3</x:v>
      </x:c>
      <x:c r="F6" t="str"/>
      <x:c r="G6" t="str">
        <x:v>Current baseline</x:v>
      </x:c>
      <x:c r="H6" t="str">
        <x:v>aec231ec383aa79a6eee8c65dadb980807a48a6be39cb4dca090f7fc99b195c2</x:v>
      </x:c>
      <x:c r="I6" t="str"/>
      <x:c r="J6" t="str"/>
    </x:row>
    <x:row r="7">
      <x:c r="A7" t="str">
        <x:v>Baseline legado</x:v>
      </x:c>
      <x:c r="B7" t="str">
        <x:v>atlanticus-last-version-0.1.0-20260824-191735(1).zip</x:v>
      </x:c>
      <x:c r="C7" t="str"/>
      <x:c r="D7" t="str">
        <x:v>Pendientes</x:v>
      </x:c>
      <x:c r="E7" t="n">
        <x:f>COUNTIF('03_Roadmap'!J5:J200,"PENDIENTE")</x:f>
        <x:v>27</x:v>
      </x:c>
      <x:c r="F7" t="str"/>
      <x:c r="G7" t="str">
        <x:v>Current code</x:v>
      </x:c>
      <x:c r="H7" t="str">
        <x:v>atlanticus-latest-v4.zip</x:v>
      </x:c>
      <x:c r="I7" t="str"/>
      <x:c r="J7" t="str"/>
    </x:row>
    <x:row r="8">
      <x:c r="A8" t="str">
        <x:v>Baseline actual</x:v>
      </x:c>
      <x:c r="B8" t="str">
        <x:v>atlanticus-latest-v4.zip</x:v>
      </x:c>
      <x:c r="C8" t="str"/>
      <x:c r="D8" t="str">
        <x:v>En diseño</x:v>
      </x:c>
      <x:c r="E8" t="n">
        <x:f>COUNTIF('03_Roadmap'!J5:J200,"EN DISEÑO")</x:f>
        <x:v>2</x:v>
      </x:c>
      <x:c r="F8" t="str"/>
      <x:c r="G8" t="str"/>
      <x:c r="H8" t="str"/>
      <x:c r="I8" t="str"/>
      <x:c r="J8" t="str"/>
    </x:row>
    <x:row r="9">
      <x:c r="A9" t="str">
        <x:v>Checkpoint actual</x:v>
      </x:c>
      <x:c r="B9" t="str">
        <x:v>KI-010B CERRADO / VERDE; KI-011 Cosmos DIFERIDO</x:v>
      </x:c>
      <x:c r="C9" t="str"/>
      <x:c r="D9" t="str">
        <x:v>Diferidos</x:v>
      </x:c>
      <x:c r="E9" t="n">
        <x:f>COUNTIF('03_Roadmap'!J5:J200,"DIFERIDO")</x:f>
        <x:v>5</x:v>
      </x:c>
      <x:c r="F9" t="str"/>
      <x:c r="G9" t="str"/>
      <x:c r="H9" t="str"/>
      <x:c r="I9" t="str"/>
      <x:c r="J9" t="str"/>
    </x:row>
    <x:row r="10">
      <x:c r="A10" t="str">
        <x:v>Siguiente trabajo</x:v>
      </x:c>
      <x:c r="B10" t="str">
        <x:v>KIV — Preview visual real de KPI Inspection</x:v>
      </x:c>
      <x:c r="C10" t="str"/>
      <x:c r="D10" t="str">
        <x:v>Bloqueados</x:v>
      </x:c>
      <x:c r="E10" t="n">
        <x:f>COUNTIF('03_Roadmap'!J5:J200,"BLOQUEADO")</x:f>
        <x:v>0</x:v>
      </x:c>
      <x:c r="F10" t="str"/>
      <x:c r="G10" t="str"/>
      <x:c r="H10" t="str"/>
      <x:c r="I10" t="str"/>
      <x:c r="J10" t="str"/>
    </x:row>
    <x:row r="12">
      <x:c r="A12" s="26" t="str">
        <x:v>Conclusiones ejecutivas del análisis legado</x:v>
      </x:c>
      <x:c r="B12" s="26"/>
      <x:c r="C12" s="26"/>
      <x:c r="D12" s="26"/>
      <x:c r="E12" s="26"/>
      <x:c r="F12" s="26"/>
      <x:c r="G12" s="26"/>
      <x:c r="H12" s="26"/>
      <x:c r="I12" s="26"/>
      <x:c r="J12" s="26"/>
    </x:row>
    <x:row r="13">
      <x:c r="A13" s="34" t="str">
        <x:v>1</x:v>
      </x:c>
      <x:c r="B13" s="32" t="str">
        <x:v>El Time Status antiguo era un resumen visual dentro del Header: PI obligatorio en ese contrato, Dispatch opcional y fecha/hora a la derecha.</x:v>
      </x:c>
    </x:row>
    <x:row r="14">
      <x:c r="A14" s="34" t="str">
        <x:v>2</x:v>
      </x:c>
      <x:c r="B14" s="32" t="str">
        <x:v>La hora local se actualizaba por JavaScript cada segundo; no dependía de callbacks Dash.</x:v>
      </x:c>
    </x:row>
    <x:row r="15">
      <x:c r="A15" s="34" t="str">
        <x:v>3</x:v>
      </x:c>
      <x:c r="B15" s="32" t="str">
        <x:v>KPI Runtime ya creaba un SOURCE_TIME_STORE por Tool separado de los stores de componentes/timeseries. Payload: tool_key, generated_at_utc y sources{source_key: timestamp}.</x:v>
      </x:c>
    </x:row>
    <x:row r="16">
      <x:c r="A16" s="34" t="str">
        <x:v>4</x:v>
      </x:c>
      <x:c r="B16" s="32" t="str">
        <x:v>SOURCE_TIME_STORE se refrescaba con el snapshot cada 5 s por defecto. El mapa sources era genérico y timezone-aware.</x:v>
      </x:c>
    </x:row>
    <x:row r="17">
      <x:c r="A17" s="34" t="str">
        <x:v>5</x:v>
      </x:c>
      <x:c r="B17" s="32" t="str">
        <x:v>El legado NO contenía popover/flyout dinámico. Eso será funcionalidad nueva, anclada a Time Status y controlada por JS.</x:v>
      </x:c>
    </x:row>
    <x:row r="18">
      <x:c r="A18" s="34" t="str">
        <x:v>6</x:v>
      </x:c>
      <x:c r="B18" s="32" t="str">
        <x:v>ContentState ya separaba READY / STALE / CONSTRUCTION; CONSTRUCTION era estático y STALE runtime.</x:v>
      </x:c>
    </x:row>
    <x:row r="19">
      <x:c r="A19" s="34" t="str">
        <x:v>7</x:v>
      </x:c>
      <x:c r="B19" s="32" t="str">
        <x:v>No se encontró wiring en este archivo entre SOURCE_TIME_STORE y OperationalStatusBarView, ni un resolver/callback productivo que cambiara los wrappers runtime. Esas capas deben reconstruirse en la nueva arquitectura.</x:v>
      </x:c>
    </x:row>
    <x:row r="20">
      <x:c r="A20" s="34" t="str">
        <x:v>8</x:v>
      </x:c>
      <x:c r="B20" s="32" t="str">
        <x:v>El display-status actual de latest-v4 (OK/EMPTY/INVALID/ERROR/NOT_MAPPED) es otro contrato y NO reemplaza ContentState READY/STALE/CONSTRUCTION.</x:v>
      </x:c>
    </x:row>
  </x:sheetData>
  <x:mergeCells>
    <x:mergeCell ref="A1:J1"/>
    <x:mergeCell ref="A2:J2"/>
    <x:mergeCell ref="A12:J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46" hidden="0" customWidth="1"/>
    <x:col min="4" max="4" width="48" hidden="0" customWidth="1"/>
    <x:col min="5" max="5" width="20" hidden="0" customWidth="1"/>
    <x:col min="6" max="6" width="48" hidden="0" customWidth="1"/>
    <x:col min="7" max="7" width="12" hidden="0" customWidth="1"/>
    <x:col min="8" max="8" width="42" hidden="0" customWidth="1"/>
  </x:cols>
  <x:sheetData>
    <x:row r="1" ht="30" customHeight="1">
      <x:c r="A1" s="4" t="str">
        <x:v>Análisis de Time Status y estados en la versión completa anterior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Hechos extraídos del código legado. 'Conservar' significa preservar contrato/semántica, no copiar el package monolítico ada-ui.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Área</x:v>
      </x:c>
      <x:c r="C4" s="19" t="str">
        <x:v>Hallazgo legado</x:v>
      </x:c>
      <x:c r="D4" s="19" t="str">
        <x:v>Evidencia / path</x:v>
      </x:c>
      <x:c r="E4" s="19" t="str">
        <x:v>Evaluación</x:v>
      </x:c>
      <x:c r="F4" s="19" t="str">
        <x:v>Destino nuevo</x:v>
      </x:c>
      <x:c r="G4" s="19" t="str">
        <x:v>Confianza</x:v>
      </x:c>
      <x:c r="H4" s="19" t="str">
        <x:v>Notas</x:v>
      </x:c>
    </x:row>
    <x:row r="5">
      <x:c r="A5" s="32" t="str">
        <x:v>LF-001</x:v>
      </x:c>
      <x:c r="B5" s="32" t="str">
        <x:v>Time Status model</x:v>
      </x:c>
      <x:c r="C5" s="32" t="str">
        <x:v>OperationalStatusBarView exige pi y permite dispatch=None; current_datetime y estado propio.</x:v>
      </x:c>
      <x:c r="D5" s="32" t="str">
        <x:v>scopes/ada/ui/src/ada/ui/status/models.py</x:v>
      </x:c>
      <x:c r="E5" s="32" t="str">
        <x:v>CAMBIAR</x:v>
      </x:c>
      <x:c r="F5" s="32" t="str">
        <x:v>Contrato reusable: PI y Dispatch opcionales; composición ADA exige PI.</x:v>
      </x:c>
      <x:c r="G5" s="32" t="str">
        <x:v>Alta</x:v>
      </x:c>
      <x:c r="H5" s="32" t="str">
        <x:v>El usuario confirmó PI siempre en ADA, pero se quiere opcionalidad en la fuente/base.</x:v>
      </x:c>
    </x:row>
    <x:row r="6">
      <x:c r="A6" s="32" t="str">
        <x:v>LF-002</x:v>
      </x:c>
      <x:c r="B6" s="32" t="str">
        <x:v>Time Status state</x:v>
      </x:c>
      <x:c r="C6" s="32" t="str">
        <x:v>OperationalStatusState sólo READY y CONSTRUCTION; no existe STALE en el status bar.</x:v>
      </x:c>
      <x:c r="D6" s="32" t="str">
        <x:v>scopes/ada/ui/src/ada/ui/status/models.py</x:v>
      </x:c>
      <x:c r="E6" s="32" t="str">
        <x:v>CONSERVAR</x:v>
      </x:c>
      <x:c r="F6" s="32" t="str">
        <x:v>Time Status no se cubre como STALE; las fuentes pueden verse críticas y el contenido dependiente recibe STALE.</x:v>
      </x:c>
      <x:c r="G6" s="32" t="str">
        <x:v>Alta</x:v>
      </x:c>
      <x:c r="H6" s="32" t="str">
        <x:v>Evita que el status que informa el problema se oculte por su propio wrapper.</x:v>
      </x:c>
    </x:row>
    <x:row r="7">
      <x:c r="A7" s="32" t="str">
        <x:v>LF-003</x:v>
      </x:c>
      <x:c r="B7" s="32" t="str">
        <x:v>Summary visual</x:v>
      </x:c>
      <x:c r="C7" s="32" t="str">
        <x:v>Sources se renderizan en línea; PI + Dispatch usan divisor; icono cloud-check/cloud-slash y tonos neutral/warning/critical.</x:v>
      </x:c>
      <x:c r="D7" s="32" t="str">
        <x:v>scopes/ada/ui/src/ada/ui/status/builders.py</x:v>
      </x:c>
      <x:c r="E7" s="32" t="str">
        <x:v>CONSERVAR</x:v>
      </x:c>
      <x:c r="F7" s="32" t="str">
        <x:v>Summary visible sólo PI/Dispatch con relative age.</x:v>
      </x:c>
      <x:c r="G7" s="32" t="str">
        <x:v>Alta</x:v>
      </x:c>
      <x:c r="H7" s="32" t="str">
        <x:v>Critical usa tratamiento rojo pulsante.</x:v>
      </x:c>
    </x:row>
    <x:row r="8">
      <x:c r="A8" s="32" t="str">
        <x:v>LF-004</x:v>
      </x:c>
      <x:c r="B8" s="32" t="str">
        <x:v>Header placement</x:v>
      </x:c>
      <x:c r="C8" s="32" t="str">
        <x:v>Status ocupa una Row separada debajo del Header principal con border-top.</x:v>
      </x:c>
      <x:c r="D8" s="32" t="str">
        <x:v>scopes/ada/ui/src/ada/ui/header/builders.py; resources/css/30_header.css</x:v>
      </x:c>
      <x:c r="E8" s="32" t="str">
        <x:v>CONSERVAR</x:v>
      </x:c>
      <x:c r="F8" s="32" t="str">
        <x:v>Time Status vuelve debajo del header principal, sin introducir Body todavía.</x:v>
      </x:c>
      <x:c r="G8" s="32" t="str">
        <x:v>Alta</x:v>
      </x:c>
      <x:c r="H8" s="32" t="str">
        <x:v>Mantener altura/reflow bajo control.</x:v>
      </x:c>
    </x:row>
    <x:row r="9">
      <x:c r="A9" s="32" t="str">
        <x:v>LF-005</x:v>
      </x:c>
      <x:c r="B9" s="32" t="str">
        <x:v>Current time</x:v>
      </x:c>
      <x:c r="C9" s="32" t="str">
        <x:v>Fecha/hora usa data-ada-current-datetime y JS local con setInterval cada 1 s.</x:v>
      </x:c>
      <x:c r="D9" s="32" t="str">
        <x:v>scopes/ada/ui/src/ada/ui/resources/js/10_runtime.js</x:v>
      </x:c>
      <x:c r="E9" s="32" t="str">
        <x:v>CONSERVAR/ADAPTAR</x:v>
      </x:c>
      <x:c r="F9" s="32" t="str">
        <x:v>Hora local client-side; no forzar callback servidor para reloj.</x:v>
      </x:c>
      <x:c r="G9" s="32" t="str">
        <x:v>Alta</x:v>
      </x:c>
      <x:c r="H9" s="32" t="str">
        <x:v>Separar reloj de freshness.</x:v>
      </x:c>
    </x:row>
    <x:row r="10">
      <x:c r="A10" s="32" t="str">
        <x:v>LF-006</x:v>
      </x:c>
      <x:c r="B10" s="32" t="str">
        <x:v>Content State</x:v>
      </x:c>
      <x:c r="C10" s="32" t="str">
        <x:v>ContentState = READY / STALE / CONSTRUCTION.</x:v>
      </x:c>
      <x:c r="D10" s="32" t="str">
        <x:v>scopes/ada/ui/src/ada/ui/feedback/models.py</x:v>
      </x:c>
      <x:c r="E10" s="32" t="str">
        <x:v>CONSERVAR</x:v>
      </x:c>
      <x:c r="F10" s="32" t="str">
        <x:v>Extraer capability reusable en arquitectura nueva.</x:v>
      </x:c>
      <x:c r="G10" s="32" t="str">
        <x:v>Alta</x:v>
      </x:c>
      <x:c r="H10" s="32" t="str">
        <x:v>No confundir con display-status actual.</x:v>
      </x:c>
    </x:row>
    <x:row r="11">
      <x:c r="A11" s="32" t="str">
        <x:v>LF-007</x:v>
      </x:c>
      <x:c r="B11" s="32" t="str">
        <x:v>Static vs runtime</x:v>
      </x:c>
      <x:c r="C11" s="32" t="str">
        <x:v>CONSTRUCTION produce component_id static; STALE produce runtime.</x:v>
      </x:c>
      <x:c r="D11" s="32" t="str">
        <x:v>scopes/ada/ui/src/ada/ui/feedback/models.py</x:v>
      </x:c>
      <x:c r="E11" s="32" t="str">
        <x:v>CONSERVAR</x:v>
      </x:c>
      <x:c r="F11" s="32" t="str">
        <x:v>Construction declarativo; stale dinámico por freshness.</x:v>
      </x:c>
      <x:c r="G11" s="32" t="str">
        <x:v>Alta</x:v>
      </x:c>
      <x:c r="H11" s="32" t="str">
        <x:v>Buena frontera de lifecycle.</x:v>
      </x:c>
    </x:row>
    <x:row r="12">
      <x:c r="A12" s="32" t="str">
        <x:v>LF-008</x:v>
      </x:c>
      <x:c r="B12" s="32" t="str">
        <x:v>Content wrapper</x:v>
      </x:c>
      <x:c r="C12" s="32" t="str">
        <x:v>Wrapper usa overlay absolute, grayscale, visible con pointer-events:auto; mensajes 'Información desactualizada' / 'En construcción'.</x:v>
      </x:c>
      <x:c r="D12" s="32" t="str">
        <x:v>scopes/ada/ui/src/ada/ui/feedback/builders.py; resources/css/02_feedback.css</x:v>
      </x:c>
      <x:c r="E12" s="32" t="str">
        <x:v>CONSERVAR/REVISAR</x:v>
      </x:c>
      <x:c r="F12" s="32" t="str">
        <x:v>Recuperar patrón; validar visual y política de interacción antes de congelar.</x:v>
      </x:c>
      <x:c r="G12" s="32" t="str">
        <x:v>Alta</x:v>
      </x:c>
      <x:c r="H12" s="32" t="str">
        <x:v>Debe decidirse si STALE bloquea KPI Inspection o permite inspeccionar definición.</x:v>
      </x:c>
    </x:row>
    <x:row r="13">
      <x:c r="A13" s="32" t="str">
        <x:v>LF-009</x:v>
      </x:c>
      <x:c r="B13" s="32" t="str">
        <x:v>Global Indicators</x:v>
      </x:c>
      <x:c r="C13" s="32" t="str">
        <x:v>GlobalIndicatorsState admite READY / STALE / CONSTRUCTION y ya se envolvía con ContentState.</x:v>
      </x:c>
      <x:c r="D13" s="32" t="str">
        <x:v>scopes/ada/ui/src/ada/ui/indicators/models.py; builders.py</x:v>
      </x:c>
      <x:c r="E13" s="32" t="str">
        <x:v>CONSERVAR CONCEPTUAL</x:v>
      </x:c>
      <x:c r="F13" s="32" t="str">
        <x:v>Integrar wrapper nuevo alrededor de adopters actuales, no copiar ada-ui.</x:v>
      </x:c>
      <x:c r="G13" s="32" t="str">
        <x:v>Alta</x:v>
      </x:c>
      <x:c r="H13" s="32" t="str">
        <x:v>Hoy Global Indicator está modularizado en latest-v4.</x:v>
      </x:c>
    </x:row>
    <x:row r="14">
      <x:c r="A14" s="32" t="str">
        <x:v>LF-010</x:v>
      </x:c>
      <x:c r="B14" s="32" t="str">
        <x:v>Alarm notifications</x:v>
      </x:c>
      <x:c r="C14" s="32" t="str">
        <x:v>AlarmNotificationsState también admite READY / STALE / CONSTRUCTION; default legacy CONSTRUCTION.</x:v>
      </x:c>
      <x:c r="D14" s="32" t="str">
        <x:v>scopes/ada/ui/src/ada/ui/notifications/models.py</x:v>
      </x:c>
      <x:c r="E14" s="32" t="str">
        <x:v>REFERENCIA</x:v>
      </x:c>
      <x:c r="F14" s="32" t="str">
        <x:v>Usar sólo si la nueva capability de alarmas necesita el mismo wrapper.</x:v>
      </x:c>
      <x:c r="G14" s="32" t="str">
        <x:v>Alta</x:v>
      </x:c>
      <x:c r="H14" s="32" t="str">
        <x:v>No mezclar con track de alarmas sin decisión explícita.</x:v>
      </x:c>
    </x:row>
    <x:row r="15">
      <x:c r="A15" s="32" t="str">
        <x:v>LF-011</x:v>
      </x:c>
      <x:c r="B15" s="32" t="str">
        <x:v>KPI source time store</x:v>
      </x:c>
      <x:c r="C15" s="32" t="str">
        <x:v>KPI Runtime crea un dcc.Store memory por Tool: type ada-kpi-source-time-store.</x:v>
      </x:c>
      <x:c r="D15" s="32" t="str">
        <x:v>scopes/ada/kpis/src/ada/kpis/runtime/web.py</x:v>
      </x:c>
      <x:c r="E15" s="32" t="str">
        <x:v>CONSERVAR CONTRATO</x:v>
      </x:c>
      <x:c r="F15" s="32" t="str">
        <x:v>Fuente primaria candidata para Time Status desde Collector/runtime.</x:v>
      </x:c>
      <x:c r="G15" s="32" t="str">
        <x:v>Alta</x:v>
      </x:c>
      <x:c r="H15" s="32" t="str">
        <x:v>Está separado de component/timeseries stores.</x:v>
      </x:c>
    </x:row>
    <x:row r="16">
      <x:c r="A16" s="32" t="str">
        <x:v>LF-012</x:v>
      </x:c>
      <x:c r="B16" s="32" t="str">
        <x:v>Source time payload</x:v>
      </x:c>
      <x:c r="C16" s="32" t="str">
        <x:v>Payload del store: tool_key, generated_at_utc, sources={key: ISO timestamp}.</x:v>
      </x:c>
      <x:c r="D16" s="32" t="str">
        <x:v>scopes/ada/kpis/src/ada/kpis/runtime/web.py</x:v>
      </x:c>
      <x:c r="E16" s="32" t="str">
        <x:v>CONSERVAR/VALIDAR ACTUAL</x:v>
      </x:c>
      <x:c r="F16" s="32" t="str">
        <x:v>Diseñar adapter sobre contrato actual del Collector; mantener payload pequeño.</x:v>
      </x:c>
      <x:c r="G16" s="32" t="str">
        <x:v>Alta</x:v>
      </x:c>
      <x:c r="H16" s="32" t="str">
        <x:v>sources es genérico, no hardcodea PI/Dispatch.</x:v>
      </x:c>
    </x:row>
    <x:row r="17">
      <x:c r="A17" s="32" t="str">
        <x:v>LF-013</x:v>
      </x:c>
      <x:c r="B17" s="32" t="str">
        <x:v>Snapshot source contract</x:v>
      </x:c>
      <x:c r="C17" s="32" t="str">
        <x:v>KpiRuntimeSnapshot.sources es dict[str, datetime] timezone-aware; generated_at_utc también aware.</x:v>
      </x:c>
      <x:c r="D17" s="32" t="str">
        <x:v>scopes/ada/kpis/src/ada/kpis/runtime/models.py</x:v>
      </x:c>
      <x:c r="E17" s="32" t="str">
        <x:v>CONSERVAR</x:v>
      </x:c>
      <x:c r="F17" s="32" t="str">
        <x:v>No degradar timestamps a strings antes de la frontera Web.</x:v>
      </x:c>
      <x:c r="G17" s="32" t="str">
        <x:v>Alta</x:v>
      </x:c>
      <x:c r="H17" s="32" t="str">
        <x:v>Serialización ISO ocurre al Store.</x:v>
      </x:c>
    </x:row>
    <x:row r="18">
      <x:c r="A18" s="32" t="str">
        <x:v>LF-014</x:v>
      </x:c>
      <x:c r="B18" s="32" t="str">
        <x:v>Refresh cadence</x:v>
      </x:c>
      <x:c r="C18" s="32" t="str">
        <x:v>Snapshot interval default = 5,000 ms; timeseries interval separado = 60,000 ms.</x:v>
      </x:c>
      <x:c r="D18" s="32" t="str">
        <x:v>scopes/ada/kpis/src/ada/kpis/runtime/web.py</x:v>
      </x:c>
      <x:c r="E18" s="32" t="str">
        <x:v>REFERENCIA</x:v>
      </x:c>
      <x:c r="F18" s="32" t="str">
        <x:v>Time Status puede refrescar con el mismo ciclo snapshot; popover open-state debe ser independiente.</x:v>
      </x:c>
      <x:c r="G18" s="32" t="str">
        <x:v>Alta</x:v>
      </x:c>
      <x:c r="H18" s="32" t="str">
        <x:v>No crear otro polling si el store ya cambia.</x:v>
      </x:c>
    </x:row>
    <x:row r="19">
      <x:c r="A19" s="32" t="str">
        <x:v>LF-015</x:v>
      </x:c>
      <x:c r="B19" s="32" t="str">
        <x:v>Consumption scope</x:v>
      </x:c>
      <x:c r="C19" s="32" t="str">
        <x:v>Stores de componentes se construyen sólo para bindings de la Tool y según include_snapshot/timeseries.</x:v>
      </x:c>
      <x:c r="D19" s="32" t="str">
        <x:v>scopes/ada/kpis/src/ada/kpis/runtime/web.py; runtime/planning.py</x:v>
      </x:c>
      <x:c r="E19" s="32" t="str">
        <x:v>CONSERVAR PRINCIPIO</x:v>
      </x:c>
      <x:c r="F19" s="32" t="str">
        <x:v>Detalle dinámico debe construirse sólo con consumos de la Tool.</x:v>
      </x:c>
      <x:c r="G19" s="32" t="str">
        <x:v>Alta</x:v>
      </x:c>
      <x:c r="H19" s="32" t="str">
        <x:v>No mostrar catálogo global de KPI/fuentes.</x:v>
      </x:c>
    </x:row>
    <x:row r="20">
      <x:c r="A20" s="32" t="str">
        <x:v>LF-016</x:v>
      </x:c>
      <x:c r="B20" s="32" t="str">
        <x:v>Legacy coupling gap</x:v>
      </x:c>
      <x:c r="C20" s="32" t="str">
        <x:v>Si refresh_snapshot recibe store_ids vacío, devuelve no_update también para SOURCE_TIME_STORE.</x:v>
      </x:c>
      <x:c r="D20" s="32" t="str">
        <x:v>scopes/ada/kpis/src/ada/kpis/runtime/web.py</x:v>
      </x:c>
      <x:c r="E20" s="32" t="str">
        <x:v>CORREGIR SI SIGUE VIGENTE</x:v>
      </x:c>
      <x:c r="F20" s="32" t="str">
        <x:v>Desacoplar actualización del Time Status store de existencia de component stores.</x:v>
      </x:c>
      <x:c r="G20" s="32" t="str">
        <x:v>Alta</x:v>
      </x:c>
      <x:c r="H20" s="32" t="str">
        <x:v>Puede afectar Tools sin snapshot component store.</x:v>
      </x:c>
    </x:row>
    <x:row r="21">
      <x:c r="A21" s="32" t="str">
        <x:v>LF-017</x:v>
      </x:c>
      <x:c r="B21" s="32" t="str">
        <x:v>No UI wiring encontrado</x:v>
      </x:c>
      <x:c r="C21" s="32" t="str">
        <x:v>No hay referencias productivas que consuman SOURCE_TIME_STORE_TYPE fuera de runtime/web.py.</x:v>
      </x:c>
      <x:c r="D21" s="32" t="str">
        <x:v>búsqueda global del archive</x:v>
      </x:c>
      <x:c r="E21" s="32" t="str">
        <x:v>NUEVO</x:v>
      </x:c>
      <x:c r="F21" s="32" t="str">
        <x:v>Crear adapter/composition TimeStatusState desde el store actual.</x:v>
      </x:c>
      <x:c r="G21" s="32" t="str">
        <x:v>Alta</x:v>
      </x:c>
      <x:c r="H21" s="32" t="str">
        <x:v>El archivo contiene contrato de datos y UI, pero no la unión.</x:v>
      </x:c>
    </x:row>
    <x:row r="22">
      <x:c r="A22" s="32" t="str">
        <x:v>LF-018</x:v>
      </x:c>
      <x:c r="B22" s="32" t="str">
        <x:v>No runtime wrapper resolver encontrado</x:v>
      </x:c>
      <x:c r="C22" s="32" t="str">
        <x:v>IDs runtime del ContentState aparecen en builders/tests, pero no hay callback productivo que cambie backdrop runtime.</x:v>
      </x:c>
      <x:c r="D22" s="32" t="str">
        <x:v>búsqueda global ada-ui / archive</x:v>
      </x:c>
      <x:c r="E22" s="32" t="str">
        <x:v>NUEVO</x:v>
      </x:c>
      <x:c r="F22" s="32" t="str">
        <x:v>Crear Content State Resolver separado de Time Status UI.</x:v>
      </x:c>
      <x:c r="G22" s="32" t="str">
        <x:v>Alta</x:v>
      </x:c>
      <x:c r="H22" s="32" t="str">
        <x:v>No inferir que el stale viejo estaba completo E2E.</x:v>
      </x:c>
    </x:row>
    <x:row r="23">
      <x:c r="A23" s="32" t="str">
        <x:v>LF-019</x:v>
      </x:c>
      <x:c r="B23" s="32" t="str">
        <x:v>No popover legacy</x:v>
      </x:c>
      <x:c r="C23" s="32" t="str">
        <x:v>OperationalStatusBar sólo muestra PI/Dispatch + current time; no flyout/modal/detail.</x:v>
      </x:c>
      <x:c r="D23" s="32" t="str">
        <x:v>status/builders.py + CSS</x:v>
      </x:c>
      <x:c r="E23" s="32" t="str">
        <x:v>NUEVO</x:v>
      </x:c>
      <x:c r="F23" s="32" t="str">
        <x:v>Anchored clickable popover controlado por JS.</x:v>
      </x:c>
      <x:c r="G23" s="32" t="str">
        <x:v>Alta</x:v>
      </x:c>
      <x:c r="H23" s="32" t="str">
        <x:v>Debe permanecer abierto durante Interval.</x:v>
      </x:c>
    </x:row>
    <x:row r="24">
      <x:c r="A24" s="32" t="str">
        <x:v>LF-020</x:v>
      </x:c>
      <x:c r="B24" s="32" t="str">
        <x:v>Current display-status differs</x:v>
      </x:c>
      <x:c r="C24" s="32" t="str">
        <x:v>latest-v4 tiene DisplayStatus OK/NOT_MAPPED/EMPTY/INVALID/ERROR para valores, no freshness/content state.</x:v>
      </x:c>
      <x:c r="D24" s="32" t="str">
        <x:v>scopes/ada/web/ui/display-status en latest-v4</x:v>
      </x:c>
      <x:c r="E24" s="32" t="str">
        <x:v>NO MEZCLAR</x:v>
      </x:c>
      <x:c r="F24" s="32" t="str">
        <x:v>Mantener display-status y ContentState como capabilities distintas.</x:v>
      </x:c>
      <x:c r="G24" s="32" t="str">
        <x:v>Alta</x:v>
      </x:c>
      <x:c r="H24" s="32" t="str">
        <x:v>Una maneja validez de dato; otra disponibilidad temporal/construcción del contenido.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50" hidden="0" customWidth="1"/>
    <x:col min="4" max="4" width="35" hidden="0" customWidth="1"/>
    <x:col min="5" max="5" width="24" hidden="0" customWidth="1"/>
    <x:col min="6" max="6" width="37" hidden="0" customWidth="1"/>
    <x:col min="7" max="7" width="18" hidden="0" customWidth="1"/>
    <x:col min="8" max="8" width="44" hidden="0" customWidth="1"/>
  </x:cols>
  <x:sheetData>
    <x:row r="1" ht="30" customHeight="1">
      <x:c r="A1" s="4" t="str">
        <x:v>Arquitectura objetivo propuesta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Separa datos, presentación, interacción client-side y estado de contenido. Nombres exactos de clases/packages aún no congelados.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Capa</x:v>
      </x:c>
      <x:c r="B4" s="19" t="str">
        <x:v>Entrada</x:v>
      </x:c>
      <x:c r="C4" s="19" t="str">
        <x:v>Responsabilidad</x:v>
      </x:c>
      <x:c r="D4" s="19" t="str">
        <x:v>Salida</x:v>
      </x:c>
      <x:c r="E4" s="19" t="str">
        <x:v>Owner sugerido</x:v>
      </x:c>
      <x:c r="F4" s="19" t="str">
        <x:v>No debe conocer</x:v>
      </x:c>
      <x:c r="G4" s="19" t="str">
        <x:v>Estado</x:v>
      </x:c>
      <x:c r="H4" s="19" t="str">
        <x:v>Notas</x:v>
      </x:c>
    </x:row>
    <x:row r="5">
      <x:c r="A5" s="32" t="str">
        <x:v>Collector / Time Status Store</x:v>
      </x:c>
      <x:c r="B5" s="32" t="str">
        <x:v>estado pequeño por Tool</x:v>
      </x:c>
      <x:c r="C5" s="32" t="str">
        <x:v>Publicar timestamps/freshness operacionales sin lógica UI.</x:v>
      </x:c>
      <x:c r="D5" s="32" t="str">
        <x:v>Store/snapshot de time status</x:v>
      </x:c>
      <x:c r="E5" s="32" t="str">
        <x:v>Backend/Collector</x:v>
      </x:c>
      <x:c r="F5" s="32" t="str">
        <x:v>Dash, popover, wrappers</x:v>
      </x:c>
      <x:c r="G5" s="32" t="str">
        <x:v>EXISTE CONCEPTUAL</x:v>
      </x:c>
      <x:c r="H5" s="32" t="str">
        <x:v>Contrato actual exacto debe verificarse cuando backend quede estable.</x:v>
      </x:c>
    </x:row>
    <x:row r="6">
      <x:c r="A6" s="32" t="str">
        <x:v>Tool composition</x:v>
      </x:c>
      <x:c r="B6" s="32" t="str">
        <x:v>Tool + consumos + store</x:v>
      </x:c>
      <x:c r="C6" s="32" t="str">
        <x:v>Seleccionar sólo entradas relevantes para la Tool y clasificarlas por rol.</x:v>
      </x:c>
      <x:c r="D6" s="32" t="str">
        <x:v>TimeStatusState + dependencia freshness</x:v>
      </x:c>
      <x:c r="E6" s="32" t="str">
        <x:v>Web Composition</x:v>
      </x:c>
      <x:c r="F6" s="32" t="str">
        <x:v>Detalles internos del Collector</x:v>
      </x:c>
      <x:c r="G6" s="32" t="str">
        <x:v>NUEVO</x:v>
      </x:c>
      <x:c r="H6" s="32" t="str">
        <x:v>No poner show_in_popover/show_in_header dentro del Collector.</x:v>
      </x:c>
    </x:row>
    <x:row r="7">
      <x:c r="A7" s="32" t="str">
        <x:v>Time Status Summary</x:v>
      </x:c>
      <x:c r="B7" s="32" t="str">
        <x:v>PI? + Dispatch?</x:v>
      </x:c>
      <x:c r="C7" s="32" t="str">
        <x:v>Mostrar únicamente PI/Dispatch como relative age y estado visual.</x:v>
      </x:c>
      <x:c r="D7" s="32" t="str">
        <x:v>DOM summary trigger</x:v>
      </x:c>
      <x:c r="E7" s="32" t="str">
        <x:v>Web UI</x:v>
      </x:c>
      <x:c r="F7" s="32" t="str">
        <x:v>KPI config, Collector internals</x:v>
      </x:c>
      <x:c r="G7" s="32" t="str">
        <x:v>RECUPERAR</x:v>
      </x:c>
      <x:c r="H7" s="32" t="str">
        <x:v>En ADA PI siempre se inyecta; Dispatch depende de Tool.</x:v>
      </x:c>
    </x:row>
    <x:row r="8">
      <x:c r="A8" s="32" t="str">
        <x:v>Time Status Detail</x:v>
      </x:c>
      <x:c r="B8" s="32" t="str">
        <x:v>entradas dinámicas consumidas</x:v>
      </x:c>
      <x:c r="C8" s="32" t="str">
        <x:v>Mostrar fuente/consumo + última fecha/hora real.</x:v>
      </x:c>
      <x:c r="D8" s="32" t="str">
        <x:v>Anchored detail rows</x:v>
      </x:c>
      <x:c r="E8" s="32" t="str">
        <x:v>Web UI</x:v>
      </x:c>
      <x:c r="F8" s="32" t="str">
        <x:v>Freshness resolver</x:v>
      </x:c>
      <x:c r="G8" s="32" t="str">
        <x:v>NUEVO</x:v>
      </x:c>
      <x:c r="H8" s="32" t="str">
        <x:v>No mostrar 'hace N'; mostrar timestamp.</x:v>
      </x:c>
    </x:row>
    <x:row r="9">
      <x:c r="A9" s="32" t="str">
        <x:v>Time Status JS Controller</x:v>
      </x:c>
      <x:c r="B9" s="32" t="str">
        <x:v>trigger + detail DOM + updates</x:v>
      </x:c>
      <x:c r="C9" s="32" t="str">
        <x:v>Mantener is_open client-side, reanclar tras rerender, cerrar sólo por interacción explícita.</x:v>
      </x:c>
      <x:c r="D9" s="32" t="str">
        <x:v>Popover estable</x:v>
      </x:c>
      <x:c r="E9" s="32" t="str">
        <x:v>Web JS</x:v>
      </x:c>
      <x:c r="F9" s="32" t="str">
        <x:v>Collector, KPI Configuration</x:v>
      </x:c>
      <x:c r="G9" s="32" t="str">
        <x:v>NUEVO</x:v>
      </x:c>
      <x:c r="H9" s="32" t="str">
        <x:v>Interval/data refresh nunca debe cerrar el popover.</x:v>
      </x:c>
    </x:row>
    <x:row r="10">
      <x:c r="A10" s="32" t="str">
        <x:v>Freshness classification</x:v>
      </x:c>
      <x:c r="B10" s="32" t="str">
        <x:v>store + políticas</x:v>
      </x:c>
      <x:c r="C10" s="32" t="str">
        <x:v>Decidir qué entradas conducen STALE y con qué threshold/estado.</x:v>
      </x:c>
      <x:c r="D10" s="32" t="str">
        <x:v>SourceFreshnessState</x:v>
      </x:c>
      <x:c r="E10" s="32" t="str">
        <x:v>Web/Domain adapter</x:v>
      </x:c>
      <x:c r="F10" s="32" t="str">
        <x:v>Presentación del popover</x:v>
      </x:c>
      <x:c r="G10" s="32" t="str">
        <x:v>NUEVO</x:v>
      </x:c>
      <x:c r="H10" s="32" t="str">
        <x:v>Una entrada puede ir al popover sin causar STALE.</x:v>
      </x:c>
    </x:row>
    <x:row r="11">
      <x:c r="A11" s="32" t="str">
        <x:v>Dependency resolver</x:v>
      </x:c>
      <x:c r="B11" s="32" t="str">
        <x:v>source freshness + dependencias de Tool/componentes</x:v>
      </x:c>
      <x:c r="C11" s="32" t="str">
        <x:v>Resolver qué superficies quedan READY/STALE.</x:v>
      </x:c>
      <x:c r="D11" s="32" t="str">
        <x:v>Content state por state_key</x:v>
      </x:c>
      <x:c r="E11" s="32" t="str">
        <x:v>Web Composition</x:v>
      </x:c>
      <x:c r="F11" s="32" t="str">
        <x:v>CSS/JS del wrapper</x:v>
      </x:c>
      <x:c r="G11" s="32" t="str">
        <x:v>NUEVO</x:v>
      </x:c>
      <x:c r="H11" s="32" t="str">
        <x:v>Debe ser explícito e inyectable.</x:v>
      </x:c>
    </x:row>
    <x:row r="12">
      <x:c r="A12" s="32" t="str">
        <x:v>Content State Wrapper</x:v>
      </x:c>
      <x:c r="B12" s="32" t="str">
        <x:v>ContentStateView</x:v>
      </x:c>
      <x:c r="C12" s="32" t="str">
        <x:v>Cubrir contenido con READY/STALE/CONSTRUCTION sin cambiar layout.</x:v>
      </x:c>
      <x:c r="D12" s="32" t="str">
        <x:v>Wrapper DOM</x:v>
      </x:c>
      <x:c r="E12" s="32" t="str">
        <x:v>Web UI reusable</x:v>
      </x:c>
      <x:c r="F12" s="32" t="str">
        <x:v>Collector, Time Status</x:v>
      </x:c>
      <x:c r="G12" s="32" t="str">
        <x:v>RECUPERAR</x:v>
      </x:c>
      <x:c r="H12" s="32" t="str">
        <x:v>Construction estático; stale runtime.</x:v>
      </x:c>
    </x:row>
    <x:row r="13">
      <x:c r="A13" s="32" t="str">
        <x:v>Construction declaration</x:v>
      </x:c>
      <x:c r="B13" s="32" t="str">
        <x:v>config/composición</x:v>
      </x:c>
      <x:c r="C13" s="32" t="str">
        <x:v>Marcar superficies aún no disponibles.</x:v>
      </x:c>
      <x:c r="D13" s="32" t="str">
        <x:v>CONSTRUCTION</x:v>
      </x:c>
      <x:c r="E13" s="32" t="str">
        <x:v>Composition</x:v>
      </x:c>
      <x:c r="F13" s="32" t="str">
        <x:v>Freshness</x:v>
      </x:c>
      <x:c r="G13" s="32" t="str">
        <x:v>RECUPERAR</x:v>
      </x:c>
      <x:c r="H13" s="32" t="str">
        <x:v>Precedencia propuesta sobre STALE.</x:v>
      </x:c>
    </x:row>
    <x:row r="14">
      <x:c r="A14" s="32" t="str">
        <x:v>KPI Inspection Surface</x:v>
      </x:c>
      <x:c r="B14" s="32" t="str">
        <x:v>data-kpi-inspection-key</x:v>
      </x:c>
      <x:c r="C14" s="32" t="str">
        <x:v>Continuar funcionando independiente del Time Status.</x:v>
      </x:c>
      <x:c r="D14" s="32" t="str">
        <x:v>Bottom inspector</x:v>
      </x:c>
      <x:c r="E14" s="32" t="str">
        <x:v>Web Inspection</x:v>
      </x:c>
      <x:c r="F14" s="32" t="str">
        <x:v>Time Status store</x:v>
      </x:c>
      <x:c r="G14" s="32" t="str">
        <x:v>CERRADO</x:v>
      </x:c>
      <x:c r="H14" s="32" t="str">
        <x:v>Preview visual todavía pendiente.</x:v>
      </x:c>
    </x:row>
    <x:row r="17">
      <x:c r="A17" s="26" t="str">
        <x:v>Flujos objetivo</x:v>
      </x:c>
      <x:c r="B17" s="26"/>
      <x:c r="C17" s="26"/>
      <x:c r="D17" s="26"/>
      <x:c r="E17" s="26"/>
      <x:c r="F17" s="26"/>
      <x:c r="G17" s="26"/>
      <x:c r="H17" s="26"/>
    </x:row>
    <x:row r="18">
      <x:c r="A18" s="32" t="str">
        <x:v>A. Summary</x:v>
      </x:c>
      <x:c r="B18" s="32" t="str">
        <x:v>Collector Time Status Store → composition → PI/Dispatch → Time Status Summary</x:v>
      </x:c>
    </x:row>
    <x:row r="19">
      <x:c r="A19" s="32" t="str">
        <x:v>B. Detail</x:v>
      </x:c>
      <x:c r="B19" s="32" t="str">
        <x:v>Collector Time Status Store → Tool consumption filter → dynamic detail rows → JS anchored popover</x:v>
      </x:c>
    </x:row>
    <x:row r="20">
      <x:c r="A20" s="32" t="str">
        <x:v>C. Stale</x:v>
      </x:c>
      <x:c r="B20" s="32" t="str">
        <x:v>Collector Time Status Store → freshness policy → dependency resolver → ContentState.STALE wrapper</x:v>
      </x:c>
    </x:row>
    <x:row r="21">
      <x:c r="A21" s="32" t="str">
        <x:v>D. Construction</x:v>
      </x:c>
      <x:c r="B21" s="32" t="str">
        <x:v>component declaration/config → ContentState.CONSTRUCTION wrapper</x:v>
      </x:c>
    </x:row>
    <x:row r="22">
      <x:c r="A22" s="32" t="str">
        <x:v>E. Interaction</x:v>
      </x:c>
      <x:c r="B22" s="32" t="str">
        <x:v>Interval actualiza datos/DOM → JS conserva is_open → re-resuelve anchor → popover sigue abierto</x:v>
      </x:c>
    </x:row>
  </x:sheetData>
  <x:mergeCells>
    <x:mergeCell ref="A1:H1"/>
    <x:mergeCell ref="A2:H2"/>
    <x:mergeCell ref="A17:H1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18" hidden="0" customWidth="1"/>
    <x:col min="4" max="4" width="36" hidden="0" customWidth="1"/>
    <x:col min="5" max="5" width="48" hidden="0" customWidth="1"/>
    <x:col min="6" max="6" width="30" hidden="0" customWidth="1"/>
    <x:col min="7" max="7" width="18" hidden="0" customWidth="1"/>
    <x:col min="8" max="8" width="40" hidden="0" customWidth="1"/>
    <x:col min="9" max="9" width="10" hidden="0" customWidth="1"/>
    <x:col min="10" max="10" width="14" hidden="0" customWidth="1"/>
    <x:col min="11" max="11" width="18" hidden="0" customWidth="1"/>
    <x:col min="12" max="12" width="44" hidden="0" customWidth="1"/>
  </x:cols>
  <x:sheetData>
    <x:row r="1" ht="30" customHeight="1">
      <x:c r="A1" s="4" t="str">
        <x:v>Roadmap de implementación y validación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2" customHeight="1">
      <x:c r="A2" s="11" t="str">
        <x:v>Orden recomendado: validar visualmente KPI Inspection; recuperar Time Status en línea; luego Content State. Cosmos y Body permanecen diferidos.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4">
      <x:c r="A4" s="19" t="str">
        <x:v>ID</x:v>
      </x:c>
      <x:c r="B4" s="19" t="str">
        <x:v>Track</x:v>
      </x:c>
      <x:c r="C4" s="19" t="str">
        <x:v>Fase</x:v>
      </x:c>
      <x:c r="D4" s="19" t="str">
        <x:v>Incremento / tarea</x:v>
      </x:c>
      <x:c r="E4" s="19" t="str">
        <x:v>Objetivo</x:v>
      </x:c>
      <x:c r="F4" s="19" t="str">
        <x:v>Dependencias</x:v>
      </x:c>
      <x:c r="G4" s="19" t="str">
        <x:v>Cambio productivo</x:v>
      </x:c>
      <x:c r="H4" s="19" t="str">
        <x:v>Gate / evidencia</x:v>
      </x:c>
      <x:c r="I4" s="19" t="str">
        <x:v>Prioridad</x:v>
      </x:c>
      <x:c r="J4" s="19" t="str">
        <x:v>Estado</x:v>
      </x:c>
      <x:c r="K4" s="19" t="str">
        <x:v>Owner</x:v>
      </x:c>
      <x:c r="L4" s="19" t="str">
        <x:v>Notas</x:v>
      </x:c>
    </x:row>
    <x:row r="5">
      <x:c r="A5" s="32" t="str">
        <x:v>KIV-000</x:v>
      </x:c>
      <x:c r="B5" s="32" t="str">
        <x:v>KPI Inspection Visual</x:v>
      </x:c>
      <x:c r="C5" s="32" t="str">
        <x:v>Preview</x:v>
      </x:c>
      <x:c r="D5" s="32" t="str">
        <x:v>Interactive preview composition</x:v>
      </x:c>
      <x:c r="E5" s="32" t="str">
        <x:v>Montar aplicación local real con Global Indicators + Inspection Surface + API + Snapshot in-memory.</x:v>
      </x:c>
      <x:c r="F5" s="32" t="str">
        <x:v>KI-010B</x:v>
      </x:c>
      <x:c r="G5" s="32" t="str">
        <x:v>Harness/preview sólo</x:v>
      </x:c>
      <x:c r="H5" s="32" t="str">
        <x:v>App levanta y muestra triggers reales</x:v>
      </x:c>
      <x:c r="I5" s="32" t="str">
        <x:v>P0</x:v>
      </x:c>
      <x:c r="J5" s="32" t="str">
        <x:v>PENDIENTE</x:v>
      </x:c>
      <x:c r="K5" s="32" t="str">
        <x:v>Web/UI</x:v>
      </x:c>
      <x:c r="L5" s="32" t="str">
        <x:v>No Cosmos.</x:v>
      </x:c>
    </x:row>
    <x:row r="6">
      <x:c r="A6" s="32" t="str">
        <x:v>KIV-001</x:v>
      </x:c>
      <x:c r="B6" s="32" t="str">
        <x:v>KPI Inspection Visual</x:v>
      </x:c>
      <x:c r="C6" s="32" t="str">
        <x:v>Interaction</x:v>
      </x:c>
      <x:c r="D6" s="32" t="str">
        <x:v>Sequential KPI switching</x:v>
      </x:c>
      <x:c r="E6" s="32" t="str">
        <x:v>Abrir KPI A y luego B/C sin cerrar el panel; validar missing/empty/populated.</x:v>
      </x:c>
      <x:c r="F6" s="32" t="str">
        <x:v>KIV-000</x:v>
      </x:c>
      <x:c r="G6" s="32" t="str">
        <x:v>No</x:v>
      </x:c>
      <x:c r="H6" s="32" t="str">
        <x:v>Smoke visual + comportamiento</x:v>
      </x:c>
      <x:c r="I6" s="32" t="str">
        <x:v>P0</x:v>
      </x:c>
      <x:c r="J6" s="32" t="str">
        <x:v>PENDIENTE</x:v>
      </x:c>
      <x:c r="K6" s="32" t="str">
        <x:v>Web/UI</x:v>
      </x:c>
      <x:c r="L6" s="32" t="str">
        <x:v>El mismo inspector debe permanecer abierto.</x:v>
      </x:c>
    </x:row>
    <x:row r="7">
      <x:c r="A7" s="32" t="str">
        <x:v>KIV-002</x:v>
      </x:c>
      <x:c r="B7" s="32" t="str">
        <x:v>KPI Inspection Visual</x:v>
      </x:c>
      <x:c r="C7" s="32" t="str">
        <x:v>Interaction</x:v>
      </x:c>
      <x:c r="D7" s="32" t="str">
        <x:v>Rapid click/race behavior</x:v>
      </x:c>
      <x:c r="E7" s="32" t="str">
        <x:v>Validar AbortController/requestSequence con clicks rápidos.</x:v>
      </x:c>
      <x:c r="F7" s="32" t="str">
        <x:v>KIV-000</x:v>
      </x:c>
      <x:c r="G7" s="32" t="str">
        <x:v>No</x:v>
      </x:c>
      <x:c r="H7" s="32" t="str">
        <x:v>Sólo el último KPI pinta resultado</x:v>
      </x:c>
      <x:c r="I7" s="32" t="str">
        <x:v>P0</x:v>
      </x:c>
      <x:c r="J7" s="32" t="str">
        <x:v>PENDIENTE</x:v>
      </x:c>
      <x:c r="K7" s="32" t="str">
        <x:v>Web/UI</x:v>
      </x:c>
      <x:c r="L7" s="32" t="str">
        <x:v>Evitar respuesta stale.</x:v>
      </x:c>
    </x:row>
    <x:row r="8">
      <x:c r="A8" s="32" t="str">
        <x:v>KIV-003</x:v>
      </x:c>
      <x:c r="B8" s="32" t="str">
        <x:v>KPI Inspection Visual</x:v>
      </x:c>
      <x:c r="C8" s="32" t="str">
        <x:v>Resilience</x:v>
      </x:c>
      <x:c r="D8" s="32" t="str">
        <x:v>Open inspector during rerender</x:v>
      </x:c>
      <x:c r="E8" s="32" t="str">
        <x:v>Mantener panel abierto mientras Global Indicator rerenderiza.</x:v>
      </x:c>
      <x:c r="F8" s="32" t="str">
        <x:v>KIV-000; KI-010</x:v>
      </x:c>
      <x:c r="G8" s="32" t="str">
        <x:v>No</x:v>
      </x:c>
      <x:c r="H8" s="32" t="str">
        <x:v>Smoke con Interval</x:v>
      </x:c>
      <x:c r="I8" s="32" t="str">
        <x:v>P0</x:v>
      </x:c>
      <x:c r="J8" s="32" t="str">
        <x:v>PENDIENTE</x:v>
      </x:c>
      <x:c r="K8" s="32" t="str">
        <x:v>Web/UI</x:v>
      </x:c>
      <x:c r="L8" s="32" t="str">
        <x:v>Revalidar visualmente además del harness.</x:v>
      </x:c>
    </x:row>
    <x:row r="9">
      <x:c r="A9" s="32" t="str">
        <x:v>KIV-004</x:v>
      </x:c>
      <x:c r="B9" s="32" t="str">
        <x:v>KPI Inspection Visual</x:v>
      </x:c>
      <x:c r="C9" s="32" t="str">
        <x:v>UX</x:v>
      </x:c>
      <x:c r="D9" s="32" t="str">
        <x:v>Close/accessibility behavior</x:v>
      </x:c>
      <x:c r="E9" s="32" t="str">
        <x:v>Validar X, backdrop, Escape, Enter/Space, focus restore.</x:v>
      </x:c>
      <x:c r="F9" s="32" t="str">
        <x:v>KIV-000</x:v>
      </x:c>
      <x:c r="G9" s="32" t="str">
        <x:v>No</x:v>
      </x:c>
      <x:c r="H9" s="32" t="str">
        <x:v>Checklist visual/keyboard</x:v>
      </x:c>
      <x:c r="I9" s="32" t="str">
        <x:v>P1</x:v>
      </x:c>
      <x:c r="J9" s="32" t="str">
        <x:v>PENDIENTE</x:v>
      </x:c>
      <x:c r="K9" s="32" t="str">
        <x:v>Web/UI</x:v>
      </x:c>
      <x:c r="L9" s="32" t="str"/>
    </x:row>
    <x:row r="10">
      <x:c r="A10" s="32" t="str">
        <x:v>KIV-005</x:v>
      </x:c>
      <x:c r="B10" s="32" t="str">
        <x:v>KPI Inspection Visual</x:v>
      </x:c>
      <x:c r="C10" s="32" t="str">
        <x:v>Freeze</x:v>
      </x:c>
      <x:c r="D10" s="32" t="str">
        <x:v>Visual calibration &amp; freeze</x:v>
      </x:c>
      <x:c r="E10" s="32" t="str">
        <x:v>Ajustar altura, spacing, copy, backdrop y layout de fields; congelar diseño piloto.</x:v>
      </x:c>
      <x:c r="F10" s="32" t="str">
        <x:v>KIV-001..004</x:v>
      </x:c>
      <x:c r="G10" s="32" t="str">
        <x:v>Sí, sólo Surface si se acuerda</x:v>
      </x:c>
      <x:c r="H10" s="32" t="str">
        <x:v>Aprobación visual usuario</x:v>
      </x:c>
      <x:c r="I10" s="32" t="str">
        <x:v>P0</x:v>
      </x:c>
      <x:c r="J10" s="32" t="str">
        <x:v>PENDIENTE</x:v>
      </x:c>
      <x:c r="K10" s="32" t="str">
        <x:v>Web/UI</x:v>
      </x:c>
      <x:c r="L10" s="32" t="str">
        <x:v>No continuar adopters antes del freeze.</x:v>
      </x:c>
    </x:row>
    <x:row r="11">
      <x:c r="A11" s="32" t="str">
        <x:v>TS-000</x:v>
      </x:c>
      <x:c r="B11" s="32" t="str">
        <x:v>Time Status</x:v>
      </x:c>
      <x:c r="C11" s="32" t="str">
        <x:v>Discovery</x:v>
      </x:c>
      <x:c r="D11" s="32" t="str">
        <x:v>Legacy contract recovery</x:v>
      </x:c>
      <x:c r="E11" s="32" t="str">
        <x:v>Analizar status, SOURCE_TIME_STORE y ContentState del archive completo.</x:v>
      </x:c>
      <x:c r="F11" s="32" t="str">
        <x:v>—</x:v>
      </x:c>
      <x:c r="G11" s="32" t="str">
        <x:v>No</x:v>
      </x:c>
      <x:c r="H11" s="32" t="str">
        <x:v>Análisis + planner</x:v>
      </x:c>
      <x:c r="I11" s="32" t="str">
        <x:v>P0</x:v>
      </x:c>
      <x:c r="J11" s="32" t="str">
        <x:v>CERRADO</x:v>
      </x:c>
      <x:c r="K11" s="32" t="str">
        <x:v>Architecture</x:v>
      </x:c>
      <x:c r="L11" s="32" t="str">
        <x:v>Completado en este planner.</x:v>
      </x:c>
    </x:row>
    <x:row r="12">
      <x:c r="A12" s="32" t="str">
        <x:v>TS-001</x:v>
      </x:c>
      <x:c r="B12" s="32" t="str">
        <x:v>Time Status</x:v>
      </x:c>
      <x:c r="C12" s="32" t="str">
        <x:v>Design</x:v>
      </x:c>
      <x:c r="D12" s="32" t="str">
        <x:v>Freeze Time Status contract</x:v>
      </x:c>
      <x:c r="E12" s="32" t="str">
        <x:v>Congelar summary PI/Dispatch, detail dinámico, current time y opcionalidad reusable.</x:v>
      </x:c>
      <x:c r="F12" s="32" t="str">
        <x:v>TS-000</x:v>
      </x:c>
      <x:c r="G12" s="32" t="str">
        <x:v>No</x:v>
      </x:c>
      <x:c r="H12" s="32" t="str">
        <x:v>Contract tests/decision</x:v>
      </x:c>
      <x:c r="I12" s="32" t="str">
        <x:v>P0</x:v>
      </x:c>
      <x:c r="J12" s="32" t="str">
        <x:v>PENDIENTE</x:v>
      </x:c>
      <x:c r="K12" s="32" t="str">
        <x:v>Architecture</x:v>
      </x:c>
      <x:c r="L12" s="32" t="str">
        <x:v>PI obligatorio sólo en composición ADA.</x:v>
      </x:c>
    </x:row>
    <x:row r="13">
      <x:c r="A13" s="32" t="str">
        <x:v>TS-002</x:v>
      </x:c>
      <x:c r="B13" s="32" t="str">
        <x:v>Time Status</x:v>
      </x:c>
      <x:c r="C13" s="32" t="str">
        <x:v>UI</x:v>
      </x:c>
      <x:c r="D13" s="32" t="str">
        <x:v>Summary component</x:v>
      </x:c>
      <x:c r="E13" s="32" t="str">
        <x:v>Reconstruir Time Status Summary modular en arquitectura latest-v4.</x:v>
      </x:c>
      <x:c r="F13" s="32" t="str">
        <x:v>TS-001</x:v>
      </x:c>
      <x:c r="G13" s="32" t="str">
        <x:v>Sí</x:v>
      </x:c>
      <x:c r="H13" s="32" t="str">
        <x:v>Unit/presentation/mirror</x:v>
      </x:c>
      <x:c r="I13" s="32" t="str">
        <x:v>P0</x:v>
      </x:c>
      <x:c r="J13" s="32" t="str">
        <x:v>PENDIENTE</x:v>
      </x:c>
      <x:c r="K13" s="32" t="str">
        <x:v>Web/UI</x:v>
      </x:c>
      <x:c r="L13" s="32" t="str">
        <x:v>Sólo PI/Dispatch + reloj.</x:v>
      </x:c>
    </x:row>
    <x:row r="14">
      <x:c r="A14" s="32" t="str">
        <x:v>TS-003</x:v>
      </x:c>
      <x:c r="B14" s="32" t="str">
        <x:v>Time Status</x:v>
      </x:c>
      <x:c r="C14" s="32" t="str">
        <x:v>Client</x:v>
      </x:c>
      <x:c r="D14" s="32" t="str">
        <x:v>Local current datetime</x:v>
      </x:c>
      <x:c r="E14" s="32" t="str">
        <x:v>Recuperar reloj JS local independiente de Dash/servidor.</x:v>
      </x:c>
      <x:c r="F14" s="32" t="str">
        <x:v>TS-002</x:v>
      </x:c>
      <x:c r="G14" s="32" t="str">
        <x:v>Sí</x:v>
      </x:c>
      <x:c r="H14" s="32" t="str">
        <x:v>JS syntax + clock marker tests</x:v>
      </x:c>
      <x:c r="I14" s="32" t="str">
        <x:v>P1</x:v>
      </x:c>
      <x:c r="J14" s="32" t="str">
        <x:v>PENDIENTE</x:v>
      </x:c>
      <x:c r="K14" s="32" t="str">
        <x:v>Web/JS</x:v>
      </x:c>
      <x:c r="L14" s="32" t="str">
        <x:v>No usar polling backend para reloj.</x:v>
      </x:c>
    </x:row>
    <x:row r="15">
      <x:c r="A15" s="32" t="str">
        <x:v>TS-004</x:v>
      </x:c>
      <x:c r="B15" s="32" t="str">
        <x:v>Time Status</x:v>
      </x:c>
      <x:c r="C15" s="32" t="str">
        <x:v>Data contract</x:v>
      </x:c>
      <x:c r="D15" s="32" t="str">
        <x:v>Time Status store adapter contract</x:v>
      </x:c>
      <x:c r="E15" s="32" t="str">
        <x:v>Definir puerto/adaptador que reciba el store de Collector sin acoplar UI al backend.</x:v>
      </x:c>
      <x:c r="F15" s="32" t="str">
        <x:v>TS-001; DATA-001</x:v>
      </x:c>
      <x:c r="G15" s="32" t="str">
        <x:v>Sí</x:v>
      </x:c>
      <x:c r="H15" s="32" t="str">
        <x:v>Fake provider/store tests</x:v>
      </x:c>
      <x:c r="I15" s="32" t="str">
        <x:v>P0</x:v>
      </x:c>
      <x:c r="J15" s="32" t="str">
        <x:v>PENDIENTE</x:v>
      </x:c>
      <x:c r="K15" s="32" t="str">
        <x:v>Web/Adapter</x:v>
      </x:c>
      <x:c r="L15" s="32" t="str">
        <x:v>Puede adelantarse con fake si backend sigue cambiando.</x:v>
      </x:c>
    </x:row>
    <x:row r="16">
      <x:c r="A16" s="32" t="str">
        <x:v>TS-005</x:v>
      </x:c>
      <x:c r="B16" s="32" t="str">
        <x:v>Time Status</x:v>
      </x:c>
      <x:c r="C16" s="32" t="str">
        <x:v>Detail UI</x:v>
      </x:c>
      <x:c r="D16" s="32" t="str">
        <x:v>Anchored detail surface</x:v>
      </x:c>
      <x:c r="E16" s="32" t="str">
        <x:v>Crear extensión/popover anclada, sin modal/backdrop ni reflow.</x:v>
      </x:c>
      <x:c r="F16" s="32" t="str">
        <x:v>TS-002</x:v>
      </x:c>
      <x:c r="G16" s="32" t="str">
        <x:v>Sí</x:v>
      </x:c>
      <x:c r="H16" s="32" t="str">
        <x:v>DOM/CSS contract</x:v>
      </x:c>
      <x:c r="I16" s="32" t="str">
        <x:v>P0</x:v>
      </x:c>
      <x:c r="J16" s="32" t="str">
        <x:v>PENDIENTE</x:v>
      </x:c>
      <x:c r="K16" s="32" t="str">
        <x:v>Web/UI</x:v>
      </x:c>
      <x:c r="L16" s="32" t="str">
        <x:v>Overlay local debajo del Time Status.</x:v>
      </x:c>
    </x:row>
    <x:row r="17">
      <x:c r="A17" s="32" t="str">
        <x:v>TS-006</x:v>
      </x:c>
      <x:c r="B17" s="32" t="str">
        <x:v>Time Status</x:v>
      </x:c>
      <x:c r="C17" s="32" t="str">
        <x:v>Client</x:v>
      </x:c>
      <x:c r="D17" s="32" t="str">
        <x:v>Popover JS controller</x:v>
      </x:c>
      <x:c r="E17" s="32" t="str">
        <x:v>Estado open/closed client-side; click toggle, outside click, Escape, keyboard.</x:v>
      </x:c>
      <x:c r="F17" s="32" t="str">
        <x:v>TS-005</x:v>
      </x:c>
      <x:c r="G17" s="32" t="str">
        <x:v>Sí</x:v>
      </x:c>
      <x:c r="H17" s="32" t="str">
        <x:v>JS tests + node --check</x:v>
      </x:c>
      <x:c r="I17" s="32" t="str">
        <x:v>P0</x:v>
      </x:c>
      <x:c r="J17" s="32" t="str">
        <x:v>PENDIENTE</x:v>
      </x:c>
      <x:c r="K17" s="32" t="str">
        <x:v>Web/JS</x:v>
      </x:c>
      <x:c r="L17" s="32" t="str">
        <x:v>No depender de callbacks Dash.</x:v>
      </x:c>
    </x:row>
    <x:row r="18">
      <x:c r="A18" s="32" t="str">
        <x:v>TS-007</x:v>
      </x:c>
      <x:c r="B18" s="32" t="str">
        <x:v>Time Status</x:v>
      </x:c>
      <x:c r="C18" s="32" t="str">
        <x:v>Resilience</x:v>
      </x:c>
      <x:c r="D18" s="32" t="str">
        <x:v>Popover survives Interval</x:v>
      </x:c>
      <x:c r="E18" s="32" t="str">
        <x:v>Actualizar summary/detail y reanclar tras rerender sin cerrar.</x:v>
      </x:c>
      <x:c r="F18" s="32" t="str">
        <x:v>TS-006</x:v>
      </x:c>
      <x:c r="G18" s="32" t="str">
        <x:v>No/Tests</x:v>
      </x:c>
      <x:c r="H18" s="32" t="str">
        <x:v>dcc.Interval harness + browser smoke</x:v>
      </x:c>
      <x:c r="I18" s="32" t="str">
        <x:v>P0</x:v>
      </x:c>
      <x:c r="J18" s="32" t="str">
        <x:v>PENDIENTE</x:v>
      </x:c>
      <x:c r="K18" s="32" t="str">
        <x:v>Web/Validation</x:v>
      </x:c>
      <x:c r="L18" s="32" t="str">
        <x:v>is_open y data deben ser estados independientes.</x:v>
      </x:c>
    </x:row>
    <x:row r="19">
      <x:c r="A19" s="32" t="str">
        <x:v>TS-008</x:v>
      </x:c>
      <x:c r="B19" s="32" t="str">
        <x:v>Time Status</x:v>
      </x:c>
      <x:c r="C19" s="32" t="str">
        <x:v>Composition</x:v>
      </x:c>
      <x:c r="D19" s="32" t="str">
        <x:v>Dynamic detail under consumption</x:v>
      </x:c>
      <x:c r="E19" s="32" t="str">
        <x:v>Mostrar sólo entradas consumidas por la Tool, con nombre + timestamp real.</x:v>
      </x:c>
      <x:c r="F19" s="32" t="str">
        <x:v>TS-004; TS-005; DATA-003</x:v>
      </x:c>
      <x:c r="G19" s="32" t="str">
        <x:v>Sí</x:v>
      </x:c>
      <x:c r="H19" s="32" t="str">
        <x:v>Tool A/B composition tests</x:v>
      </x:c>
      <x:c r="I19" s="32" t="str">
        <x:v>P0</x:v>
      </x:c>
      <x:c r="J19" s="32" t="str">
        <x:v>PENDIENTE</x:v>
      </x:c>
      <x:c r="K19" s="32" t="str">
        <x:v>Web/Composition</x:v>
      </x:c>
      <x:c r="L19" s="32" t="str">
        <x:v>No catálogo global.</x:v>
      </x:c>
    </x:row>
    <x:row r="20">
      <x:c r="A20" s="32" t="str">
        <x:v>TS-009</x:v>
      </x:c>
      <x:c r="B20" s="32" t="str">
        <x:v>Time Status</x:v>
      </x:c>
      <x:c r="C20" s="32" t="str">
        <x:v>Semantics</x:v>
      </x:c>
      <x:c r="D20" s="32" t="str">
        <x:v>PI/Dispatch relative freshness</x:v>
      </x:c>
      <x:c r="E20" s="32" t="str">
        <x:v>Resolver edad relativa/tone para PI y Dispatch sin aplicar esa presentación al detail dinámico.</x:v>
      </x:c>
      <x:c r="F20" s="32" t="str">
        <x:v>TS-004</x:v>
      </x:c>
      <x:c r="G20" s="32" t="str">
        <x:v>Sí</x:v>
      </x:c>
      <x:c r="H20" s="32" t="str">
        <x:v>Boundary/threshold tests</x:v>
      </x:c>
      <x:c r="I20" s="32" t="str">
        <x:v>P0</x:v>
      </x:c>
      <x:c r="J20" s="32" t="str">
        <x:v>PENDIENTE</x:v>
      </x:c>
      <x:c r="K20" s="32" t="str">
        <x:v>Web/Composition</x:v>
      </x:c>
      <x:c r="L20" s="32" t="str">
        <x:v>Critical visual reutiliza patrón antiguo.</x:v>
      </x:c>
    </x:row>
    <x:row r="21">
      <x:c r="A21" s="32" t="str">
        <x:v>TS-010</x:v>
      </x:c>
      <x:c r="B21" s="32" t="str">
        <x:v>Time Status</x:v>
      </x:c>
      <x:c r="C21" s="32" t="str">
        <x:v>Responsive</x:v>
      </x:c>
      <x:c r="D21" s="32" t="str">
        <x:v>Anchoring/collision/mobile</x:v>
      </x:c>
      <x:c r="E21" s="32" t="str">
        <x:v>Definir posicionamiento de flyout en viewport y comportamiento mobile.</x:v>
      </x:c>
      <x:c r="F21" s="32" t="str">
        <x:v>TS-005..007</x:v>
      </x:c>
      <x:c r="G21" s="32" t="str">
        <x:v>Sí</x:v>
      </x:c>
      <x:c r="H21" s="32" t="str">
        <x:v>Visual responsive gate</x:v>
      </x:c>
      <x:c r="I21" s="32" t="str">
        <x:v>P1</x:v>
      </x:c>
      <x:c r="J21" s="32" t="str">
        <x:v>PENDIENTE</x:v>
      </x:c>
      <x:c r="K21" s="32" t="str">
        <x:v>Web/UI</x:v>
      </x:c>
      <x:c r="L21" s="32" t="str">
        <x:v>Evitar offscreen y reflow.</x:v>
      </x:c>
    </x:row>
    <x:row r="22">
      <x:c r="A22" s="32" t="str">
        <x:v>TS-011</x:v>
      </x:c>
      <x:c r="B22" s="32" t="str">
        <x:v>Time Status</x:v>
      </x:c>
      <x:c r="C22" s="32" t="str">
        <x:v>Integration</x:v>
      </x:c>
      <x:c r="D22" s="32" t="str">
        <x:v>Header integration</x:v>
      </x:c>
      <x:c r="E22" s="32" t="str">
        <x:v>Insertar Time Status bajo header actual y mantener geometría estable.</x:v>
      </x:c>
      <x:c r="F22" s="32" t="str">
        <x:v>TS-002..010</x:v>
      </x:c>
      <x:c r="G22" s="32" t="str">
        <x:v>Sí</x:v>
      </x:c>
      <x:c r="H22" s="32" t="str">
        <x:v>Header/application gates + preview</x:v>
      </x:c>
      <x:c r="I22" s="32" t="str">
        <x:v>P0</x:v>
      </x:c>
      <x:c r="J22" s="32" t="str">
        <x:v>PENDIENTE</x:v>
      </x:c>
      <x:c r="K22" s="32" t="str">
        <x:v>Web/Shell</x:v>
      </x:c>
      <x:c r="L22" s="32" t="str">
        <x:v>No Body.</x:v>
      </x:c>
    </x:row>
    <x:row r="23">
      <x:c r="A23" s="32" t="str">
        <x:v>TS-012</x:v>
      </x:c>
      <x:c r="B23" s="32" t="str">
        <x:v>Time Status</x:v>
      </x:c>
      <x:c r="C23" s="32" t="str">
        <x:v>Freeze</x:v>
      </x:c>
      <x:c r="D23" s="32" t="str">
        <x:v>Visual functional freeze</x:v>
      </x:c>
      <x:c r="E23" s="32" t="str">
        <x:v>Validar PI-only, PI+Dispatch, detail vacío y detail poblado.</x:v>
      </x:c>
      <x:c r="F23" s="32" t="str">
        <x:v>TS-011</x:v>
      </x:c>
      <x:c r="G23" s="32" t="str">
        <x:v>No</x:v>
      </x:c>
      <x:c r="H23" s="32" t="str">
        <x:v>Aprobación visual usuario</x:v>
      </x:c>
      <x:c r="I23" s="32" t="str">
        <x:v>P0</x:v>
      </x:c>
      <x:c r="J23" s="32" t="str">
        <x:v>PENDIENTE</x:v>
      </x:c>
      <x:c r="K23" s="32" t="str">
        <x:v>Web/UI</x:v>
      </x:c>
      <x:c r="L23" s="32" t="str"/>
    </x:row>
    <x:row r="24">
      <x:c r="A24" s="32" t="str">
        <x:v>DATA-000</x:v>
      </x:c>
      <x:c r="B24" s="32" t="str">
        <x:v>Time Status Data</x:v>
      </x:c>
      <x:c r="C24" s="32" t="str">
        <x:v>Discovery</x:v>
      </x:c>
      <x:c r="D24" s="32" t="str">
        <x:v>Legacy SOURCE_TIME_STORE analysis</x:v>
      </x:c>
      <x:c r="E24" s="32" t="str">
        <x:v>Confirmar store por Tool, payload y refresh del legado.</x:v>
      </x:c>
      <x:c r="F24" s="32" t="str">
        <x:v>—</x:v>
      </x:c>
      <x:c r="G24" s="32" t="str">
        <x:v>No</x:v>
      </x:c>
      <x:c r="H24" s="32" t="str">
        <x:v>Análisis</x:v>
      </x:c>
      <x:c r="I24" s="32" t="str">
        <x:v>P0</x:v>
      </x:c>
      <x:c r="J24" s="32" t="str">
        <x:v>CERRADO</x:v>
      </x:c>
      <x:c r="K24" s="32" t="str">
        <x:v>Architecture</x:v>
      </x:c>
      <x:c r="L24" s="32" t="str">
        <x:v>Completado.</x:v>
      </x:c>
    </x:row>
    <x:row r="25">
      <x:c r="A25" s="32" t="str">
        <x:v>DATA-001</x:v>
      </x:c>
      <x:c r="B25" s="32" t="str">
        <x:v>Time Status Data</x:v>
      </x:c>
      <x:c r="C25" s="32" t="str">
        <x:v>Current backend</x:v>
      </x:c>
      <x:c r="D25" s="32" t="str">
        <x:v>Verify current Collector Time Status Store</x:v>
      </x:c>
      <x:c r="E25" s="32" t="str">
        <x:v>Inspeccionar contrato exacto actual cuando backend esté estable: identidad, timestamps, stale state.</x:v>
      </x:c>
      <x:c r="F25" s="32" t="str">
        <x:v>Backend actual</x:v>
      </x:c>
      <x:c r="G25" s="32" t="str">
        <x:v>No</x:v>
      </x:c>
      <x:c r="H25" s="32" t="str">
        <x:v>Contract review</x:v>
      </x:c>
      <x:c r="I25" s="32" t="str">
        <x:v>P0</x:v>
      </x:c>
      <x:c r="J25" s="32" t="str">
        <x:v>DIFERIDO</x:v>
      </x:c>
      <x:c r="K25" s="32" t="str">
        <x:v>Backend/Web</x:v>
      </x:c>
      <x:c r="L25" s="32" t="str">
        <x:v>No bloquear UI con fake.</x:v>
      </x:c>
    </x:row>
    <x:row r="26">
      <x:c r="A26" s="32" t="str">
        <x:v>DATA-002</x:v>
      </x:c>
      <x:c r="B26" s="32" t="str">
        <x:v>Time Status Data</x:v>
      </x:c>
      <x:c r="C26" s="32" t="str">
        <x:v>Normalization</x:v>
      </x:c>
      <x:c r="D26" s="32" t="str">
        <x:v>Normalize current store</x:v>
      </x:c>
      <x:c r="E26" s="32" t="str">
        <x:v>Mapear store actual a contrato Web sin lógica de presentación.</x:v>
      </x:c>
      <x:c r="F26" s="32" t="str">
        <x:v>DATA-001; TS-004</x:v>
      </x:c>
      <x:c r="G26" s="32" t="str">
        <x:v>Sí</x:v>
      </x:c>
      <x:c r="H26" s="32" t="str">
        <x:v>Adapter tests</x:v>
      </x:c>
      <x:c r="I26" s="32" t="str">
        <x:v>P0</x:v>
      </x:c>
      <x:c r="J26" s="32" t="str">
        <x:v>DIFERIDO</x:v>
      </x:c>
      <x:c r="K26" s="32" t="str">
        <x:v>Web/Adapter</x:v>
      </x:c>
      <x:c r="L26" s="32" t="str">
        <x:v>Se activa cuando backend estabilice.</x:v>
      </x:c>
    </x:row>
    <x:row r="27">
      <x:c r="A27" s="32" t="str">
        <x:v>DATA-003</x:v>
      </x:c>
      <x:c r="B27" s="32" t="str">
        <x:v>Time Status Data</x:v>
      </x:c>
      <x:c r="C27" s="32" t="str">
        <x:v>Consumption</x:v>
      </x:c>
      <x:c r="D27" s="32" t="str">
        <x:v>Tool consumption filter</x:v>
      </x:c>
      <x:c r="E27" s="32" t="str">
        <x:v>Resolver qué entradas dinámicas pertenecen a la Tool actual.</x:v>
      </x:c>
      <x:c r="F27" s="32" t="str">
        <x:v>TS-001; contrato Tool actual</x:v>
      </x:c>
      <x:c r="G27" s="32" t="str">
        <x:v>Sí</x:v>
      </x:c>
      <x:c r="H27" s="32" t="str">
        <x:v>Tool fixture tests</x:v>
      </x:c>
      <x:c r="I27" s="32" t="str">
        <x:v>P0</x:v>
      </x:c>
      <x:c r="J27" s="32" t="str">
        <x:v>PENDIENTE</x:v>
      </x:c>
      <x:c r="K27" s="32" t="str">
        <x:v>Web/Composition</x:v>
      </x:c>
      <x:c r="L27" s="32" t="str">
        <x:v>Bajo consumo.</x:v>
      </x:c>
    </x:row>
    <x:row r="28">
      <x:c r="A28" s="32" t="str">
        <x:v>DATA-004</x:v>
      </x:c>
      <x:c r="B28" s="32" t="str">
        <x:v>Time Status Data</x:v>
      </x:c>
      <x:c r="C28" s="32" t="str">
        <x:v>Classification</x:v>
      </x:c>
      <x:c r="D28" s="32" t="str">
        <x:v>Source role classification</x:v>
      </x:c>
      <x:c r="E28" s="32" t="str">
        <x:v>Distinguir summary PI/Dispatch, detail popover y stale-driving sin flags UI en Collector.</x:v>
      </x:c>
      <x:c r="F28" s="32" t="str">
        <x:v>TS-001</x:v>
      </x:c>
      <x:c r="G28" s="32" t="str">
        <x:v>Sí</x:v>
      </x:c>
      <x:c r="H28" s="32" t="str">
        <x:v>Classification tests</x:v>
      </x:c>
      <x:c r="I28" s="32" t="str">
        <x:v>P0</x:v>
      </x:c>
      <x:c r="J28" s="32" t="str">
        <x:v>PENDIENTE</x:v>
      </x:c>
      <x:c r="K28" s="32" t="str">
        <x:v>Web/Composition</x:v>
      </x:c>
      <x:c r="L28" s="32" t="str">
        <x:v>Una entrada puede ser detail-only.</x:v>
      </x:c>
    </x:row>
    <x:row r="29">
      <x:c r="A29" s="32" t="str">
        <x:v>DATA-005</x:v>
      </x:c>
      <x:c r="B29" s="32" t="str">
        <x:v>Time Status Data</x:v>
      </x:c>
      <x:c r="C29" s="32" t="str">
        <x:v>Edge cases</x:v>
      </x:c>
      <x:c r="D29" s="32" t="str">
        <x:v>Missing/unknown source semantics</x:v>
      </x:c>
      <x:c r="E29" s="32" t="str">
        <x:v>Definir qué mostrar si una fuente no tiene timestamp, desaparece o nunca publicó.</x:v>
      </x:c>
      <x:c r="F29" s="32" t="str">
        <x:v>DATA-004</x:v>
      </x:c>
      <x:c r="G29" s="32" t="str">
        <x:v>Sí</x:v>
      </x:c>
      <x:c r="H29" s="32" t="str">
        <x:v>Truth-table tests</x:v>
      </x:c>
      <x:c r="I29" s="32" t="str">
        <x:v>P1</x:v>
      </x:c>
      <x:c r="J29" s="32" t="str">
        <x:v>PENDIENTE</x:v>
      </x:c>
      <x:c r="K29" s="32" t="str">
        <x:v>Architecture</x:v>
      </x:c>
      <x:c r="L29" s="32" t="str">
        <x:v>No inventar stale automáticamente.</x:v>
      </x:c>
    </x:row>
    <x:row r="30">
      <x:c r="A30" s="32" t="str">
        <x:v>CS-000</x:v>
      </x:c>
      <x:c r="B30" s="32" t="str">
        <x:v>Content State</x:v>
      </x:c>
      <x:c r="C30" s="32" t="str">
        <x:v>Discovery</x:v>
      </x:c>
      <x:c r="D30" s="32" t="str">
        <x:v>Legacy wrapper recovery</x:v>
      </x:c>
      <x:c r="E30" s="32" t="str">
        <x:v>Analizar READY/STALE/CONSTRUCTION, CSS y static/runtime ids.</x:v>
      </x:c>
      <x:c r="F30" s="32" t="str">
        <x:v>—</x:v>
      </x:c>
      <x:c r="G30" s="32" t="str">
        <x:v>No</x:v>
      </x:c>
      <x:c r="H30" s="32" t="str">
        <x:v>Análisis</x:v>
      </x:c>
      <x:c r="I30" s="32" t="str">
        <x:v>P0</x:v>
      </x:c>
      <x:c r="J30" s="32" t="str">
        <x:v>CERRADO</x:v>
      </x:c>
      <x:c r="K30" s="32" t="str">
        <x:v>Architecture</x:v>
      </x:c>
      <x:c r="L30" s="32" t="str">
        <x:v>Completado.</x:v>
      </x:c>
    </x:row>
    <x:row r="31">
      <x:c r="A31" s="32" t="str">
        <x:v>CS-001</x:v>
      </x:c>
      <x:c r="B31" s="32" t="str">
        <x:v>Content State</x:v>
      </x:c>
      <x:c r="C31" s="32" t="str">
        <x:v>Contract</x:v>
      </x:c>
      <x:c r="D31" s="32" t="str">
        <x:v>Extract reusable Content State contract</x:v>
      </x:c>
      <x:c r="E31" s="32" t="str">
        <x:v>Crear capability nueva separada de display-status y de Time Status.</x:v>
      </x:c>
      <x:c r="F31" s="32" t="str">
        <x:v>CS-000</x:v>
      </x:c>
      <x:c r="G31" s="32" t="str">
        <x:v>Sí</x:v>
      </x:c>
      <x:c r="H31" s="32" t="str">
        <x:v>Models/builders/mirrors</x:v>
      </x:c>
      <x:c r="I31" s="32" t="str">
        <x:v>P0</x:v>
      </x:c>
      <x:c r="J31" s="32" t="str">
        <x:v>PENDIENTE</x:v>
      </x:c>
      <x:c r="K31" s="32" t="str">
        <x:v>Web/UI</x:v>
      </x:c>
      <x:c r="L31" s="32" t="str">
        <x:v>No copiar ada-ui monolítico.</x:v>
      </x:c>
    </x:row>
    <x:row r="32">
      <x:c r="A32" s="32" t="str">
        <x:v>CS-002</x:v>
      </x:c>
      <x:c r="B32" s="32" t="str">
        <x:v>Content State</x:v>
      </x:c>
      <x:c r="C32" s="32" t="str">
        <x:v>Static</x:v>
      </x:c>
      <x:c r="D32" s="32" t="str">
        <x:v>Construction support</x:v>
      </x:c>
      <x:c r="E32" s="32" t="str">
        <x:v>Integrar CONSTRUCTION declarativo con mensaje/icono y wrapper estable.</x:v>
      </x:c>
      <x:c r="F32" s="32" t="str">
        <x:v>CS-001</x:v>
      </x:c>
      <x:c r="G32" s="32" t="str">
        <x:v>Sí</x:v>
      </x:c>
      <x:c r="H32" s="32" t="str">
        <x:v>Unit + visual gate</x:v>
      </x:c>
      <x:c r="I32" s="32" t="str">
        <x:v>P0</x:v>
      </x:c>
      <x:c r="J32" s="32" t="str">
        <x:v>PENDIENTE</x:v>
      </x:c>
      <x:c r="K32" s="32" t="str">
        <x:v>Web/UI</x:v>
      </x:c>
      <x:c r="L32" s="32" t="str">
        <x:v>Default legacy: En construcción + hammer.</x:v>
      </x:c>
    </x:row>
    <x:row r="33">
      <x:c r="A33" s="32" t="str">
        <x:v>CS-003</x:v>
      </x:c>
      <x:c r="B33" s="32" t="str">
        <x:v>Content State</x:v>
      </x:c>
      <x:c r="C33" s="32" t="str">
        <x:v>Runtime</x:v>
      </x:c>
      <x:c r="D33" s="32" t="str">
        <x:v>Freshness policy contract</x:v>
      </x:c>
      <x:c r="E33" s="32" t="str">
        <x:v>Definir estado READY/STALE desde timestamps/policies sin lógica UI.</x:v>
      </x:c>
      <x:c r="F33" s="32" t="str">
        <x:v>DATA-004; CS-001</x:v>
      </x:c>
      <x:c r="G33" s="32" t="str">
        <x:v>Sí</x:v>
      </x:c>
      <x:c r="H33" s="32" t="str">
        <x:v>Policy truth table</x:v>
      </x:c>
      <x:c r="I33" s="32" t="str">
        <x:v>P0</x:v>
      </x:c>
      <x:c r="J33" s="32" t="str">
        <x:v>PENDIENTE</x:v>
      </x:c>
      <x:c r="K33" s="32" t="str">
        <x:v>Web/Domain</x:v>
      </x:c>
      <x:c r="L33" s="32" t="str">
        <x:v>Thresholds/config deben ser inyectables.</x:v>
      </x:c>
    </x:row>
    <x:row r="34">
      <x:c r="A34" s="32" t="str">
        <x:v>CS-004</x:v>
      </x:c>
      <x:c r="B34" s="32" t="str">
        <x:v>Content State</x:v>
      </x:c>
      <x:c r="C34" s="32" t="str">
        <x:v>Runtime</x:v>
      </x:c>
      <x:c r="D34" s="32" t="str">
        <x:v>Dependency resolver</x:v>
      </x:c>
      <x:c r="E34" s="32" t="str">
        <x:v>Mapear source stale → state_key/componentes afectados.</x:v>
      </x:c>
      <x:c r="F34" s="32" t="str">
        <x:v>CS-003; Tool dependency contract</x:v>
      </x:c>
      <x:c r="G34" s="32" t="str">
        <x:v>Sí</x:v>
      </x:c>
      <x:c r="H34" s="32" t="str">
        <x:v>Composition tests</x:v>
      </x:c>
      <x:c r="I34" s="32" t="str">
        <x:v>P0</x:v>
      </x:c>
      <x:c r="J34" s="32" t="str">
        <x:v>PENDIENTE</x:v>
      </x:c>
      <x:c r="K34" s="32" t="str">
        <x:v>Web/Composition</x:v>
      </x:c>
      <x:c r="L34" s="32" t="str">
        <x:v>No hacer que Time Status modifique componentes directamente.</x:v>
      </x:c>
    </x:row>
    <x:row r="35">
      <x:c r="A35" s="32" t="str">
        <x:v>CS-005</x:v>
      </x:c>
      <x:c r="B35" s="32" t="str">
        <x:v>Content State</x:v>
      </x:c>
      <x:c r="C35" s="32" t="str">
        <x:v>Runtime</x:v>
      </x:c>
      <x:c r="D35" s="32" t="str">
        <x:v>Update runtime wrappers</x:v>
      </x:c>
      <x:c r="E35" s="32" t="str">
        <x:v>Cambiar wrapper READY↔STALE sin reflow y sin recrear componentes innecesariamente.</x:v>
      </x:c>
      <x:c r="F35" s="32" t="str">
        <x:v>CS-001; CS-004</x:v>
      </x:c>
      <x:c r="G35" s="32" t="str">
        <x:v>Sí</x:v>
      </x:c>
      <x:c r="H35" s="32" t="str">
        <x:v>Interval/rerender harness</x:v>
      </x:c>
      <x:c r="I35" s="32" t="str">
        <x:v>P0</x:v>
      </x:c>
      <x:c r="J35" s="32" t="str">
        <x:v>PENDIENTE</x:v>
      </x:c>
      <x:c r="K35" s="32" t="str">
        <x:v>Web/Runtime</x:v>
      </x:c>
      <x:c r="L35" s="32" t="str"/>
    </x:row>
    <x:row r="36">
      <x:c r="A36" s="32" t="str">
        <x:v>CS-006</x:v>
      </x:c>
      <x:c r="B36" s="32" t="str">
        <x:v>Content State</x:v>
      </x:c>
      <x:c r="C36" s="32" t="str">
        <x:v>Semantics</x:v>
      </x:c>
      <x:c r="D36" s="32" t="str">
        <x:v>Construction precedence</x:v>
      </x:c>
      <x:c r="E36" s="32" t="str">
        <x:v>Congelar precedencia propuesta CONSTRUCTION &gt; STALE &gt; READY.</x:v>
      </x:c>
      <x:c r="F36" s="32" t="str">
        <x:v>CS-002; CS-003</x:v>
      </x:c>
      <x:c r="G36" s="32" t="str">
        <x:v>No/Contract</x:v>
      </x:c>
      <x:c r="H36" s="32" t="str">
        <x:v>Truth-table gate</x:v>
      </x:c>
      <x:c r="I36" s="32" t="str">
        <x:v>P1</x:v>
      </x:c>
      <x:c r="J36" s="32" t="str">
        <x:v>EN DISEÑO</x:v>
      </x:c>
      <x:c r="K36" s="32" t="str">
        <x:v>Architecture</x:v>
      </x:c>
      <x:c r="L36" s="32" t="str">
        <x:v>Necesita aprobación explícita.</x:v>
      </x:c>
    </x:row>
    <x:row r="37">
      <x:c r="A37" s="32" t="str">
        <x:v>CS-007</x:v>
      </x:c>
      <x:c r="B37" s="32" t="str">
        <x:v>Content State</x:v>
      </x:c>
      <x:c r="C37" s="32" t="str">
        <x:v>Interaction</x:v>
      </x:c>
      <x:c r="D37" s="32" t="str">
        <x:v>Stale vs KPI Inspection interaction</x:v>
      </x:c>
      <x:c r="E37" s="32" t="str">
        <x:v>Decidir si overlay STALE bloquea click de Inspection o permite abrir definición.</x:v>
      </x:c>
      <x:c r="F37" s="32" t="str">
        <x:v>CS-001; KIV-005</x:v>
      </x:c>
      <x:c r="G37" s="32" t="str">
        <x:v>Puede</x:v>
      </x:c>
      <x:c r="H37" s="32" t="str">
        <x:v>Visual/UX decision</x:v>
      </x:c>
      <x:c r="I37" s="32" t="str">
        <x:v>P0</x:v>
      </x:c>
      <x:c r="J37" s="32" t="str">
        <x:v>EN DISEÑO</x:v>
      </x:c>
      <x:c r="K37" s="32" t="str">
        <x:v>Architecture/UI</x:v>
      </x:c>
      <x:c r="L37" s="32" t="str">
        <x:v>Legacy bloqueaba pointer events.</x:v>
      </x:c>
    </x:row>
    <x:row r="38">
      <x:c r="A38" s="32" t="str">
        <x:v>CS-008</x:v>
      </x:c>
      <x:c r="B38" s="32" t="str">
        <x:v>Content State</x:v>
      </x:c>
      <x:c r="C38" s="32" t="str">
        <x:v>Visual</x:v>
      </x:c>
      <x:c r="D38" s="32" t="str">
        <x:v>Content State visual freeze</x:v>
      </x:c>
      <x:c r="E38" s="32" t="str">
        <x:v>Validar stale/construction en Global Indicator y otra superficie representativa.</x:v>
      </x:c>
      <x:c r="F38" s="32" t="str">
        <x:v>CS-002..007</x:v>
      </x:c>
      <x:c r="G38" s="32" t="str">
        <x:v>No</x:v>
      </x:c>
      <x:c r="H38" s="32" t="str">
        <x:v>Aprobación visual usuario</x:v>
      </x:c>
      <x:c r="I38" s="32" t="str">
        <x:v>P0</x:v>
      </x:c>
      <x:c r="J38" s="32" t="str">
        <x:v>PENDIENTE</x:v>
      </x:c>
      <x:c r="K38" s="32" t="str">
        <x:v>Web/UI</x:v>
      </x:c>
      <x:c r="L38" s="32" t="str"/>
    </x:row>
    <x:row r="39">
      <x:c r="A39" s="32" t="str">
        <x:v>KI-011</x:v>
      </x:c>
      <x:c r="B39" s="32" t="str">
        <x:v>KPI Inspection</x:v>
      </x:c>
      <x:c r="C39" s="32" t="str">
        <x:v>Backend</x:v>
      </x:c>
      <x:c r="D39" s="32" t="str">
        <x:v>Cosmos real pilot</x:v>
      </x:c>
      <x:c r="E39" s="32" t="str">
        <x:v>Conectar repository real de KPI Definition cuando backend estabilice.</x:v>
      </x:c>
      <x:c r="F39" s="32" t="str">
        <x:v>Backend estable</x:v>
      </x:c>
      <x:c r="G39" s="32" t="str">
        <x:v>Sí adapter only</x:v>
      </x:c>
      <x:c r="H39" s="32" t="str">
        <x:v>Integration Azure gate</x:v>
      </x:c>
      <x:c r="I39" s="32" t="str">
        <x:v>P2</x:v>
      </x:c>
      <x:c r="J39" s="32" t="str">
        <x:v>DIFERIDO</x:v>
      </x:c>
      <x:c r="K39" s="32" t="str">
        <x:v>Backend/Web</x:v>
      </x:c>
      <x:c r="L39" s="32" t="str">
        <x:v>Provider/Runtime/API/Surface no cambian.</x:v>
      </x:c>
    </x:row>
    <x:row r="40">
      <x:c r="A40" s="32" t="str">
        <x:v>KI-012</x:v>
      </x:c>
      <x:c r="B40" s="32" t="str">
        <x:v>KPI Inspection</x:v>
      </x:c>
      <x:c r="C40" s="32" t="str">
        <x:v>Body</x:v>
      </x:c>
      <x:c r="D40" s="32" t="str">
        <x:v>Body adoption contract</x:v>
      </x:c>
      <x:c r="E40" s="32" t="str">
        <x:v>Definir adopción en Body sólo después de Body Foundation.</x:v>
      </x:c>
      <x:c r="F40" s="32" t="str">
        <x:v>Body Foundation</x:v>
      </x:c>
      <x:c r="G40" s="32" t="str">
        <x:v>No por ahora</x:v>
      </x:c>
      <x:c r="H40" s="32" t="str">
        <x:v>Design freeze futuro</x:v>
      </x:c>
      <x:c r="I40" s="32" t="str">
        <x:v>P2</x:v>
      </x:c>
      <x:c r="J40" s="32" t="str">
        <x:v>DIFERIDO</x:v>
      </x:c>
      <x:c r="K40" s="32" t="str">
        <x:v>Web/UI</x:v>
      </x:c>
      <x:c r="L40" s="32" t="str"/>
    </x:row>
    <x:row r="41">
      <x:c r="A41" s="32" t="str">
        <x:v>BODY-000</x:v>
      </x:c>
      <x:c r="B41" s="32" t="str">
        <x:v>Body</x:v>
      </x:c>
      <x:c r="C41" s="32" t="str">
        <x:v>Architecture</x:v>
      </x:c>
      <x:c r="D41" s="32" t="str">
        <x:v>Body Foundation</x:v>
      </x:c>
      <x:c r="E41" s="32" t="str">
        <x:v>Diseñar composición de rows/images/text/tables/overlays antes de adopción masiva.</x:v>
      </x:c>
      <x:c r="F41" s="32" t="str">
        <x:v>Header/Time Status estabilizados</x:v>
      </x:c>
      <x:c r="G41" s="32" t="str">
        <x:v>Sí futuro</x:v>
      </x:c>
      <x:c r="H41" s="32" t="str">
        <x:v>Track separado</x:v>
      </x:c>
      <x:c r="I41" s="32" t="str">
        <x:v>P2</x:v>
      </x:c>
      <x:c r="J41" s="32" t="str">
        <x:v>DIFERIDO</x:v>
      </x:c>
      <x:c r="K41" s="32" t="str">
        <x:v>Architecture</x:v>
      </x:c>
      <x:c r="L41" s="32" t="str">
        <x:v>Fuera del track actual.</x:v>
      </x:c>
    </x:row>
  </x:sheetData>
  <x:mergeCells>
    <x:mergeCell ref="A1:L1"/>
    <x:mergeCell ref="A2:L2"/>
  </x:mergeCells>
  <x:conditionalFormatting sqref="J5:J41">
    <x:cfRule type="expression" dxfId="0" priority="1">
      <x:formula>J5="CERRADO"</x:formula>
    </x:cfRule>
    <x:cfRule type="expression" dxfId="1" priority="2">
      <x:formula>J5="EN DISEÑO"</x:formula>
    </x:cfRule>
    <x:cfRule type="expression" dxfId="2" priority="3">
      <x:formula>J5="PENDIENTE"</x:formula>
    </x:cfRule>
    <x:cfRule type="expression" dxfId="3" priority="4">
      <x:formula>J5="DIFERIDO"</x:formula>
    </x:cfRule>
    <x:cfRule type="expression" dxfId="4" priority="5">
      <x:formula>J5="BLOQUEADO"</x:formula>
    </x:cfRule>
  </x:conditionalFormatting>
  <x:dataValidations count="2">
    <x:dataValidation type="list" sqref="J5:J41">
      <x:formula1>"CERRADO,EN DISEÑO,PENDIENTE,DIFERIDO,BLOQUEADO"</x:formula1>
    </x:dataValidation>
    <x:dataValidation type="list" sqref="I5:I41">
      <x:formula1>"P0,P1,P2"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4" hidden="0" customWidth="1"/>
    <x:col min="4" max="4" width="34" hidden="0" customWidth="1"/>
    <x:col min="5" max="5" width="32" hidden="0" customWidth="1"/>
    <x:col min="6" max="6" width="48" hidden="0" customWidth="1"/>
    <x:col min="7" max="7" width="22" hidden="0" customWidth="1"/>
    <x:col min="8" max="8" width="10" hidden="0" customWidth="1"/>
    <x:col min="9" max="9" width="14" hidden="0" customWidth="1"/>
    <x:col min="10" max="10" width="36" hidden="0" customWidth="1"/>
  </x:cols>
  <x:sheetData>
    <x:row r="1" ht="30" customHeight="1">
      <x:c r="A1" s="4" t="str">
        <x:v>Plan de gates y pruebas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Casos mínimos antes de considerar estables KPI Inspection visual, Time Status y Content State.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Test ID</x:v>
      </x:c>
      <x:c r="B4" s="19" t="str">
        <x:v>Track</x:v>
      </x:c>
      <x:c r="C4" s="19" t="str">
        <x:v>Escenario</x:v>
      </x:c>
      <x:c r="D4" s="19" t="str">
        <x:v>Setup</x:v>
      </x:c>
      <x:c r="E4" s="19" t="str">
        <x:v>Acción</x:v>
      </x:c>
      <x:c r="F4" s="19" t="str">
        <x:v>Resultado esperado</x:v>
      </x:c>
      <x:c r="G4" s="19" t="str">
        <x:v>Tipo</x:v>
      </x:c>
      <x:c r="H4" s="19" t="str">
        <x:v>Prioridad</x:v>
      </x:c>
      <x:c r="I4" s="19" t="str">
        <x:v>Estado</x:v>
      </x:c>
      <x:c r="J4" s="19" t="str">
        <x:v>Evidencia</x:v>
      </x:c>
    </x:row>
    <x:row r="5">
      <x:c r="A5" s="32" t="str">
        <x:v>VT-001</x:v>
      </x:c>
      <x:c r="B5" s="32" t="str">
        <x:v>KIV</x:v>
      </x:c>
      <x:c r="C5" s="32" t="str">
        <x:v>Open populated KPI</x:v>
      </x:c>
      <x:c r="D5" s="32" t="str">
        <x:v>Preview con definition poblada</x:v>
      </x:c>
      <x:c r="E5" s="32" t="str">
        <x:v>Click KPI A</x:v>
      </x:c>
      <x:c r="F5" s="32" t="str">
        <x:v>Panel abre y renderiza fields correctos</x:v>
      </x:c>
      <x:c r="G5" s="32" t="str">
        <x:v>Visual/Functional</x:v>
      </x:c>
      <x:c r="H5" s="32" t="str">
        <x:v>P0</x:v>
      </x:c>
      <x:c r="I5" s="32" t="str">
        <x:v>PENDIENTE</x:v>
      </x:c>
      <x:c r="J5" s="32" t="str"/>
    </x:row>
    <x:row r="6">
      <x:c r="A6" s="32" t="str">
        <x:v>VT-002</x:v>
      </x:c>
      <x:c r="B6" s="32" t="str">
        <x:v>KIV</x:v>
      </x:c>
      <x:c r="C6" s="32" t="str">
        <x:v>Switch while open</x:v>
      </x:c>
      <x:c r="D6" s="32" t="str">
        <x:v>Panel abierto en KPI A</x:v>
      </x:c>
      <x:c r="E6" s="32" t="str">
        <x:v>Click KPI B</x:v>
      </x:c>
      <x:c r="F6" s="32" t="str">
        <x:v>Mismo panel permanece abierto y cambia contenido</x:v>
      </x:c>
      <x:c r="G6" s="32" t="str">
        <x:v>Visual/Functional</x:v>
      </x:c>
      <x:c r="H6" s="32" t="str">
        <x:v>P0</x:v>
      </x:c>
      <x:c r="I6" s="32" t="str">
        <x:v>PENDIENTE</x:v>
      </x:c>
      <x:c r="J6" s="32" t="str"/>
    </x:row>
    <x:row r="7">
      <x:c r="A7" s="32" t="str">
        <x:v>VT-003</x:v>
      </x:c>
      <x:c r="B7" s="32" t="str">
        <x:v>KIV</x:v>
      </x:c>
      <x:c r="C7" s="32" t="str">
        <x:v>Empty stub</x:v>
      </x:c>
      <x:c r="D7" s="32" t="str">
        <x:v>Definition exists fields={}</x:v>
      </x:c>
      <x:c r="E7" s="32" t="str">
        <x:v>Click KPI</x:v>
      </x:c>
      <x:c r="F7" s="32" t="str">
        <x:v>ready-empty; no unavailable</x:v>
      </x:c>
      <x:c r="G7" s="32" t="str">
        <x:v>Functional</x:v>
      </x:c>
      <x:c r="H7" s="32" t="str">
        <x:v>P0</x:v>
      </x:c>
      <x:c r="I7" s="32" t="str">
        <x:v>CERRADO</x:v>
      </x:c>
      <x:c r="J7" s="32" t="str">
        <x:v>KI-010B</x:v>
      </x:c>
    </x:row>
    <x:row r="8">
      <x:c r="A8" s="32" t="str">
        <x:v>VT-004</x:v>
      </x:c>
      <x:c r="B8" s="32" t="str">
        <x:v>KIV</x:v>
      </x:c>
      <x:c r="C8" s="32" t="str">
        <x:v>Missing definition</x:v>
      </x:c>
      <x:c r="D8" s="32" t="str">
        <x:v>Snapshot sin key</x:v>
      </x:c>
      <x:c r="E8" s="32" t="str">
        <x:v>Click KPI</x:v>
      </x:c>
      <x:c r="F8" s="32" t="str">
        <x:v>unavailable</x:v>
      </x:c>
      <x:c r="G8" s="32" t="str">
        <x:v>Functional</x:v>
      </x:c>
      <x:c r="H8" s="32" t="str">
        <x:v>P0</x:v>
      </x:c>
      <x:c r="I8" s="32" t="str">
        <x:v>CERRADO</x:v>
      </x:c>
      <x:c r="J8" s="32" t="str">
        <x:v>KI-010B</x:v>
      </x:c>
    </x:row>
    <x:row r="9">
      <x:c r="A9" s="32" t="str">
        <x:v>VT-005</x:v>
      </x:c>
      <x:c r="B9" s="32" t="str">
        <x:v>KIV</x:v>
      </x:c>
      <x:c r="C9" s="32" t="str">
        <x:v>Rapid switching</x:v>
      </x:c>
      <x:c r="D9" s="32" t="str">
        <x:v>3 KPI</x:v>
      </x:c>
      <x:c r="E9" s="32" t="str">
        <x:v>Clicks rápidos A→B→C</x:v>
      </x:c>
      <x:c r="F9" s="32" t="str">
        <x:v>Sólo C puede pintar resultado</x:v>
      </x:c>
      <x:c r="G9" s="32" t="str">
        <x:v>Functional/JS</x:v>
      </x:c>
      <x:c r="H9" s="32" t="str">
        <x:v>P0</x:v>
      </x:c>
      <x:c r="I9" s="32" t="str">
        <x:v>PENDIENTE</x:v>
      </x:c>
      <x:c r="J9" s="32" t="str"/>
    </x:row>
    <x:row r="10">
      <x:c r="A10" s="32" t="str">
        <x:v>VT-006</x:v>
      </x:c>
      <x:c r="B10" s="32" t="str">
        <x:v>KIV</x:v>
      </x:c>
      <x:c r="C10" s="32" t="str">
        <x:v>Rerender open inspector</x:v>
      </x:c>
      <x:c r="D10" s="32" t="str">
        <x:v>Inspector abierto + Interval</x:v>
      </x:c>
      <x:c r="E10" s="32" t="str">
        <x:v>Rerender Global Indicator</x:v>
      </x:c>
      <x:c r="F10" s="32" t="str">
        <x:v>Inspector permanece abierto; trigger nuevo funciona</x:v>
      </x:c>
      <x:c r="G10" s="32" t="str">
        <x:v>Functional/Visual</x:v>
      </x:c>
      <x:c r="H10" s="32" t="str">
        <x:v>P0</x:v>
      </x:c>
      <x:c r="I10" s="32" t="str">
        <x:v>PENDIENTE</x:v>
      </x:c>
      <x:c r="J10" s="32" t="str">
        <x:v>KI-010 prueba contrato</x:v>
      </x:c>
    </x:row>
    <x:row r="11">
      <x:c r="A11" s="32" t="str">
        <x:v>TS-T01</x:v>
      </x:c>
      <x:c r="B11" s="32" t="str">
        <x:v>Time Status</x:v>
      </x:c>
      <x:c r="C11" s="32" t="str">
        <x:v>PI only</x:v>
      </x:c>
      <x:c r="D11" s="32" t="str">
        <x:v>PI presente, Dispatch ausente</x:v>
      </x:c>
      <x:c r="E11" s="32" t="str">
        <x:v>Render</x:v>
      </x:c>
      <x:c r="F11" s="32" t="str">
        <x:v>Sólo PI + reloj; sin hueco Dispatch</x:v>
      </x:c>
      <x:c r="G11" s="32" t="str">
        <x:v>Unit/Visual</x:v>
      </x:c>
      <x:c r="H11" s="32" t="str">
        <x:v>P0</x:v>
      </x:c>
      <x:c r="I11" s="32" t="str">
        <x:v>PENDIENTE</x:v>
      </x:c>
      <x:c r="J11" s="32" t="str"/>
    </x:row>
    <x:row r="12">
      <x:c r="A12" s="32" t="str">
        <x:v>TS-T02</x:v>
      </x:c>
      <x:c r="B12" s="32" t="str">
        <x:v>Time Status</x:v>
      </x:c>
      <x:c r="C12" s="32" t="str">
        <x:v>PI + Dispatch</x:v>
      </x:c>
      <x:c r="D12" s="32" t="str">
        <x:v>Ambos presentes</x:v>
      </x:c>
      <x:c r="E12" s="32" t="str">
        <x:v>Render</x:v>
      </x:c>
      <x:c r="F12" s="32" t="str">
        <x:v>Dos fuentes con divisor; relative age</x:v>
      </x:c>
      <x:c r="G12" s="32" t="str">
        <x:v>Unit/Visual</x:v>
      </x:c>
      <x:c r="H12" s="32" t="str">
        <x:v>P0</x:v>
      </x:c>
      <x:c r="I12" s="32" t="str">
        <x:v>PENDIENTE</x:v>
      </x:c>
      <x:c r="J12" s="32" t="str"/>
    </x:row>
    <x:row r="13">
      <x:c r="A13" s="32" t="str">
        <x:v>TS-T03</x:v>
      </x:c>
      <x:c r="B13" s="32" t="str">
        <x:v>Time Status</x:v>
      </x:c>
      <x:c r="C13" s="32" t="str">
        <x:v>No detail</x:v>
      </x:c>
      <x:c r="D13" s="32" t="str">
        <x:v>updates=()</x:v>
      </x:c>
      <x:c r="E13" s="32" t="str">
        <x:v>Render/click</x:v>
      </x:c>
      <x:c r="F13" s="32" t="str">
        <x:v>Sin affordance de popover o click no abre panel vacío</x:v>
      </x:c>
      <x:c r="G13" s="32" t="str">
        <x:v>UX</x:v>
      </x:c>
      <x:c r="H13" s="32" t="str">
        <x:v>P1</x:v>
      </x:c>
      <x:c r="I13" s="32" t="str">
        <x:v>PENDIENTE</x:v>
      </x:c>
      <x:c r="J13" s="32" t="str">
        <x:v>Decisión propuesta</x:v>
      </x:c>
    </x:row>
    <x:row r="14">
      <x:c r="A14" s="32" t="str">
        <x:v>TS-T04</x:v>
      </x:c>
      <x:c r="B14" s="32" t="str">
        <x:v>Time Status</x:v>
      </x:c>
      <x:c r="C14" s="32" t="str">
        <x:v>Detail populated</x:v>
      </x:c>
      <x:c r="D14" s="32" t="str">
        <x:v>3 entradas consumidas</x:v>
      </x:c>
      <x:c r="E14" s="32" t="str">
        <x:v>Click summary</x:v>
      </x:c>
      <x:c r="F14" s="32" t="str">
        <x:v>Popover anclado muestra sólo 3 timestamps reales</x:v>
      </x:c>
      <x:c r="G14" s="32" t="str">
        <x:v>Functional/Visual</x:v>
      </x:c>
      <x:c r="H14" s="32" t="str">
        <x:v>P0</x:v>
      </x:c>
      <x:c r="I14" s="32" t="str">
        <x:v>PENDIENTE</x:v>
      </x:c>
      <x:c r="J14" s="32" t="str"/>
    </x:row>
    <x:row r="15">
      <x:c r="A15" s="32" t="str">
        <x:v>TS-T05</x:v>
      </x:c>
      <x:c r="B15" s="32" t="str">
        <x:v>Time Status</x:v>
      </x:c>
      <x:c r="C15" s="32" t="str">
        <x:v>Interval while open</x:v>
      </x:c>
      <x:c r="D15" s="32" t="str">
        <x:v>Popover abierto</x:v>
      </x:c>
      <x:c r="E15" s="32" t="str">
        <x:v>Actualizar store/rerender summary</x:v>
      </x:c>
      <x:c r="F15" s="32" t="str">
        <x:v>Popover sigue abierto y contenido se refresca</x:v>
      </x:c>
      <x:c r="G15" s="32" t="str">
        <x:v>Functional/JS</x:v>
      </x:c>
      <x:c r="H15" s="32" t="str">
        <x:v>P0</x:v>
      </x:c>
      <x:c r="I15" s="32" t="str">
        <x:v>PENDIENTE</x:v>
      </x:c>
      <x:c r="J15" s="32" t="str"/>
    </x:row>
    <x:row r="16">
      <x:c r="A16" s="32" t="str">
        <x:v>TS-T06</x:v>
      </x:c>
      <x:c r="B16" s="32" t="str">
        <x:v>Time Status</x:v>
      </x:c>
      <x:c r="C16" s="32" t="str">
        <x:v>Reanchor</x:v>
      </x:c>
      <x:c r="D16" s="32" t="str">
        <x:v>Popover abierto; Dash reemplaza trigger</x:v>
      </x:c>
      <x:c r="E16" s="32" t="str">
        <x:v>Rerender</x:v>
      </x:c>
      <x:c r="F16" s="32" t="str">
        <x:v>Controller encuentra anchor nuevo y reposiciona</x:v>
      </x:c>
      <x:c r="G16" s="32" t="str">
        <x:v>Functional/JS</x:v>
      </x:c>
      <x:c r="H16" s="32" t="str">
        <x:v>P0</x:v>
      </x:c>
      <x:c r="I16" s="32" t="str">
        <x:v>PENDIENTE</x:v>
      </x:c>
      <x:c r="J16" s="32" t="str"/>
    </x:row>
    <x:row r="17">
      <x:c r="A17" s="32" t="str">
        <x:v>TS-T07</x:v>
      </x:c>
      <x:c r="B17" s="32" t="str">
        <x:v>Time Status</x:v>
      </x:c>
      <x:c r="C17" s="32" t="str">
        <x:v>Close interactions</x:v>
      </x:c>
      <x:c r="D17" s="32" t="str">
        <x:v>Popover abierto</x:v>
      </x:c>
      <x:c r="E17" s="32" t="str">
        <x:v>Trigger/outside/Escape</x:v>
      </x:c>
      <x:c r="F17" s="32" t="str">
        <x:v>Toggle/outside/Escape cierran según contrato</x:v>
      </x:c>
      <x:c r="G17" s="32" t="str">
        <x:v>Functional/Accessibility</x:v>
      </x:c>
      <x:c r="H17" s="32" t="str">
        <x:v>P1</x:v>
      </x:c>
      <x:c r="I17" s="32" t="str">
        <x:v>PENDIENTE</x:v>
      </x:c>
      <x:c r="J17" s="32" t="str"/>
    </x:row>
    <x:row r="18">
      <x:c r="A18" s="32" t="str">
        <x:v>TS-T08</x:v>
      </x:c>
      <x:c r="B18" s="32" t="str">
        <x:v>Time Status</x:v>
      </x:c>
      <x:c r="C18" s="32" t="str">
        <x:v>Critical PI</x:v>
      </x:c>
      <x:c r="D18" s="32" t="str">
        <x:v>PI cruza freshness policy</x:v>
      </x:c>
      <x:c r="E18" s="32" t="str">
        <x:v>Render</x:v>
      </x:c>
      <x:c r="F18" s="32" t="str">
        <x:v>cloud-slash + visual critical/pulse; status bar no se cubre stale</x:v>
      </x:c>
      <x:c r="G18" s="32" t="str">
        <x:v>Unit/Visual</x:v>
      </x:c>
      <x:c r="H18" s="32" t="str">
        <x:v>P0</x:v>
      </x:c>
      <x:c r="I18" s="32" t="str">
        <x:v>PENDIENTE</x:v>
      </x:c>
      <x:c r="J18" s="32" t="str"/>
    </x:row>
    <x:row r="19">
      <x:c r="A19" s="32" t="str">
        <x:v>TS-T09</x:v>
      </x:c>
      <x:c r="B19" s="32" t="str">
        <x:v>Time Status</x:v>
      </x:c>
      <x:c r="C19" s="32" t="str">
        <x:v>Detail stale visual</x:v>
      </x:c>
      <x:c r="D19" s="32" t="str">
        <x:v>detail source stale-driving</x:v>
      </x:c>
      <x:c r="E19" s="32" t="str">
        <x:v>Render detail</x:v>
      </x:c>
      <x:c r="F19" s="32" t="str">
        <x:v>Sigue mostrando fecha/hora real con tratamiento visual</x:v>
      </x:c>
      <x:c r="G19" s="32" t="str">
        <x:v>Visual</x:v>
      </x:c>
      <x:c r="H19" s="32" t="str">
        <x:v>P1</x:v>
      </x:c>
      <x:c r="I19" s="32" t="str">
        <x:v>PENDIENTE</x:v>
      </x:c>
      <x:c r="J19" s="32" t="str"/>
    </x:row>
    <x:row r="20">
      <x:c r="A20" s="32" t="str">
        <x:v>TS-T10</x:v>
      </x:c>
      <x:c r="B20" s="32" t="str">
        <x:v>Time Status</x:v>
      </x:c>
      <x:c r="C20" s="32" t="str">
        <x:v>Consumption filter</x:v>
      </x:c>
      <x:c r="D20" s="32" t="str">
        <x:v>Store tiene A,B,C,D; Tool consume B,D</x:v>
      </x:c>
      <x:c r="E20" s="32" t="str">
        <x:v>Open detail</x:v>
      </x:c>
      <x:c r="F20" s="32" t="str">
        <x:v>Sólo B,D aparecen</x:v>
      </x:c>
      <x:c r="G20" s="32" t="str">
        <x:v>Integration</x:v>
      </x:c>
      <x:c r="H20" s="32" t="str">
        <x:v>P0</x:v>
      </x:c>
      <x:c r="I20" s="32" t="str">
        <x:v>PENDIENTE</x:v>
      </x:c>
      <x:c r="J20" s="32" t="str"/>
    </x:row>
    <x:row r="21">
      <x:c r="A21" s="32" t="str">
        <x:v>CS-T01</x:v>
      </x:c>
      <x:c r="B21" s="32" t="str">
        <x:v>Content State</x:v>
      </x:c>
      <x:c r="C21" s="32" t="str">
        <x:v>Ready wrapper</x:v>
      </x:c>
      <x:c r="D21" s="32" t="str">
        <x:v>state READY</x:v>
      </x:c>
      <x:c r="E21" s="32" t="str">
        <x:v>Render</x:v>
      </x:c>
      <x:c r="F21" s="32" t="str">
        <x:v>Backdrop invisible; contenido interactivo</x:v>
      </x:c>
      <x:c r="G21" s="32" t="str">
        <x:v>Unit</x:v>
      </x:c>
      <x:c r="H21" s="32" t="str">
        <x:v>P0</x:v>
      </x:c>
      <x:c r="I21" s="32" t="str">
        <x:v>PENDIENTE</x:v>
      </x:c>
      <x:c r="J21" s="32" t="str"/>
    </x:row>
    <x:row r="22">
      <x:c r="A22" s="32" t="str">
        <x:v>CS-T02</x:v>
      </x:c>
      <x:c r="B22" s="32" t="str">
        <x:v>Content State</x:v>
      </x:c>
      <x:c r="C22" s="32" t="str">
        <x:v>Stale wrapper</x:v>
      </x:c>
      <x:c r="D22" s="32" t="str">
        <x:v>state STALE</x:v>
      </x:c>
      <x:c r="E22" s="32" t="str">
        <x:v>Render</x:v>
      </x:c>
      <x:c r="F22" s="32" t="str">
        <x:v>Backdrop visible con Información desactualizada</x:v>
      </x:c>
      <x:c r="G22" s="32" t="str">
        <x:v>Unit/Visual</x:v>
      </x:c>
      <x:c r="H22" s="32" t="str">
        <x:v>P0</x:v>
      </x:c>
      <x:c r="I22" s="32" t="str">
        <x:v>PENDIENTE</x:v>
      </x:c>
      <x:c r="J22" s="32" t="str"/>
    </x:row>
    <x:row r="23">
      <x:c r="A23" s="32" t="str">
        <x:v>CS-T03</x:v>
      </x:c>
      <x:c r="B23" s="32" t="str">
        <x:v>Content State</x:v>
      </x:c>
      <x:c r="C23" s="32" t="str">
        <x:v>Construction wrapper</x:v>
      </x:c>
      <x:c r="D23" s="32" t="str">
        <x:v>state CONSTRUCTION</x:v>
      </x:c>
      <x:c r="E23" s="32" t="str">
        <x:v>Render</x:v>
      </x:c>
      <x:c r="F23" s="32" t="str">
        <x:v>Backdrop visible con hammer + En construcción</x:v>
      </x:c>
      <x:c r="G23" s="32" t="str">
        <x:v>Unit/Visual</x:v>
      </x:c>
      <x:c r="H23" s="32" t="str">
        <x:v>P0</x:v>
      </x:c>
      <x:c r="I23" s="32" t="str">
        <x:v>PENDIENTE</x:v>
      </x:c>
      <x:c r="J23" s="32" t="str"/>
    </x:row>
    <x:row r="24">
      <x:c r="A24" s="32" t="str">
        <x:v>CS-T04</x:v>
      </x:c>
      <x:c r="B24" s="32" t="str">
        <x:v>Content State</x:v>
      </x:c>
      <x:c r="C24" s="32" t="str">
        <x:v>Runtime recovery</x:v>
      </x:c>
      <x:c r="D24" s="32" t="str">
        <x:v>source stale→healthy</x:v>
      </x:c>
      <x:c r="E24" s="32" t="str">
        <x:v>Refresh</x:v>
      </x:c>
      <x:c r="F24" s="32" t="str">
        <x:v>Wrapper STALE→READY sin recrear layout</x:v>
      </x:c>
      <x:c r="G24" s="32" t="str">
        <x:v>Integration</x:v>
      </x:c>
      <x:c r="H24" s="32" t="str">
        <x:v>P0</x:v>
      </x:c>
      <x:c r="I24" s="32" t="str">
        <x:v>PENDIENTE</x:v>
      </x:c>
      <x:c r="J24" s="32" t="str"/>
    </x:row>
    <x:row r="25">
      <x:c r="A25" s="32" t="str">
        <x:v>CS-T05</x:v>
      </x:c>
      <x:c r="B25" s="32" t="str">
        <x:v>Content State</x:v>
      </x:c>
      <x:c r="C25" s="32" t="str">
        <x:v>Selective stale</x:v>
      </x:c>
      <x:c r="D25" s="32" t="str">
        <x:v>Dispatch stale; PI healthy</x:v>
      </x:c>
      <x:c r="E25" s="32" t="str">
        <x:v>Refresh</x:v>
      </x:c>
      <x:c r="F25" s="32" t="str">
        <x:v>Sólo componentes dependientes de Dispatch quedan STALE</x:v>
      </x:c>
      <x:c r="G25" s="32" t="str">
        <x:v>Integration</x:v>
      </x:c>
      <x:c r="H25" s="32" t="str">
        <x:v>P0</x:v>
      </x:c>
      <x:c r="I25" s="32" t="str">
        <x:v>PENDIENTE</x:v>
      </x:c>
      <x:c r="J25" s="32" t="str"/>
    </x:row>
    <x:row r="26">
      <x:c r="A26" s="32" t="str">
        <x:v>CS-T06</x:v>
      </x:c>
      <x:c r="B26" s="32" t="str">
        <x:v>Content State</x:v>
      </x:c>
      <x:c r="C26" s="32" t="str">
        <x:v>Popover-only source stale</x:v>
      </x:c>
      <x:c r="D26" s="32" t="str">
        <x:v>Fuente detail-only atrasada</x:v>
      </x:c>
      <x:c r="E26" s="32" t="str">
        <x:v>Refresh</x:v>
      </x:c>
      <x:c r="F26" s="32" t="str">
        <x:v>Popover refleja timestamp/visual, pero no cubre componentes</x:v>
      </x:c>
      <x:c r="G26" s="32" t="str">
        <x:v>Integration</x:v>
      </x:c>
      <x:c r="H26" s="32" t="str">
        <x:v>P0</x:v>
      </x:c>
      <x:c r="I26" s="32" t="str">
        <x:v>PENDIENTE</x:v>
      </x:c>
      <x:c r="J26" s="32" t="str"/>
    </x:row>
    <x:row r="27">
      <x:c r="A27" s="32" t="str">
        <x:v>CS-T07</x:v>
      </x:c>
      <x:c r="B27" s="32" t="str">
        <x:v>Content State</x:v>
      </x:c>
      <x:c r="C27" s="32" t="str">
        <x:v>Construction precedence</x:v>
      </x:c>
      <x:c r="D27" s="32" t="str">
        <x:v>construction + source stale</x:v>
      </x:c>
      <x:c r="E27" s="32" t="str">
        <x:v>Resolve</x:v>
      </x:c>
      <x:c r="F27" s="32" t="str">
        <x:v>Resultado según decisión de precedencia</x:v>
      </x:c>
      <x:c r="G27" s="32" t="str">
        <x:v>Contract</x:v>
      </x:c>
      <x:c r="H27" s="32" t="str">
        <x:v>P1</x:v>
      </x:c>
      <x:c r="I27" s="32" t="str">
        <x:v>EN DISEÑO</x:v>
      </x:c>
      <x:c r="J27" s="32" t="str"/>
    </x:row>
    <x:row r="28">
      <x:c r="A28" s="32" t="str">
        <x:v>CS-T08</x:v>
      </x:c>
      <x:c r="B28" s="32" t="str">
        <x:v>Content State</x:v>
      </x:c>
      <x:c r="C28" s="32" t="str">
        <x:v>Stale + Inspection</x:v>
      </x:c>
      <x:c r="D28" s="32" t="str">
        <x:v>Global Indicator stale e inspeccionable</x:v>
      </x:c>
      <x:c r="E28" s="32" t="str">
        <x:v>Click</x:v>
      </x:c>
      <x:c r="F28" s="32" t="str">
        <x:v>Comportamiento según decisión UX CS-007</x:v>
      </x:c>
      <x:c r="G28" s="32" t="str">
        <x:v>Visual/UX</x:v>
      </x:c>
      <x:c r="H28" s="32" t="str">
        <x:v>P0</x:v>
      </x:c>
      <x:c r="I28" s="32" t="str">
        <x:v>EN DISEÑO</x:v>
      </x:c>
      <x:c r="J28" s="32" t="str"/>
    </x:row>
  </x:sheetData>
  <x:mergeCells>
    <x:mergeCell ref="A1:J1"/>
    <x:mergeCell ref="A2:J2"/>
  </x:mergeCells>
  <x:conditionalFormatting sqref="I5:I28">
    <x:cfRule type="expression" dxfId="5" priority="1">
      <x:formula>I5="CERRADO"</x:formula>
    </x:cfRule>
    <x:cfRule type="expression" dxfId="6" priority="2">
      <x:formula>I5="EN DISEÑO"</x:formula>
    </x:cfRule>
    <x:cfRule type="expression" dxfId="7" priority="3">
      <x:formula>I5="PENDIENTE"</x:formula>
    </x:cfRule>
    <x:cfRule type="expression" dxfId="8" priority="4">
      <x:formula>I5="DIFERIDO"</x:formula>
    </x:cfRule>
    <x:cfRule type="expression" dxfId="9" priority="5">
      <x:formula>I5="BLOQUEADO"</x:formula>
    </x:cfRule>
  </x:conditionalFormatting>
  <x:dataValidations count="1">
    <x:dataValidation type="list" sqref="I5:I28">
      <x:formula1>"CERRADO,EN DISEÑO,PENDIENTE,DIFERIDO,BLOQUEADO"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58" hidden="0" customWidth="1"/>
    <x:col min="4" max="4" width="14" hidden="0" customWidth="1"/>
    <x:col min="5" max="5" width="48" hidden="0" customWidth="1"/>
    <x:col min="6" max="6" width="22" hidden="0" customWidth="1"/>
    <x:col min="7" max="7" width="24" hidden="0" customWidth="1"/>
    <x:col min="8" max="8" width="38" hidden="0" customWidth="1"/>
  </x:cols>
  <x:sheetData>
    <x:row r="1" ht="30" customHeight="1">
      <x:c r="A1" s="4" t="str">
        <x:v>Decisiones y puntos por congelar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ACEPTADA = acordado. PROPUESTA = recomendación todavía no congelada. ABIERTO = requiere definición/evidencia.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Tema</x:v>
      </x:c>
      <x:c r="C4" s="19" t="str">
        <x:v>Decisión</x:v>
      </x:c>
      <x:c r="D4" s="19" t="str">
        <x:v>Estado</x:v>
      </x:c>
      <x:c r="E4" s="19" t="str">
        <x:v>Fundamento</x:v>
      </x:c>
      <x:c r="F4" s="19" t="str">
        <x:v>Impacto</x:v>
      </x:c>
      <x:c r="G4" s="19" t="str">
        <x:v>Gate/Próximo paso</x:v>
      </x:c>
      <x:c r="H4" s="19" t="str">
        <x:v>Notas</x:v>
      </x:c>
    </x:row>
    <x:row r="5">
      <x:c r="A5" s="32" t="str">
        <x:v>D-TS-001</x:v>
      </x:c>
      <x:c r="B5" s="32" t="str">
        <x:v>Summary</x:v>
      </x:c>
      <x:c r="C5" s="32" t="str">
        <x:v>Time Status visible muestra sólo PI y Dispatch; pueden aparecer juntos o individualmente.</x:v>
      </x:c>
      <x:c r="D5" s="32" t="str">
        <x:v>ACEPTADA</x:v>
      </x:c>
      <x:c r="E5" s="32" t="str">
        <x:v>El resto de fuentes tiene semántica distinta.</x:v>
      </x:c>
      <x:c r="F5" s="32" t="str">
        <x:v>UI</x:v>
      </x:c>
      <x:c r="G5" s="32" t="str">
        <x:v>TS-001</x:v>
      </x:c>
      <x:c r="H5" s="32" t="str"/>
    </x:row>
    <x:row r="6">
      <x:c r="A6" s="32" t="str">
        <x:v>D-TS-002</x:v>
      </x:c>
      <x:c r="B6" s="32" t="str">
        <x:v>PI optionality</x:v>
      </x:c>
      <x:c r="C6" s="32" t="str">
        <x:v>En el contrato reusable PI y Dispatch serán opcionales; composición ADA inyecta PI siempre.</x:v>
      </x:c>
      <x:c r="D6" s="32" t="str">
        <x:v>ACEPTADA</x:v>
      </x:c>
      <x:c r="E6" s="32" t="str">
        <x:v>Atlanticus no debe quedar atado a PI aunque ADA sí lo use.</x:v>
      </x:c>
      <x:c r="F6" s="32" t="str">
        <x:v>Contract</x:v>
      </x:c>
      <x:c r="G6" s="32" t="str">
        <x:v>TS-001</x:v>
      </x:c>
      <x:c r="H6" s="32" t="str"/>
    </x:row>
    <x:row r="7">
      <x:c r="A7" s="32" t="str">
        <x:v>D-TS-003</x:v>
      </x:c>
      <x:c r="B7" s="32" t="str">
        <x:v>Dispatch</x:v>
      </x:c>
      <x:c r="C7" s="32" t="str">
        <x:v>Dispatch es opcional según Tool.</x:v>
      </x:c>
      <x:c r="D7" s="32" t="str">
        <x:v>ACEPTADA</x:v>
      </x:c>
      <x:c r="E7" s="32" t="str">
        <x:v>No todas las Tools lo consumen.</x:v>
      </x:c>
      <x:c r="F7" s="32" t="str">
        <x:v>Composition</x:v>
      </x:c>
      <x:c r="G7" s="32" t="str">
        <x:v>TS-008</x:v>
      </x:c>
      <x:c r="H7" s="32" t="str"/>
    </x:row>
    <x:row r="8">
      <x:c r="A8" s="32" t="str">
        <x:v>D-TS-004</x:v>
      </x:c>
      <x:c r="B8" s="32" t="str">
        <x:v>Dynamic detail</x:v>
      </x:c>
      <x:c r="C8" s="32" t="str">
        <x:v>Las demás fuentes/consumos se muestran en una extensión/popover anclado con su última fecha/hora real.</x:v>
      </x:c>
      <x:c r="D8" s="32" t="str">
        <x:v>ACEPTADA</x:v>
      </x:c>
      <x:c r="E8" s="32" t="str">
        <x:v>No corresponde mostrar relative age para estas entradas.</x:v>
      </x:c>
      <x:c r="F8" s="32" t="str">
        <x:v>UI</x:v>
      </x:c>
      <x:c r="G8" s="32" t="str">
        <x:v>TS-005/008</x:v>
      </x:c>
      <x:c r="H8" s="32" t="str"/>
    </x:row>
    <x:row r="9">
      <x:c r="A9" s="32" t="str">
        <x:v>D-TS-005</x:v>
      </x:c>
      <x:c r="B9" s="32" t="str">
        <x:v>Under consumption</x:v>
      </x:c>
      <x:c r="C9" s="32" t="str">
        <x:v>El detail dinámico contiene sólo fuentes/KPI consumidos por la Tool actual.</x:v>
      </x:c>
      <x:c r="D9" s="32" t="str">
        <x:v>ACEPTADA</x:v>
      </x:c>
      <x:c r="E9" s="32" t="str">
        <x:v>Evita ruido y conserva costo bajo.</x:v>
      </x:c>
      <x:c r="F9" s="32" t="str">
        <x:v>Composition</x:v>
      </x:c>
      <x:c r="G9" s="32" t="str">
        <x:v>DATA-003</x:v>
      </x:c>
      <x:c r="H9" s="32" t="str"/>
    </x:row>
    <x:row r="10">
      <x:c r="A10" s="32" t="str">
        <x:v>D-TS-006</x:v>
      </x:c>
      <x:c r="B10" s="32" t="str">
        <x:v>Popover state</x:v>
      </x:c>
      <x:c r="C10" s="32" t="str">
        <x:v>Abrir/cerrar popover es estado JS independiente de Interval/data refresh.</x:v>
      </x:c>
      <x:c r="D10" s="32" t="str">
        <x:v>ACEPTADA</x:v>
      </x:c>
      <x:c r="E10" s="32" t="str">
        <x:v>No debe cerrarse cuando el store se actualiza.</x:v>
      </x:c>
      <x:c r="F10" s="32" t="str">
        <x:v>JS</x:v>
      </x:c>
      <x:c r="G10" s="32" t="str">
        <x:v>TS-006/007</x:v>
      </x:c>
      <x:c r="H10" s="32" t="str"/>
    </x:row>
    <x:row r="11">
      <x:c r="A11" s="32" t="str">
        <x:v>D-TS-007</x:v>
      </x:c>
      <x:c r="B11" s="32" t="str">
        <x:v>Popover modality</x:v>
      </x:c>
      <x:c r="C11" s="32" t="str">
        <x:v>El detail no es modal: sin backdrop global ni bloqueo; se ancla al Time Status.</x:v>
      </x:c>
      <x:c r="D11" s="32" t="str">
        <x:v>ACEPTADA</x:v>
      </x:c>
      <x:c r="E11" s="32" t="str">
        <x:v>Es extensión contextual del header.</x:v>
      </x:c>
      <x:c r="F11" s="32" t="str">
        <x:v>UX</x:v>
      </x:c>
      <x:c r="G11" s="32" t="str">
        <x:v>TS-005</x:v>
      </x:c>
      <x:c r="H11" s="32" t="str"/>
    </x:row>
    <x:row r="12">
      <x:c r="A12" s="32" t="str">
        <x:v>D-TS-008</x:v>
      </x:c>
      <x:c r="B12" s="32" t="str">
        <x:v>Data source</x:v>
      </x:c>
      <x:c r="C12" s="32" t="str">
        <x:v>Los datos de Time Status provienen del store específico de Collector/runtime, separado de stores KPI de contenido.</x:v>
      </x:c>
      <x:c r="D12" s="32" t="str">
        <x:v>ACEPTADA</x:v>
      </x:c>
      <x:c r="E12" s="32" t="str">
        <x:v>El payload es pequeño y ya existe conceptualmente.</x:v>
      </x:c>
      <x:c r="F12" s="32" t="str">
        <x:v>Data</x:v>
      </x:c>
      <x:c r="G12" s="32" t="str">
        <x:v>DATA-001/TS-004</x:v>
      </x:c>
      <x:c r="H12" s="32" t="str"/>
    </x:row>
    <x:row r="13">
      <x:c r="A13" s="32" t="str">
        <x:v>D-TS-009</x:v>
      </x:c>
      <x:c r="B13" s="32" t="str">
        <x:v>Role classification</x:v>
      </x:c>
      <x:c r="C13" s="32" t="str">
        <x:v>Debe diferenciarse qué entradas causan STALE y cuáles sólo aparecen en el popover.</x:v>
      </x:c>
      <x:c r="D13" s="32" t="str">
        <x:v>ACEPTADA</x:v>
      </x:c>
      <x:c r="E13" s="32" t="str">
        <x:v>Mostrar una fuente no implica que deba bloquear contenido.</x:v>
      </x:c>
      <x:c r="F13" s="32" t="str">
        <x:v>Domain</x:v>
      </x:c>
      <x:c r="G13" s="32" t="str">
        <x:v>DATA-004/CS-003</x:v>
      </x:c>
      <x:c r="H13" s="32" t="str"/>
    </x:row>
    <x:row r="14">
      <x:c r="A14" s="32" t="str">
        <x:v>D-TS-010</x:v>
      </x:c>
      <x:c r="B14" s="32" t="str">
        <x:v>No UI flags in Collector</x:v>
      </x:c>
      <x:c r="C14" s="32" t="str">
        <x:v>Clasificar summary/detail/stale en composición Web, no con flags show_in_* dentro del Collector.</x:v>
      </x:c>
      <x:c r="D14" s="32" t="str">
        <x:v>PROPUESTA</x:v>
      </x:c>
      <x:c r="E14" s="32" t="str">
        <x:v>Evita acoplar backend al diseño visual.</x:v>
      </x:c>
      <x:c r="F14" s="32" t="str">
        <x:v>Architecture</x:v>
      </x:c>
      <x:c r="G14" s="32" t="str">
        <x:v>TS-001</x:v>
      </x:c>
      <x:c r="H14" s="32" t="str"/>
    </x:row>
    <x:row r="15">
      <x:c r="A15" s="32" t="str">
        <x:v>D-TS-011</x:v>
      </x:c>
      <x:c r="B15" s="32" t="str">
        <x:v>Empty detail interaction</x:v>
      </x:c>
      <x:c r="C15" s="32" t="str">
        <x:v>Si no hay detail dinámico, el Time Status no ofrece affordance/click de expansión.</x:v>
      </x:c>
      <x:c r="D15" s="32" t="str">
        <x:v>PROPUESTA</x:v>
      </x:c>
      <x:c r="E15" s="32" t="str">
        <x:v>Evita popover vacío.</x:v>
      </x:c>
      <x:c r="F15" s="32" t="str">
        <x:v>UX</x:v>
      </x:c>
      <x:c r="G15" s="32" t="str">
        <x:v>TS-T03</x:v>
      </x:c>
      <x:c r="H15" s="32" t="str"/>
    </x:row>
    <x:row r="16">
      <x:c r="A16" s="32" t="str">
        <x:v>D-TS-012</x:v>
      </x:c>
      <x:c r="B16" s="32" t="str">
        <x:v>Current time</x:v>
      </x:c>
      <x:c r="C16" s="32" t="str">
        <x:v>Reloj local se actualiza client-side cada segundo, separado de freshness.</x:v>
      </x:c>
      <x:c r="D16" s="32" t="str">
        <x:v>PROPUESTA</x:v>
      </x:c>
      <x:c r="E16" s="32" t="str">
        <x:v>El legado ya lo hacía sin carga backend.</x:v>
      </x:c>
      <x:c r="F16" s="32" t="str">
        <x:v>JS</x:v>
      </x:c>
      <x:c r="G16" s="32" t="str">
        <x:v>TS-003</x:v>
      </x:c>
      <x:c r="H16" s="32" t="str"/>
    </x:row>
    <x:row r="17">
      <x:c r="A17" s="32" t="str">
        <x:v>D-CS-001</x:v>
      </x:c>
      <x:c r="B17" s="32" t="str">
        <x:v>Content states</x:v>
      </x:c>
      <x:c r="C17" s="32" t="str">
        <x:v>Content State conserva READY / STALE / CONSTRUCTION y queda separado de DisplayStatus.</x:v>
      </x:c>
      <x:c r="D17" s="32" t="str">
        <x:v>ACEPTADA</x:v>
      </x:c>
      <x:c r="E17" s="32" t="str">
        <x:v>Son semánticas distintas.</x:v>
      </x:c>
      <x:c r="F17" s="32" t="str">
        <x:v>Architecture</x:v>
      </x:c>
      <x:c r="G17" s="32" t="str">
        <x:v>CS-001</x:v>
      </x:c>
      <x:c r="H17" s="32" t="str"/>
    </x:row>
    <x:row r="18">
      <x:c r="A18" s="32" t="str">
        <x:v>D-CS-002</x:v>
      </x:c>
      <x:c r="B18" s="32" t="str">
        <x:v>Construction lifecycle</x:v>
      </x:c>
      <x:c r="C18" s="32" t="str">
        <x:v>CONSTRUCTION es declarativo/estático; STALE es runtime por freshness.</x:v>
      </x:c>
      <x:c r="D18" s="32" t="str">
        <x:v>ACEPTADA</x:v>
      </x:c>
      <x:c r="E18" s="32" t="str">
        <x:v>Contrato legado correcto.</x:v>
      </x:c>
      <x:c r="F18" s="32" t="str">
        <x:v>Domain</x:v>
      </x:c>
      <x:c r="G18" s="32" t="str">
        <x:v>CS-001/002</x:v>
      </x:c>
      <x:c r="H18" s="32" t="str"/>
    </x:row>
    <x:row r="19">
      <x:c r="A19" s="32" t="str">
        <x:v>D-CS-003</x:v>
      </x:c>
      <x:c r="B19" s="32" t="str">
        <x:v>Precedence</x:v>
      </x:c>
      <x:c r="C19" s="32" t="str">
        <x:v>CONSTRUCTION &gt; STALE &gt; READY.</x:v>
      </x:c>
      <x:c r="D19" s="32" t="str">
        <x:v>PROPUESTA</x:v>
      </x:c>
      <x:c r="E19" s="32" t="str">
        <x:v>Un componente aún no construido no necesita mostrar freshness.</x:v>
      </x:c>
      <x:c r="F19" s="32" t="str">
        <x:v>Domain</x:v>
      </x:c>
      <x:c r="G19" s="32" t="str">
        <x:v>CS-006</x:v>
      </x:c>
      <x:c r="H19" s="32" t="str">
        <x:v>Requiere aprobación.</x:v>
      </x:c>
    </x:row>
    <x:row r="20">
      <x:c r="A20" s="32" t="str">
        <x:v>D-CS-004</x:v>
      </x:c>
      <x:c r="B20" s="32" t="str">
        <x:v>Stale interaction</x:v>
      </x:c>
      <x:c r="C20" s="32" t="str">
        <x:v>Overlay STALE bloquea interacción como el legado.</x:v>
      </x:c>
      <x:c r="D20" s="32" t="str">
        <x:v>ABIERTO</x:v>
      </x:c>
      <x:c r="E20" s="32" t="str">
        <x:v>Puede chocar con KPI Inspection descriptiva.</x:v>
      </x:c>
      <x:c r="F20" s="32" t="str">
        <x:v>UX</x:v>
      </x:c>
      <x:c r="G20" s="32" t="str">
        <x:v>CS-007</x:v>
      </x:c>
      <x:c r="H20" s="32" t="str">
        <x:v>Decidir si aún debe permitirse abrir Definition.</x:v>
      </x:c>
    </x:row>
    <x:row r="21">
      <x:c r="A21" s="32" t="str">
        <x:v>D-KI-001</x:v>
      </x:c>
      <x:c r="B21" s="32" t="str">
        <x:v>Visual validation</x:v>
      </x:c>
      <x:c r="C21" s="32" t="str">
        <x:v>Antes de Body/adopción adicional se valida visualmente KPI Inspection real.</x:v>
      </x:c>
      <x:c r="D21" s="32" t="str">
        <x:v>ACEPTADA</x:v>
      </x:c>
      <x:c r="E21" s="32" t="str">
        <x:v>Falta confirmar aspecto/interacción en navegador.</x:v>
      </x:c>
      <x:c r="F21" s="32" t="str">
        <x:v>Roadmap</x:v>
      </x:c>
      <x:c r="G21" s="32" t="str">
        <x:v>KIV-000..005</x:v>
      </x:c>
      <x:c r="H21" s="32" t="str"/>
    </x:row>
    <x:row r="22">
      <x:c r="A22" s="32" t="str">
        <x:v>D-KI-002</x:v>
      </x:c>
      <x:c r="B22" s="32" t="str">
        <x:v>Cosmos</x:v>
      </x:c>
      <x:c r="C22" s="32" t="str">
        <x:v>KI-011 Cosmos continúa diferido mientras backend se estabiliza.</x:v>
      </x:c>
      <x:c r="D22" s="32" t="str">
        <x:v>ACEPTADA</x:v>
      </x:c>
      <x:c r="E22" s="32" t="str">
        <x:v>No bloquea UI.</x:v>
      </x:c>
      <x:c r="F22" s="32" t="str">
        <x:v>Roadmap</x:v>
      </x:c>
      <x:c r="G22" s="32" t="str">
        <x:v>Futuro</x:v>
      </x:c>
      <x:c r="H22" s="32" t="str"/>
    </x:row>
    <x:row r="23">
      <x:c r="A23" s="32" t="str">
        <x:v>D-BODY-001</x:v>
      </x:c>
      <x:c r="B23" s="32" t="str">
        <x:v>Body</x:v>
      </x:c>
      <x:c r="C23" s="32" t="str">
        <x:v>Body adoption queda diferido hasta diseñar Body Foundation.</x:v>
      </x:c>
      <x:c r="D23" s="32" t="str">
        <x:v>ACEPTADA</x:v>
      </x:c>
      <x:c r="E23" s="32" t="str">
        <x:v>Layouts pueden ser rows, imágenes+texto, tablas, overlays, etc.</x:v>
      </x:c>
      <x:c r="F23" s="32" t="str">
        <x:v>Roadmap</x:v>
      </x:c>
      <x:c r="G23" s="32" t="str">
        <x:v>BODY-000</x:v>
      </x:c>
      <x:c r="H23" s="32" t="str"/>
    </x:row>
  </x:sheetData>
  <x:mergeCells>
    <x:mergeCell ref="A1:H1"/>
    <x:mergeCell ref="A2:H2"/>
  </x:mergeCells>
  <x:conditionalFormatting sqref="D5:D23">
    <x:cfRule type="expression" dxfId="10" priority="1">
      <x:formula>D5="ACEPTADA"</x:formula>
    </x:cfRule>
    <x:cfRule type="expression" dxfId="11" priority="2">
      <x:formula>D5="PROPUESTA"</x:formula>
    </x:cfRule>
    <x:cfRule type="expression" dxfId="12" priority="3">
      <x:formula>D5="ABIERTO"</x:formula>
    </x:cfRule>
  </x:conditionalFormatting>
  <x:dataValidations count="1">
    <x:dataValidation type="list" sqref="D5:D23">
      <x:formula1>"ACEPTADA,PROPUESTA,ABIERTO,REEMPLAZADA"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50" hidden="0" customWidth="1"/>
    <x:col min="3" max="3" width="16" hidden="0" customWidth="1"/>
    <x:col min="4" max="4" width="14" hidden="0" customWidth="1"/>
    <x:col min="5" max="5" width="52" hidden="0" customWidth="1"/>
    <x:col min="6" max="6" width="18" hidden="0" customWidth="1"/>
    <x:col min="7" max="7" width="16" hidden="0" customWidth="1"/>
    <x:col min="8" max="8" width="34" hidden="0" customWidth="1"/>
  </x:cols>
  <x:sheetData>
    <x:row r="1" ht="30" customHeight="1">
      <x:c r="A1" s="4" t="str">
        <x:v>Riesgos, gaps y deuda de migración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Riesgos detectados al comparar legado completo con latest-v4 y con el roadmap acordado.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Riesgo / gap</x:v>
      </x:c>
      <x:c r="C4" s="19" t="str">
        <x:v>Impacto</x:v>
      </x:c>
      <x:c r="D4" s="19" t="str">
        <x:v>Probabilidad</x:v>
      </x:c>
      <x:c r="E4" s="19" t="str">
        <x:v>Mitigación</x:v>
      </x:c>
      <x:c r="F4" s="19" t="str">
        <x:v>Owner</x:v>
      </x:c>
      <x:c r="G4" s="19" t="str">
        <x:v>Estado</x:v>
      </x:c>
      <x:c r="H4" s="19" t="str">
        <x:v>Trigger de cierre</x:v>
      </x:c>
    </x:row>
    <x:row r="5">
      <x:c r="A5" s="32" t="str">
        <x:v>R-001</x:v>
      </x:c>
      <x:c r="B5" s="32" t="str">
        <x:v>El contrato actual exacto del Collector Time Status Store puede haber cambiado respecto al legacy.</x:v>
      </x:c>
      <x:c r="C5" s="32" t="str">
        <x:v>Alto</x:v>
      </x:c>
      <x:c r="D5" s="32" t="str">
        <x:v>Alta</x:v>
      </x:c>
      <x:c r="E5" s="32" t="str">
        <x:v>Usar fake/port para UI; verificar backend cuando estabilice.</x:v>
      </x:c>
      <x:c r="F5" s="32" t="str">
        <x:v>Backend/Web</x:v>
      </x:c>
      <x:c r="G5" s="32" t="str">
        <x:v>CONTROLADO</x:v>
      </x:c>
      <x:c r="H5" s="32" t="str">
        <x:v>DATA-001 validado.</x:v>
      </x:c>
    </x:row>
    <x:row r="6">
      <x:c r="A6" s="32" t="str">
        <x:v>R-002</x:v>
      </x:c>
      <x:c r="B6" s="32" t="str">
        <x:v>Legacy SOURCE_TIME_STORE no se actualiza si no existen component store_ids.</x:v>
      </x:c>
      <x:c r="C6" s="32" t="str">
        <x:v>Medio</x:v>
      </x:c>
      <x:c r="D6" s="32" t="str">
        <x:v>Media</x:v>
      </x:c>
      <x:c r="E6" s="32" t="str">
        <x:v>Revisar si el contrato actual conserva ese acoplamiento; separar refresh de Time Status.</x:v>
      </x:c>
      <x:c r="F6" s="32" t="str">
        <x:v>Backend/Web</x:v>
      </x:c>
      <x:c r="G6" s="32" t="str">
        <x:v>ABIERTO</x:v>
      </x:c>
      <x:c r="H6" s="32" t="str">
        <x:v>Test Tool sin snapshot component.</x:v>
      </x:c>
    </x:row>
    <x:row r="7">
      <x:c r="A7" s="32" t="str">
        <x:v>R-003</x:v>
      </x:c>
      <x:c r="B7" s="32" t="str">
        <x:v>No existe wiring legacy entre SOURCE_TIME_STORE y Time Status UI en el archive.</x:v>
      </x:c>
      <x:c r="C7" s="32" t="str">
        <x:v>Medio</x:v>
      </x:c>
      <x:c r="D7" s="32" t="str">
        <x:v>Alta</x:v>
      </x:c>
      <x:c r="E7" s="32" t="str">
        <x:v>Construir adapter/composition explícito en nueva arquitectura.</x:v>
      </x:c>
      <x:c r="F7" s="32" t="str">
        <x:v>Web</x:v>
      </x:c>
      <x:c r="G7" s="32" t="str">
        <x:v>CONTROLADO</x:v>
      </x:c>
      <x:c r="H7" s="32" t="str">
        <x:v>TS-004/008 verdes.</x:v>
      </x:c>
    </x:row>
    <x:row r="8">
      <x:c r="A8" s="32" t="str">
        <x:v>R-004</x:v>
      </x:c>
      <x:c r="B8" s="32" t="str">
        <x:v>No existe resolver runtime legacy encontrado para ContentState STALE.</x:v>
      </x:c>
      <x:c r="C8" s="32" t="str">
        <x:v>Alto</x:v>
      </x:c>
      <x:c r="D8" s="32" t="str">
        <x:v>Alta</x:v>
      </x:c>
      <x:c r="E8" s="32" t="str">
        <x:v>Implementar resolver explícito y testeado; no asumir comportamiento viejo.</x:v>
      </x:c>
      <x:c r="F8" s="32" t="str">
        <x:v>Web</x:v>
      </x:c>
      <x:c r="G8" s="32" t="str">
        <x:v>CONTROLADO</x:v>
      </x:c>
      <x:c r="H8" s="32" t="str">
        <x:v>CS-003..005 verdes.</x:v>
      </x:c>
    </x:row>
    <x:row r="9">
      <x:c r="A9" s="32" t="str">
        <x:v>R-005</x:v>
      </x:c>
      <x:c r="B9" s="32" t="str">
        <x:v>Popover puede cerrarse o desanclarse si su estado depende del DOM rerenderizado.</x:v>
      </x:c>
      <x:c r="C9" s="32" t="str">
        <x:v>Alto</x:v>
      </x:c>
      <x:c r="D9" s="32" t="str">
        <x:v>Media</x:v>
      </x:c>
      <x:c r="E9" s="32" t="str">
        <x:v>Estado JS estable + re-resolve anchor tras rerender.</x:v>
      </x:c>
      <x:c r="F9" s="32" t="str">
        <x:v>Web/JS</x:v>
      </x:c>
      <x:c r="G9" s="32" t="str">
        <x:v>CONTROLADO</x:v>
      </x:c>
      <x:c r="H9" s="32" t="str">
        <x:v>TS-007 verde.</x:v>
      </x:c>
    </x:row>
    <x:row r="10">
      <x:c r="A10" s="32" t="str">
        <x:v>R-006</x:v>
      </x:c>
      <x:c r="B10" s="32" t="str">
        <x:v>Clasificar fuentes con flags UI en Collector generaría acoplamiento backend/frontend.</x:v>
      </x:c>
      <x:c r="C10" s="32" t="str">
        <x:v>Medio</x:v>
      </x:c>
      <x:c r="D10" s="32" t="str">
        <x:v>Media</x:v>
      </x:c>
      <x:c r="E10" s="32" t="str">
        <x:v>Mantener clasificación en composición/adapter Web.</x:v>
      </x:c>
      <x:c r="F10" s="32" t="str">
        <x:v>Architecture</x:v>
      </x:c>
      <x:c r="G10" s="32" t="str">
        <x:v>ABIERTO</x:v>
      </x:c>
      <x:c r="H10" s="32" t="str">
        <x:v>D-TS-010 aceptada.</x:v>
      </x:c>
    </x:row>
    <x:row r="11">
      <x:c r="A11" s="32" t="str">
        <x:v>R-007</x:v>
      </x:c>
      <x:c r="B11" s="32" t="str">
        <x:v>STALE wrapper puede bloquear KPI Inspection y empeorar diagnósticos.</x:v>
      </x:c>
      <x:c r="C11" s="32" t="str">
        <x:v>Medio</x:v>
      </x:c>
      <x:c r="D11" s="32" t="str">
        <x:v>Media</x:v>
      </x:c>
      <x:c r="E11" s="32" t="str">
        <x:v>Decidir política UX explícita; test visual.</x:v>
      </x:c>
      <x:c r="F11" s="32" t="str">
        <x:v>UI</x:v>
      </x:c>
      <x:c r="G11" s="32" t="str">
        <x:v>ABIERTO</x:v>
      </x:c>
      <x:c r="H11" s="32" t="str">
        <x:v>CS-007 congelado.</x:v>
      </x:c>
    </x:row>
    <x:row r="12">
      <x:c r="A12" s="32" t="str">
        <x:v>R-008</x:v>
      </x:c>
      <x:c r="B12" s="32" t="str">
        <x:v>display-status y ContentState pueden confundirse por nombre/propósito.</x:v>
      </x:c>
      <x:c r="C12" s="32" t="str">
        <x:v>Medio</x:v>
      </x:c>
      <x:c r="D12" s="32" t="str">
        <x:v>Media</x:v>
      </x:c>
      <x:c r="E12" s="32" t="str">
        <x:v>Packages y contratos separados; documentación clara.</x:v>
      </x:c>
      <x:c r="F12" s="32" t="str">
        <x:v>Architecture</x:v>
      </x:c>
      <x:c r="G12" s="32" t="str">
        <x:v>CONTROLADO</x:v>
      </x:c>
      <x:c r="H12" s="32" t="str">
        <x:v>CS-001.</x:v>
      </x:c>
    </x:row>
    <x:row r="13">
      <x:c r="A13" s="32" t="str">
        <x:v>R-009</x:v>
      </x:c>
      <x:c r="B13" s="32" t="str">
        <x:v>Time Status podría crecer horizontalmente si se muestran detalles inline.</x:v>
      </x:c>
      <x:c r="C13" s="32" t="str">
        <x:v>Alto</x:v>
      </x:c>
      <x:c r="D13" s="32" t="str">
        <x:v>Baja</x:v>
      </x:c>
      <x:c r="E13" s="32" t="str">
        <x:v>Sólo PI/Dispatch en summary; resto en popover.</x:v>
      </x:c>
      <x:c r="F13" s="32" t="str">
        <x:v>UI</x:v>
      </x:c>
      <x:c r="G13" s="32" t="str">
        <x:v>MITIGADO</x:v>
      </x:c>
      <x:c r="H13" s="32" t="str">
        <x:v>TS-001.</x:v>
      </x:c>
    </x:row>
    <x:row r="14">
      <x:c r="A14" s="32" t="str">
        <x:v>R-010</x:v>
      </x:c>
      <x:c r="B14" s="32" t="str">
        <x:v>Body prematuro puede forzar wrappers/adopters incorrectos.</x:v>
      </x:c>
      <x:c r="C14" s="32" t="str">
        <x:v>Alto</x:v>
      </x:c>
      <x:c r="D14" s="32" t="str">
        <x:v>Alta</x:v>
      </x:c>
      <x:c r="E14" s="32" t="str">
        <x:v>Diferir Body hasta cerrar Header/Time Status/Content State.</x:v>
      </x:c>
      <x:c r="F14" s="32" t="str">
        <x:v>Architecture</x:v>
      </x:c>
      <x:c r="G14" s="32" t="str">
        <x:v>MITIGADO</x:v>
      </x:c>
      <x:c r="H14" s="32" t="str">
        <x:v>BODY-000 diferido.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24" hidden="0" customWidth="1"/>
    <x:col min="4" max="4" width="17" hidden="0" customWidth="1"/>
    <x:col min="5" max="5" width="38" hidden="0" customWidth="1"/>
    <x:col min="6" max="6" width="20" hidden="0" customWidth="1"/>
    <x:col min="7" max="7" width="34" hidden="0" customWidth="1"/>
    <x:col min="8" max="8" width="28" hidden="0" customWidth="1"/>
    <x:col min="9" max="9" width="24" hidden="0" customWidth="1"/>
    <x:col min="10" max="10" width="44" hidden="0" customWidth="1"/>
  </x:cols>
  <x:sheetData>
    <x:row r="1" ht="30" customHeight="1">
      <x:c r="A1" s="4" t="str">
        <x:v>Matriz de contratos y responsabilidades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Evita mezclar conceptos visualmente próximos con ownership distinto.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Elemento</x:v>
      </x:c>
      <x:c r="B4" s="19" t="str">
        <x:v>Origen</x:v>
      </x:c>
      <x:c r="C4" s="19" t="str">
        <x:v>Identidad</x:v>
      </x:c>
      <x:c r="D4" s="19" t="str">
        <x:v>Siempre visible</x:v>
      </x:c>
      <x:c r="E4" s="19" t="str">
        <x:v>Presentación</x:v>
      </x:c>
      <x:c r="F4" s="19" t="str">
        <x:v>Puede causar STALE</x:v>
      </x:c>
      <x:c r="G4" s="19" t="str">
        <x:v>Interacción</x:v>
      </x:c>
      <x:c r="H4" s="19" t="str">
        <x:v>Actualización</x:v>
      </x:c>
      <x:c r="I4" s="19" t="str">
        <x:v>Owner UI</x:v>
      </x:c>
      <x:c r="J4" s="19" t="str">
        <x:v>Notas</x:v>
      </x:c>
    </x:row>
    <x:row r="5">
      <x:c r="A5" s="32" t="str">
        <x:v>PI summary</x:v>
      </x:c>
      <x:c r="B5" s="32" t="str">
        <x:v>Time Status Store</x:v>
      </x:c>
      <x:c r="C5" s="32" t="str">
        <x:v>source key PI</x:v>
      </x:c>
      <x:c r="D5" s="32" t="str">
        <x:v>Sí en ADA</x:v>
      </x:c>
      <x:c r="E5" s="32" t="str">
        <x:v>Relative age + tone/icon</x:v>
      </x:c>
      <x:c r="F5" s="32" t="str">
        <x:v>Sí</x:v>
      </x:c>
      <x:c r="G5" s="32" t="str">
        <x:v>Parte del trigger detail si hay detail</x:v>
      </x:c>
      <x:c r="H5" s="32" t="str">
        <x:v>Snapshot/collector interval</x:v>
      </x:c>
      <x:c r="I5" s="32" t="str">
        <x:v>Time Status</x:v>
      </x:c>
      <x:c r="J5" s="32" t="str">
        <x:v>Reusable contract puede aceptarlo None.</x:v>
      </x:c>
    </x:row>
    <x:row r="6">
      <x:c r="A6" s="32" t="str">
        <x:v>Dispatch summary</x:v>
      </x:c>
      <x:c r="B6" s="32" t="str">
        <x:v>Time Status Store</x:v>
      </x:c>
      <x:c r="C6" s="32" t="str">
        <x:v>source key Dispatch</x:v>
      </x:c>
      <x:c r="D6" s="32" t="str">
        <x:v>Sólo si Tool lo usa</x:v>
      </x:c>
      <x:c r="E6" s="32" t="str">
        <x:v>Relative age + tone/icon</x:v>
      </x:c>
      <x:c r="F6" s="32" t="str">
        <x:v>Sí</x:v>
      </x:c>
      <x:c r="G6" s="32" t="str">
        <x:v>Parte del trigger detail si hay detail</x:v>
      </x:c>
      <x:c r="H6" s="32" t="str">
        <x:v>Snapshot/collector interval</x:v>
      </x:c>
      <x:c r="I6" s="32" t="str">
        <x:v>Time Status</x:v>
      </x:c>
      <x:c r="J6" s="32" t="str">
        <x:v>Opcional.</x:v>
      </x:c>
    </x:row>
    <x:row r="7">
      <x:c r="A7" s="32" t="str">
        <x:v>Dynamic detail source</x:v>
      </x:c>
      <x:c r="B7" s="32" t="str">
        <x:v>Time Status Store + Tool consumption</x:v>
      </x:c>
      <x:c r="C7" s="32" t="str">
        <x:v>source/kpi consumption key</x:v>
      </x:c>
      <x:c r="D7" s="32" t="str">
        <x:v>No</x:v>
      </x:c>
      <x:c r="E7" s="32" t="str">
        <x:v>Display name + timestamp real</x:v>
      </x:c>
      <x:c r="F7" s="32" t="str">
        <x:v>Sí o No</x:v>
      </x:c>
      <x:c r="G7" s="32" t="str">
        <x:v>Fila del anchored popover</x:v>
      </x:c>
      <x:c r="H7" s="32" t="str">
        <x:v>Snapshot/collector interval</x:v>
      </x:c>
      <x:c r="I7" s="32" t="str">
        <x:v>Time Status Detail</x:v>
      </x:c>
      <x:c r="J7" s="32" t="str">
        <x:v>Rol stale separado de rol detail.</x:v>
      </x:c>
    </x:row>
    <x:row r="8">
      <x:c r="A8" s="32" t="str">
        <x:v>Current datetime</x:v>
      </x:c>
      <x:c r="B8" s="32" t="str">
        <x:v>Browser clock</x:v>
      </x:c>
      <x:c r="C8" s="32" t="str">
        <x:v>N/A</x:v>
      </x:c>
      <x:c r="D8" s="32" t="str">
        <x:v>Sí</x:v>
      </x:c>
      <x:c r="E8" s="32" t="str">
        <x:v>yyyy-mm-dd HH:mm:ss</x:v>
      </x:c>
      <x:c r="F8" s="32" t="str">
        <x:v>No</x:v>
      </x:c>
      <x:c r="G8" s="32" t="str">
        <x:v>Ninguna</x:v>
      </x:c>
      <x:c r="H8" s="32" t="str">
        <x:v>JS 1 s</x:v>
      </x:c>
      <x:c r="I8" s="32" t="str">
        <x:v>Time Status</x:v>
      </x:c>
      <x:c r="J8" s="32" t="str">
        <x:v>No depende del Collector.</x:v>
      </x:c>
    </x:row>
    <x:row r="9">
      <x:c r="A9" s="32" t="str">
        <x:v>ContentState STALE</x:v>
      </x:c>
      <x:c r="B9" s="32" t="str">
        <x:v>Freshness resolver</x:v>
      </x:c>
      <x:c r="C9" s="32" t="str">
        <x:v>state_key</x:v>
      </x:c>
      <x:c r="D9" s="32" t="str">
        <x:v>Sólo cuando aplica</x:v>
      </x:c>
      <x:c r="E9" s="32" t="str">
        <x:v>Overlay 'Información desactualizada'</x:v>
      </x:c>
      <x:c r="F9" s="32" t="str">
        <x:v>N/A</x:v>
      </x:c>
      <x:c r="G9" s="32" t="str">
        <x:v>Por decidir si bloquea Inspection</x:v>
      </x:c>
      <x:c r="H9" s="32" t="str">
        <x:v>Runtime</x:v>
      </x:c>
      <x:c r="I9" s="32" t="str">
        <x:v>Content State</x:v>
      </x:c>
      <x:c r="J9" s="32" t="str">
        <x:v>No es DisplayStatus.</x:v>
      </x:c>
    </x:row>
    <x:row r="10">
      <x:c r="A10" s="32" t="str">
        <x:v>ContentState CONSTRUCTION</x:v>
      </x:c>
      <x:c r="B10" s="32" t="str">
        <x:v>Declaración/config</x:v>
      </x:c>
      <x:c r="C10" s="32" t="str">
        <x:v>state_key</x:v>
      </x:c>
      <x:c r="D10" s="32" t="str">
        <x:v>Sólo cuando aplica</x:v>
      </x:c>
      <x:c r="E10" s="32" t="str">
        <x:v>Overlay 'En construcción' + hammer</x:v>
      </x:c>
      <x:c r="F10" s="32" t="str">
        <x:v>No</x:v>
      </x:c>
      <x:c r="G10" s="32" t="str">
        <x:v>Overlay</x:v>
      </x:c>
      <x:c r="H10" s="32" t="str">
        <x:v>Estático/composición</x:v>
      </x:c>
      <x:c r="I10" s="32" t="str">
        <x:v>Content State</x:v>
      </x:c>
      <x:c r="J10" s="32" t="str">
        <x:v>Independiente de freshness.</x:v>
      </x:c>
    </x:row>
    <x:row r="11">
      <x:c r="A11" s="32" t="str">
        <x:v>DisplayStatus</x:v>
      </x:c>
      <x:c r="B11" s="32" t="str">
        <x:v>Valor KPI/UI</x:v>
      </x:c>
      <x:c r="C11" s="32" t="str">
        <x:v>valor/slot</x:v>
      </x:c>
      <x:c r="D11" s="32" t="str">
        <x:v>Cuando dato degradado</x:v>
      </x:c>
      <x:c r="E11" s="32" t="str">
        <x:v>Iconos empty/error/not_mapped/invalid</x:v>
      </x:c>
      <x:c r="F11" s="32" t="str">
        <x:v>No</x:v>
      </x:c>
      <x:c r="G11" s="32" t="str">
        <x:v>Ninguna específica</x:v>
      </x:c>
      <x:c r="H11" s="32" t="str">
        <x:v>Con valor</x:v>
      </x:c>
      <x:c r="I11" s="32" t="str">
        <x:v>Display Status</x:v>
      </x:c>
      <x:c r="J11" s="32" t="str">
        <x:v>Ya existe en latest-v4; no reemplaza ContentState.</x:v>
      </x:c>
    </x:row>
    <x:row r="12">
      <x:c r="A12" s="32" t="str">
        <x:v>KPI Inspection trigger</x:v>
      </x:c>
      <x:c r="B12" s="32" t="str">
        <x:v>Composición adopter</x:v>
      </x:c>
      <x:c r="C12" s="32" t="str">
        <x:v>kpi_key</x:v>
      </x:c>
      <x:c r="D12" s="32" t="str">
        <x:v>Opt-in</x:v>
      </x:c>
      <x:c r="E12" s="32" t="str">
        <x:v>cursor help + click</x:v>
      </x:c>
      <x:c r="F12" s="32" t="str">
        <x:v>No</x:v>
      </x:c>
      <x:c r="G12" s="32" t="str">
        <x:v>Bottom inspector</x:v>
      </x:c>
      <x:c r="H12" s="32" t="str">
        <x:v>Click/API snapshot</x:v>
      </x:c>
      <x:c r="I12" s="32" t="str">
        <x:v>Inspection</x:v>
      </x:c>
      <x:c r="J12" s="32" t="str">
        <x:v>Puede coexistir con ContentState; política stale pendiente.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48" hidden="0" customWidth="1"/>
    <x:col min="3" max="3" width="42" hidden="0" customWidth="1"/>
    <x:col min="4" max="4" width="48" hidden="0" customWidth="1"/>
    <x:col min="5" max="5" width="42" hidden="0" customWidth="1"/>
    <x:col min="6" max="6" width="14" hidden="0" customWidth="1"/>
    <x:col min="7" max="7" width="18" hidden="0" customWidth="1"/>
    <x:col min="8" max="8" width="36" hidden="0" customWidth="1"/>
  </x:cols>
  <x:sheetData>
    <x:row r="1" ht="30" customHeight="1">
      <x:c r="A1" s="4" t="str">
        <x:v>Preguntas a verificar contra Collector/backend actual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No bloquean el trabajo UI si se usa un port/fake, pero deben resolverse antes del wiring productivo.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Pregunta</x:v>
      </x:c>
      <x:c r="C4" s="19" t="str">
        <x:v>Por qué importa</x:v>
      </x:c>
      <x:c r="D4" s="19" t="str">
        <x:v>Evidencia legacy</x:v>
      </x:c>
      <x:c r="E4" s="19" t="str">
        <x:v>Hipótesis actual</x:v>
      </x:c>
      <x:c r="F4" s="19" t="str">
        <x:v>Estado</x:v>
      </x:c>
      <x:c r="G4" s="19" t="str">
        <x:v>Bloquea</x:v>
      </x:c>
      <x:c r="H4" s="19" t="str">
        <x:v>Próxima evidencia</x:v>
      </x:c>
    </x:row>
    <x:row r="5">
      <x:c r="A5" s="32" t="str">
        <x:v>Q-001</x:v>
      </x:c>
      <x:c r="B5" s="32" t="str">
        <x:v>¿Cuál es el payload exacto del Time Status Store actual?</x:v>
      </x:c>
      <x:c r="C5" s="32" t="str">
        <x:v>Define adapter Web.</x:v>
      </x:c>
      <x:c r="D5" s="32" t="str">
        <x:v>tool_key/generated_at_utc/sources en SOURCE_TIME_STORE legacy.</x:v>
      </x:c>
      <x:c r="E5" s="32" t="str">
        <x:v>Existe store pequeño separado del Collector.</x:v>
      </x:c>
      <x:c r="F5" s="32" t="str">
        <x:v>PENDIENTE</x:v>
      </x:c>
      <x:c r="G5" s="32" t="str">
        <x:v>DATA-002</x:v>
      </x:c>
      <x:c r="H5" s="32" t="str">
        <x:v>Inspeccionar backend estable.</x:v>
      </x:c>
    </x:row>
    <x:row r="6">
      <x:c r="A6" s="32" t="str">
        <x:v>Q-002</x:v>
      </x:c>
      <x:c r="B6" s="32" t="str">
        <x:v>¿Qué claves concretas identifican PI y Dispatch?</x:v>
      </x:c>
      <x:c r="C6" s="32" t="str">
        <x:v>Necesitamos slots summary sin hardcode frágil.</x:v>
      </x:c>
      <x:c r="D6" s="32" t="str">
        <x:v>sources usa keys genéricas; test legacy usa 'pi'.</x:v>
      </x:c>
      <x:c r="E6" s="32" t="str">
        <x:v>Probablemente keys conocidas de Collector.</x:v>
      </x:c>
      <x:c r="F6" s="32" t="str">
        <x:v>PENDIENTE</x:v>
      </x:c>
      <x:c r="G6" s="32" t="str">
        <x:v>TS-009</x:v>
      </x:c>
      <x:c r="H6" s="32" t="str">
        <x:v>Fixture/contract actual.</x:v>
      </x:c>
    </x:row>
    <x:row r="7">
      <x:c r="A7" s="32" t="str">
        <x:v>Q-003</x:v>
      </x:c>
      <x:c r="B7" s="32" t="str">
        <x:v>¿El store actual ya viene scopeado por Tool?</x:v>
      </x:c>
      <x:c r="C7" s="32" t="str">
        <x:v>Determina si filtrado es local o backend.</x:v>
      </x:c>
      <x:c r="D7" s="32" t="str">
        <x:v>Legacy store id incluye tool y snapshot tiene tool_key.</x:v>
      </x:c>
      <x:c r="E7" s="32" t="str">
        <x:v>Probablemente sí.</x:v>
      </x:c>
      <x:c r="F7" s="32" t="str">
        <x:v>PENDIENTE</x:v>
      </x:c>
      <x:c r="G7" s="32" t="str">
        <x:v>TS-008</x:v>
      </x:c>
      <x:c r="H7" s="32" t="str">
        <x:v>Inspeccionar store real.</x:v>
      </x:c>
    </x:row>
    <x:row r="8">
      <x:c r="A8" s="32" t="str">
        <x:v>Q-004</x:v>
      </x:c>
      <x:c r="B8" s="32" t="str">
        <x:v>¿Qué significa cada timestamp: watermark de fuente, última publicación o last_success?</x:v>
      </x:c>
      <x:c r="C8" s="32" t="str">
        <x:v>Afecta copy y stale policy.</x:v>
      </x:c>
      <x:c r="D8" s="32" t="str">
        <x:v>Producer states tienen source_watermark, last_change, last_success.</x:v>
      </x:c>
      <x:c r="E8" s="32" t="str">
        <x:v>Debe elegirse semántica explícita por source.</x:v>
      </x:c>
      <x:c r="F8" s="32" t="str">
        <x:v>PENDIENTE</x:v>
      </x:c>
      <x:c r="G8" s="32" t="str">
        <x:v>CS-003</x:v>
      </x:c>
      <x:c r="H8" s="32" t="str">
        <x:v>Contrato Collector.</x:v>
      </x:c>
    </x:row>
    <x:row r="9">
      <x:c r="A9" s="32" t="str">
        <x:v>Q-005</x:v>
      </x:c>
      <x:c r="B9" s="32" t="str">
        <x:v>¿Collector ya calcula stale o sólo entrega timestamps?</x:v>
      </x:c>
      <x:c r="C9" s="32" t="str">
        <x:v>Evita duplicar reglas.</x:v>
      </x:c>
      <x:c r="D9" s="32" t="str">
        <x:v>Legacy KpiRuntimeSnapshot sólo trae timestamps.</x:v>
      </x:c>
      <x:c r="E9" s="32" t="str">
        <x:v>No asumir.</x:v>
      </x:c>
      <x:c r="F9" s="32" t="str">
        <x:v>PENDIENTE</x:v>
      </x:c>
      <x:c r="G9" s="32" t="str">
        <x:v>CS-003</x:v>
      </x:c>
      <x:c r="H9" s="32" t="str">
        <x:v>Contrato actual.</x:v>
      </x:c>
    </x:row>
    <x:row r="10">
      <x:c r="A10" s="32" t="str">
        <x:v>Q-006</x:v>
      </x:c>
      <x:c r="B10" s="32" t="str">
        <x:v>¿Cómo se declaran fuentes que causan STALE versus detail-only?</x:v>
      </x:c>
      <x:c r="C10" s="32" t="str">
        <x:v>Es la clasificación clave acordada.</x:v>
      </x:c>
      <x:c r="D10" s="32" t="str">
        <x:v>No existe en legacy.</x:v>
      </x:c>
      <x:c r="E10" s="32" t="str">
        <x:v>Composición/policy Web.</x:v>
      </x:c>
      <x:c r="F10" s="32" t="str">
        <x:v>EN DISEÑO</x:v>
      </x:c>
      <x:c r="G10" s="32" t="str">
        <x:v>CS-003/004</x:v>
      </x:c>
      <x:c r="H10" s="32" t="str">
        <x:v>TS-001 design freeze.</x:v>
      </x:c>
    </x:row>
    <x:row r="11">
      <x:c r="A11" s="32" t="str">
        <x:v>Q-007</x:v>
      </x:c>
      <x:c r="B11" s="32" t="str">
        <x:v>¿Cómo se resuelve source → componentes afectados?</x:v>
      </x:c>
      <x:c r="C11" s="32" t="str">
        <x:v>Permite stale selectivo.</x:v>
      </x:c>
      <x:c r="D11" s="32" t="str">
        <x:v>Legacy GlobalIndicatorsState existía pero no resolver.</x:v>
      </x:c>
      <x:c r="E11" s="32" t="str">
        <x:v>Tool/KPI consumption/dependency mapping.</x:v>
      </x:c>
      <x:c r="F11" s="32" t="str">
        <x:v>EN DISEÑO</x:v>
      </x:c>
      <x:c r="G11" s="32" t="str">
        <x:v>CS-004</x:v>
      </x:c>
      <x:c r="H11" s="32" t="str">
        <x:v>Diseño con Tool actual.</x:v>
      </x:c>
    </x:row>
    <x:row r="12">
      <x:c r="A12" s="32" t="str">
        <x:v>Q-008</x:v>
      </x:c>
      <x:c r="B12" s="32" t="str">
        <x:v>¿Qué ocurre si source falta o timestamp=None?</x:v>
      </x:c>
      <x:c r="C12" s="32" t="str">
        <x:v>Debe distinguir unknown de stale.</x:v>
      </x:c>
      <x:c r="D12" s="32" t="str">
        <x:v>Legacy source view recibía texto/tone ya resuelto.</x:v>
      </x:c>
      <x:c r="E12" s="32" t="str">
        <x:v>Definir neutral/unknown antes de critical.</x:v>
      </x:c>
      <x:c r="F12" s="32" t="str">
        <x:v>ABIERTO</x:v>
      </x:c>
      <x:c r="G12" s="32" t="str">
        <x:v>DATA-005</x:v>
      </x:c>
      <x:c r="H12" s="32" t="str">
        <x:v>Truth table.</x:v>
      </x:c>
    </x:row>
    <x:row r="13">
      <x:c r="A13" s="32" t="str">
        <x:v>Q-009</x:v>
      </x:c>
      <x:c r="B13" s="32" t="str">
        <x:v>¿Dispatch existe como una entrada o múltiples streams internos?</x:v>
      </x:c>
      <x:c r="C13" s="32" t="str">
        <x:v>Summary debe ser uno solo.</x:v>
      </x:c>
      <x:c r="D13" s="32" t="str">
        <x:v>Dispatch producer state tiene streams por table.</x:v>
      </x:c>
      <x:c r="E13" s="32" t="str">
        <x:v>Collector probablemente consolida.</x:v>
      </x:c>
      <x:c r="F13" s="32" t="str">
        <x:v>PENDIENTE</x:v>
      </x:c>
      <x:c r="G13" s="32" t="str">
        <x:v>TS-009</x:v>
      </x:c>
      <x:c r="H13" s="32" t="str">
        <x:v>Snapshot/store actual.</x:v>
      </x:c>
    </x:row>
    <x:row r="14">
      <x:c r="A14" s="32" t="str">
        <x:v>Q-010</x:v>
      </x:c>
      <x:c r="B14" s="32" t="str">
        <x:v>¿Los detalles del popover son source keys o KPI keys?</x:v>
      </x:c>
      <x:c r="C14" s="32" t="str">
        <x:v>Afecta labels y relación con Tool consumption.</x:v>
      </x:c>
      <x:c r="D14" s="32" t="str">
        <x:v>Legacy sources mapping no impone significado.</x:v>
      </x:c>
      <x:c r="E14" s="32" t="str">
        <x:v>Puede ser mixto; no asumir.</x:v>
      </x:c>
      <x:c r="F14" s="32" t="str">
        <x:v>PENDIENTE</x:v>
      </x:c>
      <x:c r="G14" s="32" t="str">
        <x:v>TS-008</x:v>
      </x:c>
      <x:c r="H14" s="32" t="str">
        <x:v>Store real + Tool config.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" hidden="0" customWidth="1"/>
    <x:col min="4" max="4" width="24" hidden="0" customWidth="1"/>
    <x:col min="5" max="5" width="20" hidden="0" customWidth="1"/>
    <x:col min="6" max="6" width="16" hidden="0" customWidth="1"/>
    <x:col min="7" max="7" width="3" hidden="0" customWidth="1"/>
    <x:col min="8" max="8" width="3" hidden="0" customWidth="1"/>
    <x:col min="9" max="9" width="3" hidden="0" customWidth="1"/>
    <x:col min="10" max="10" width="3" hidden="0" customWidth="1"/>
  </x:cols>
  <x:sheetData>
    <x:row r="1" ht="30" customHeight="1">
      <x:c r="A1" s="4" t="str">
        <x:v>Dashboard del roadmap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Resumen visual del backlog. Los conteos se alimentan de 03_Roadmap.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Métrica</x:v>
      </x:c>
      <x:c r="B4" s="19" t="str">
        <x:v>Valor</x:v>
      </x:c>
      <x:c r="D4" s="19" t="str">
        <x:v>Track</x:v>
      </x:c>
      <x:c r="E4" s="19" t="str">
        <x:v>Pendiente/En diseño</x:v>
      </x:c>
      <x:c r="F4" s="19" t="str">
        <x:v>Cerrado</x:v>
      </x:c>
    </x:row>
    <x:row r="5">
      <x:c r="A5" t="str">
        <x:v>Total</x:v>
      </x:c>
      <x:c r="B5" t="n">
        <x:f>COUNTA('03_Roadmap'!A5:A200)</x:f>
        <x:v>37</x:v>
      </x:c>
      <x:c r="D5" t="str">
        <x:v>KPI Inspection Visual</x:v>
      </x:c>
      <x:c r="E5" t="n">
        <x:f>COUNTIFS('03_Roadmap'!B5:B200,D5,'03_Roadmap'!J5:J200,"PENDIENTE")+COUNTIFS('03_Roadmap'!B5:B200,D5,'03_Roadmap'!J5:J200,"EN DISEÑO")</x:f>
        <x:v>6</x:v>
      </x:c>
      <x:c r="F5" t="n">
        <x:f>COUNTIFS('03_Roadmap'!B5:B200,D5,'03_Roadmap'!J5:J200,"CERRADO")</x:f>
        <x:v>0</x:v>
      </x:c>
    </x:row>
    <x:row r="6">
      <x:c r="A6" t="str">
        <x:v>Cerrado</x:v>
      </x:c>
      <x:c r="B6" t="n">
        <x:f>COUNTIF('03_Roadmap'!J5:J200,"CERRADO")</x:f>
        <x:v>3</x:v>
      </x:c>
      <x:c r="D6" t="str">
        <x:v>Time Status</x:v>
      </x:c>
      <x:c r="E6" t="n">
        <x:f>COUNTIFS('03_Roadmap'!B5:B200,D6,'03_Roadmap'!J5:J200,"PENDIENTE")+COUNTIFS('03_Roadmap'!B5:B200,D6,'03_Roadmap'!J5:J200,"EN DISEÑO")</x:f>
        <x:v>12</x:v>
      </x:c>
      <x:c r="F6" t="n">
        <x:f>COUNTIFS('03_Roadmap'!B5:B200,D6,'03_Roadmap'!J5:J200,"CERRADO")</x:f>
        <x:v>1</x:v>
      </x:c>
    </x:row>
    <x:row r="7">
      <x:c r="A7" t="str">
        <x:v>Pendiente</x:v>
      </x:c>
      <x:c r="B7" t="n">
        <x:f>COUNTIF('03_Roadmap'!J5:J200,"PENDIENTE")</x:f>
        <x:v>27</x:v>
      </x:c>
      <x:c r="D7" t="str">
        <x:v>Time Status Data</x:v>
      </x:c>
      <x:c r="E7" t="n">
        <x:f>COUNTIFS('03_Roadmap'!B5:B200,D7,'03_Roadmap'!J5:J200,"PENDIENTE")+COUNTIFS('03_Roadmap'!B5:B200,D7,'03_Roadmap'!J5:J200,"EN DISEÑO")</x:f>
        <x:v>3</x:v>
      </x:c>
      <x:c r="F7" t="n">
        <x:f>COUNTIFS('03_Roadmap'!B5:B200,D7,'03_Roadmap'!J5:J200,"CERRADO")</x:f>
        <x:v>1</x:v>
      </x:c>
    </x:row>
    <x:row r="8">
      <x:c r="A8" t="str">
        <x:v>En diseño</x:v>
      </x:c>
      <x:c r="B8" t="n">
        <x:f>COUNTIF('03_Roadmap'!J5:J200,"EN DISEÑO")</x:f>
        <x:v>2</x:v>
      </x:c>
      <x:c r="D8" t="str">
        <x:v>Content State</x:v>
      </x:c>
      <x:c r="E8" t="n">
        <x:f>COUNTIFS('03_Roadmap'!B5:B200,D8,'03_Roadmap'!J5:J200,"PENDIENTE")+COUNTIFS('03_Roadmap'!B5:B200,D8,'03_Roadmap'!J5:J200,"EN DISEÑO")</x:f>
        <x:v>8</x:v>
      </x:c>
      <x:c r="F8" t="n">
        <x:f>COUNTIFS('03_Roadmap'!B5:B200,D8,'03_Roadmap'!J5:J200,"CERRADO")</x:f>
        <x:v>1</x:v>
      </x:c>
    </x:row>
    <x:row r="9">
      <x:c r="A9" t="str">
        <x:v>Diferido</x:v>
      </x:c>
      <x:c r="B9" t="n">
        <x:f>COUNTIF('03_Roadmap'!J5:J200,"DIFERIDO")</x:f>
        <x:v>5</x:v>
      </x:c>
      <x:c r="D9" t="str">
        <x:v>KPI Inspection</x:v>
      </x:c>
      <x:c r="E9" t="n">
        <x:f>COUNTIFS('03_Roadmap'!B5:B200,D9,'03_Roadmap'!J5:J200,"PENDIENTE")+COUNTIFS('03_Roadmap'!B5:B200,D9,'03_Roadmap'!J5:J200,"EN DISEÑO")</x:f>
        <x:v>0</x:v>
      </x:c>
      <x:c r="F9" t="n">
        <x:f>COUNTIFS('03_Roadmap'!B5:B200,D9,'03_Roadmap'!J5:J200,"CERRADO")</x:f>
        <x:v>0</x:v>
      </x:c>
    </x:row>
    <x:row r="10">
      <x:c r="D10" t="str">
        <x:v>Body</x:v>
      </x:c>
      <x:c r="E10" t="n">
        <x:f>COUNTIFS('03_Roadmap'!B5:B200,D10,'03_Roadmap'!J5:J200,"PENDIENTE")+COUNTIFS('03_Roadmap'!B5:B200,D10,'03_Roadmap'!J5:J200,"EN DISEÑO")</x:f>
        <x:v>0</x:v>
      </x:c>
      <x:c r="F10" t="n">
        <x:f>COUNTIFS('03_Roadmap'!B5:B200,D10,'03_Roadmap'!J5:J200,"CERRADO")</x:f>
        <x:v>0</x:v>
      </x:c>
    </x:row>
    <x:row r="12">
      <x:c r="A12" s="36" t="str">
        <x:v>Próximo gate</x:v>
      </x:c>
      <x:c r="B12" s="32" t="str">
        <x:v>KIV-000 Interactive preview composition</x:v>
      </x:c>
    </x:row>
    <x:row r="13">
      <x:c r="A13" s="36" t="str">
        <x:v>Después</x:v>
      </x:c>
      <x:c r="B13" s="32" t="str">
        <x:v>KIV-001..005 Visual/interaction freeze</x:v>
      </x:c>
    </x:row>
    <x:row r="14">
      <x:c r="A14" s="36" t="str">
        <x:v>Luego</x:v>
      </x:c>
      <x:c r="B14" s="32" t="str">
        <x:v>TS-001 Time Status contract freeze</x:v>
      </x:c>
    </x:row>
    <x:row r="15">
      <x:c r="A15" s="36" t="str">
        <x:v>Backend</x:v>
      </x:c>
      <x:c r="B15" s="32" t="str">
        <x:v>DATA-001 diferido hasta estabilización</x:v>
      </x:c>
    </x:row>
    <x:row r="16">
      <x:c r="A16" s="36" t="str">
        <x:v>Body</x:v>
      </x:c>
      <x:c r="B16" s="32" t="str">
        <x:v>Diferido hasta cerrar Header/Time Status/Content State</x:v>
      </x:c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2c1db32e35d340ef"/>
</x:worksheet>
</file>