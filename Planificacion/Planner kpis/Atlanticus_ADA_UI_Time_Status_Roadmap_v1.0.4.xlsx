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1b6434a09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eaea5344356148b3"/>
    <x:sheet xmlns:r="http://schemas.openxmlformats.org/officeDocument/2006/relationships" name="01_Legacy_Analysis" sheetId="2" r:id="R25c0291a60ec4713"/>
    <x:sheet xmlns:r="http://schemas.openxmlformats.org/officeDocument/2006/relationships" name="02_Target_Architecture" sheetId="3" r:id="R653ccfdd7f1a4851"/>
    <x:sheet xmlns:r="http://schemas.openxmlformats.org/officeDocument/2006/relationships" name="03_Roadmap" sheetId="4" r:id="R34c9b7123cae44f0"/>
    <x:sheet xmlns:r="http://schemas.openxmlformats.org/officeDocument/2006/relationships" name="04_Test_Plan" sheetId="5" r:id="R9e5bc7fe15f04988"/>
    <x:sheet xmlns:r="http://schemas.openxmlformats.org/officeDocument/2006/relationships" name="05_Decisions" sheetId="6" r:id="R95b3cd5dea8948d1"/>
    <x:sheet xmlns:r="http://schemas.openxmlformats.org/officeDocument/2006/relationships" name="06_Risks_Open" sheetId="7" r:id="Rc6d417508b34429c"/>
    <x:sheet xmlns:r="http://schemas.openxmlformats.org/officeDocument/2006/relationships" name="07_Contract_Matrix" sheetId="8" r:id="R7b8ff9c4cf2b4b49"/>
    <x:sheet xmlns:r="http://schemas.openxmlformats.org/officeDocument/2006/relationships" name="08_Data_Questions" sheetId="9" r:id="Ra0f109431d73451b"/>
    <x:sheet xmlns:r="http://schemas.openxmlformats.org/officeDocument/2006/relationships" name="09_Dashboard" sheetId="10" r:id="R748d5a4d1e0348c2"/>
    <x:sheet xmlns:r="http://schemas.openxmlformats.org/officeDocument/2006/relationships" name="10_Evidence" sheetId="11" r:id="Rcf7d19a2660049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d2b4ad76324b7b" /><Relationship Type="http://schemas.openxmlformats.org/officeDocument/2006/relationships/theme" Target="/xl/theme/theme1.xml" Id="R133fdc84d2f842e9" /><Relationship Type="http://schemas.openxmlformats.org/officeDocument/2006/relationships/sharedStrings" Target="/xl/sharedStrings.xml" Id="R04a94d0181ee4e44" /><Relationship Type="http://schemas.openxmlformats.org/officeDocument/2006/relationships/worksheet" Target="/xl/worksheets/sheet1.xml" Id="Reaea5344356148b3" /><Relationship Type="http://schemas.openxmlformats.org/officeDocument/2006/relationships/worksheet" Target="/xl/worksheets/sheet2.xml" Id="R25c0291a60ec4713" /><Relationship Type="http://schemas.openxmlformats.org/officeDocument/2006/relationships/worksheet" Target="/xl/worksheets/sheet3.xml" Id="R653ccfdd7f1a4851" /><Relationship Type="http://schemas.openxmlformats.org/officeDocument/2006/relationships/worksheet" Target="/xl/worksheets/sheet4.xml" Id="R34c9b7123cae44f0" /><Relationship Type="http://schemas.openxmlformats.org/officeDocument/2006/relationships/worksheet" Target="/xl/worksheets/sheet5.xml" Id="R9e5bc7fe15f04988" /><Relationship Type="http://schemas.openxmlformats.org/officeDocument/2006/relationships/worksheet" Target="/xl/worksheets/sheet6.xml" Id="R95b3cd5dea8948d1" /><Relationship Type="http://schemas.openxmlformats.org/officeDocument/2006/relationships/worksheet" Target="/xl/worksheets/sheet7.xml" Id="Rc6d417508b34429c" /><Relationship Type="http://schemas.openxmlformats.org/officeDocument/2006/relationships/worksheet" Target="/xl/worksheets/sheet8.xml" Id="R7b8ff9c4cf2b4b49" /><Relationship Type="http://schemas.openxmlformats.org/officeDocument/2006/relationships/worksheet" Target="/xl/worksheets/sheet9.xml" Id="Ra0f109431d73451b" /><Relationship Type="http://schemas.openxmlformats.org/officeDocument/2006/relationships/worksheet" Target="/xl/worksheets/sheet10.xml" Id="R748d5a4d1e0348c2" /><Relationship Type="http://schemas.openxmlformats.org/officeDocument/2006/relationships/worksheet" Target="/xl/worksheets/sheet11.xml" Id="Rcf7d19a2660049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259c1c54584dc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259c1c54584dc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ce0aa7947afa45c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>
      <x:c r="A5" t="str">
        <x:v>Versión planner</x:v>
      </x:c>
      <x:c r="B5" t="str">
        <x:v>1.0.4</x:v>
      </x:c>
      <x:c r="C5" t="str"/>
      <x:c r="D5" t="str">
        <x:v>Roadmap total</x:v>
      </x:c>
      <x:c r="E5" t="n">
        <x:f>COUNTA('03_Roadmap'!A5:A200)</x:f>
        <x:v>39</x:v>
      </x:c>
      <x:c r="F5" t="str"/>
      <x:c r="G5" t="str">
        <x:v>Legado completo</x:v>
      </x:c>
      <x:c r="H5" t="str">
        <x:v>244736f17b39d695547c9e6e9c62f592c2013631342addbf0e422b40930c1750</x:v>
      </x:c>
      <x:c r="I5" t="str"/>
      <x:c r="J5" t="str"/>
    </x:row>
    <x:row r="6">
      <x:c r="A6" t="str">
        <x:v>Fecha análisis</x:v>
      </x:c>
      <x:c r="B6" t="str">
        <x:v>2026-08-27</x:v>
      </x:c>
      <x:c r="C6" t="str"/>
      <x:c r="D6" t="str">
        <x:v>Cerrados</x:v>
      </x:c>
      <x:c r="E6" t="n">
        <x:f>COUNTIF('03_Roadmap'!J5:J200,"CERRADO")</x:f>
        <x:v>3</x:v>
      </x:c>
      <x:c r="F6" t="str"/>
      <x:c r="G6" t="str">
        <x:v>Current baseline</x:v>
      </x:c>
      <x:c r="H6" t="str">
        <x:v>aec231ec383aa79a6eee8c65dadb980807a48a6be39cb4dca090f7fc99b195c2</x:v>
      </x:c>
      <x:c r="I6" t="str"/>
      <x:c r="J6" t="str"/>
    </x:row>
    <x:row r="7">
      <x:c r="A7" t="str">
        <x:v>Baseline legado</x:v>
      </x:c>
      <x:c r="B7" t="str">
        <x:v>atlanticus-last-version-0.1.0-20260824-191735(1).zip</x:v>
      </x:c>
      <x:c r="C7" t="str"/>
      <x:c r="D7" t="str">
        <x:v>Pendientes</x:v>
      </x:c>
      <x:c r="E7" t="n">
        <x:f>COUNTIF('03_Roadmap'!J5:J200,"PENDIENTE")</x:f>
        <x:v>26</x:v>
      </x:c>
      <x:c r="F7" t="str"/>
      <x:c r="G7" t="str">
        <x:v>Current code</x:v>
      </x:c>
      <x:c r="H7" t="str">
        <x:v>atlanticus-latest-v4.zip</x:v>
      </x:c>
      <x:c r="I7" t="str"/>
      <x:c r="J7" t="str"/>
    </x:row>
    <x:row r="8">
      <x:c r="A8" t="str">
        <x:v>Baseline actual</x:v>
      </x:c>
      <x:c r="B8" t="str">
        <x:v>atlanticus-latest-v4.zip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>
      <x:c r="A9" t="str">
        <x:v>Checkpoint actual</x:v>
      </x:c>
      <x:c r="B9" t="str">
        <x:v>KIV-000C EN VALIDACIÓN — Per-value Inspection Identity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>
      <x:c r="A10" t="str">
        <x:v>Siguiente trabajo</x:v>
      </x:c>
      <x:c r="B10" t="str">
        <x:v>Aplicar KIV-000C 0.1.0, ejecutar gate Python 3.14.2 + UV, reiniciar preview y validar ambos lados de Turno/Día, Escape con pointer/teclado y micro-spacing.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EN VALIDACIÓN</x:v>
      </x:c>
      <x:c r="K5" s="32" t="str">
        <x:v>Web/UI</x:v>
      </x:c>
      <x:c r="L5" s="32" t="str">
        <x:v>Preview base disponible; la aprobación visual queda condicionada a KIV-000B. KIV-000B reemplaza la interacción root-clickable observada en el primer preview.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EN VALIDACIÓN</x:v>
      </x:c>
      <x:c r="K6" s="32" t="str">
        <x:v>Web/UI</x:v>
      </x:c>
      <x:c r="L6" s="32" t="str">
        <x:v>Validación visual confirmó Surface dark/square, panel persistente y loading lock. La revisión detectó dos ajustes contractuales posteriores: plan también puede ser inspeccionable y cada valor requiere identidad propia; se corrigen en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EN VALIDACIÓN</x:v>
      </x:c>
      <x:c r="K7" s="32" t="str">
        <x:v>Web/UI</x:v>
      </x:c>
      <x:c r="L7" s="32" t="str">
        <x:v>Global Indicator 0.2.0 elimina kpi_key global del slot. Cada measurement declara actual_kpi_key/plan_kpi_key y Última medición actual_kpi_key. Pointer-open no restaura foco al cerrar; keyboard-open sí. Turno/Día aumenta sólo 0.15rem el espacio horizontal hacia el primer valor. Surface 0.1.2; Application 0.1.23; Interval/Empty/Preview 0.1.2. Precheck compile+JS+mirrors+installer success/rollback PASS.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PENDIENTE</x:v>
      </x:c>
      <x:c r="K8" s="32" t="str">
        <x:v>Web/UI</x:v>
      </x:c>
      <x:c r="L8" s="32" t="str">
        <x:v>El mismo inspector debe permanecer abierto.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PENDIENTE</x:v>
      </x:c>
      <x:c r="K9" s="32" t="str">
        <x:v>Web/UI</x:v>
      </x:c>
      <x:c r="L9" s="32" t="str">
        <x:v>AbortController/requestSequence permanecen como defensa secundaria.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PENDIENTE</x:v>
      </x:c>
      <x:c r="K10" s="32" t="str">
        <x:v>Web/UI</x:v>
      </x:c>
      <x:c r="L10" s="32" t="str">
        <x:v>Revalidar visualmente además del harness.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Close/accessibility behavior</x:v>
      </x:c>
      <x:c r="E11" s="32" t="str">
        <x:v>Validar X, Escape, Enter/Space, focus restore y ausencia de backdrop modal.</x:v>
      </x:c>
      <x:c r="F11" s="32" t="str">
        <x:v>KIV-000C</x:v>
      </x:c>
      <x:c r="G11" s="32" t="str">
        <x:v>No</x:v>
      </x:c>
      <x:c r="H11" s="32" t="str">
        <x:v>El Header sigue interactuable con inspector abierto; cierre explícito por X/Escape.</x:v>
      </x:c>
      <x:c r="I11" s="32" t="str">
        <x:v>P1</x:v>
      </x:c>
      <x:c r="J11" s="32" t="str">
        <x:v>PENDIENTE</x:v>
      </x:c>
      <x:c r="K11" s="32" t="str">
        <x:v>Web/UI</x:v>
      </x:c>
      <x:c r="L11" s="32"/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PENDIENTE</x:v>
      </x:c>
      <x:c r="K12" s="32" t="str">
        <x:v>Web/UI</x:v>
      </x:c>
      <x:c r="L12" s="32" t="str">
        <x:v>No continuar adopters antes del freeze.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Completado en este planner.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PENDIENTE</x:v>
      </x:c>
      <x:c r="K14" s="32" t="str">
        <x:v>Architecture</x:v>
      </x:c>
      <x:c r="L14" s="32" t="str">
        <x:v>PI obligatorio sólo en composición ADA.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PENDIENTE</x:v>
      </x:c>
      <x:c r="K15" s="32" t="str">
        <x:v>Web/UI</x:v>
      </x:c>
      <x:c r="L15" s="32" t="str">
        <x:v>Sólo PI/Dispatch + reloj.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PENDIENTE</x:v>
      </x:c>
      <x:c r="K16" s="32" t="str">
        <x:v>Web/JS</x:v>
      </x:c>
      <x:c r="L16" s="32" t="str">
        <x:v>No usar polling backend para reloj.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PENDIENTE</x:v>
      </x:c>
      <x:c r="K17" s="32" t="str">
        <x:v>Web/Adapter</x:v>
      </x:c>
      <x:c r="L17" s="32" t="str">
        <x:v>Puede adelantarse con fake si backend sigue cambiando.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PENDIENTE</x:v>
      </x:c>
      <x:c r="K18" s="32" t="str">
        <x:v>Web/UI</x:v>
      </x:c>
      <x:c r="L18" s="32" t="str">
        <x:v>Overlay local debajo del Time Status.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PENDIENTE</x:v>
      </x:c>
      <x:c r="K19" s="32" t="str">
        <x:v>Web/JS</x:v>
      </x:c>
      <x:c r="L19" s="32" t="str">
        <x:v>No depender de callbacks Dash.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No/Tests</x:v>
      </x:c>
      <x:c r="H20" s="32" t="str">
        <x:v>dcc.Interval harness + browser smoke</x:v>
      </x:c>
      <x:c r="I20" s="32" t="str">
        <x:v>P0</x:v>
      </x:c>
      <x:c r="J20" s="32" t="str">
        <x:v>PENDIENTE</x:v>
      </x:c>
      <x:c r="K20" s="32" t="str">
        <x:v>Web/Validation</x:v>
      </x:c>
      <x:c r="L20" s="32" t="str">
        <x:v>is_open y data deben ser estados independientes.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Mostrar sólo entradas consumidas por la Tool, con nombre + timestamp real.</x:v>
      </x:c>
      <x:c r="F21" s="32" t="str">
        <x:v>TS-004; TS-005; DATA-003</x:v>
      </x:c>
      <x:c r="G21" s="32" t="str">
        <x:v>Sí</x:v>
      </x:c>
      <x:c r="H21" s="32" t="str">
        <x:v>Tool A/B composition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No catálogo global.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PENDIENTE</x:v>
      </x:c>
      <x:c r="J5" s="32" t="str"/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PENDIENTE</x:v>
      </x:c>
      <x:c r="J6" s="32" t="str"/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PENDIENTE</x:v>
      </x:c>
      <x:c r="J9" s="32" t="str">
        <x:v>KIV-000B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PENDIENTE</x:v>
      </x:c>
      <x:c r="J10" s="32" t="str">
        <x:v>KI-010 prueba contrato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PENDIENTE</x:v>
      </x:c>
      <x:c r="J29" s="32" t="str">
        <x:v>KIV-000C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PENDIENTE</x:v>
      </x:c>
      <x:c r="J33" s="30" t="str">
        <x:v>KIV-000C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PENDIENTE</x:v>
      </x:c>
      <x:c r="J34" s="30" t="str">
        <x:v>KIV-000C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3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ACEPTADA</x:v>
      </x:c>
      <x:c r="E33" s="30" t="str">
        <x:v>Conserva accesibilidad keyboard sin generar foco visual inesperado después de clicks con mouse.</x:v>
      </x:c>
      <x:c r="F33" s="30" t="str">
        <x:v>Inspection Surface JS</x:v>
      </x:c>
      <x:c r="G33" s="30" t="str">
        <x:v>KIV-000C</x:v>
      </x:c>
      <x:c r="H33" s="30" t="str">
        <x:v>focus-visible se conserva para navegación real por teclado.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3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Existe store pequeño separado del Collector.</x:v>
      </x:c>
      <x:c r="F5" s="32" t="str">
        <x:v>PENDIENTE</x:v>
      </x:c>
      <x:c r="G5" s="32" t="str">
        <x:v>DATA-002</x:v>
      </x:c>
      <x:c r="H5" s="32" t="str">
        <x:v>Inspeccionar backend estable.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Definir neutral/unknown antes de critical.</x:v>
      </x:c>
      <x:c r="F12" s="32" t="str">
        <x:v>ABIERTO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5</x:v>
      </x:c>
      <x:c r="F5" t="n">
        <x:f>COUNTIFS('03_Roadmap'!B5:B200,D5,'03_Roadmap'!J5:J200,"CERRADO")</x:f>
        <x:v>0</x:v>
      </x:c>
    </x:row>
    <x:row r="6">
      <x:c r="A6" t="str">
        <x:v>Cerrado</x:v>
      </x:c>
      <x:c r="B6" t="n">
        <x:f>COUNTIF('03_Roadmap'!J5:J200,"CERRADO")</x:f>
        <x:v>3</x:v>
      </x:c>
      <x:c r="D6" t="str">
        <x:v>Time Status</x:v>
      </x:c>
      <x:c r="E6" t="n">
        <x:f>COUNTIFS('03_Roadmap'!B5:B200,D6,'03_Roadmap'!J5:J200,"PENDIENTE")+COUNTIFS('03_Roadmap'!B5:B200,D6,'03_Roadmap'!J5:J200,"EN DISEÑO")</x:f>
        <x:v>12</x:v>
      </x:c>
      <x:c r="F6" t="n">
        <x:f>COUNTIFS('03_Roadmap'!B5:B200,D6,'03_Roadmap'!J5:J200,"CERRADO")</x:f>
        <x:v>1</x:v>
      </x:c>
    </x:row>
    <x:row r="7">
      <x:c r="A7" t="str">
        <x:v>Pendiente</x:v>
      </x:c>
      <x:c r="B7" t="n">
        <x:f>COUNTIF('03_Roadmap'!J5:J200,"PENDIENTE")</x:f>
        <x:v>26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f>COUNTIF('03_Roadmap'!J5:J200,"EN DISEÑO")</x:f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f>COUNTIF('03_Roadmap'!J5:J200,"DIFERIDO")</x:f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KIV-000 Interactive preview composition</x:v>
      </x:c>
    </x:row>
    <x:row r="13">
      <x:c r="A13" s="36" t="str">
        <x:v>Después</x:v>
      </x:c>
      <x:c r="B13" s="32" t="str">
        <x:v>KIV-001..005 Visual/interaction freeze</x:v>
      </x:c>
    </x:row>
    <x:row r="14">
      <x:c r="A14" s="36" t="str">
        <x:v>Luego</x:v>
      </x:c>
      <x:c r="B14" s="32" t="str">
        <x:v>TS-001 Time Status contract freeze</x:v>
      </x:c>
    </x:row>
    <x:row r="15">
      <x:c r="A15" s="36" t="str">
        <x:v>Backend</x:v>
      </x:c>
      <x:c r="B15" s="32" t="str">
        <x:v>DATA-001 diferido hasta estabilización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ce0aa7947afa45c9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</x:sheetData>
  <x:mergeCells>
    <x:mergeCell ref="A1:I1"/>
    <x:mergeCell ref="A2:I2"/>
  </x:mergeCells>
  <x:pageMargins left="0.7" right="0.7" top="0.75" bottom="0.75" header="0.3" footer="0.3"/>
</x:worksheet>
</file>