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61331ae42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17aaec3ec0e41a2"/>
    <x:sheet xmlns:r="http://schemas.openxmlformats.org/officeDocument/2006/relationships" name="01_Legacy_Analysis" sheetId="2" r:id="Re3cd162212674c65"/>
    <x:sheet xmlns:r="http://schemas.openxmlformats.org/officeDocument/2006/relationships" name="02_Target_Architecture" sheetId="3" r:id="Ra6bec24b39304605"/>
    <x:sheet xmlns:r="http://schemas.openxmlformats.org/officeDocument/2006/relationships" name="03_Roadmap" sheetId="4" r:id="Rfe4af5559a3e4458"/>
    <x:sheet xmlns:r="http://schemas.openxmlformats.org/officeDocument/2006/relationships" name="04_Test_Plan" sheetId="5" r:id="R2dc78cceb4da44f0"/>
    <x:sheet xmlns:r="http://schemas.openxmlformats.org/officeDocument/2006/relationships" name="05_Decisions" sheetId="6" r:id="R0a22383367c547b0"/>
    <x:sheet xmlns:r="http://schemas.openxmlformats.org/officeDocument/2006/relationships" name="06_Risks_Open" sheetId="7" r:id="R3e2d136793344edd"/>
    <x:sheet xmlns:r="http://schemas.openxmlformats.org/officeDocument/2006/relationships" name="07_Contract_Matrix" sheetId="8" r:id="R2eeb999486bc49e1"/>
    <x:sheet xmlns:r="http://schemas.openxmlformats.org/officeDocument/2006/relationships" name="08_Data_Questions" sheetId="9" r:id="R199f18118f3f4dab"/>
    <x:sheet xmlns:r="http://schemas.openxmlformats.org/officeDocument/2006/relationships" name="09_Dashboard" sheetId="10" r:id="Rc3bb254647714e3d"/>
    <x:sheet xmlns:r="http://schemas.openxmlformats.org/officeDocument/2006/relationships" name="10_Evidence" sheetId="11" r:id="R93e558122310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3908a68a4489a" /><Relationship Type="http://schemas.openxmlformats.org/officeDocument/2006/relationships/theme" Target="/xl/theme/theme1.xml" Id="R22b3502dc6614b44" /><Relationship Type="http://schemas.openxmlformats.org/officeDocument/2006/relationships/sharedStrings" Target="/xl/sharedStrings.xml" Id="Ra9a3bfdbc3884164" /><Relationship Type="http://schemas.openxmlformats.org/officeDocument/2006/relationships/worksheet" Target="/xl/worksheets/sheet1.xml" Id="Re17aaec3ec0e41a2" /><Relationship Type="http://schemas.openxmlformats.org/officeDocument/2006/relationships/worksheet" Target="/xl/worksheets/sheet2.xml" Id="Re3cd162212674c65" /><Relationship Type="http://schemas.openxmlformats.org/officeDocument/2006/relationships/worksheet" Target="/xl/worksheets/sheet3.xml" Id="Ra6bec24b39304605" /><Relationship Type="http://schemas.openxmlformats.org/officeDocument/2006/relationships/worksheet" Target="/xl/worksheets/sheet4.xml" Id="Rfe4af5559a3e4458" /><Relationship Type="http://schemas.openxmlformats.org/officeDocument/2006/relationships/worksheet" Target="/xl/worksheets/sheet5.xml" Id="R2dc78cceb4da44f0" /><Relationship Type="http://schemas.openxmlformats.org/officeDocument/2006/relationships/worksheet" Target="/xl/worksheets/sheet6.xml" Id="R0a22383367c547b0" /><Relationship Type="http://schemas.openxmlformats.org/officeDocument/2006/relationships/worksheet" Target="/xl/worksheets/sheet7.xml" Id="R3e2d136793344edd" /><Relationship Type="http://schemas.openxmlformats.org/officeDocument/2006/relationships/worksheet" Target="/xl/worksheets/sheet8.xml" Id="R2eeb999486bc49e1" /><Relationship Type="http://schemas.openxmlformats.org/officeDocument/2006/relationships/worksheet" Target="/xl/worksheets/sheet9.xml" Id="R199f18118f3f4dab" /><Relationship Type="http://schemas.openxmlformats.org/officeDocument/2006/relationships/worksheet" Target="/xl/worksheets/sheet10.xml" Id="Rc3bb254647714e3d" /><Relationship Type="http://schemas.openxmlformats.org/officeDocument/2006/relationships/worksheet" Target="/xl/worksheets/sheet11.xml" Id="R93e55812231047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c4eb23577146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c4eb23577146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12b4aa25d3b498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1.0.8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6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23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KIV-003 EN VALIDACIÓN — corrective 0.1.1 preparado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KIV-003 0.1.0 hizo rollback por un único test de Preview que invocó dash.layout() fuera de Flask request context. Corrective 0.1.1 ejecuta el mismo layout tras server.preprocess_request() dentro de test_request_context('/').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EN VALIDACIÓN</x:v>
      </x:c>
      <x:c r="K8" s="32" t="str">
        <x:v>Web/UI</x:v>
      </x:c>
      <x:c r="L8" s="32" t="str">
        <x:v>Se valida dentro de la preview KIV-003: seleccionar A, esperar ready y luego B/C sin cerrar Surface.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EN VALIDACIÓN</x:v>
      </x:c>
      <x:c r="K9" s="32" t="str">
        <x:v>Web/UI</x:v>
      </x:c>
      <x:c r="L9" s="32" t="str">
        <x:v>Se valida dentro de la preview KIV-003 con 750 ms de latencia local: clicks adicionales durante loading deben ignorarse.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EN VALIDACIÓN</x:v>
      </x:c>
      <x:c r="K10" s="32" t="str">
        <x:v>Web/UI</x:v>
      </x:c>
      <x:c r="L10" s="32" t="str">
        <x:v>KIV-003 0.1.0: Core 14, API 7, Surface 17, Interval Resilience 7, Empty Definition Flow 8, Global Indicator 20 y Application 7 PASS. Preview quedó 11/12: el único fallo llamó dash.layout() fuera de request context y AccessRuntime rechazó correctamente el acceso. Rollback PASS. Corrective 0.1.1 cambia sólo ese test de integración: crea Flask test_request_context con Accept text/html, ejecuta preprocess_request() para bootstrap de Identity/Access y luego evalúa el layout. Preview objetivo sigue 0.1.3; código productivo sin cambios. Success/forced rollback simulation PASS.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Close/accessibility behavior</x:v>
      </x:c>
      <x:c r="E11" s="32" t="str">
        <x:v>Validar X, Escape, Enter/Space, focus restore y ausencia de backdrop modal.</x:v>
      </x:c>
      <x:c r="F11" s="32" t="str">
        <x:v>KIV-000C</x:v>
      </x:c>
      <x:c r="G11" s="32" t="str">
        <x:v>No</x:v>
      </x:c>
      <x:c r="H11" s="32" t="str">
        <x:v>El Header sigue interactuable con inspector abierto; cierre explícito por X/Escape.</x:v>
      </x:c>
      <x:c r="I11" s="32" t="str">
        <x:v>P1</x:v>
      </x:c>
      <x:c r="J11" s="32" t="str">
        <x:v>PENDIENTE</x:v>
      </x:c>
      <x:c r="K11" s="32" t="str">
        <x:v>Web/UI</x:v>
      </x:c>
      <x:c r="L11" s="32"/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PENDIENTE</x:v>
      </x:c>
      <x:c r="K12" s="32" t="str">
        <x:v>Web/UI</x:v>
      </x:c>
      <x:c r="L12" s="32" t="str">
        <x:v>No continuar adopters antes del freeze.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Completado en este planner.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PENDIENTE</x:v>
      </x:c>
      <x:c r="K14" s="32" t="str">
        <x:v>Architecture</x:v>
      </x:c>
      <x:c r="L14" s="32" t="str">
        <x:v>PI obligatorio sólo en composición ADA.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PENDIENTE</x:v>
      </x:c>
      <x:c r="K15" s="32" t="str">
        <x:v>Web/UI</x:v>
      </x:c>
      <x:c r="L15" s="32" t="str">
        <x:v>Sólo PI/Dispatch + reloj.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PENDIENTE</x:v>
      </x:c>
      <x:c r="J5" s="32" t="str"/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EN VALIDACIÓN</x:v>
      </x:c>
      <x:c r="J6" s="32" t="str">
        <x:v>KIV-003 preview: sequential switching con Surface persistente.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EN VALIDACIÓN</x:v>
      </x:c>
      <x:c r="J9" s="32" t="str">
        <x:v>KIV-003 preview añade 750 ms de latencia local para observar el lock.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EN VALIDACIÓN</x:v>
      </x:c>
      <x:c r="J10" s="32" t="str">
        <x:v>KIV-003 preview usa dcc.Interval real cada 2 s y reemplaza sólo Global Indicator children.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PENDIENTE</x:v>
      </x:c>
      <x:c r="J33" s="30" t="str">
        <x:v>Gate JS/contract PASS; falta confirmar visualmente pointer vs keyboard en navegador.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PENDIENTE</x:v>
      </x:c>
      <x:c r="J34" s="30" t="str">
        <x:v>CSS aplicado; falta aprobación visual del micro-spacing.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3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ACEPTADA</x:v>
      </x:c>
      <x:c r="E33" s="30" t="str">
        <x:v>Conserva accesibilidad keyboard sin generar foco visual inesperado después de clicks con mouse.</x:v>
      </x:c>
      <x:c r="F33" s="30" t="str">
        <x:v>Inspection Surface JS</x:v>
      </x:c>
      <x:c r="G33" s="30" t="str">
        <x:v>KIV-000C</x:v>
      </x:c>
      <x:c r="H33" s="30" t="str">
        <x:v>focus-visible se conserva para navegación real por teclado.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3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Definir neutral/unknown antes de critical.</x:v>
      </x:c>
      <x:c r="F12" s="32" t="str">
        <x:v>ABIERTO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2</x:v>
      </x:c>
      <x:c r="F5" t="n">
        <x:f>COUNTIFS('03_Roadmap'!B5:B200,D5,'03_Roadmap'!J5:J200,"CERRADO")</x:f>
        <x:v>3</x:v>
      </x:c>
    </x:row>
    <x:row r="6">
      <x:c r="A6" t="str">
        <x:v>Cerrado</x:v>
      </x:c>
      <x:c r="B6" t="n">
        <x:f>COUNTIF('03_Roadmap'!J5:J200,"CERRADO")</x:f>
        <x:v>6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12</x:v>
      </x:c>
      <x:c r="F6" t="n">
        <x:f>COUNTIFS('03_Roadmap'!B5:B200,D6,'03_Roadmap'!J5:J200,"CERRADO")</x:f>
        <x:v>1</x:v>
      </x:c>
    </x:row>
    <x:row r="7">
      <x:c r="A7" t="str">
        <x:v>Pendiente</x:v>
      </x:c>
      <x:c r="B7" t="n">
        <x:f>COUNTIF('03_Roadmap'!J5:J200,"PENDIENTE")</x:f>
        <x:v>23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12b4aa25d3b498e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</x:sheetData>
  <x:mergeCells>
    <x:mergeCell ref="A1:I1"/>
    <x:mergeCell ref="A2:I2"/>
  </x:mergeCells>
  <x:pageMargins left="0.7" right="0.7" top="0.75" bottom="0.75" header="0.3" footer="0.3"/>
</x:worksheet>
</file>