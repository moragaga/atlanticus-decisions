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7e2af80fc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105e85b2a7da4437"/>
    <x:sheet xmlns:r="http://schemas.openxmlformats.org/officeDocument/2006/relationships" name="01_Legacy_Analysis" sheetId="2" r:id="R34c5a41826044c53"/>
    <x:sheet xmlns:r="http://schemas.openxmlformats.org/officeDocument/2006/relationships" name="02_Target_Architecture" sheetId="3" r:id="R6940adeb7f08423b"/>
    <x:sheet xmlns:r="http://schemas.openxmlformats.org/officeDocument/2006/relationships" name="03_Roadmap" sheetId="4" r:id="R41aacdcca93f421a"/>
    <x:sheet xmlns:r="http://schemas.openxmlformats.org/officeDocument/2006/relationships" name="04_Test_Plan" sheetId="5" r:id="Rb1d50c6718234d1e"/>
    <x:sheet xmlns:r="http://schemas.openxmlformats.org/officeDocument/2006/relationships" name="05_Decisions" sheetId="6" r:id="R397bbb978170430a"/>
    <x:sheet xmlns:r="http://schemas.openxmlformats.org/officeDocument/2006/relationships" name="06_Risks_Open" sheetId="7" r:id="Re1f2ab9464824fa9"/>
    <x:sheet xmlns:r="http://schemas.openxmlformats.org/officeDocument/2006/relationships" name="07_Contract_Matrix" sheetId="8" r:id="Re21399b4a9034599"/>
    <x:sheet xmlns:r="http://schemas.openxmlformats.org/officeDocument/2006/relationships" name="08_Data_Questions" sheetId="9" r:id="R91fe0b074ecd40b6"/>
    <x:sheet xmlns:r="http://schemas.openxmlformats.org/officeDocument/2006/relationships" name="09_Dashboard" sheetId="10" r:id="Rd85e70322d364313"/>
    <x:sheet xmlns:r="http://schemas.openxmlformats.org/officeDocument/2006/relationships" name="10_Evidence" sheetId="11" r:id="R1acf23bd113b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450f80c804c88" /><Relationship Type="http://schemas.openxmlformats.org/officeDocument/2006/relationships/theme" Target="/xl/theme/theme1.xml" Id="Ra5a006cf444b4c4f" /><Relationship Type="http://schemas.openxmlformats.org/officeDocument/2006/relationships/sharedStrings" Target="/xl/sharedStrings.xml" Id="Rfb50e80121754e6c" /><Relationship Type="http://schemas.openxmlformats.org/officeDocument/2006/relationships/worksheet" Target="/xl/worksheets/sheet1.xml" Id="R105e85b2a7da4437" /><Relationship Type="http://schemas.openxmlformats.org/officeDocument/2006/relationships/worksheet" Target="/xl/worksheets/sheet2.xml" Id="R34c5a41826044c53" /><Relationship Type="http://schemas.openxmlformats.org/officeDocument/2006/relationships/worksheet" Target="/xl/worksheets/sheet3.xml" Id="R6940adeb7f08423b" /><Relationship Type="http://schemas.openxmlformats.org/officeDocument/2006/relationships/worksheet" Target="/xl/worksheets/sheet4.xml" Id="R41aacdcca93f421a" /><Relationship Type="http://schemas.openxmlformats.org/officeDocument/2006/relationships/worksheet" Target="/xl/worksheets/sheet5.xml" Id="Rb1d50c6718234d1e" /><Relationship Type="http://schemas.openxmlformats.org/officeDocument/2006/relationships/worksheet" Target="/xl/worksheets/sheet6.xml" Id="R397bbb978170430a" /><Relationship Type="http://schemas.openxmlformats.org/officeDocument/2006/relationships/worksheet" Target="/xl/worksheets/sheet7.xml" Id="Re1f2ab9464824fa9" /><Relationship Type="http://schemas.openxmlformats.org/officeDocument/2006/relationships/worksheet" Target="/xl/worksheets/sheet8.xml" Id="Re21399b4a9034599" /><Relationship Type="http://schemas.openxmlformats.org/officeDocument/2006/relationships/worksheet" Target="/xl/worksheets/sheet9.xml" Id="R91fe0b074ecd40b6" /><Relationship Type="http://schemas.openxmlformats.org/officeDocument/2006/relationships/worksheet" Target="/xl/worksheets/sheet10.xml" Id="Rd85e70322d364313" /><Relationship Type="http://schemas.openxmlformats.org/officeDocument/2006/relationships/worksheet" Target="/xl/worksheets/sheet11.xml" Id="R1acf23bd113b42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cb6d6690d14f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cb6d6690d14f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dc1b457bb33a414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1.0.6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3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26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KIV-000C GATE TÉCNICO VERDE / VALIDACIÓN VISUAL PENDIENTE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Corrective KIV-000C 0.1.1 descomprimió, instaló y ejecutó correctamente en Python 3.14.2 + UV. Siguiente paso: levantar preview y validar per-value identity, focus con Escape y micro-spacing.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EN VALIDACIÓN</x:v>
      </x:c>
      <x:c r="K5" s="32" t="str">
        <x:v>Web/UI</x:v>
      </x:c>
      <x:c r="L5" s="32" t="str">
        <x:v>Preview base disponible; la aprobación visual queda condicionada a KIV-000B. KIV-000B reemplaza la interacción root-clickable observada en el primer preview.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EN VALIDACIÓN</x:v>
      </x:c>
      <x:c r="K6" s="32" t="str">
        <x:v>Web/UI</x:v>
      </x:c>
      <x:c r="L6" s="32" t="str">
        <x:v>Validación visual confirmó Surface dark/square, panel persistente y loading lock. La revisión detectó dos ajustes contractuales posteriores: plan también puede ser inspeccionable y cada valor requiere identidad propia; se corrigen en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EN VALIDACIÓN</x:v>
      </x:c>
      <x:c r="K7" s="32" t="str">
        <x:v>Web/UI</x:v>
      </x:c>
      <x:c r="L7" s="32" t="str">
        <x:v>Corrective KIV-000C 0.1.1 confirmado por el usuario: descompresión, instalación y ejecución OK en Python 3.14.2 + UV. Gate técnico aceptado. Falta únicamente smoke visual: ambos lados de Turno/Día inspeccionables con identidad independiente, Escape sin foco residual tras pointer, foco restaurado tras teclado y spacing de labels.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PENDIENTE</x:v>
      </x:c>
      <x:c r="K8" s="32" t="str">
        <x:v>Web/UI</x:v>
      </x:c>
      <x:c r="L8" s="32" t="str">
        <x:v>El mismo inspector debe permanecer abierto.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PENDIENTE</x:v>
      </x:c>
      <x:c r="K9" s="32" t="str">
        <x:v>Web/UI</x:v>
      </x:c>
      <x:c r="L9" s="32" t="str">
        <x:v>AbortController/requestSequence permanecen como defensa secundaria.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PENDIENTE</x:v>
      </x:c>
      <x:c r="K10" s="32" t="str">
        <x:v>Web/UI</x:v>
      </x:c>
      <x:c r="L10" s="32" t="str">
        <x:v>Revalidar visualmente además del harness.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Close/accessibility behavior</x:v>
      </x:c>
      <x:c r="E11" s="32" t="str">
        <x:v>Validar X, Escape, Enter/Space, focus restore y ausencia de backdrop modal.</x:v>
      </x:c>
      <x:c r="F11" s="32" t="str">
        <x:v>KIV-000C</x:v>
      </x:c>
      <x:c r="G11" s="32" t="str">
        <x:v>No</x:v>
      </x:c>
      <x:c r="H11" s="32" t="str">
        <x:v>El Header sigue interactuable con inspector abierto; cierre explícito por X/Escape.</x:v>
      </x:c>
      <x:c r="I11" s="32" t="str">
        <x:v>P1</x:v>
      </x:c>
      <x:c r="J11" s="32" t="str">
        <x:v>PENDIENTE</x:v>
      </x:c>
      <x:c r="K11" s="32" t="str">
        <x:v>Web/UI</x:v>
      </x:c>
      <x:c r="L11" s="32"/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PENDIENTE</x:v>
      </x:c>
      <x:c r="K12" s="32" t="str">
        <x:v>Web/UI</x:v>
      </x:c>
      <x:c r="L12" s="32" t="str">
        <x:v>No continuar adopters antes del freeze.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Completado en este planner.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PENDIENTE</x:v>
      </x:c>
      <x:c r="K14" s="32" t="str">
        <x:v>Architecture</x:v>
      </x:c>
      <x:c r="L14" s="32" t="str">
        <x:v>PI obligatorio sólo en composición ADA.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PENDIENTE</x:v>
      </x:c>
      <x:c r="J5" s="32" t="str"/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PENDIENTE</x:v>
      </x:c>
      <x:c r="J6" s="32" t="str"/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PENDIENTE</x:v>
      </x:c>
      <x:c r="J9" s="32" t="str">
        <x:v>KIV-000B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PENDIENTE</x:v>
      </x:c>
      <x:c r="J10" s="32" t="str">
        <x:v>KI-010 prueba contrato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PENDIENTE</x:v>
      </x:c>
      <x:c r="J33" s="30" t="str">
        <x:v>Gate JS/contract PASS; falta confirmar visualmente pointer vs keyboard en navegador.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PENDIENTE</x:v>
      </x:c>
      <x:c r="J34" s="30" t="str">
        <x:v>CSS aplicado; falta aprobación visual del micro-spacing.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3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ACEPTADA</x:v>
      </x:c>
      <x:c r="E33" s="30" t="str">
        <x:v>Conserva accesibilidad keyboard sin generar foco visual inesperado después de clicks con mouse.</x:v>
      </x:c>
      <x:c r="F33" s="30" t="str">
        <x:v>Inspection Surface JS</x:v>
      </x:c>
      <x:c r="G33" s="30" t="str">
        <x:v>KIV-000C</x:v>
      </x:c>
      <x:c r="H33" s="30" t="str">
        <x:v>focus-visible se conserva para navegación real por teclado.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3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5</x:v>
      </x:c>
      <x:c r="F5" t="n">
        <x:f>COUNTIFS('03_Roadmap'!B5:B200,D5,'03_Roadmap'!J5:J200,"CERRADO")</x:f>
        <x:v>0</x:v>
      </x:c>
    </x:row>
    <x:row r="6">
      <x:c r="A6" t="str">
        <x:v>Cerrado</x:v>
      </x:c>
      <x:c r="B6" t="n">
        <x:f>COUNTIF('03_Roadmap'!J5:J200,"CERRADO")</x:f>
        <x:v>3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26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dc1b457bb33a414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</x:sheetData>
  <x:mergeCells>
    <x:mergeCell ref="A1:I1"/>
    <x:mergeCell ref="A2:I2"/>
  </x:mergeCells>
  <x:pageMargins left="0.7" right="0.7" top="0.75" bottom="0.75" header="0.3" footer="0.3"/>
</x:worksheet>
</file>