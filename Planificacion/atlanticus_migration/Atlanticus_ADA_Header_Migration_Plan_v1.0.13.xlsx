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eca7c69de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f09020cd8274ecc"/>
    <x:sheet xmlns:r="http://schemas.openxmlformats.org/officeDocument/2006/relationships" name="01_Header_Plan" sheetId="2" r:id="R735e84bd35e949d8"/>
    <x:sheet xmlns:r="http://schemas.openxmlformats.org/officeDocument/2006/relationships" name="02_Checks" sheetId="3" r:id="R577e144394a74039"/>
    <x:sheet xmlns:r="http://schemas.openxmlformats.org/officeDocument/2006/relationships" name="03_Decisions" sheetId="4" r:id="Rf425c7f4ab314f53"/>
    <x:sheet xmlns:r="http://schemas.openxmlformats.org/officeDocument/2006/relationships" name="04_Contexto" sheetId="5" r:id="Rf00e157fb5bb448d"/>
    <x:sheet xmlns:r="http://schemas.openxmlformats.org/officeDocument/2006/relationships" name="05_Futuro" sheetId="6" r:id="R0d52bfb5e5d4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a726c2dd8432d" /><Relationship Type="http://schemas.openxmlformats.org/officeDocument/2006/relationships/theme" Target="/xl/theme/theme1.xml" Id="R604bc2335e434f1a" /><Relationship Type="http://schemas.openxmlformats.org/officeDocument/2006/relationships/sharedStrings" Target="/xl/sharedStrings.xml" Id="R8d4b90b1cd084382" /><Relationship Type="http://schemas.openxmlformats.org/officeDocument/2006/relationships/worksheet" Target="/xl/worksheets/sheet1.xml" Id="Raf09020cd8274ecc" /><Relationship Type="http://schemas.openxmlformats.org/officeDocument/2006/relationships/worksheet" Target="/xl/worksheets/sheet2.xml" Id="R735e84bd35e949d8" /><Relationship Type="http://schemas.openxmlformats.org/officeDocument/2006/relationships/worksheet" Target="/xl/worksheets/sheet3.xml" Id="R577e144394a74039" /><Relationship Type="http://schemas.openxmlformats.org/officeDocument/2006/relationships/worksheet" Target="/xl/worksheets/sheet4.xml" Id="Rf425c7f4ab314f53" /><Relationship Type="http://schemas.openxmlformats.org/officeDocument/2006/relationships/worksheet" Target="/xl/worksheets/sheet5.xml" Id="Rf00e157fb5bb448d" /><Relationship Type="http://schemas.openxmlformats.org/officeDocument/2006/relationships/worksheet" Target="/xl/worksheets/sheet6.xml" Id="R0d52bfb5e5d4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06A — ADA Display Status: EN EJECUCIÓN. Capability compartida para estados visuales reutilizables por Global Indicators, KPI Body y otras superficies ADA.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COUNTIF(E4:E13,"VERDE")</x:f>
        <x:v>8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5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EN EJECUCIÓN</x:v>
      </x:c>
      <x:c r="F13" t="n">
        <x:f>COUNTIF('01_Header_Plan'!C4:C8,"VERDE")</x:f>
        <x:v>4</x:v>
      </x:c>
      <x:c r="G13" t="str">
        <x:v>N/A</x:v>
      </x:c>
      <x:c r="H13" t="str">
        <x:v>Paquete 0.1.0 preparado; cuatro iconos degradados compartidos. Internal Error corrige viewBox a 0 0 16 16.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0.8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4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EN EJECUCIÓN</x:v>
      </x:c>
      <x:c r="D4" s="24" t="str">
        <x:v>N/A</x:v>
      </x:c>
      <x:c r="E4" s="24" t="str">
        <x:v>DisplayStatus/DisplayValue + iconos compartidos para estados degradados</x:v>
      </x:c>
      <x:c r="F4" s="24" t="str">
        <x:v>05A</x:v>
      </x:c>
      <x:c r="G4" s="24" t="str">
        <x:v>Capability transversal ADA Web; Global Indicators y KPI Body serán consumidores.</x:v>
      </x:c>
    </x:row>
    <x:row r="5">
      <x:c r="A5" s="24" t="str">
        <x:v>06B</x:v>
      </x:c>
      <x:c r="B5" s="24" t="str">
        <x:v>Global Indicators</x:v>
      </x:c>
      <x:c r="C5" s="24" t="str">
        <x:v>PENDIENTE</x:v>
      </x:c>
      <x:c r="D5" s="24" t="str">
        <x:v>global_indicators_slot</x:v>
      </x:c>
      <x:c r="E5" s="24" t="str">
        <x:v>Indicadores en row; consume ADA Display Status</x:v>
      </x:c>
      <x:c r="F5" s="24" t="str">
        <x:v>05E + 06A</x:v>
      </x:c>
      <x:c r="G5" s="24" t="str">
        <x:v>Revisar/promover lógica y presentación sin acoplarla al Header.</x:v>
      </x:c>
    </x:row>
    <x:row r="6">
      <x:c r="A6" s="24" t="str">
        <x:v>07</x:v>
      </x:c>
      <x:c r="B6" s="24" t="str">
        <x:v>Alarm Management Summary</x:v>
      </x:c>
      <x:c r="C6" s="24" t="str">
        <x:v>PENDIENTE</x:v>
      </x:c>
      <x:c r="D6" s="24" t="str">
        <x:v>alarm_management_slot</x:v>
      </x:c>
      <x:c r="E6" s="24" t="str">
        <x:v>Mina + Planta en row</x:v>
      </x:c>
      <x:c r="F6" s="24" t="str">
        <x:v>05E</x:v>
      </x:c>
      <x:c r="G6" s="24" t="str">
        <x:v>Sólo visual summary; no confundir con Management Action.</x:v>
      </x:c>
    </x:row>
    <x:row r="7">
      <x:c r="A7" s="24" t="str">
        <x:v>08</x:v>
      </x:c>
      <x:c r="B7" s="24" t="str">
        <x:v>Alarm Status</x:v>
      </x:c>
      <x:c r="C7" s="24" t="str">
        <x:v>PENDIENTE</x:v>
      </x:c>
      <x:c r="D7" s="24" t="str">
        <x:v>alarm_status_slot</x:v>
      </x:c>
      <x:c r="E7" s="24" t="str">
        <x:v>Activas + Gestionadas</x:v>
      </x:c>
      <x:c r="F7" s="24" t="str">
        <x:v>05E</x:v>
      </x:c>
      <x:c r="G7" s="24" t="str">
        <x:v>Mantener modales/semántica como capability separada.</x:v>
      </x:c>
    </x:row>
    <x:row r="8">
      <x:c r="A8" t="str">
        <x:v>09</x:v>
      </x:c>
      <x:c r="B8" t="str">
        <x:v>Manager</x:v>
      </x:c>
      <x:c r="C8" t="str">
        <x:v>PENDIENTE</x:v>
      </x:c>
      <x:c r="D8" t="str">
        <x:v>No usa Header operacional</x:v>
      </x:c>
      <x:c r="E8" t="str">
        <x:v>Header/composición administrativa propia</x:v>
      </x:c>
      <x:c r="F8" t="str">
        <x:v>Header operacional estable</x:v>
      </x:c>
      <x:c r="G8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2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