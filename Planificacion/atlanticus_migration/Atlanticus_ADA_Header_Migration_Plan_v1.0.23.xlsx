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a147a4cdf348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c93ae7be3e714e48"/>
    <x:sheet xmlns:r="http://schemas.openxmlformats.org/officeDocument/2006/relationships" name="01_Header_Plan" sheetId="2" r:id="R1f7b658cbade4ea4"/>
    <x:sheet xmlns:r="http://schemas.openxmlformats.org/officeDocument/2006/relationships" name="02_Checks" sheetId="3" r:id="R706a3bd00f9c4d06"/>
    <x:sheet xmlns:r="http://schemas.openxmlformats.org/officeDocument/2006/relationships" name="03_Decisions" sheetId="4" r:id="R4c956d2ee7e44942"/>
    <x:sheet xmlns:r="http://schemas.openxmlformats.org/officeDocument/2006/relationships" name="04_Contexto" sheetId="5" r:id="Rae8134039d674fe2"/>
    <x:sheet xmlns:r="http://schemas.openxmlformats.org/officeDocument/2006/relationships" name="05_Futuro" sheetId="6" r:id="Rf388319bf92b4e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5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46739a0c1f4d9a" /><Relationship Type="http://schemas.openxmlformats.org/officeDocument/2006/relationships/theme" Target="/xl/theme/theme1.xml" Id="R2472cfcadc364c1f" /><Relationship Type="http://schemas.openxmlformats.org/officeDocument/2006/relationships/sharedStrings" Target="/xl/sharedStrings.xml" Id="R81381d6f5241489a" /><Relationship Type="http://schemas.openxmlformats.org/officeDocument/2006/relationships/worksheet" Target="/xl/worksheets/sheet1.xml" Id="Rc93ae7be3e714e48" /><Relationship Type="http://schemas.openxmlformats.org/officeDocument/2006/relationships/worksheet" Target="/xl/worksheets/sheet2.xml" Id="R1f7b658cbade4ea4" /><Relationship Type="http://schemas.openxmlformats.org/officeDocument/2006/relationships/worksheet" Target="/xl/worksheets/sheet3.xml" Id="R706a3bd00f9c4d06" /><Relationship Type="http://schemas.openxmlformats.org/officeDocument/2006/relationships/worksheet" Target="/xl/worksheets/sheet4.xml" Id="R4c956d2ee7e44942" /><Relationship Type="http://schemas.openxmlformats.org/officeDocument/2006/relationships/worksheet" Target="/xl/worksheets/sheet5.xml" Id="Rae8134039d674fe2" /><Relationship Type="http://schemas.openxmlformats.org/officeDocument/2006/relationships/worksheet" Target="/xl/worksheets/sheet6.xml" Id="Rf388319bf92b4e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  <x:col min="3" max="3" width="3" hidden="0" customWidth="1"/>
    <x:col min="4" max="4" width="34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</x:cols>
  <x:sheetData>
    <x:row r="1" ht="28" customHeight="1">
      <x:c r="A1" s="4" t="str">
        <x:v>Atlanticus — Plan de Migración ADA Operational Header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Campo</x:v>
      </x:c>
      <x:c r="B3" s="12" t="str">
        <x:v>Valor</x:v>
      </x:c>
      <x:c r="D3" s="12" t="str">
        <x:v>Checkpoint rápido</x:v>
      </x:c>
      <x:c r="E3" s="12" t="str">
        <x:v>Estado</x:v>
      </x:c>
      <x:c r="F3" s="12" t="str">
        <x:v>Gate</x:v>
      </x:c>
      <x:c r="G3" s="12" t="str">
        <x:v>UI real</x:v>
      </x:c>
      <x:c r="H3" s="12" t="str">
        <x:v>Notas</x:v>
      </x:c>
    </x:row>
    <x:row r="4">
      <x:c r="A4" s="20" t="str">
        <x:v>Repositorio canónico</x:v>
      </x:c>
      <x:c r="B4" s="24" t="str">
        <x:v>atlanticus</x:v>
      </x:c>
      <x:c r="D4" t="str">
        <x:v>Step 01 — Web Foundation</x:v>
      </x:c>
      <x:c r="E4" t="str">
        <x:v>VERDE</x:v>
      </x:c>
      <x:c r="F4" t="str">
        <x:v>OK</x:v>
      </x:c>
      <x:c r="G4" t="str">
        <x:v>N/A</x:v>
      </x:c>
      <x:c r="H4" t="str">
        <x:v>Core + Observability</x:v>
      </x:c>
    </x:row>
    <x:row r="5">
      <x:c r="A5" s="20" t="str">
        <x:v>Objetivo</x:v>
      </x:c>
      <x:c r="B5" s="24" t="str">
        <x:v>Desagregar la composición del Header operacional ADA para que cada capability sea independiente, genérica dentro de ADA y fácil de anclar.</x:v>
      </x:c>
      <x:c r="D5" t="str">
        <x:v>Step 02 — Identity</x:v>
      </x:c>
      <x:c r="E5" t="str">
        <x:v>VERDE</x:v>
      </x:c>
      <x:c r="F5" t="str">
        <x:v>OK</x:v>
      </x:c>
      <x:c r="G5" t="str">
        <x:v>N/A</x:v>
      </x:c>
      <x:c r="H5" t="str">
        <x:v>Identity Core + Local</x:v>
      </x:c>
    </x:row>
    <x:row r="6">
      <x:c r="A6" s="20" t="str">
        <x:v>Estado actual</x:v>
      </x:c>
      <x:c r="B6" s="24" t="str">
        <x:v>Step 08B.1A — Header + Global Indicator Visual Calibration: EN EJECUCIÓN. Intento 0.1.0 llegó correctamente a Header 0.1.1, Global Indicator 0.1.1 y Generic Application 0.1.12, pero falló el gate final porque dos tests de Application seguían esperando 0.1.11. Rollback correcto. Correctivo 0.1.1 preparado sin cambios visuales.</x:v>
      </x:c>
      <x:c r="D6" t="str">
        <x:v>Step 03 — Navigation Core</x:v>
      </x:c>
      <x:c r="E6" t="str">
        <x:v>VERDE</x:v>
      </x:c>
      <x:c r="F6" t="str">
        <x:v>OK</x:v>
      </x:c>
      <x:c r="G6" t="str">
        <x:v>N/A</x:v>
      </x:c>
      <x:c r="H6" t="str">
        <x:v>Navigation transversal promovida</x:v>
      </x:c>
    </x:row>
    <x:row r="7">
      <x:c r="A7" s="20" t="str">
        <x:v>Siguiente incremento</x:v>
      </x:c>
      <x:c r="B7" s="24" t="str">
        <x:v>Step 05A — ADA UI Framework Core</x:v>
      </x:c>
      <x:c r="D7" t="str">
        <x:v>Step 04 — ADA Generic Application</x:v>
      </x:c>
      <x:c r="E7" t="str">
        <x:v>VERDE</x:v>
      </x:c>
      <x:c r="F7" t="str">
        <x:v>OK</x:v>
      </x:c>
      <x:c r="G7" t="str">
        <x:v>OK</x:v>
      </x:c>
      <x:c r="H7" t="str">
        <x:v>App ADA real ejecutable</x:v>
      </x:c>
    </x:row>
    <x:row r="8">
      <x:c r="A8" s="20" t="str">
        <x:v>Regla de migración</x:v>
      </x:c>
      <x:c r="B8" s="24" t="str">
        <x:v>Promover capabilities revisadas; no copiar la composición multi-stage como una unidad.</x:v>
      </x:c>
      <x:c r="D8" t="str">
        <x:v>Step 05A — ADA UI Framework Core</x:v>
      </x:c>
      <x:c r="E8" t="str">
        <x:v>VERDE</x:v>
      </x:c>
      <x:c r="F8" t="str">
        <x:v>OK</x:v>
      </x:c>
      <x:c r="G8" t="str">
        <x:v>OK</x:v>
      </x:c>
      <x:c r="H8" t="str">
        <x:v>UI Core mínimo promovido y montado en ada-generic-application.</x:v>
      </x:c>
    </x:row>
    <x:row r="9">
      <x:c r="A9" s="20" t="str">
        <x:v>Aplicación de validación</x:v>
      </x:c>
      <x:c r="B9" s="24" t="str">
        <x:v>scopes/ada/web/application/ada-generic-application</x:v>
      </x:c>
      <x:c r="D9" t="str">
        <x:v>Step 05B — Operational Branding</x:v>
      </x:c>
      <x:c r="E9" t="str">
        <x:v>VERDE</x:v>
      </x:c>
      <x:c r="F9" t="str">
        <x:v>OK</x:v>
      </x:c>
      <x:c r="G9" t="str">
        <x:v>OK</x:v>
      </x:c>
      <x:c r="H9" t="str">
        <x:v>Operational Branding aplicado y confirmado verde.</x:v>
      </x:c>
    </x:row>
    <x:row r="10">
      <x:c r="D10" s="12" t="str">
        <x:v>Step 05C — Component State evaluation</x:v>
      </x:c>
      <x:c r="E10" s="12" t="str">
        <x:v>VERDE</x:v>
      </x:c>
      <x:c r="F10" s="12" t="str">
        <x:v>N/A</x:v>
      </x:c>
      <x:c r="G10" t="str">
        <x:v>N/A</x:v>
      </x:c>
      <x:c r="H10" t="str">
        <x:v>Capacidad aprobada conceptualmente; implementación diferida al primer consumidor real.</x:v>
      </x:c>
    </x:row>
    <x:row r="11">
      <x:c r="A11" s="12" t="str">
        <x:v>Cómo retomar si cambia el chat</x:v>
      </x:c>
      <x:c r="B11" s="12" t="str"/>
      <x:c r="D11" s="20" t="str">
        <x:v>Step 05D — ADA Navigation Presentation</x:v>
      </x:c>
      <x:c r="E11" t="str">
        <x:v>VERDE</x:v>
      </x:c>
      <x:c r="F11" t="n">
        <x:f>COUNTIF(E4:E20,"VERDE")</x:f>
        <x:v>15</x:v>
      </x:c>
      <x:c r="G11" t="str">
        <x:v>OK</x:v>
      </x:c>
      <x:c r="H11" t="str">
        <x:v>Gate ADA completo verde. CSS final del usuario es autoridad visual; AMSA usa amsa-pelambres-primary.png.</x:v>
      </x:c>
    </x:row>
    <x:row r="12">
      <x:c r="A12" s="20" t="str">
        <x:v>1</x:v>
      </x:c>
      <x:c r="B12" s="24" t="str">
        <x:v>Abrir 00_Control y revisar 'Siguiente incremento'.</x:v>
      </x:c>
      <x:c r="D12" s="20" t="str">
        <x:v>Step 05E — ADA Operational Header</x:v>
      </x:c>
      <x:c r="E12" t="str">
        <x:v>EN EJECUCIÓN</x:v>
      </x:c>
      <x:c r="F12" t="n">
        <x:v>12</x:v>
      </x:c>
      <x:c r="G12" t="str">
        <x:v>PENDIENTE</x:v>
      </x:c>
      <x:c r="H12" t="str">
        <x:v>05E 0.1.0 gate completo verde. 0.1.1 alinea Branding: Header usa Primary, Navigation usa Secondary, Pelambres permanece PNG. CSS/imagenes actuales se preservan byte a byte.</x:v>
      </x:c>
    </x:row>
    <x:row r="13">
      <x:c r="A13" s="20" t="str">
        <x:v>2</x:v>
      </x:c>
      <x:c r="B13" s="24" t="str">
        <x:v>Ir a 01_Header_Plan y leer la fila del step actual.</x:v>
      </x:c>
      <x:c r="D13" s="20" t="str">
        <x:v>Step 06A — ADA Display Status</x:v>
      </x:c>
      <x:c r="E13" t="str">
        <x:v>VERDE</x:v>
      </x:c>
      <x:c r="F13" t="n">
        <x:f>COUNTIF('05_Futuro'!C4:C13,"VERDE")</x:f>
        <x:v>7</x:v>
      </x:c>
      <x:c r="G13" t="str">
        <x:v>N/A</x:v>
      </x:c>
      <x:c r="H13" t="str">
        <x:v>Gate completo reportado verde por el usuario. Capability compartida disponible para Global Indicators y KPI Body.</x:v>
      </x:c>
    </x:row>
    <x:row r="14">
      <x:c r="A14" s="20" t="str">
        <x:v>3</x:v>
      </x:c>
      <x:c r="B14" s="24" t="str">
        <x:v>Revisar 02_Checks para saber qué falta validar.</x:v>
      </x:c>
      <x:c r="D14" s="20" t="str">
        <x:v>Step 06B — ADA Global Indicator</x:v>
      </x:c>
      <x:c r="E14" t="str">
        <x:v>VERDE</x:v>
      </x:c>
      <x:c r="F14" s="26" t="n">
        <x:f>IF(F12=0,0,F13/F12)</x:f>
        <x:v>0.5833333333333334</x:v>
      </x:c>
      <x:c r="G14" t="str">
        <x:v>N/A</x:v>
      </x:c>
      <x:c r="H14" t="str">
        <x:v>Gate 0.1.1 reportado verde por el usuario. Capability visual reusable cerrada.</x:v>
      </x:c>
    </x:row>
    <x:row r="15">
      <x:c r="A15" s="20" t="str">
        <x:v>4</x:v>
      </x:c>
      <x:c r="B15" s="24" t="str">
        <x:v>Revisar 03_Decisions antes de cambiar contratos o composición.</x:v>
      </x:c>
      <x:c r="D15" t="str">
        <x:v>Step 06C — Global Indicators → Header</x:v>
      </x:c>
      <x:c r="E15" t="str">
        <x:v>VERDE</x:v>
      </x:c>
      <x:c r="F15" t="str">
        <x:v>OK</x:v>
      </x:c>
      <x:c r="G15" t="str">
        <x:v>OK</x:v>
      </x:c>
      <x:c r="H15" t="str">
        <x:v>Gate reportado exitoso por el usuario. Global Indicator queda como capability runtime del Header con colección explícita.</x:v>
      </x:c>
    </x:row>
    <x:row r="16">
      <x:c r="D16" t="str">
        <x:v>Step 07A — ADA Alarm Management Summary</x:v>
      </x:c>
      <x:c r="E16" t="str">
        <x:v>VERDE</x:v>
      </x:c>
      <x:c r="F16" t="str">
        <x:v>OK</x:v>
      </x:c>
      <x:c r="G16" t="str">
        <x:v>N/A</x:v>
      </x:c>
      <x:c r="H16" t="str">
        <x:v>Gate reportado exitoso por el usuario. Capability visual cerrada.</x:v>
      </x:c>
    </x:row>
    <x:row r="17">
      <x:c r="A17" s="31" t="str">
        <x:v>Regla de uso: al cerrar cada incremento, actualizar Estado, Resultado/Notas, checks y decisiones antes de continuar. Este libro debe permitir retomar la migración sin reconstruir el contexto desde el chat.</x:v>
      </x:c>
      <x:c r="B17" s="31"/>
      <x:c r="C17" s="31"/>
      <x:c r="D17" s="31" t="str">
        <x:v>Step 07B — Alarm Management Summary → Header</x:v>
      </x:c>
      <x:c r="E17" s="31" t="str">
        <x:v>VERDE</x:v>
      </x:c>
      <x:c r="F17" s="31" t="str">
        <x:v>OK</x:v>
      </x:c>
      <x:c r="G17" s="31" t="str">
        <x:v>OK</x:v>
      </x:c>
      <x:c r="H17" s="31" t="str">
        <x:v>Gate reportado exitoso por el usuario. Alarm Management Summary queda montado en runtime con estado explícito.</x:v>
      </x:c>
    </x:row>
    <x:row r="18">
      <x:c r="A18" s="31"/>
      <x:c r="B18" s="31"/>
      <x:c r="C18" s="31"/>
      <x:c r="D18" s="31" t="str">
        <x:v>Step 08A — ADA Alarm Status base</x:v>
      </x:c>
      <x:c r="E18" s="31" t="str">
        <x:v>VERDE</x:v>
      </x:c>
      <x:c r="F18" s="31" t="str">
        <x:v>OK</x:v>
      </x:c>
      <x:c r="G18" s="31" t="str">
        <x:v>N/A</x:v>
      </x:c>
      <x:c r="H18" s="31" t="str">
        <x:v>Gate reportado exitoso por el usuario. Capability visual cerrada.</x:v>
      </x:c>
    </x:row>
    <x:row r="19">
      <x:c r="D19" t="str">
        <x:v>Step 08B — Alarm Status → Header</x:v>
      </x:c>
      <x:c r="E19" t="str">
        <x:v>VERDE</x:v>
      </x:c>
      <x:c r="F19" t="str">
        <x:v>OK</x:v>
      </x:c>
      <x:c r="G19" t="str">
        <x:v>OK</x:v>
      </x:c>
      <x:c r="H19" t="str">
        <x:v>Montaje runtime completado y preview del Header completo disponible; se abre calibración visual separada.</x:v>
      </x:c>
    </x:row>
    <x:row r="20">
      <x:c r="D20" t="str">
        <x:v>Step 08B.1A — Header + Global Indicator Calibration</x:v>
      </x:c>
      <x:c r="E20" t="str">
        <x:v>EN EJECUCIÓN</x:v>
      </x:c>
      <x:c r="F20" t="str">
        <x:v>PENDIENTE</x:v>
      </x:c>
      <x:c r="G20" t="str">
        <x:v>PENDIENTE</x:v>
      </x:c>
      <x:c r="H20" t="str">
        <x:v>08B.1A 0.1.0: Header y Global Indicator gates verdes; gate ADA completo falló únicamente en tests/test_application.py por expectativas de versión 0.1.11 frente a runtime 0.1.12. Rollback correcto. 0.1.1 actualiza esas dos expectativas a 0.1.12.</x:v>
      </x:c>
    </x:row>
  </x:sheetData>
  <x:mergeCells>
    <x:mergeCell ref="A1:H1"/>
    <x:mergeCell ref="A17:H18"/>
  </x:mergeCells>
  <x:conditionalFormatting sqref="E4:E8">
    <x:cfRule type="expression" dxfId="0" priority="1">
      <x:formula>E4="VERDE"</x:formula>
    </x:cfRule>
    <x:cfRule type="expression" dxfId="1" priority="2">
      <x:formula>E4="OK"</x:formula>
    </x:cfRule>
    <x:cfRule type="expression" dxfId="2" priority="3">
      <x:formula>E4="FAIL"</x:formula>
    </x:cfRule>
    <x:cfRule type="expression" dxfId="3" priority="4">
      <x:formula>E4="PENDIENTE"</x:formula>
    </x:cfRule>
    <x:cfRule type="expression" dxfId="4" priority="5">
      <x:formula>E4="HOLD"</x:formula>
    </x:cfRule>
  </x:conditionalFormatting>
  <x:dataValidations count="1">
    <x:dataValidation type="list" sqref="E9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2" hidden="0" customWidth="1"/>
    <x:col min="4" max="4" width="46" hidden="0" customWidth="1"/>
    <x:col min="5" max="5" width="44" hidden="0" customWidth="1"/>
    <x:col min="6" max="6" width="38" hidden="0" customWidth="1"/>
    <x:col min="7" max="7" width="56" hidden="0" customWidth="1"/>
    <x:col min="8" max="8" width="42" hidden="0" customWidth="1"/>
    <x:col min="9" max="9" width="42" hidden="0" customWidth="1"/>
    <x:col min="10" max="10" width="44" hidden="0" customWidth="1"/>
    <x:col min="11" max="11" width="46" hidden="0" customWidth="1"/>
    <x:col min="12" max="12" width="42" hidden="0" customWidth="1"/>
  </x:cols>
  <x:sheetData>
    <x:row r="1">
      <x:c r="A1" s="4" t="str">
        <x:v>Plan incremental — ADA Operational Header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2" t="str">
        <x:v>Step</x:v>
      </x:c>
      <x:c r="B3" s="12" t="str">
        <x:v>Nombre</x:v>
      </x:c>
      <x:c r="C3" s="12" t="str">
        <x:v>Estado</x:v>
      </x:c>
      <x:c r="D3" s="12" t="str">
        <x:v>Objetivo</x:v>
      </x:c>
      <x:c r="E3" s="12" t="str">
        <x:v>Origen a revisar</x:v>
      </x:c>
      <x:c r="F3" s="12" t="str">
        <x:v>Destino canónico tentativo</x:v>
      </x:c>
      <x:c r="G3" s="12" t="str">
        <x:v>Contrato / frontera a validar</x:v>
      </x:c>
      <x:c r="H3" s="12" t="str">
        <x:v>Dependencias permitidas</x:v>
      </x:c>
      <x:c r="I3" s="12" t="str">
        <x:v>Qué NO entra</x:v>
      </x:c>
      <x:c r="J3" s="12" t="str">
        <x:v>Montaje en app</x:v>
      </x:c>
      <x:c r="K3" s="12" t="str">
        <x:v>Criterio de cierre</x:v>
      </x:c>
      <x:c r="L3" s="12" t="str">
        <x:v>Resultado / notas</x:v>
      </x:c>
    </x:row>
    <x:row r="4">
      <x:c r="A4" s="24" t="str">
        <x:v>05A</x:v>
      </x:c>
      <x:c r="B4" s="24" t="str">
        <x:v>ADA UI Framework Core</x:v>
      </x:c>
      <x:c r="C4" s="24" t="str">
        <x:v>VERDE</x:v>
      </x:c>
      <x:c r="D4" s="24" t="str">
        <x:v>Promover una fundación Web UI ADA mínima, reusable y sin arrastrar responsabilidades que pertenecen a capabilities futuras.</x:v>
      </x:c>
      <x:c r="E4" s="24" t="str">
        <x:v>multi-stage: scopes/ada/ui/framework/core; revisión de module/dom/status/ready/resources + consumidores reales.</x:v>
      </x:c>
      <x:c r="F4" s="24" t="str">
        <x:v>scopes/ada/web/ui/core</x:v>
      </x:c>
      <x:c r="G4" s="24" t="str">
        <x:v>Promover sólo registro de assets base, Bootstrap/tokens compartidos y atributos DOM estables. El paquete histórico se desagrega: status visuals, page readiness y AppTicker no pertenecen a este core mínimo.</x:v>
      </x:c>
      <x:c r="H4" s="24" t="str">
        <x:v>atlanticus-web==0.1.0</x:v>
      </x:c>
      <x:c r="I4" s="24" t="str">
        <x:v>Branding, Header, Global Indicators, Alarm Management, Alarm Status, Manager, status visuals, page readiness y AppTicker.</x:v>
      </x:c>
      <x:c r="J4" s="24" t="str">
        <x:v>Montar create_ada_ui_module() en ada-generic-application para que exista un consumidor real desde este mismo step.</x:v>
      </x:c>
      <x:c r="K4" s="24" t="str">
        <x:v>Gate ADA verde + mirror verde + app boot verde + sin acoplamiento a una Tool concreta.</x:v>
      </x:c>
      <x:c r="L4" s="24" t="str">
        <x:v>CERRADO. Promovido como ada.web.ui.core con assets/tokens + DOM; status/readiness/ticker diferidos. Montado en la aplicación real.</x:v>
      </x:c>
    </x:row>
    <x:row r="5">
      <x:c r="A5" s="24" t="str">
        <x:v>05B</x:v>
      </x:c>
      <x:c r="B5" s="24" t="str">
        <x:v>Branding / Operational Identity</x:v>
      </x:c>
      <x:c r="C5" s="24" t="str">
        <x:v>VERDE</x:v>
      </x:c>
      <x:c r="D5" s="24" t="str">
        <x:v>Promover una identidad visual operacional ADA independiente del Header y preparada para recibir el nombre configurado sin conocer configuración ni Tool Manifest.</x:v>
      </x:c>
      <x:c r="E5" s="24" t="str">
        <x:v>multi-stage: scopes/ada/ui/components/branding + consumo real desde Header; assets del Manager revisados por separado.</x:v>
      </x:c>
      <x:c r="F5" s="24" t="str">
        <x:v>scopes/ada/web/ui/branding</x:v>
      </x:c>
      <x:c r="G5" s="24" t="str">
        <x:v>OperationalBrandState + presentación independiente + AssetLayer. context_name se inyecta desde composición. No promover resolver calendario/manifests antiguos sin variantes visuales reales.</x:v>
      </x:c>
      <x:c r="H5" s="24" t="str">
        <x:v>05A + atlanticus-web</x:v>
      </x:c>
      <x:c r="I5" s="24" t="str">
        <x:v>Header, Global Indicators, Alarm Management, Alarm Status, Manager Header, Tool Configuration y resolver estacional legacy.</x:v>
      </x:c>
      <x:c r="J5" s="24" t="str">
        <x:v>Montar build_operational_brand() directamente en ada-generic-application; 05E moverá el mismo componente al slot Brand del Header.</x:v>
      </x:c>
      <x:c r="K5" s="24" t="str">
        <x:v>Brand visible y configurable; sin nombre de Tool inventado; asset publicado por URL/cache; gate ADA + mirror + app boot verdes.</x:v>
      </x:c>
      <x:c r="L5" s="24" t="str">
        <x:v>CERRADO. Operational Branding promovido, montado en ada-generic-application y confirmado verde.</x:v>
      </x:c>
    </x:row>
    <x:row r="6">
      <x:c r="A6" s="24" t="str">
        <x:v>05C</x:v>
      </x:c>
      <x:c r="B6" s="24" t="str">
        <x:v>Component State — evaluación</x:v>
      </x:c>
      <x:c r="C6" s="24" t="str">
        <x:v>VERDE</x:v>
      </x:c>
      <x:c r="D6" s="24" t="str">
        <x:v>Evaluar si el antiguo State Wrapper merece una capability independiente y qué parte de su contrato debe sobrevivir.</x:v>
      </x:c>
      <x:c r="E6" s="24" t="str">
        <x:v>multi-stage: state-wrapper + consumidores en Alarms, Dashboard, Header, Operational Shell y composiciones.</x:v>
      </x:c>
      <x:c r="F6" s="24" t="str">
        <x:v>Futuro: scopes/ada/web/ui/component-state, cuando exista el primer consumidor canónico.</x:v>
      </x:c>
      <x:c r="G6" s="24" t="str">
        <x:v>La semántica reusable es ComponentCover + overlay/wrapper de estado y aislamiento opcional de fallos. Se eliminan del contrato futuro ready/ready_name/data-ready porque Page Readiness pertenece a otra frontera.</x:v>
      </x:c>
      <x:c r="H6" s="24" t="str">
        <x:v>ADA Web UI Core + Dash, cuando se promueva.</x:v>
      </x:c>
      <x:c r="I6" s="24" t="str">
        <x:v>No promover ahora sólo por historia. No incluir Page Readiness. No crear alias ada.ui.components.state_wrapper.</x:v>
      </x:c>
      <x:c r="J6" s="24" t="str">
        <x:v>Sin montaje en 05C: no existe aún consumidor canónico real. Se promoverá junto con Global Indicators/Alarm Management/otro consumidor que lo necesite.</x:v>
      </x:c>
      <x:c r="K6" s="24" t="str">
        <x:v>Evaluación cerrada con decisión explícita y consumidores reales identificados.</x:v>
      </x:c>
      <x:c r="L6" s="24" t="str">
        <x:v>CERRADO SIN CÓDIGO. La capability está justificada por uso transversal histórico, pero se difiere su promoción para evitar una capability huérfana.</x:v>
      </x:c>
    </x:row>
    <x:row r="7">
      <x:c r="A7" s="24" t="str">
        <x:v>05D</x:v>
      </x:c>
      <x:c r="B7" s="24" t="str">
        <x:v>ADA Navigation Presentation</x:v>
      </x:c>
      <x:c r="C7" s="24" t="str">
        <x:v>VERDE</x:v>
      </x:c>
      <x:c r="D7" s="24" t="str">
        <x:v>Promover una presentación ADA de navegación independiente que consume Navigation Core y pueda ajustarse visualmente sin tocar resolución/autorización.</x:v>
      </x:c>
      <x:c r="E7" s="24" t="str">
        <x:v>multi-stage: scopes/ada/ui/shell/navigation; presentation/callbacks/CSS/IDs + consumidores reales.</x:v>
      </x:c>
      <x:c r="F7" s="24" t="str">
        <x:v>scopes/ada/web/shell/navigation</x:v>
      </x:c>
      <x:c r="G7" s="24" t="str">
        <x:v>La UI recibe NavigationMenu ya resuelto. Título/subtítulo/acción son inyectables. IDs y CSS pertenecen a Navigation. No conoce ServiceRegistry, Header, Users, Tool Manifest ni proyecto concreto.</x:v>
      </x:c>
      <x:c r="H7" s="24" t="str">
        <x:v>Atlanticus Navigation Core + ADA Web UI Core</x:v>
      </x:c>
      <x:c r="I7" s="24" t="str">
        <x:v>Manager navigation, Users, Navigation Configuration, autorización nueva, Header operacional y URLs/nombres de proyecto hardcodeados.</x:v>
      </x:c>
      <x:c r="J7" s="24" t="str">
        <x:v>Montar trigger + offcanvas en ada-generic-application. Brand/trigger quedan en una franja temporal hasta Step 05E.</x:v>
      </x:c>
      <x:c r="K7" s="24" t="str">
        <x:v>Gate ADA verde + app boot + revisión visual + ajustes acordados. No cerrar sólo con tests.</x:v>
      </x:c>
      <x:c r="L7" s="24" t="str">
        <x:v>CERRADO. Gate ADA completo verde: ui-core 8 tests, branding 4, navigation 9, application 4; Ruff/format y mirrors verdes. El CSS final ajustado manualmente es la autoridad visual. ADA asset permanece SVG; Minera Los Pelambres queda como amsa-pelambres-primary.png. Navigation sigue desacoplado de Header/Core y recibe assets/version por composición.</x:v>
      </x:c>
    </x:row>
    <x:row r="8">
      <x:c r="A8" s="24" t="str">
        <x:v>05E</x:v>
      </x:c>
      <x:c r="B8" s="24" t="str">
        <x:v>ADA Operational Header</x:v>
      </x:c>
      <x:c r="C8" s="24" t="str">
        <x:v>EN EJECUCIÓN</x:v>
      </x:c>
      <x:c r="D8" s="24" t="str">
        <x:v>Promover el Header operacional como shell horizontal de bloques independientes, dejando el reparto de espacio bajo ownership del Header y no de cada capability.</x:v>
      </x:c>
      <x:c r="E8" s="24" t="str">
        <x:v>multi-stage: scopes/ada/ui/shell/header; revisar layout/CSS/slots y descartar state/tool-manifest/global-indicator internals.</x:v>
      </x:c>
      <x:c r="F8" s="24" t="str">
        <x:v>scopes/ada/web/shell/header</x:v>
      </x:c>
      <x:c r="G8" s="24" t="str">
        <x:v>build_ada_operational_header recibe Component ya construidos: brand, global_indicators, alarm_management, alarm_status y triggers de Navigation. No conoce ToolManifest, KPIs, Mina/Planta ni modelos de alarmas.</x:v>
      </x:c>
      <x:c r="H8" s="24" t="str">
        <x:v>ADA Web UI Core + Atlanticus Web + Dash. Branding y Navigation sólo se consumen desde la composition root.</x:v>
      </x:c>
      <x:c r="I8" s="24" t="str">
        <x:v>No modificar CSS/internals de Branding o Navigation; no promover Global Indicators ni alarmas dentro de este step; no reintroducir State Wrapper/Page Readiness.</x:v>
      </x:c>
      <x:c r="J8" s="24" t="str">
        <x:v>Montar Brand + Navigation reales en ada-generic-application. Los tres slots operacionales restantes existen en DOM pero se colapsan vacíos.</x:v>
      </x:c>
      <x:c r="K8" s="24" t="str">
        <x:v>Gate Header + gate ADA completo verdes; app boot; revisión visual del reparto de espacio y del anclaje del trigger antes de cerrar.</x:v>
      </x:c>
      <x:c r="L8" s="24" t="str">
        <x:v>05E 0.1.0 quedó técnicamente verde. La revisión posterior confirmó que ada-operational-secondary.svg existe, pero ada-generic-application todavía inyecta DEFAULT_OPERATIONAL_BRAND_LOGO_SRC (Primary) en Navigation. Correctivo 0.1.1 agrega contrato Secondary en Branding, lo inyecta sólo a Navigation, conserva Primary en Header y agrega PNG a package-data. No toca CSS ni artwork manual.</x:v>
      </x:c>
    </x:row>
  </x:sheetData>
  <x:mergeCells>
    <x:mergeCell ref="A1:L1"/>
  </x:mergeCells>
  <x:conditionalFormatting sqref="C4:C8">
    <x:cfRule type="expression" dxfId="5" priority="1">
      <x:formula>C4="VERDE"</x:formula>
    </x:cfRule>
    <x:cfRule type="expression" dxfId="6" priority="2">
      <x:formula>C4="OK"</x:formula>
    </x:cfRule>
    <x:cfRule type="expression" dxfId="7" priority="3">
      <x:formula>C4="FAIL"</x:formula>
    </x:cfRule>
    <x:cfRule type="expression" dxfId="8" priority="4">
      <x:formula>C4="PENDIENTE"</x:formula>
    </x:cfRule>
    <x:cfRule type="expression" dxfId="9" priority="5">
      <x:formula>C4="HOLD"</x:formula>
    </x:cfRule>
  </x:conditionalFormatting>
  <x:dataValidations count="1">
    <x:dataValidation type="list" sqref="C4:C8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18" hidden="0" customWidth="1"/>
    <x:col min="4" max="4" width="18" hidden="0" customWidth="1"/>
    <x:col min="5" max="5" width="46" hidden="0" customWidth="1"/>
    <x:col min="6" max="6" width="42" hidden="0" customWidth="1"/>
    <x:col min="7" max="7" width="16" hidden="0" customWidth="1"/>
    <x:col min="8" max="8" width="40" hidden="0" customWidth="1"/>
  </x:cols>
  <x:sheetData>
    <x:row r="1">
      <x:c r="A1" s="4" t="str">
        <x:v>Checks por Step — Header Migration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Step</x:v>
      </x:c>
      <x:c r="B3" s="12" t="str">
        <x:v>Check</x:v>
      </x:c>
      <x:c r="C3" s="12" t="str">
        <x:v>Tipo</x:v>
      </x:c>
      <x:c r="D3" s="12" t="str">
        <x:v>Estado</x:v>
      </x:c>
      <x:c r="E3" s="12" t="str">
        <x:v>Evidencia esperada</x:v>
      </x:c>
      <x:c r="F3" s="12" t="str">
        <x:v>Comando / acción</x:v>
      </x:c>
      <x:c r="G3" s="12" t="str">
        <x:v>Bloquea cierre</x:v>
      </x:c>
      <x:c r="H3" s="12" t="str">
        <x:v>Notas</x:v>
      </x:c>
    </x:row>
    <x:row r="4">
      <x:c r="A4" s="24" t="str">
        <x:v>05A</x:v>
      </x:c>
      <x:c r="B4" s="24" t="str">
        <x:v>Revisar source productivo y mirror en multi-stage</x:v>
      </x:c>
      <x:c r="C4" s="24" t="str">
        <x:v>Revisión</x:v>
      </x:c>
      <x:c r="D4" s="24" t="str">
        <x:v>OK</x:v>
      </x:c>
      <x:c r="E4" s="24" t="str">
        <x:v>Lista de módulos y responsabilidades reales</x:v>
      </x:c>
      <x:c r="F4" s="24" t="str">
        <x:v>Inspección manual</x:v>
      </x:c>
      <x:c r="G4" s="24" t="str">
        <x:v>Sí</x:v>
      </x:c>
      <x:c r="H4" s="24" t="str">
        <x:v>Revisados module.py, dom.py, ready.py, status.py, CSS/JS/assets y consumidores de multi-stage.</x:v>
      </x:c>
    </x:row>
    <x:row r="5">
      <x:c r="A5" s="24" t="str">
        <x:v>05A</x:v>
      </x:c>
      <x:c r="B5" s="24" t="str">
        <x:v>Acordar frontera y destino canónico</x:v>
      </x:c>
      <x:c r="C5" s="24" t="str">
        <x:v>Contrato</x:v>
      </x:c>
      <x:c r="D5" s="24" t="str">
        <x:v>OK</x:v>
      </x:c>
      <x:c r="E5" s="24" t="str">
        <x:v>Responsabilidad explícita y dependencias permitidas</x:v>
      </x:c>
      <x:c r="F5" s="24" t="str">
        <x:v>Debate antes de código</x:v>
      </x:c>
      <x:c r="G5" s="24" t="str">
        <x:v>Sí</x:v>
      </x:c>
      <x:c r="H5" s="24" t="str">
        <x:v>Destino refinado a scopes/ada/web/ui/core; package ada.web.ui.core. Se descarta conservar framework/core como nesting histórico.</x:v>
      </x:c>
    </x:row>
    <x:row r="6">
      <x:c r="A6" s="24" t="str">
        <x:v>05A</x:v>
      </x:c>
      <x:c r="B6" s="24" t="str">
        <x:v>Promover sólo archivos acordados</x:v>
      </x:c>
      <x:c r="C6" s="24" t="str">
        <x:v>Implementación</x:v>
      </x:c>
      <x:c r="D6" s="24" t="str">
        <x:v>OK</x:v>
      </x:c>
      <x:c r="E6" s="24" t="str">
        <x:v>Diff acotado</x:v>
      </x:c>
      <x:c r="F6" s="24" t="str">
        <x:v>Aplicar paquete incremental</x:v>
      </x:c>
      <x:c r="G6" s="24" t="str">
        <x:v>Sí</x:v>
      </x:c>
      <x:c r="H6" s="24" t="str">
        <x:v>Step 05A aplicado y confirmado verde por el usuario.</x:v>
      </x:c>
    </x:row>
    <x:row r="7">
      <x:c r="A7" s="24" t="str">
        <x:v>05A</x:v>
      </x:c>
      <x:c r="B7" s="24" t="str">
        <x:v>Ruff + format + tests + mirror</x:v>
      </x:c>
      <x:c r="C7" s="24" t="str">
        <x:v>Gate</x:v>
      </x:c>
      <x:c r="D7" s="24" t="str">
        <x:v>OK</x:v>
      </x:c>
      <x:c r="E7" s="24" t="str">
        <x:v>Todo verde</x:v>
      </x:c>
      <x:c r="F7" s="24" t="str">
        <x:v>bash scripts/scopes/ada/check.sh &lt;target&gt;</x:v>
      </x:c>
      <x:c r="G7" s="24" t="str">
        <x:v>Sí</x:v>
      </x:c>
      <x:c r="H7" s="24" t="str">
        <x:v>Ruff/format/tests/mirror + gate ADA confirmados verdes.</x:v>
      </x:c>
    </x:row>
    <x:row r="8">
      <x:c r="A8" s="24" t="str">
        <x:v>05A</x:v>
      </x:c>
      <x:c r="B8" s="24" t="str">
        <x:v>Confirmar que no conoce Tool concreta</x:v>
      </x:c>
      <x:c r="C8" s="24" t="str">
        <x:v>Boundary</x:v>
      </x:c>
      <x:c r="D8" s="24" t="str">
        <x:v>OK</x:v>
      </x:c>
      <x:c r="E8" s="24" t="str">
        <x:v>Sin Integrated Operations/Process/Manager hardcodeado</x:v>
      </x:c>
      <x:c r="F8" s="24" t="str">
        <x:v>Revisión imports/config</x:v>
      </x:c>
      <x:c r="G8" s="24" t="str">
        <x:v>Sí</x:v>
      </x:c>
      <x:c r="H8" s="24" t="str">
        <x:v>La capability sólo conoce fundación visual ADA; no Integrated Operations, Process, Manager ni Tool Manifest.</x:v>
      </x:c>
    </x:row>
    <x:row r="9">
      <x:c r="A9" s="24" t="str">
        <x:v>05B</x:v>
      </x:c>
      <x:c r="B9" s="24" t="str">
        <x:v>Separar resolver de definición concreta</x:v>
      </x:c>
      <x:c r="C9" s="24" t="str">
        <x:v>Contrato</x:v>
      </x:c>
      <x:c r="D9" s="24" t="str">
        <x:v>OK</x:v>
      </x:c>
      <x:c r="E9" s="24" t="str">
        <x:v>API reusable + manifest/identity inyectable</x:v>
      </x:c>
      <x:c r="F9" s="24" t="str">
        <x:v>Revisión + tests</x:v>
      </x:c>
      <x:c r="G9" s="24" t="str">
        <x:v>Sí</x:v>
      </x:c>
      <x:c r="H9" s="24" t="str">
        <x:v>Resolver, manifests, assets y consumo Header/Manager revisados. Las variantes estacionales vigentes no aportan assets distintos.</x:v>
      </x:c>
    </x:row>
    <x:row r="10">
      <x:c r="A10" s="24" t="str">
        <x:v>05B</x:v>
      </x:c>
      <x:c r="B10" s="24" t="str">
        <x:v>Nombre operacional proviene de configuración</x:v>
      </x:c>
      <x:c r="C10" s="24" t="str">
        <x:v>Funcional</x:v>
      </x:c>
      <x:c r="D10" s="24" t="str">
        <x:v>OK</x:v>
      </x:c>
      <x:c r="E10" s="24" t="str">
        <x:v>Sin hardcode de Tool</x:v>
      </x:c>
      <x:c r="F10" s="24" t="str">
        <x:v>Smoke app</x:v>
      </x:c>
      <x:c r="G10" s="24" t="str">
        <x:v>Sí</x:v>
      </x:c>
      <x:c r="H10" s="24" t="str">
        <x:v>context_name pertenece a composición/configuración y se inyecta; Branding no consulta Tool Manifest.</x:v>
      </x:c>
    </x:row>
    <x:row r="11">
      <x:c r="A11" s="24" t="str">
        <x:v>05B</x:v>
      </x:c>
      <x:c r="B11" s="24" t="str">
        <x:v>Brand operacional coincide con ADA</x:v>
      </x:c>
      <x:c r="C11" s="24" t="str">
        <x:v>Visual</x:v>
      </x:c>
      <x:c r="D11" s="24" t="str">
        <x:v>OK</x:v>
      </x:c>
      <x:c r="E11" s="24" t="str">
        <x:v>Logo ADA + Asistente de Decisiones Ágiles + nombre configurado</x:v>
      </x:c>
      <x:c r="F11" s="24" t="str">
        <x:v>Levantar app y revisar</x:v>
      </x:c>
      <x:c r="G11" s="24" t="str">
        <x:v>Sí</x:v>
      </x:c>
      <x:c r="H11" s="24" t="str">
        <x:v>Componente preparado con logo ADA operacional + Asistente de Decisiones Ágiles + contexto opcional.</x:v>
      </x:c>
    </x:row>
    <x:row r="12">
      <x:c r="A12" s="24" t="str">
        <x:v>05B</x:v>
      </x:c>
      <x:c r="B12" s="24" t="str">
        <x:v>Gate + mirror</x:v>
      </x:c>
      <x:c r="C12" s="24" t="str">
        <x:v>Gate</x:v>
      </x:c>
      <x:c r="D12" s="24" t="str">
        <x:v>OK</x:v>
      </x:c>
      <x:c r="E12" s="24" t="str">
        <x:v>Verde</x:v>
      </x:c>
      <x:c r="F12" s="24" t="str">
        <x:v>scripts/scopes/ada/check.sh</x:v>
      </x:c>
      <x:c r="G12" s="24" t="str">
        <x:v>Sí</x:v>
      </x:c>
      <x:c r="H12" s="24" t="str">
        <x:v>Step 05B aplicado y confirmado verde por el usuario.</x:v>
      </x:c>
    </x:row>
    <x:row r="13">
      <x:c r="A13" s="24" t="str">
        <x:v>05C</x:v>
      </x:c>
      <x:c r="B13" s="24" t="str">
        <x:v>Inventariar consumidores reales</x:v>
      </x:c>
      <x:c r="C13" s="24" t="str">
        <x:v>Revisión</x:v>
      </x:c>
      <x:c r="D13" s="24" t="str">
        <x:v>OK</x:v>
      </x:c>
      <x:c r="E13" s="24" t="str">
        <x:v>Lista de usos y problema que resuelve</x:v>
      </x:c>
      <x:c r="F13" s="24" t="str">
        <x:v>Búsqueda en multi-stage</x:v>
      </x:c>
      <x:c r="G13" s="24" t="str">
        <x:v>Sí</x:v>
      </x:c>
      <x:c r="H13" s="24" t="str">
        <x:v>Consumidores reales identificados: Alarms Management Summary/Notifications, Dashboard, Header, Operational Shell y composiciones Process/Integrated Operations.</x:v>
      </x:c>
    </x:row>
    <x:row r="14">
      <x:c r="A14" s="24" t="str">
        <x:v>05C</x:v>
      </x:c>
      <x:c r="B14" s="24" t="str">
        <x:v>Decidir promover/integrar/descartar</x:v>
      </x:c>
      <x:c r="C14" s="24" t="str">
        <x:v>Decisión</x:v>
      </x:c>
      <x:c r="D14" s="24" t="str">
        <x:v>OK</x:v>
      </x:c>
      <x:c r="E14" s="24" t="str">
        <x:v>Registro en 03_Decisions</x:v>
      </x:c>
      <x:c r="F14" s="24" t="str">
        <x:v>Debate</x:v>
      </x:c>
      <x:c r="G14" s="24" t="str">
        <x:v>Sí</x:v>
      </x:c>
      <x:c r="H14" s="24" t="str">
        <x:v>Decisión: conservar la capacidad como futuro ada.web.ui.component_state, pero promoverla recién con el primer consumidor canónico.</x:v>
      </x:c>
    </x:row>
    <x:row r="15">
      <x:c r="A15" s="24" t="str">
        <x:v>05C</x:v>
      </x:c>
      <x:c r="B15" s="24" t="str">
        <x:v>No mantener capa sólo por legado</x:v>
      </x:c>
      <x:c r="C15" s="24" t="str">
        <x:v>Boundary</x:v>
      </x:c>
      <x:c r="D15" s="24" t="str">
        <x:v>OK</x:v>
      </x:c>
      <x:c r="E15" s="24" t="str">
        <x:v>Justificación explícita</x:v>
      </x:c>
      <x:c r="F15" s="24" t="str">
        <x:v>Revisión</x:v>
      </x:c>
      <x:c r="G15" s="24" t="str">
        <x:v>Sí</x:v>
      </x:c>
      <x:c r="H15" s="24" t="str">
        <x:v>Se descarta trasladar la capa histórica completa. ready/ready_name/data-ready quedan fuera por pertenecer a Page Readiness.</x:v>
      </x:c>
    </x:row>
    <x:row r="16">
      <x:c r="A16" s="24" t="str">
        <x:v>05D</x:v>
      </x:c>
      <x:c r="B16" s="24" t="str">
        <x:v>Navigation UI no duplica resolver/autorización</x:v>
      </x:c>
      <x:c r="C16" s="24" t="str">
        <x:v>Boundary</x:v>
      </x:c>
      <x:c r="D16" s="24" t="str">
        <x:v>OK</x:v>
      </x:c>
      <x:c r="E16" s="24" t="str">
        <x:v>Consume atlanticus.web.navigation</x:v>
      </x:c>
      <x:c r="F16" s="24" t="str">
        <x:v>Revisión imports/tests</x:v>
      </x:c>
      <x:c r="G16" s="24" t="str">
        <x:v>Sí</x:v>
      </x:c>
      <x:c r="H16" s="24" t="str">
        <x:v>La presentación consume NavigationMenu y usa callbacks propios; resolución/autorización permanecen en atlanticus.web.navigation.</x:v>
      </x:c>
    </x:row>
    <x:row r="17">
      <x:c r="A17" s="24" t="str">
        <x:v>05D</x:v>
      </x:c>
      <x:c r="B17" s="24" t="str">
        <x:v>Menú Inicio funcional</x:v>
      </x:c>
      <x:c r="C17" s="24" t="str">
        <x:v>Funcional</x:v>
      </x:c>
      <x:c r="D17" s="24" t="str">
        <x:v>OK</x:v>
      </x:c>
      <x:c r="E17" s="24" t="str">
        <x:v>Navega sin infraestructura externa</x:v>
      </x:c>
      <x:c r="F17" s="24" t="str">
        <x:v>Smoke app</x:v>
      </x:c>
      <x:c r="G17" s="24" t="str">
        <x:v>Sí</x:v>
      </x:c>
      <x:c r="H17" s="24" t="str">
        <x:v>Revisión visual aprobada después de ajustes manuales. Trigger lateral, offcanvas, header institucional, footer y navegación funcionan como esperado.</x:v>
      </x:c>
    </x:row>
    <x:row r="18">
      <x:c r="A18" s="24" t="str">
        <x:v>05D</x:v>
      </x:c>
      <x:c r="B18" s="24" t="str">
        <x:v>Gate + mirror + UI</x:v>
      </x:c>
      <x:c r="C18" s="24" t="str">
        <x:v>Gate</x:v>
      </x:c>
      <x:c r="D18" s="24" t="str">
        <x:v>OK</x:v>
      </x:c>
      <x:c r="E18" s="24" t="str">
        <x:v>Verde</x:v>
      </x:c>
      <x:c r="F18" s="24" t="str">
        <x:v>scripts/scopes/ada/check.sh</x:v>
      </x:c>
      <x:c r="G18" s="24" t="str">
        <x:v>Sí</x:v>
      </x:c>
      <x:c r="H18" s="24" t="str">
        <x:v>Gate final confirmado verde: ui-core 8, branding 4, navigation 9, application 4; mirrors verdes. Test Branding alineado con AMSA PNG.</x:v>
      </x:c>
    </x:row>
    <x:row r="19">
      <x:c r="A19" s="24" t="str">
        <x:v>05E</x:v>
      </x:c>
      <x:c r="B19" s="24" t="str">
        <x:v>Header recibe slots externos</x:v>
      </x:c>
      <x:c r="C19" s="24" t="str">
        <x:v>Contrato</x:v>
      </x:c>
      <x:c r="D19" s="24" t="str">
        <x:v>OK</x:v>
      </x:c>
      <x:c r="E19" s="24" t="str">
        <x:v>global_indicators_slot / alarm_management_slot / alarm_status_slot / navigation</x:v>
      </x:c>
      <x:c r="F19" s="24" t="str">
        <x:v>Tests unitarios</x:v>
      </x:c>
      <x:c r="G19" s="24" t="str">
        <x:v>Sí</x:v>
      </x:c>
      <x:c r="H19" s="24" t="str">
        <x:v>Contrato preparado: Header sólo recibe slots Component y no importa ToolManifest/GlobalIndicator/Alarm/ServiceRegistry.</x:v>
      </x:c>
    </x:row>
    <x:row r="20">
      <x:c r="A20" s="24" t="str">
        <x:v>05E</x:v>
      </x:c>
      <x:c r="B20" s="24" t="str">
        <x:v>Header no inspecciona ToolManifest completo</x:v>
      </x:c>
      <x:c r="C20" s="24" t="str">
        <x:v>Boundary</x:v>
      </x:c>
      <x:c r="D20" s="24" t="str">
        <x:v>OK</x:v>
      </x:c>
      <x:c r="E20" s="24" t="str">
        <x:v>Sólo identidad/contexto + componentes inyectados</x:v>
      </x:c>
      <x:c r="F20" s="24" t="str">
        <x:v>Revisión código</x:v>
      </x:c>
      <x:c r="G20" s="24" t="str">
        <x:v>Sí</x:v>
      </x:c>
      <x:c r="H20" s="24" t="str">
        <x:v>El Header no inspecciona configuración; Brand y Navigation son ensamblados por ada-generic-application.</x:v>
      </x:c>
    </x:row>
    <x:row r="21">
      <x:c r="A21" s="24" t="str">
        <x:v>05E</x:v>
      </x:c>
      <x:c r="B21" s="24" t="str">
        <x:v>Geometría visual correcta</x:v>
      </x:c>
      <x:c r="C21" s="24" t="str">
        <x:v>Visual</x:v>
      </x:c>
      <x:c r="D21" s="24" t="str">
        <x:v>PENDIENTE</x:v>
      </x:c>
      <x:c r="E21" s="24" t="str">
        <x:v>Header row de bloques; Brand column; layouts internos propios</x:v>
      </x:c>
      <x:c r="F21" s="24" t="str">
        <x:v>Smoke visual</x:v>
      </x:c>
      <x:c r="G21" s="24" t="str">
        <x:v>Sí</x:v>
      </x:c>
      <x:c r="H21" s="24" t="str">
        <x:v>Gate 05E 0.1.0 verde. Pendiente revisar visualmente 0.1.1 con Primary en Header y Secondary en Navigation.</x:v>
      </x:c>
    </x:row>
    <x:row r="22">
      <x:c r="A22" s="24" t="str">
        <x:v>05E</x:v>
      </x:c>
      <x:c r="B22" s="24" t="str">
        <x:v>Slots faltantes colapsan sin placeholders falsos</x:v>
      </x:c>
      <x:c r="C22" s="24" t="str">
        <x:v>Visual</x:v>
      </x:c>
      <x:c r="D22" s="24" t="str">
        <x:v>PENDIENTE</x:v>
      </x:c>
      <x:c r="E22" s="24" t="str">
        <x:v>App limpia aunque Management/Status aún no existan</x:v>
      </x:c>
      <x:c r="F22" s="24" t="str">
        <x:v>Smoke visual</x:v>
      </x:c>
      <x:c r="G22" s="24" t="str">
        <x:v>Sí</x:v>
      </x:c>
      <x:c r="H22" s="24" t="str">
        <x:v>Slots vacíos usan data-slot-empty=true y CSS los colapsa sin placeholders.</x:v>
      </x:c>
    </x:row>
    <x:row r="23">
      <x:c r="A23" s="24" t="str">
        <x:v>05E</x:v>
      </x:c>
      <x:c r="B23" s="24" t="str">
        <x:v>Gate + mirror + app boot</x:v>
      </x:c>
      <x:c r="C23" s="24" t="str">
        <x:v>Gate</x:v>
      </x:c>
      <x:c r="D23" s="24" t="str">
        <x:v>PENDIENTE</x:v>
      </x:c>
      <x:c r="E23" s="24" t="str">
        <x:v>Verde</x:v>
      </x:c>
      <x:c r="F23" s="24" t="str">
        <x:v>scripts/scopes/ada/check.sh + uv run ada-generic-application</x:v>
      </x:c>
      <x:c r="G23" s="24" t="str">
        <x:v>Sí</x:v>
      </x:c>
      <x:c r="H23" s="24" t="str">
        <x:v>Correctivo 0.1.1 preparado; gate completo pendiente. Tras aplicarlo se debe reiniciar el proceso de la app para que AssetLayer rematerialice CSS/assets antes de evaluar cambios visuales.</x:v>
      </x:c>
    </x:row>
  </x:sheetData>
  <x:mergeCells>
    <x:mergeCell ref="A1:H1"/>
  </x:mergeCells>
  <x:conditionalFormatting sqref="D4:D23">
    <x:cfRule type="expression" dxfId="10" priority="1">
      <x:formula>D4="VERDE"</x:formula>
    </x:cfRule>
    <x:cfRule type="expression" dxfId="11" priority="2">
      <x:formula>D4="OK"</x:formula>
    </x:cfRule>
    <x:cfRule type="expression" dxfId="12" priority="3">
      <x:formula>D4="FAIL"</x:formula>
    </x:cfRule>
    <x:cfRule type="expression" dxfId="13" priority="4">
      <x:formula>D4="PENDIENTE"</x:formula>
    </x:cfRule>
    <x:cfRule type="expression" dxfId="14" priority="5">
      <x:formula>D4="HOLD"</x:formula>
    </x:cfRule>
  </x:conditionalFormatting>
  <x:dataValidations count="1">
    <x:dataValidation type="list" sqref="D4:D23">
      <x:formula1>"PENDIENTE,OK,N/A,FAIL,HOLD"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8" hidden="0" customWidth="1"/>
    <x:col min="4" max="4" width="58" hidden="0" customWidth="1"/>
    <x:col min="5" max="5" width="18" hidden="0" customWidth="1"/>
    <x:col min="6" max="6" width="48" hidden="0" customWidth="1"/>
    <x:col min="7" max="7" width="20" hidden="0" customWidth="1"/>
    <x:col min="8" max="8" width="42" hidden="0" customWidth="1"/>
  </x:cols>
  <x:sheetData>
    <x:row r="1">
      <x:c r="A1" s="4" t="str">
        <x:v>Decisiones y fronteras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ID</x:v>
      </x:c>
      <x:c r="B3" s="12" t="str">
        <x:v>Fecha</x:v>
      </x:c>
      <x:c r="C3" s="12" t="str">
        <x:v>Tema</x:v>
      </x:c>
      <x:c r="D3" s="12" t="str">
        <x:v>Decisión / hipótesis</x:v>
      </x:c>
      <x:c r="E3" s="12" t="str">
        <x:v>Estado</x:v>
      </x:c>
      <x:c r="F3" s="12" t="str">
        <x:v>Consecuencia</x:v>
      </x:c>
      <x:c r="G3" s="12" t="str">
        <x:v>Revisar en Step</x:v>
      </x:c>
      <x:c r="H3" s="12" t="str">
        <x:v>Notas</x:v>
      </x:c>
    </x:row>
    <x:row r="4">
      <x:c r="A4" s="24" t="str">
        <x:v>D-001</x:v>
      </x:c>
      <x:c r="B4" s="24" t="str">
        <x:v>2026-08-25</x:v>
      </x:c>
      <x:c r="C4" s="24" t="str">
        <x:v>Estrategia de migración</x:v>
      </x:c>
      <x:c r="D4" s="24" t="str">
        <x:v>Promover capabilities aprobadas; no copiar repositorios ni composiciones completas.</x:v>
      </x:c>
      <x:c r="E4" s="24" t="str">
        <x:v>ACEPTADA</x:v>
      </x:c>
      <x:c r="F4" s="24" t="str">
        <x:v>Cada slice se revisa antes de implementar.</x:v>
      </x:c>
      <x:c r="G4" s="24" t="str">
        <x:v>Todos</x:v>
      </x:c>
      <x:c r="H4" s="24" t="str"/>
    </x:row>
    <x:row r="5">
      <x:c r="A5" s="24" t="str">
        <x:v>D-002</x:v>
      </x:c>
      <x:c r="B5" s="24" t="str">
        <x:v>2026-08-25</x:v>
      </x:c>
      <x:c r="C5" s="24" t="str">
        <x:v>Header operacional</x:v>
      </x:c>
      <x:c r="D5" s="24" t="str">
        <x:v>El Header completo es un row de bloques/cajas; cada capability controla su layout interno.</x:v>
      </x:c>
      <x:c r="E5" s="24" t="str">
        <x:v>ACEPTADA</x:v>
      </x:c>
      <x:c r="F5" s="24" t="str">
        <x:v>Evita acoplar layout interno de Indicators/Management/Status al shell.</x:v>
      </x:c>
      <x:c r="G5" s="24" t="str">
        <x:v>05E</x:v>
      </x:c>
      <x:c r="H5" s="24" t="str"/>
    </x:row>
    <x:row r="6">
      <x:c r="A6" s="24" t="str">
        <x:v>D-003</x:v>
      </x:c>
      <x:c r="B6" s="24" t="str">
        <x:v>2026-08-25</x:v>
      </x:c>
      <x:c r="C6" s="24" t="str">
        <x:v>Brand operacional</x:v>
      </x:c>
      <x:c r="D6" s="24" t="str">
        <x:v>Brand es una caja con layout interno column: logo ADA, 'Asistente de Decisiones Ágiles', nombre configurado.</x:v>
      </x:c>
      <x:c r="E6" s="24" t="str">
        <x:v>ACEPTADA</x:v>
      </x:c>
      <x:c r="F6" s="24" t="str">
        <x:v>El nombre no se hardcodea por Tool.</x:v>
      </x:c>
      <x:c r="G6" s="24" t="str">
        <x:v>05B/05E</x:v>
      </x:c>
      <x:c r="H6" s="24" t="str"/>
    </x:row>
    <x:row r="7">
      <x:c r="A7" s="24" t="str">
        <x:v>D-004</x:v>
      </x:c>
      <x:c r="B7" s="24" t="str">
        <x:v>2026-08-25</x:v>
      </x:c>
      <x:c r="C7" s="24" t="str">
        <x:v>Global Indicators</x:v>
      </x:c>
      <x:c r="D7" s="24" t="str">
        <x:v>Dentro de su bloque, todos los indicadores existentes se disponen en row.</x:v>
      </x:c>
      <x:c r="E7" s="24" t="str">
        <x:v>ACEPTADA</x:v>
      </x:c>
      <x:c r="F7" s="24" t="str">
        <x:v>Header sólo ancla el componente/slot.</x:v>
      </x:c>
      <x:c r="G7" s="24" t="str">
        <x:v>Futuro Step 06</x:v>
      </x:c>
      <x:c r="H7" s="24" t="str"/>
    </x:row>
    <x:row r="8">
      <x:c r="A8" s="24" t="str">
        <x:v>D-005</x:v>
      </x:c>
      <x:c r="B8" s="24" t="str">
        <x:v>2026-08-25</x:v>
      </x:c>
      <x:c r="C8" s="24" t="str">
        <x:v>Alarm Management</x:v>
      </x:c>
      <x:c r="D8" s="24" t="str">
        <x:v>Dentro de su bloque, Mina y Planta se disponen en row.</x:v>
      </x:c>
      <x:c r="E8" s="24" t="str">
        <x:v>ACEPTADA</x:v>
      </x:c>
      <x:c r="F8" s="24" t="str">
        <x:v>La semántica Mina/Planta pertenece a la capability, no al Header.</x:v>
      </x:c>
      <x:c r="G8" s="24" t="str">
        <x:v>Futuro Step 07</x:v>
      </x:c>
      <x:c r="H8" s="24" t="str"/>
    </x:row>
    <x:row r="9">
      <x:c r="A9" s="24" t="str">
        <x:v>D-006</x:v>
      </x:c>
      <x:c r="B9" s="24" t="str">
        <x:v>2026-08-25</x:v>
      </x:c>
      <x:c r="C9" s="24" t="str">
        <x:v>Alarm Status</x:v>
      </x:c>
      <x:c r="D9" s="24" t="str">
        <x:v>Es capability separada con Activas y Gestionadas; Header sólo la ancla.</x:v>
      </x:c>
      <x:c r="E9" s="24" t="str">
        <x:v>ACEPTADA</x:v>
      </x:c>
      <x:c r="F9" s="24" t="str">
        <x:v>No mezclar con Management Action.</x:v>
      </x:c>
      <x:c r="G9" s="24" t="str">
        <x:v>Futuro Step 08</x:v>
      </x:c>
      <x:c r="H9" s="24" t="str"/>
    </x:row>
    <x:row r="10">
      <x:c r="A10" s="24" t="str">
        <x:v>D-007</x:v>
      </x:c>
      <x:c r="B10" s="24" t="str">
        <x:v>2026-08-25</x:v>
      </x:c>
      <x:c r="C10" s="24" t="str">
        <x:v>Manager Header</x:v>
      </x:c>
      <x:c r="D10" s="24" t="str">
        <x:v>Manager tiene composición propia: ADA + ATLANTICUS + Pelambres y contexto/acción administrativa.</x:v>
      </x:c>
      <x:c r="E10" s="24" t="str">
        <x:v>ACEPTADA</x:v>
      </x:c>
      <x:c r="F10" s="24" t="str">
        <x:v>No usar su branding como Header operacional ADA.</x:v>
      </x:c>
      <x:c r="G10" s="24" t="str">
        <x:v>Futuro Manager</x:v>
      </x:c>
      <x:c r="H10" s="24" t="str"/>
    </x:row>
    <x:row r="11">
      <x:c r="A11" s="24" t="str">
        <x:v>D-008</x:v>
      </x:c>
      <x:c r="B11" s="24" t="str">
        <x:v>2026-08-25</x:v>
      </x:c>
      <x:c r="C11" s="24" t="str">
        <x:v>State Wrapper</x:v>
      </x:c>
      <x:c r="D11" s="24" t="str">
        <x:v>Component State sí resuelve un problema transversal real, pero su promoción se difiere hasta el primer consumidor canónico. El contrato futuro excluye Page Readiness.</x:v>
      </x:c>
      <x:c r="E11" s="24" t="str">
        <x:v>ACEPTADA</x:v>
      </x:c>
      <x:c r="F11" s="24" t="str">
        <x:v>No se agrega una capability huérfana; cuando se promueva será ada.web.ui.component_state y conservará sólo cover/overlay/wrapper/resilience.</x:v>
      </x:c>
      <x:c r="G11" s="24" t="str">
        <x:v>05C</x:v>
      </x:c>
      <x:c r="H11" s="24" t="str"/>
    </x:row>
    <x:row r="12">
      <x:c r="A12" s="24" t="str">
        <x:v>D-009</x:v>
      </x:c>
      <x:c r="B12" s="24" t="str">
        <x:v>2026-08-25</x:v>
      </x:c>
      <x:c r="C12" s="24" t="str">
        <x:v>Global Indicator en Header</x:v>
      </x:c>
      <x:c r="D12" s="24" t="str">
        <x:v>Tratar Global Indicators como slot externo igual que Management y Status; no dejar al Header construyendo su estado.</x:v>
      </x:c>
      <x:c r="E12" s="24" t="str">
        <x:v>PENDIENTE</x:v>
      </x:c>
      <x:c r="F12" s="24" t="str">
        <x:v>Reduce acoplamiento de Header a manifest/configuración.</x:v>
      </x:c>
      <x:c r="G12" s="24" t="str">
        <x:v>05E</x:v>
      </x:c>
      <x:c r="H12" s="24" t="str">
        <x:v>Confirmar durante revisión del source real.</x:v>
      </x:c>
    </x:row>
    <x:row r="13">
      <x:c r="A13" s="24" t="str">
        <x:v>D-010</x:v>
      </x:c>
      <x:c r="B13" s="24" t="str">
        <x:v>2026-08-25</x:v>
      </x:c>
      <x:c r="C13" s="24" t="str">
        <x:v>Desagregación ADA UI Core</x:v>
      </x:c>
      <x:c r="D13" s="24" t="str">
        <x:v>No promover completo el antiguo ada.ui.framework.core. 05A conserva sólo assets/tokens base + DOM; Status, Page Readiness y AppTicker se evaluarán con consumidores reales.</x:v>
      </x:c>
      <x:c r="E13" s="24" t="str">
        <x:v>ACEPTADA</x:v>
      </x:c>
      <x:c r="F13" s="24" t="str">
        <x:v>El Header y futuras capabilities dejan de cargar JS/status/readiness sólo por depender de la fundación visual.</x:v>
      </x:c>
      <x:c r="G13" s="24" t="str">
        <x:v>05A</x:v>
      </x:c>
      <x:c r="H13" s="24" t="str"/>
    </x:row>
    <x:row r="14">
      <x:c r="A14" s="24" t="str">
        <x:v>D-011</x:v>
      </x:c>
      <x:c r="B14" s="24" t="str">
        <x:v>2026-08-25</x:v>
      </x:c>
      <x:c r="C14" s="24" t="str">
        <x:v>Namespace ADA Web UI</x:v>
      </x:c>
      <x:c r="D14" s="24" t="str">
        <x:v>La capability canónica se ubica en scopes/ada/web/ui/core y publica ada.web.ui.core; no se conserva alias legacy ada.ui.framework.core.</x:v>
      </x:c>
      <x:c r="E14" s="24" t="str">
        <x:v>ACEPTADA</x:v>
      </x:c>
      <x:c r="F14" s="24" t="str">
        <x:v>La frontera Python refleja explícitamente que es Web del scope ADA y evita arrastrar la topología histórica.</x:v>
      </x:c>
      <x:c r="G14" s="24" t="str">
        <x:v>05A</x:v>
      </x:c>
      <x:c r="H14" s="24" t="str"/>
    </x:row>
    <x:row r="15">
      <x:c r="A15" s="24" t="str">
        <x:v>D-012</x:v>
      </x:c>
      <x:c r="B15" s="24" t="str">
        <x:v>2026-08-26</x:v>
      </x:c>
      <x:c r="C15" s="24" t="str">
        <x:v>Resolver de Branding</x:v>
      </x:c>
      <x:c r="D15" s="24" t="str">
        <x:v>No promover en 05B el resolver calendario ni ATLANTICUS_BRAND_MANIFEST históricos: las variantes vigentes terminan usando el mismo asset default.</x:v>
      </x:c>
      <x:c r="E15" s="24" t="str">
        <x:v>ACEPTADA</x:v>
      </x:c>
      <x:c r="F15" s="24" t="str">
        <x:v>Si aparecen variantes reales, un resolver futuro podrá entregar logo_src sin cambiar el componente ni el Header.</x:v>
      </x:c>
      <x:c r="G15" s="24" t="str">
        <x:v>05B</x:v>
      </x:c>
      <x:c r="H15" s="24" t="str"/>
    </x:row>
    <x:row r="16">
      <x:c r="A16" s="24" t="str">
        <x:v>D-013</x:v>
      </x:c>
      <x:c r="B16" s="24" t="str">
        <x:v>2026-08-26</x:v>
      </x:c>
      <x:c r="C16" s="24" t="str">
        <x:v>Frontera Operational Branding</x:v>
      </x:c>
      <x:c r="D16" s="24" t="str">
        <x:v>Operational Branding es una capability independiente en ada.web.ui.branding. El Header sólo la ancla; Manager mantiene branding/composición propia.</x:v>
      </x:c>
      <x:c r="E16" s="24" t="str">
        <x:v>ACEPTADA</x:v>
      </x:c>
      <x:c r="F16" s="24" t="str">
        <x:v>Brand puede montarse y probarse sin Header, alarmas, indicadores ni Manager.</x:v>
      </x:c>
      <x:c r="G16" s="24" t="str">
        <x:v>05B/05E</x:v>
      </x:c>
      <x:c r="H16" s="24" t="str"/>
    </x:row>
    <x:row r="17">
      <x:c r="A17" s="24" t="str">
        <x:v>D-014</x:v>
      </x:c>
      <x:c r="B17" s="24" t="str">
        <x:v>2026-08-26</x:v>
      </x:c>
      <x:c r="C17" s="24" t="str">
        <x:v>Entrega de asset operacional</x:v>
      </x:c>
      <x:c r="D17" s="24" t="str">
        <x:v>Publicar el logo por AssetLayer/URL, no como data URI base64. El recurso operacional canónico usa formato vectorial SVG: ada-operational-primary.svg.</x:v>
      </x:c>
      <x:c r="E17" s="24" t="str">
        <x:v>ACEPTADA</x:v>
      </x:c>
      <x:c r="F17" s="24" t="str">
        <x:v>Menor payload, escalado vectorial y caching normal del navegador; ownership visual claro.</x:v>
      </x:c>
      <x:c r="G17" s="24" t="str">
        <x:v>05B</x:v>
      </x:c>
      <x:c r="H17" s="24" t="str"/>
    </x:row>
    <x:row r="18">
      <x:c r="A18" s="24" t="str">
        <x:v>D-015</x:v>
      </x:c>
      <x:c r="B18" s="24" t="str">
        <x:v>2026-08-26</x:v>
      </x:c>
      <x:c r="C18" s="24" t="str">
        <x:v>Nombre configurado</x:v>
      </x:c>
      <x:c r="D18" s="24" t="str">
        <x:v>El bootstrap no inventa un nombre de Tool. OperationalBrandState.context_name es opcional y se inyecta desde la composición cuando exista configuración real.</x:v>
      </x:c>
      <x:c r="E18" s="24" t="str">
        <x:v>ACEPTADA</x:v>
      </x:c>
      <x:c r="F18" s="24" t="str">
        <x:v>Evita hardcodear Integrated Operations/Process en la aplicación genérica.</x:v>
      </x:c>
      <x:c r="G18" s="24" t="str">
        <x:v>05B</x:v>
      </x:c>
      <x:c r="H18" s="24" t="str"/>
    </x:row>
    <x:row r="19">
      <x:c r="A19" s="24" t="str">
        <x:v>D-016</x:v>
      </x:c>
      <x:c r="B19" s="24" t="str">
        <x:v>2026-08-26</x:v>
      </x:c>
      <x:c r="C19" s="24" t="str">
        <x:v>State Wrapper → Component State</x:v>
      </x:c>
      <x:c r="D19" s="24" t="str">
        <x:v>La semántica reusable se conserva, pero el nombre/frontera futura será Component State, no State Wrapper.</x:v>
      </x:c>
      <x:c r="E19" s="24" t="str">
        <x:v>ACEPTADA</x:v>
      </x:c>
      <x:c r="F19" s="24" t="str">
        <x:v>El contrato expresa estado visual de componentes, no una implementación de layout concreta.</x:v>
      </x:c>
      <x:c r="G19" s="24" t="str">
        <x:v>05C</x:v>
      </x:c>
      <x:c r="H19" s="24" t="str"/>
    </x:row>
    <x:row r="20">
      <x:c r="A20" s="24" t="str">
        <x:v>D-017</x:v>
      </x:c>
      <x:c r="B20" s="24" t="str">
        <x:v>2026-08-26</x:v>
      </x:c>
      <x:c r="C20" s="24" t="str">
        <x:v>Page Readiness fuera de Component State</x:v>
      </x:c>
      <x:c r="D20" s="24" t="str">
        <x:v>ready, ready_name, normalize_ready_name y data-ready no forman parte del futuro Component State.</x:v>
      </x:c>
      <x:c r="E20" s="24" t="str">
        <x:v>ACEPTADA</x:v>
      </x:c>
      <x:c r="F20" s="24" t="str">
        <x:v>Readiness permanece diferido a la frontera que realmente coordine páginas/shell.</x:v>
      </x:c>
      <x:c r="G20" s="24" t="str">
        <x:v>05C</x:v>
      </x:c>
      <x:c r="H20" s="24" t="str"/>
    </x:row>
    <x:row r="21">
      <x:c r="A21" s="24" t="str">
        <x:v>D-018</x:v>
      </x:c>
      <x:c r="B21" s="24" t="str">
        <x:v>2026-08-26</x:v>
      </x:c>
      <x:c r="C21" s="24" t="str">
        <x:v>Promoción bajo demanda</x:v>
      </x:c>
      <x:c r="D21" s="24" t="str">
        <x:v>No crear ahora scopes/ada/web/ui/component-state. Promoverlo junto con el primer consumidor canónico que requiera cover/overlay/resilience.</x:v>
      </x:c>
      <x:c r="E21" s="24" t="str">
        <x:v>ACEPTADA</x:v>
      </x:c>
      <x:c r="F21" s="24" t="str">
        <x:v>Mantiene el repositorio liviano y garantiza montaje/uso real desde el primer commit.</x:v>
      </x:c>
      <x:c r="G21" s="24" t="str">
        <x:v>05C</x:v>
      </x:c>
      <x:c r="H21" s="24" t="str"/>
    </x:row>
    <x:row r="22">
      <x:c r="A22" s="24" t="str">
        <x:v>D-019</x:v>
      </x:c>
      <x:c r="B22" s="24" t="str">
        <x:v>2026-08-26</x:v>
      </x:c>
      <x:c r="C22" s="24" t="str">
        <x:v>Navigation Presentation boundary</x:v>
      </x:c>
      <x:c r="D22" s="24" t="str">
        <x:v>ada.web.shell.navigation recibe NavigationMenu ya resuelto; no resuelve services ni autorización.</x:v>
      </x:c>
      <x:c r="E22" s="24" t="str">
        <x:v>ACEPTADA</x:v>
      </x:c>
      <x:c r="F22" s="24" t="str">
        <x:v>La UI puede cambiar sin modificar Navigation Core y la composition root conserva el ensamblaje explícito.</x:v>
      </x:c>
      <x:c r="G22" s="24" t="str">
        <x:v>05D</x:v>
      </x:c>
      <x:c r="H22" s="24" t="str"/>
    </x:row>
    <x:row r="23">
      <x:c r="A23" s="24" t="str">
        <x:v>D-020</x:v>
      </x:c>
      <x:c r="B23" s="24" t="str">
        <x:v>2026-08-26</x:v>
      </x:c>
      <x:c r="C23" s="24" t="str">
        <x:v>Navigation genérico</x:v>
      </x:c>
      <x:c r="D23" s="24" t="str">
        <x:v>Eliminar hardcodes históricos ADA N1, Navegación del proyecto y pelambres.cl. Título, subtítulo y acción superior son inyectables; la acción es opcional.</x:v>
      </x:c>
      <x:c r="E23" s="24" t="str">
        <x:v>ACEPTADA</x:v>
      </x:c>
      <x:c r="F23" s="24" t="str">
        <x:v>La misma presentación sirve para distintas aplicaciones ADA sin conocer una Tool concreta.</x:v>
      </x:c>
      <x:c r="G23" s="24" t="str">
        <x:v>05D</x:v>
      </x:c>
      <x:c r="H23" s="24" t="str"/>
    </x:row>
    <x:row r="24">
      <x:c r="A24" s="24" t="str">
        <x:v>D-021</x:v>
      </x:c>
      <x:c r="B24" s="24" t="str">
        <x:v>2026-08-26</x:v>
      </x:c>
      <x:c r="C24" s="24" t="str">
        <x:v>Navigation independiente del Header</x:v>
      </x:c>
      <x:c r="D24" s="24" t="str">
        <x:v>IDs y CSS se renombran al namespace ada-navigation; el componente no usa app-header-* ni dashboard-*.</x:v>
      </x:c>
      <x:c r="E24" s="24" t="str">
        <x:v>ACEPTADA</x:v>
      </x:c>
      <x:c r="F24" s="24" t="str">
        <x:v>Step 05E podrá anclar trigger/offcanvas sin que Navigation dependa del layout del Header.</x:v>
      </x:c>
      <x:c r="G24" s="24" t="str">
        <x:v>05D/05E</x:v>
      </x:c>
      <x:c r="H24" s="24" t="str"/>
    </x:row>
    <x:row r="25">
      <x:c r="A25" s="24" t="str">
        <x:v>D-022</x:v>
      </x:c>
      <x:c r="B25" s="24" t="str">
        <x:v>2026-08-26</x:v>
      </x:c>
      <x:c r="C25" s="24" t="str">
        <x:v>Sin MutationObserver global</x:v>
      </x:c>
      <x:c r="D25" s="24" t="str">
        <x:v>La ruta activa y grupos usan callbacks clientside de Dash; no se conserva el MutationObserver global ni JS adicional.</x:v>
      </x:c>
      <x:c r="E25" s="24" t="str">
        <x:v>ACEPTADA</x:v>
      </x:c>
      <x:c r="F25" s="24" t="str">
        <x:v>Menos observación DOM global y menor acoplamiento a mutaciones del documento.</x:v>
      </x:c>
      <x:c r="G25" s="24" t="str">
        <x:v>05D</x:v>
      </x:c>
      <x:c r="H25" s="24" t="str"/>
    </x:row>
    <x:row r="26">
      <x:c r="A26" s="24" t="str">
        <x:v>D-023</x:v>
      </x:c>
      <x:c r="B26" s="24" t="str">
        <x:v>2026-08-26</x:v>
      </x:c>
      <x:c r="C26" s="24" t="str">
        <x:v>Cierre visual de 05D</x:v>
      </x:c>
      <x:c r="D26" s="24" t="str">
        <x:v>05D permanece EN EJECUCIÓN después del primer gate: se cierra sólo cuando la UI real haya sido revisada y ajustada.</x:v>
      </x:c>
      <x:c r="E26" s="24" t="str">
        <x:v>ACEPTADA</x:v>
      </x:c>
      <x:c r="F26" s="24" t="str">
        <x:v>Permite iterar presentación sin mezclar todavía el Operational Header.</x:v>
      </x:c>
      <x:c r="G26" s="24" t="str">
        <x:v>05D</x:v>
      </x:c>
      <x:c r="H26" s="24" t="str"/>
    </x:row>
    <x:row r="27">
      <x:c r="A27" s="24" t="str">
        <x:v>D-024</x:v>
      </x:c>
      <x:c r="B27" s="24" t="str">
        <x:v>2026-08-26</x:v>
      </x:c>
      <x:c r="C27" s="24" t="str">
        <x:v>Incidente gate 05D 0.1.0</x:v>
      </x:c>
      <x:c r="D27" s="24" t="str">
        <x:v>El fallo del gate completo no fue una regresión de Navigation ni un asset perdido: Branding todavía esperaba PNG después de que el recurso operacional fuera cambiado intencionalmente a SVG.</x:v>
      </x:c>
      <x:c r="E27" s="24" t="str">
        <x:v>ACEPTADA</x:v>
      </x:c>
      <x:c r="F27" s="24" t="str">
        <x:v>Navigation mantiene su contrato; se corrige la referencia/package-data/test de Branding.</x:v>
      </x:c>
      <x:c r="G27" s="24" t="str">
        <x:v>05D</x:v>
      </x:c>
      <x:c r="H27" s="24" t="str"/>
    </x:row>
    <x:row r="28">
      <x:c r="A28" s="24" t="str">
        <x:v>D-025</x:v>
      </x:c>
      <x:c r="B28" s="24" t="str">
        <x:v>2026-08-26</x:v>
      </x:c>
      <x:c r="C28" s="24" t="str">
        <x:v>Baseline recovery antes de migrar</x:v>
      </x:c>
      <x:c r="D28" s="24" t="str">
        <x:v>El correctivo 05D 0.1.2 detecta y conserva el SVG existente, normaliza su nombre canónico si hace falta, valida que sea SVG y ejecuta el gate Branding antes de comenzar Navigation.</x:v>
      </x:c>
      <x:c r="E28" s="24" t="str">
        <x:v>ACEPTADA</x:v>
      </x:c>
      <x:c r="F28" s="24" t="str">
        <x:v>No se restaura PNG ni se impone un hash binario sobre un artwork que puede ser reemplazado intencionalmente.</x:v>
      </x:c>
      <x:c r="G28" s="24" t="str">
        <x:v>05D</x:v>
      </x:c>
      <x:c r="H28" s="24" t="str"/>
    </x:row>
    <x:row r="29">
      <x:c r="A29" s="24" t="str">
        <x:v>D-026</x:v>
      </x:c>
      <x:c r="B29" s="24" t="str">
        <x:v>2026-08-26</x:v>
      </x:c>
      <x:c r="C29" s="24" t="str">
        <x:v>Operational Brand asset format</x:v>
      </x:c>
      <x:c r="D29" s="24" t="str">
        <x:v>El formato canónico del logo operacional ADA es SVG. Branding, tests y package-data deben referenciar ada-operational-primary.svg.</x:v>
      </x:c>
      <x:c r="E29" s="24" t="str">
        <x:v>ACEPTADA</x:v>
      </x:c>
      <x:c r="F29" s="24" t="str">
        <x:v>La UI conserva calidad vectorial y futuras sustituciones del artwork no requieren cambiar el contrato mientras se mantenga el nombre canónico.</x:v>
      </x:c>
      <x:c r="G29" s="24" t="str">
        <x:v>05B/05D</x:v>
      </x:c>
      <x:c r="H29" s="24" t="str"/>
    </x:row>
    <x:row r="30">
      <x:c r="A30" s="24" t="str">
        <x:v>D-027</x:v>
      </x:c>
      <x:c r="B30" s="24" t="str">
        <x:v>2026-08-26</x:v>
      </x:c>
      <x:c r="C30" s="24" t="str">
        <x:v>Test Unicode de layout Dash</x:v>
      </x:c>
      <x:c r="D30" s="24" t="str">
        <x:v>Los tests que validen texto inyectado en /_dash-layout deben decodificar la respuesta JSON antes de comparar texto Unicode; no deben buscar caracteres no ASCII en el JSON crudo.</x:v>
      </x:c>
      <x:c r="E30" s="24" t="str">
        <x:v>ACEPTADA</x:v>
      </x:c>
      <x:c r="F30" s="24" t="str">
        <x:v>Evita falsos negativos por escapes JSON como \u00f3 sin debilitar la validación de inyección.</x:v>
      </x:c>
      <x:c r="G30" s="24" t="str">
        <x:v>05D</x:v>
      </x:c>
      <x:c r="H30" s="24" t="str"/>
    </x:row>
    <x:row r="31">
      <x:c r="A31" s="24" t="str">
        <x:v>D-028</x:v>
      </x:c>
      <x:c r="B31" s="24" t="str">
        <x:v>2026-08-26</x:v>
      </x:c>
      <x:c r="C31" s="24" t="str">
        <x:v>Autoridad visual de Navigation</x:v>
      </x:c>
      <x:c r="D31" s="24" t="str">
        <x:v>El patrón visual/interaction de Navigation existente en multi-stage es la referencia de migración. Desacoplar arquitectura no autoriza rediseñar la experiencia visual.</x:v>
      </x:c>
      <x:c r="E31" s="24" t="str">
        <x:v>ACEPTADA</x:v>
      </x:c>
      <x:c r="F31" s="24" t="str">
        <x:v>Los cambios futuros de UI en 05D serán explícitos y revisados sobre la app real.</x:v>
      </x:c>
      <x:c r="G31" s="24" t="str">
        <x:v>05D</x:v>
      </x:c>
      <x:c r="H31" s="24" t="str"/>
    </x:row>
    <x:row r="32">
      <x:c r="A32" s="24" t="str">
        <x:v>D-029</x:v>
      </x:c>
      <x:c r="B32" s="24" t="str">
        <x:v>2026-08-26</x:v>
      </x:c>
      <x:c r="C32" s="24" t="str">
        <x:v>Trigger Navigation</x:v>
      </x:c>
      <x:c r="D32" s="24" t="str">
        <x:v>Desktop conserva pestaña lateral derecha, centrada verticalmente en su host, con chevron-left y dimensiones responsive del patrón aprobado. Mobile conserva trigger separado con icono list.</x:v>
      </x:c>
      <x:c r="E32" s="24" t="str">
        <x:v>ACEPTADA</x:v>
      </x:c>
      <x:c r="F32" s="24" t="str">
        <x:v>05E sólo cambia el host de anclaje al Header operacional; Navigation no cambia su patrón.</x:v>
      </x:c>
      <x:c r="G32" s="24" t="str">
        <x:v>05D/05E</x:v>
      </x:c>
      <x:c r="H32" s="24" t="str"/>
    </x:row>
    <x:row r="33">
      <x:c r="A33" s="24" t="str">
        <x:v>D-030</x:v>
      </x:c>
      <x:c r="B33" s="24" t="str">
        <x:v>2026-08-26</x:v>
      </x:c>
      <x:c r="C33" s="24" t="str">
        <x:v>Restauración sin reacoplar</x:v>
      </x:c>
      <x:c r="D33" s="24" t="str">
        <x:v>0.1.4 restaura offcanvas, title, user card vertical, optional action, cards, groups, child links, active marker y responsive, pero mantiene NavigationMenu resuelto por la composición, namespace ada-navigation y ausencia de ToolManifest/ServiceRegistry/project hardcodes.</x:v>
      </x:c>
      <x:c r="E33" s="24" t="str">
        <x:v>ACEPTADA</x:v>
      </x:c>
      <x:c r="F33" s="24" t="str">
        <x:v>Se preserva UX existente y simultáneamente se mejora la frontera arquitectónica.</x:v>
      </x:c>
      <x:c r="G33" s="24" t="str">
        <x:v>05D</x:v>
      </x:c>
      <x:c r="H33" s="24" t="str"/>
    </x:row>
    <x:row r="34">
      <x:c r="A34" s="24" t="str">
        <x:v>D-031</x:v>
      </x:c>
      <x:c r="B34" s="24" t="str">
        <x:v>2026-08-26</x:v>
      </x:c>
      <x:c r="C34" s="24" t="str">
        <x:v>Navigation canvas header</x:v>
      </x:c>
      <x:c r="D34" s="24" t="str">
        <x:v>El header del offcanvas usa var(--dark-color) y presenta el SVG ADA junto a 'Asistente de Decisiones Ágiles'. No reemplaza ni modifica el trigger lateral.</x:v>
      </x:c>
      <x:c r="E34" s="24" t="str">
        <x:v>ACEPTADA</x:v>
      </x:c>
      <x:c r="F34" s="24" t="str">
        <x:v>La identidad del canvas queda clara sin acoplar Navigation al Header operacional.</x:v>
      </x:c>
      <x:c r="G34" s="24" t="str">
        <x:v>05D</x:v>
      </x:c>
      <x:c r="H34" s="24" t="str"/>
    </x:row>
    <x:row r="35">
      <x:c r="A35" s="24" t="str">
        <x:v>D-032</x:v>
      </x:c>
      <x:c r="B35" s="24" t="str">
        <x:v>2026-08-26</x:v>
      </x:c>
      <x:c r="C35" s="24" t="str">
        <x:v>Navigation canvas footer</x:v>
      </x:c>
      <x:c r="D35" s="24" t="str">
        <x:v>El final del offcanvas presenta el PNG de Minera Los Pelambres y debajo la versión de la aplicación.</x:v>
      </x:c>
      <x:c r="E35" s="24" t="str">
        <x:v>ACEPTADA</x:v>
      </x:c>
      <x:c r="F35" s="24" t="str">
        <x:v>La información institucional y de versión queda persistente aunque exista mucha navegación.</x:v>
      </x:c>
      <x:c r="G35" s="24" t="str">
        <x:v>05D</x:v>
      </x:c>
      <x:c r="H35" s="24" t="str"/>
    </x:row>
    <x:row r="36">
      <x:c r="A36" s="24" t="str">
        <x:v>D-033</x:v>
      </x:c>
      <x:c r="B36" s="24" t="str">
        <x:v>2026-08-26</x:v>
      </x:c>
      <x:c r="C36" s="24" t="str">
        <x:v>Ownership de assets</x:v>
      </x:c>
      <x:c r="D36" s="24" t="str">
        <x:v>Los assets ADA y Minera Los Pelambres pertenecen a ada.web.ui.branding y se publican por AssetLayer; ADA usa SVG y Pelambres usa PNG. Navigation recibe URLs inyectadas y no duplica los archivos.</x:v>
      </x:c>
      <x:c r="E36" s="24" t="str">
        <x:v>ACEPTADA</x:v>
      </x:c>
      <x:c r="F36" s="24" t="str">
        <x:v>Branding conserva ownership visual y Navigation sigue siendo presentation-only.</x:v>
      </x:c>
      <x:c r="G36" s="24" t="str">
        <x:v>05B/05D</x:v>
      </x:c>
      <x:c r="H36" s="24" t="str"/>
    </x:row>
    <x:row r="37">
      <x:c r="A37" s="24" t="str">
        <x:v>D-034</x:v>
      </x:c>
      <x:c r="B37" s="24" t="str">
        <x:v>2026-08-26</x:v>
      </x:c>
      <x:c r="C37" s="24" t="str">
        <x:v>Versión del footer</x:v>
      </x:c>
      <x:c r="D37" s="24" t="str">
        <x:v>La composition root obtiene la versión instalada de ada-generic-application mediante importlib.metadata y la inyecta en Navigation; Navigation no hardcodea versiones.</x:v>
      </x:c>
      <x:c r="E37" s="24" t="str">
        <x:v>ACEPTADA</x:v>
      </x:c>
      <x:c r="F37" s="24" t="str">
        <x:v>Metadata de aplicación y footer usan una misma fuente de versión.</x:v>
      </x:c>
      <x:c r="G37" s="24" t="str">
        <x:v>05D</x:v>
      </x:c>
      <x:c r="H37" s="24" t="str"/>
    </x:row>
    <x:row r="38">
      <x:c r="A38" s="24" t="str">
        <x:v>D-035</x:v>
      </x:c>
      <x:c r="B38" s="24" t="str">
        <x:v>2026-08-26</x:v>
      </x:c>
      <x:c r="C38" s="24" t="str">
        <x:v>CSS final Navigation</x:v>
      </x:c>
      <x:c r="D38" s="24" t="str">
        <x:v>Los ajustes CSS manuales validados visualmente por el usuario pasan a ser la autoridad canónica de Navigation.</x:v>
      </x:c>
      <x:c r="E38" s="24" t="str">
        <x:v>ACEPTADA</x:v>
      </x:c>
      <x:c r="F38" s="24" t="str">
        <x:v>Los siguientes increments no deben restaurar ni sobrescribir el CSS del paquete 05D 0.1.5.</x:v>
      </x:c>
      <x:c r="G38" s="24" t="str">
        <x:v>05D/05E</x:v>
      </x:c>
      <x:c r="H38" s="24" t="str"/>
    </x:row>
    <x:row r="39">
      <x:c r="A39" s="24" t="str">
        <x:v>D-036</x:v>
      </x:c>
      <x:c r="B39" s="24" t="str">
        <x:v>2026-08-26</x:v>
      </x:c>
      <x:c r="C39" s="24" t="str">
        <x:v>Pelambres asset PNG</x:v>
      </x:c>
      <x:c r="D39" s="24" t="str">
        <x:v>El asset institucional de Minera Los Pelambres queda canónicamente como amsa-pelambres-primary.png; tests y contrato de Branding deben reflejar PNG.</x:v>
      </x:c>
      <x:c r="E39" s="24" t="str">
        <x:v>ACEPTADA</x:v>
      </x:c>
      <x:c r="F39" s="24" t="str">
        <x:v>Se conserva ADA en SVG y Pelambres en PNG sin exigir un formato uniforme entre marcas.</x:v>
      </x:c>
      <x:c r="G39" s="24" t="str">
        <x:v>05D</x:v>
      </x:c>
      <x:c r="H39" s="24" t="str"/>
    </x:row>
    <x:row r="40">
      <x:c r="A40" s="24" t="str">
        <x:v>D-037</x:v>
      </x:c>
      <x:c r="B40" s="24" t="str">
        <x:v>2026-08-26</x:v>
      </x:c>
      <x:c r="C40" s="24" t="str">
        <x:v>Cierre Step 05D</x:v>
      </x:c>
      <x:c r="D40" s="24" t="str">
        <x:v>Step 05D queda cerrado tras gate ADA completo verde y aprobación visual. 05E sólo ancla Branding y Navigation; no modifica sus internals.</x:v>
      </x:c>
      <x:c r="E40" s="24" t="str">
        <x:v>ACEPTADA</x:v>
      </x:c>
      <x:c r="F40" s="24" t="str">
        <x:v>Operational Header puede construirse sobre capabilities ya estabilizadas.</x:v>
      </x:c>
      <x:c r="G40" s="24" t="str">
        <x:v>05D/05E</x:v>
      </x:c>
      <x:c r="H40" s="24" t="str"/>
    </x:row>
    <x:row r="41">
      <x:c r="A41" s="24" t="str">
        <x:v>D-038</x:v>
      </x:c>
      <x:c r="B41" s="24" t="str">
        <x:v>2026-08-26</x:v>
      </x:c>
      <x:c r="C41" s="24" t="str">
        <x:v>Header slot-driven</x:v>
      </x:c>
      <x:c r="D41" s="24" t="str">
        <x:v>Operational Header recibe componentes ya construidos para Brand, Global Indicators, Alarm Management, Alarm Status y Navigation; no construye ni interpreta esas capabilities.</x:v>
      </x:c>
      <x:c r="E41" s="24" t="str">
        <x:v>ACEPTADA</x:v>
      </x:c>
      <x:c r="F41" s="24" t="str">
        <x:v>El Header queda como layout/composition shell fácil de anclar y reutilizar entre Tools ADA.</x:v>
      </x:c>
      <x:c r="G41" s="24" t="str">
        <x:v>05E</x:v>
      </x:c>
      <x:c r="H41" s="24" t="str"/>
    </x:row>
    <x:row r="42">
      <x:c r="A42" s="24" t="str">
        <x:v>D-039</x:v>
      </x:c>
      <x:c r="B42" s="24" t="str">
        <x:v>2026-08-26</x:v>
      </x:c>
      <x:c r="C42" s="24" t="str">
        <x:v>Reparto de espacio Header</x:v>
      </x:c>
      <x:c r="D42" s="24" t="str">
        <x:v>El reparto inicial pertenece al Header: Global Indicators grow 2.40, Alarm Management 1.45 y Alarm Status 1.25; Brand mantiene caja estable de 10rem.</x:v>
      </x:c>
      <x:c r="E42" s="24" t="str">
        <x:v>ACEPTADA</x:v>
      </x:c>
      <x:c r="F42" s="24" t="str">
        <x:v>Global Indicators gana algo de espacio sin comprimir demasiado las alarmas; los valores pueden ajustarse después sólo en CSS del Header.</x:v>
      </x:c>
      <x:c r="G42" s="24" t="str">
        <x:v>05E</x:v>
      </x:c>
      <x:c r="H42" s="24" t="str"/>
    </x:row>
    <x:row r="43">
      <x:c r="A43" s="24" t="str">
        <x:v>D-040</x:v>
      </x:c>
      <x:c r="B43" s="24" t="str">
        <x:v>2026-08-26</x:v>
      </x:c>
      <x:c r="C43" s="24" t="str">
        <x:v>Slots vacíos</x:v>
      </x:c>
      <x:c r="D43" s="24" t="str">
        <x:v>Global Indicators, Alarm Management y Alarm Status existen como slots DOM desde 05E pero colapsan si no tienen contenido.</x:v>
      </x:c>
      <x:c r="E43" s="24" t="str">
        <x:v>ACEPTADA</x:v>
      </x:c>
      <x:c r="F43" s="24" t="str">
        <x:v>El bootstrap no muestra placeholders falsos y queda preparado para los siguientes increments.</x:v>
      </x:c>
      <x:c r="G43" s="24" t="str">
        <x:v>05E</x:v>
      </x:c>
      <x:c r="H43" s="24" t="str"/>
    </x:row>
    <x:row r="44">
      <x:c r="A44" s="24" t="str">
        <x:v>D-041</x:v>
      </x:c>
      <x:c r="B44" s="24" t="str">
        <x:v>2026-08-26</x:v>
      </x:c>
      <x:c r="C44" s="24" t="str">
        <x:v>Navigation authority durante 05E</x:v>
      </x:c>
      <x:c r="D44" s="24" t="str">
        <x:v>05E no modifica archivos ni CSS de ada.web.shell.navigation. El Header sólo se convierte en el host real del trigger ya cerrado.</x:v>
      </x:c>
      <x:c r="E44" s="24" t="str">
        <x:v>ACEPTADA</x:v>
      </x:c>
      <x:c r="F44" s="24" t="str">
        <x:v>El CSS manual aprobado en 05D permanece intacto.</x:v>
      </x:c>
      <x:c r="G44" s="24" t="str">
        <x:v>05E</x:v>
      </x:c>
      <x:c r="H44" s="24" t="str"/>
    </x:row>
    <x:row r="45">
      <x:c r="A45" s="24" t="str">
        <x:v>D-042</x:v>
      </x:c>
      <x:c r="B45" s="24" t="str">
        <x:v>2026-08-26</x:v>
      </x:c>
      <x:c r="C45" s="24" t="str">
        <x:v>Branding authority durante 05E</x:v>
      </x:c>
      <x:c r="D45" s="24" t="str">
        <x:v>05E no modifica ada.web.ui.branding. La composition root monta build_operational_brand() dentro del Brand slot.</x:v>
      </x:c>
      <x:c r="E45" s="24" t="str">
        <x:v>ACEPTADA</x:v>
      </x:c>
      <x:c r="F45" s="24" t="str">
        <x:v>Branding conserva ownership y el Header no depende de su modelo interno.</x:v>
      </x:c>
      <x:c r="G45" s="24" t="str">
        <x:v>05E</x:v>
      </x:c>
      <x:c r="H45" s="24" t="str"/>
    </x:row>
    <x:row r="46">
      <x:c r="A46" s="24" t="str">
        <x:v>D-043</x:v>
      </x:c>
      <x:c r="B46" s="24" t="str">
        <x:v>2026-08-26</x:v>
      </x:c>
      <x:c r="C46" s="24" t="str">
        <x:v>ADA Primary vs Secondary</x:v>
      </x:c>
      <x:c r="D46" s="24" t="str">
        <x:v>Branding expone dos variantes operacionales: Primary para Operational Header y Secondary para Navigation.</x:v>
      </x:c>
      <x:c r="E46" s="24" t="str">
        <x:v>ACEPTADA</x:v>
      </x:c>
      <x:c r="F46" s="24" t="str">
        <x:v>La composition root decide qué variante inyectar; Header y Navigation no conocen nombres de archivo.</x:v>
      </x:c>
      <x:c r="G46" s="24" t="str">
        <x:v>05E</x:v>
      </x:c>
      <x:c r="H46" s="24" t="str"/>
    </x:row>
    <x:row r="47">
      <x:c r="A47" s="24" t="str">
        <x:v>D-044</x:v>
      </x:c>
      <x:c r="B47" s="24" t="str">
        <x:v>2026-08-26</x:v>
      </x:c>
      <x:c r="C47" s="24" t="str">
        <x:v>Secondary Navigation branding</x:v>
      </x:c>
      <x:c r="D47" s="24" t="str">
        <x:v>ada-generic-application debe usar ada-operational-secondary.svg como fallback de brand_logo_src en AdaNavigationView.</x:v>
      </x:c>
      <x:c r="E47" s="24" t="str">
        <x:v>ACEPTADA</x:v>
      </x:c>
      <x:c r="F47" s="24" t="str">
        <x:v>Navigation con fondo oscuro recibe la variante visual correcta sin cambiar su presentation/CSS.</x:v>
      </x:c>
      <x:c r="G47" s="24" t="str">
        <x:v>05E</x:v>
      </x:c>
      <x:c r="H47" s="24" t="str"/>
    </x:row>
    <x:row r="48">
      <x:c r="A48" s="24" t="str">
        <x:v>D-045</x:v>
      </x:c>
      <x:c r="B48" s="24" t="str">
        <x:v>2026-08-26</x:v>
      </x:c>
      <x:c r="C48" s="24" t="str">
        <x:v>Branding wheel package-data</x:v>
      </x:c>
      <x:c r="D48" s="24" t="str">
        <x:v>El package-data de ada-web-ui-branding debe incluir tanto resources/img/*.svg como resources/img/*.png.</x:v>
      </x:c>
      <x:c r="E48" s="24" t="str">
        <x:v>ACEPTADA</x:v>
      </x:c>
      <x:c r="F48" s="24" t="str">
        <x:v>amsa-pelambres-primary.png queda incluido también en builds/wheels, no sólo disponible en modo editable.</x:v>
      </x:c>
      <x:c r="G48" s="24" t="str">
        <x:v>05E</x:v>
      </x:c>
      <x:c r="H48" s="24" t="str"/>
    </x:row>
    <x:row r="49">
      <x:c r="A49" s="24" t="str">
        <x:v>D-046</x:v>
      </x:c>
      <x:c r="B49" s="24" t="str">
        <x:v>2026-08-26</x:v>
      </x:c>
      <x:c r="C49" s="24" t="str">
        <x:v>Recarga local de assets</x:v>
      </x:c>
      <x:c r="D49" s="24" t="str">
        <x:v>AssetLayer materializa CSS/img cuando se crea el runtime. Tras cambiar sólo CSS/assets se reinicia ada-generic-application antes de evaluar la UI.</x:v>
      </x:c>
      <x:c r="E49" s="24" t="str">
        <x:v>ACEPTADA</x:v>
      </x:c>
      <x:c r="F49" s="24" t="str">
        <x:v>No se atribuye el problema a wheels ni se agrega hot-reload de assets en este incremento.</x:v>
      </x:c>
      <x:c r="G49" s="24" t="str">
        <x:v>05E</x:v>
      </x:c>
      <x:c r="H49" s="24" t="str"/>
    </x:row>
    <x:row r="50">
      <x:c r="A50" s="24" t="str">
        <x:v>D-047</x:v>
      </x:c>
      <x:c r="B50" s="24" t="str">
        <x:v>2026-08-26</x:v>
      </x:c>
      <x:c r="C50" s="24" t="str">
        <x:v>Display Status shared capability</x:v>
      </x:c>
      <x:c r="D50" s="24" t="str">
        <x:v>Los estados/iconos visuales usados por Global Indicators también pertenecen a KPI Body y otras superficies ADA; no son propiedad de Global Indicators.</x:v>
      </x:c>
      <x:c r="E50" s="24" t="str">
        <x:v>ACEPTADA</x:v>
      </x:c>
      <x:c r="F50" s="24" t="str">
        <x:v>Se promueven como ada.web.ui.display_status bajo scopes/ada/web/ui/display-status.</x:v>
      </x:c>
      <x:c r="G50" s="24" t="str">
        <x:v>06A</x:v>
      </x:c>
      <x:c r="H50" s="24" t="str"/>
    </x:row>
    <x:row r="51">
      <x:c r="A51" s="24" t="str">
        <x:v>D-048</x:v>
      </x:c>
      <x:c r="B51" s="24" t="str">
        <x:v>2026-08-26</x:v>
      </x:c>
      <x:c r="C51" s="24" t="str">
        <x:v>Display Status vs Component State</x:v>
      </x:c>
      <x:c r="D51" s="24" t="str">
        <x:v>Display Status representa el estado visual de un valor; Component State permanece separado para overlay/cover/resilience del componente completo.</x:v>
      </x:c>
      <x:c r="E51" s="24" t="str">
        <x:v>ACEPTADA</x:v>
      </x:c>
      <x:c r="F51" s="24" t="str">
        <x:v>Evita mezclar iconografía de valores con lifecycle visual del componente.</x:v>
      </x:c>
      <x:c r="G51" s="24" t="str">
        <x:v>06A</x:v>
      </x:c>
      <x:c r="H51" s="24" t="str"/>
    </x:row>
    <x:row r="52">
      <x:c r="A52" s="24" t="str">
        <x:v>D-049</x:v>
      </x:c>
      <x:c r="B52" s="24" t="str">
        <x:v>2026-08-26</x:v>
      </x:c>
      <x:c r="C52" s="24" t="str">
        <x:v>Estados compartidos</x:v>
      </x:c>
      <x:c r="D52" s="24" t="str">
        <x:v>La capability conserva OK, NOT_MAPPED, EMPTY, INVALID y ERROR. OK no requiere icono degradado; los otros cuatro estados usan assets compartidos.</x:v>
      </x:c>
      <x:c r="E52" s="24" t="str">
        <x:v>ACEPTADA</x:v>
      </x:c>
      <x:c r="F52" s="24" t="str">
        <x:v>Global Indicators y KPI Body podrán reutilizar una semántica idéntica.</x:v>
      </x:c>
      <x:c r="G52" s="24" t="str">
        <x:v>06A</x:v>
      </x:c>
      <x:c r="H52" s="24" t="str"/>
    </x:row>
    <x:row r="53">
      <x:c r="A53" s="24" t="str">
        <x:v>D-050</x:v>
      </x:c>
      <x:c r="B53" s="24" t="str">
        <x:v>2026-08-26</x:v>
      </x:c>
      <x:c r="C53" s="24" t="str">
        <x:v>Internal Error SVG viewBox</x:v>
      </x:c>
      <x:c r="D53" s="24" t="str">
        <x:v>El icono internal-error usa paths con coordenadas Bootstrap 0..16; su viewBox canónico se corrige de 0 0 24 24 a 0 0 16 16.</x:v>
      </x:c>
      <x:c r="E53" s="24" t="str">
        <x:v>ACEPTADA</x:v>
      </x:c>
      <x:c r="F53" s="24" t="str">
        <x:v>Elimina el espacio sobrante sin redibujar ni alterar los paths del icono.</x:v>
      </x:c>
      <x:c r="G53" s="24" t="str">
        <x:v>06A</x:v>
      </x:c>
      <x:c r="H53" s="24" t="str"/>
    </x:row>
    <x:row r="54">
      <x:c r="A54" s="24" t="str">
        <x:v>D-051</x:v>
      </x:c>
      <x:c r="B54" s="24" t="str">
        <x:v>2026-08-26</x:v>
      </x:c>
      <x:c r="C54" s="24" t="str">
        <x:v>Display Status assets</x:v>
      </x:c>
      <x:c r="D54" s="24" t="str">
        <x:v>Los cuatro SVG entregados por el usuario se conservan como fuente visual; sólo se normalizan nombres canónicos y se corrige el viewBox solicitado de internal-error.</x:v>
      </x:c>
      <x:c r="E54" s="24" t="str">
        <x:v>ACEPTADA</x:v>
      </x:c>
      <x:c r="F54" s="24" t="str">
        <x:v>No se reinterpretan ni reemplazan iconos durante la promoción.</x:v>
      </x:c>
      <x:c r="G54" s="24" t="str">
        <x:v>06A</x:v>
      </x:c>
      <x:c r="H54" s="24" t="str"/>
    </x:row>
    <x:row r="55">
      <x:c r="A55" s="24" t="str">
        <x:v>D-052</x:v>
      </x:c>
      <x:c r="B55" s="24" t="str">
        <x:v>2026-08-26</x:v>
      </x:c>
      <x:c r="C55" s="24" t="str">
        <x:v>Global Indicator canonical boundary</x:v>
      </x:c>
      <x:c r="D55" s="24" t="str">
        <x:v>Global Indicator se promueve como `ada.web.ui.global_indicator`, independiente del Header y de cualquier Tool concreta.</x:v>
      </x:c>
      <x:c r="E55" s="24" t="str">
        <x:v>ACEPTADA</x:v>
      </x:c>
      <x:c r="F55" s="24" t="str">
        <x:v>La capability puede reutilizarse en distintas superficies ADA y el Header sólo recibe su Component.</x:v>
      </x:c>
      <x:c r="G55" s="24" t="str">
        <x:v>06B</x:v>
      </x:c>
      <x:c r="H55" s="24" t="str"/>
    </x:row>
    <x:row r="56">
      <x:c r="A56" s="24" t="str">
        <x:v>D-053</x:v>
      </x:c>
      <x:c r="B56" s="24" t="str">
        <x:v>2026-08-26</x:v>
      </x:c>
      <x:c r="C56" s="24" t="str">
        <x:v>Runtime KPI mappers excluidos</x:v>
      </x:c>
      <x:c r="D56" s="24" t="str">
        <x:v>No se promueven `GlobalIndicatorDefinition` ni mappers que codifican `*_real_inst`, `*_plan_inst` y `*_color_inst`.</x:v>
      </x:c>
      <x:c r="E56" s="24" t="str">
        <x:v>ACEPTADA</x:v>
      </x:c>
      <x:c r="F56" s="24" t="str">
        <x:v>Las convenciones de fuente/configuración pertenecen a adapters/providers/composición, no al componente visual.</x:v>
      </x:c>
      <x:c r="G56" s="24" t="str">
        <x:v>06B</x:v>
      </x:c>
      <x:c r="H56" s="24" t="str"/>
    </x:row>
    <x:row r="57">
      <x:c r="A57" s="24" t="str">
        <x:v>D-054</x:v>
      </x:c>
      <x:c r="B57" s="24" t="str">
        <x:v>2026-08-26</x:v>
      </x:c>
      <x:c r="C57" s="24" t="str">
        <x:v>Header scope placement excluido</x:v>
      </x:c>
      <x:c r="D57" s="24" t="str">
        <x:v>No se promueven ToolScope, HeaderIndicatorPlacement ni resolución Mine/Plant dentro de Global Indicator.</x:v>
      </x:c>
      <x:c r="E57" s="24" t="str">
        <x:v>ACEPTADA</x:v>
      </x:c>
      <x:c r="F57" s="24" t="str">
        <x:v>La selección de indicadores por Tool/scope queda fuera de la UI reusable.</x:v>
      </x:c>
      <x:c r="G57" s="24" t="str">
        <x:v>06B</x:v>
      </x:c>
      <x:c r="H57" s="24" t="str"/>
    </x:row>
    <x:row r="58">
      <x:c r="A58" s="24" t="str">
        <x:v>D-055</x:v>
      </x:c>
      <x:c r="B58" s="24" t="str">
        <x:v>2026-08-26</x:v>
      </x:c>
      <x:c r="C58" s="24" t="str">
        <x:v>Measurement visual standard</x:v>
      </x:c>
      <x:c r="D58" s="24" t="str">
        <x:v>Se conserva el estándar de 2–3 mediciones, reserva de tercera fila y espacio opcional para Última medición.</x:v>
      </x:c>
      <x:c r="E58" s="24" t="str">
        <x:v>ACEPTADA</x:v>
      </x:c>
      <x:c r="F58" s="24" t="str">
        <x:v>Mantiene alineación y geometría visual aprobadas entre indicadores con distinta cantidad de mediciones.</x:v>
      </x:c>
      <x:c r="G58" s="24" t="str">
        <x:v>06B</x:v>
      </x:c>
      <x:c r="H58" s="24" t="str"/>
    </x:row>
    <x:row r="59">
      <x:c r="A59" s="24" t="str">
        <x:v>D-056</x:v>
      </x:c>
      <x:c r="B59" s="24" t="str">
        <x:v>2026-08-26</x:v>
      </x:c>
      <x:c r="C59" s="24" t="str">
        <x:v>Global Indicator consumes Display Status</x:v>
      </x:c>
      <x:c r="D59" s="24" t="str">
        <x:v>Los valores degradados delegan iconografía y semántica en `ada.web.ui.display_status`; Global Indicator no posee copias de los SVG.</x:v>
      </x:c>
      <x:c r="E59" s="24" t="str">
        <x:v>ACEPTADA</x:v>
      </x:c>
      <x:c r="F59" s="24" t="str">
        <x:v>KPI Body y Global Indicators comparten exactamente el mismo contrato visual de estados.</x:v>
      </x:c>
      <x:c r="G59" s="24" t="str">
        <x:v>06B</x:v>
      </x:c>
      <x:c r="H59" s="24" t="str"/>
    </x:row>
    <x:row r="60">
      <x:c r="A60" s="24" t="str">
        <x:v>D-057</x:v>
      </x:c>
      <x:c r="B60" s="24" t="str">
        <x:v>2026-08-26</x:v>
      </x:c>
      <x:c r="C60" s="24" t="str">
        <x:v>Component State deferred</x:v>
      </x:c>
      <x:c r="D60" s="24" t="str">
        <x:v>06B no promueve Component State porque el componente visual no lo requiere intrínsecamente; la antigua cobertura pertenecía a composición/Header.</x:v>
      </x:c>
      <x:c r="E60" s="24" t="str">
        <x:v>ACEPTADA</x:v>
      </x:c>
      <x:c r="F60" s="24" t="str">
        <x:v>Component State se promoverá sólo cuando aparezca un consumidor canónico que necesite overlay/cover/resilience.</x:v>
      </x:c>
      <x:c r="G60" s="24" t="str">
        <x:v>06B</x:v>
      </x:c>
      <x:c r="H60" s="24" t="str"/>
    </x:row>
    <x:row r="61">
      <x:c r="A61" s="24" t="str">
        <x:v>D-058</x:v>
      </x:c>
      <x:c r="B61" s="24" t="str">
        <x:v>2026-08-26</x:v>
      </x:c>
      <x:c r="C61" s="24" t="str">
        <x:v>06B checker environment failure</x:v>
      </x:c>
      <x:c r="D61" s="24" t="str">
        <x:v>Step 06B 0.1.0 falló porque el checker ADA corre dentro del entorno UV de ada-generic-application y Global Indicator aún no estaba instalado allí.</x:v>
      </x:c>
      <x:c r="E61" s="24" t="str">
        <x:v>ACEPTADA</x:v>
      </x:c>
      <x:c r="F61" s="24" t="str">
        <x:v>El fallo es de bootstrap/tooling, no del contrato ni de la implementación de Global Indicator.</x:v>
      </x:c>
      <x:c r="G61" s="24" t="str">
        <x:v>06B</x:v>
      </x:c>
      <x:c r="H61" s="24" t="str"/>
    </x:row>
    <x:row r="62">
      <x:c r="A62" s="24" t="str">
        <x:v>D-059</x:v>
      </x:c>
      <x:c r="B62" s="24" t="str">
        <x:v>2026-08-26</x:v>
      </x:c>
      <x:c r="C62" s="24" t="str">
        <x:v>Global Indicator dev-only until 06C</x:v>
      </x:c>
      <x:c r="D62" s="24" t="str">
        <x:v>Mientras 06B no monte Global Indicator en la aplicación, ada-generic-application lo declara sólo en dependency-groups.dev para que el checker pueda importarlo.</x:v>
      </x:c>
      <x:c r="E62" s="24" t="str">
        <x:v>ACEPTADA</x:v>
      </x:c>
      <x:c r="F62" s="24" t="str">
        <x:v>Evita introducir una dependencia runtime prematura sólo para satisfacer el gate.</x:v>
      </x:c>
      <x:c r="G62" s="24" t="str">
        <x:v>06B</x:v>
      </x:c>
      <x:c r="H62" s="24" t="str"/>
    </x:row>
    <x:row r="63">
      <x:c r="A63" s="24" t="str">
        <x:v>D-060</x:v>
      </x:c>
      <x:c r="B63" s="24" t="str">
        <x:v>2026-08-26</x:v>
      </x:c>
      <x:c r="C63" s="24" t="str">
        <x:v>06C promotes runtime dependency</x:v>
      </x:c>
      <x:c r="D63" s="24" t="str">
        <x:v>Cuando 06C monte Global Indicators en el Header, la relación con ada-generic-application pasa de dev-only a dependencia runtime y se registra su AssetLayer.</x:v>
      </x:c>
      <x:c r="E63" s="24" t="str">
        <x:v>ACEPTADA</x:v>
      </x:c>
      <x:c r="F63" s="24" t="str">
        <x:v>La dependencia productiva aparece exactamente cuando existe un consumidor productivo real.</x:v>
      </x:c>
      <x:c r="G63" s="24" t="str">
        <x:v>06B/06C</x:v>
      </x:c>
      <x:c r="H63" s="24" t="str"/>
    </x:row>
    <x:row r="64">
      <x:c r="A64" s="24" t="str">
        <x:v>D-061</x:v>
      </x:c>
      <x:c r="B64" s="24" t="str">
        <x:v>2026-08-26</x:v>
      </x:c>
      <x:c r="C64" s="24" t="str">
        <x:v>06B closure</x:v>
      </x:c>
      <x:c r="D64" s="24" t="str">
        <x:v>ADA Global Indicator 0.1.0 queda cerrado tras aplicar el correctivo 06B 0.1.1 y obtener gate verde.</x:v>
      </x:c>
      <x:c r="E64" s="24" t="str">
        <x:v>ACEPTADA</x:v>
      </x:c>
      <x:c r="F64" s="24" t="str">
        <x:v>La capability visual puede entrar a composición runtime sin reabrir su frontera interna.</x:v>
      </x:c>
      <x:c r="G64" s="24" t="str">
        <x:v>06B/06C</x:v>
      </x:c>
      <x:c r="H64" s="24" t="str"/>
    </x:row>
    <x:row r="65">
      <x:c r="A65" s="24" t="str">
        <x:v>D-062</x:v>
      </x:c>
      <x:c r="B65" s="24" t="str">
        <x:v>2026-08-26</x:v>
      </x:c>
      <x:c r="C65" s="24" t="str">
        <x:v>Explicit GlobalIndicatorCollection input</x:v>
      </x:c>
      <x:c r="D65" s="24" t="str">
        <x:v>ada-generic-application acepta GlobalIndicatorCollection como input explícito de composición; no conoce la fuente que la produjo.</x:v>
      </x:c>
      <x:c r="E65" s="24" t="str">
        <x:v>ACEPTADA</x:v>
      </x:c>
      <x:c r="F65" s="24" t="str">
        <x:v>Providers/adapters de Tool pueden resolver KPI/configuración fuera de la UI y entregar sólo el contrato visual.</x:v>
      </x:c>
      <x:c r="G65" s="24" t="str">
        <x:v>06C</x:v>
      </x:c>
      <x:c r="H65" s="24" t="str"/>
    </x:row>
    <x:row r="66">
      <x:c r="A66" s="24" t="str">
        <x:v>D-063</x:v>
      </x:c>
      <x:c r="B66" s="24" t="str">
        <x:v>2026-08-26</x:v>
      </x:c>
      <x:c r="C66" s="24" t="str">
        <x:v>No fake Global Indicators</x:v>
      </x:c>
      <x:c r="D66" s="24" t="str">
        <x:v>La Generic Application usa colección vacía por defecto y no hardcodea indicadores de referencia para llenar el Header.</x:v>
      </x:c>
      <x:c r="E66" s="24" t="str">
        <x:v>ACEPTADA</x:v>
      </x:c>
      <x:c r="F66" s="24" t="str">
        <x:v>La aplicación final no presenta datos operacionales ficticios; el slot colapsa hasta recibir una colección real o explícitamente inyectada.</x:v>
      </x:c>
      <x:c r="G66" s="24" t="str">
        <x:v>06C</x:v>
      </x:c>
      <x:c r="H66" s="24" t="str"/>
    </x:row>
    <x:row r="67">
      <x:c r="A67" s="24" t="str">
        <x:v>D-064</x:v>
      </x:c>
      <x:c r="B67" s="24" t="str">
        <x:v>2026-08-26</x:v>
      </x:c>
      <x:c r="C67" s="24" t="str">
        <x:v>Global Indicator runtime promotion</x:v>
      </x:c>
      <x:c r="D67" s="24" t="str">
        <x:v>En 06C ada-web-ui-global-indicator deja dependency-groups.dev y pasa a dependencies de ada-generic-application; su AssetLayer se registra en módulos.</x:v>
      </x:c>
      <x:c r="E67" s="24" t="str">
        <x:v>ACEPTADA</x:v>
      </x:c>
      <x:c r="F67" s="24" t="str">
        <x:v>La dependencia productiva aparece ahora que existe un consumidor productivo real: el Header operacional.</x:v>
      </x:c>
      <x:c r="G67" s="24" t="str">
        <x:v>06C</x:v>
      </x:c>
      <x:c r="H67" s="24" t="str"/>
    </x:row>
    <x:row r="68">
      <x:c r="A68" s="24" t="str">
        <x:v>D-065</x:v>
      </x:c>
      <x:c r="B68" s="24" t="str">
        <x:v>2026-08-26</x:v>
      </x:c>
      <x:c r="C68" s="24" t="str">
        <x:v>Source provider deferred</x:v>
      </x:c>
      <x:c r="D68" s="24" t="str">
        <x:v>06C no inventa todavía un provider Cosmos/local específico. La colección explícita es la frontera; la fuente se agrega cuando migre la configuración/runtime correspondiente.</x:v>
      </x:c>
      <x:c r="E68" s="24" t="str">
        <x:v>ACEPTADA</x:v>
      </x:c>
      <x:c r="F68" s="24" t="str">
        <x:v>Evita acoplar Global Indicators a convenciones KPI o infraestructura antes de migrar sus contratos reales.</x:v>
      </x:c>
      <x:c r="G68" s="24" t="str">
        <x:v>06C</x:v>
      </x:c>
      <x:c r="H68" s="24" t="str"/>
    </x:row>
    <x:row r="69">
      <x:c r="A69" s="24" t="str">
        <x:v>D-066</x:v>
      </x:c>
      <x:c r="B69" s="24" t="str">
        <x:v>2026-08-26</x:v>
      </x:c>
      <x:c r="C69" s="24" t="str">
        <x:v>06C closure</x:v>
      </x:c>
      <x:c r="D69" s="24" t="str">
        <x:v>Global Indicators → Header queda cerrado tras validación del usuario.</x:v>
      </x:c>
      <x:c r="E69" s="24" t="str">
        <x:v>ACEPTADA</x:v>
      </x:c>
      <x:c r="F69" s="24" t="str">
        <x:v>Global Indicator ya tiene consumer runtime real y Header conserva ownership exclusivo del espacio.</x:v>
      </x:c>
      <x:c r="G69" s="24" t="str">
        <x:v>06C</x:v>
      </x:c>
      <x:c r="H69" s="24" t="str"/>
    </x:row>
    <x:row r="70">
      <x:c r="A70" s="24" t="str">
        <x:v>D-067</x:v>
      </x:c>
      <x:c r="B70" s="24" t="str">
        <x:v>2026-08-26</x:v>
      </x:c>
      <x:c r="C70" s="24" t="str">
        <x:v>Alarm Management Summary ADA boundary</x:v>
      </x:c>
      <x:c r="D70" s="24" t="str">
        <x:v>La representación ADA de Alarm Management Summary vive en `scopes/ada/web/alarms/management-summary`, paquete `ada.web.alarms.management_summary`.</x:v>
      </x:c>
      <x:c r="E70" s="24" t="str">
        <x:v>ACEPTADA</x:v>
      </x:c>
      <x:c r="F70" s="24" t="str">
        <x:v>Agrupa una capability específica de alarmas dentro de ADA Web sin transferir dominio de alarmas desde Command Center.</x:v>
      </x:c>
      <x:c r="G70" s="24" t="str">
        <x:v>07A</x:v>
      </x:c>
      <x:c r="H70" s="24" t="str"/>
    </x:row>
    <x:row r="71">
      <x:c r="A71" s="24" t="str">
        <x:v>D-068</x:v>
      </x:c>
      <x:c r="B71" s="24" t="str">
        <x:v>2026-08-26</x:v>
      </x:c>
      <x:c r="C71" s="24" t="str">
        <x:v>ToolManifest/ToolScope excluded</x:v>
      </x:c>
      <x:c r="D71" s="24" t="str">
        <x:v>La capability canónica no importa ToolManifest ni ToolScope y no valida rutas/secciones de Tool.</x:v>
      </x:c>
      <x:c r="E71" s="24" t="str">
        <x:v>ACEPTADA</x:v>
      </x:c>
      <x:c r="F71" s="24" t="str">
        <x:v>La Tool/composición selecciona previamente Mina/Planta; la presentación recibe estado ya resuelto.</x:v>
      </x:c>
      <x:c r="G71" s="24" t="str">
        <x:v>07A</x:v>
      </x:c>
      <x:c r="H71" s="24" t="str"/>
    </x:row>
    <x:row r="72">
      <x:c r="A72" s="24" t="str">
        <x:v>D-069</x:v>
      </x:c>
      <x:c r="B72" s="24" t="str">
        <x:v>2026-08-26</x:v>
      </x:c>
      <x:c r="C72" s="24" t="str">
        <x:v>Management Summary visual areas</x:v>
      </x:c>
      <x:c r="D72" s="24" t="str">
        <x:v>El contrato visual usa áreas explícitas MINE y PLANT; una composición puede entregar una sola o ambas.</x:v>
      </x:c>
      <x:c r="E72" s="24" t="str">
        <x:v>ACEPTADA</x:v>
      </x:c>
      <x:c r="F72" s="24" t="str">
        <x:v>Integrated Operations puede mostrar Mina+Planta y otras Tools filtrar sólo el área relevante sin cambiar el componente.</x:v>
      </x:c>
      <x:c r="G72" s="24" t="str">
        <x:v>07A</x:v>
      </x:c>
      <x:c r="H72" s="24" t="str"/>
    </x:row>
    <x:row r="73">
      <x:c r="A73" s="24" t="str">
        <x:v>D-070</x:v>
      </x:c>
      <x:c r="B73" s="24" t="str">
        <x:v>2026-08-26</x:v>
      </x:c>
      <x:c r="C73" s="24" t="str">
        <x:v>Management Summary content</x:v>
      </x:c>
      <x:c r="D73" s="24" t="str">
        <x:v>Cada segmento contiene grupo, management_percentage 0..100 y tono visual NEUTRAL/ATTENTION/CRITICAL.</x:v>
      </x:c>
      <x:c r="E73" s="24" t="str">
        <x:v>ACEPTADA</x:v>
      </x:c>
      <x:c r="F73" s="24" t="str">
        <x:v>Preserva la información y geometría histórica sin derivar reglas de negocio en la UI.</x:v>
      </x:c>
      <x:c r="G73" s="24" t="str">
        <x:v>07A</x:v>
      </x:c>
      <x:c r="H73" s="24" t="str"/>
    </x:row>
    <x:row r="74">
      <x:c r="A74" s="24" t="str">
        <x:v>D-071</x:v>
      </x:c>
      <x:c r="B74" s="24" t="str">
        <x:v>2026-08-26</x:v>
      </x:c>
      <x:c r="C74" s="24" t="str">
        <x:v>Management Summary Component State deferred</x:v>
      </x:c>
      <x:c r="D74" s="24" t="str">
        <x:v>07A no consume Component State ni State Wrapper.</x:v>
      </x:c>
      <x:c r="E74" s="24" t="str">
        <x:v>ACEPTADA</x:v>
      </x:c>
      <x:c r="F74" s="24" t="str">
        <x:v>La cobertura histórica pertenecía a composición/readiness; se promoverá sólo cuando un runtime real requiera overlay/cover.</x:v>
      </x:c>
      <x:c r="G74" s="24" t="str">
        <x:v>07A</x:v>
      </x:c>
      <x:c r="H74" s="24" t="str"/>
    </x:row>
    <x:row r="75">
      <x:c r="A75" s="24" t="str">
        <x:v>D-072</x:v>
      </x:c>
      <x:c r="B75" s="24" t="str">
        <x:v>2026-08-26</x:v>
      </x:c>
      <x:c r="C75" s="24" t="str">
        <x:v>07A dev-only checker dependency</x:v>
      </x:c>
      <x:c r="D75" s="24" t="str">
        <x:v>Hasta 07B, Alarm Management Summary se agrega sólo al grupo dev de ada-generic-application para que el checker ADA pueda importarlo.</x:v>
      </x:c>
      <x:c r="E75" s="24" t="str">
        <x:v>ACEPTADA</x:v>
      </x:c>
      <x:c r="F75" s="24" t="str">
        <x:v>La dependencia runtime aparecerá únicamente al montar el alarm_management_slot.</x:v>
      </x:c>
      <x:c r="G75" s="24" t="str">
        <x:v>07A/07B</x:v>
      </x:c>
      <x:c r="H75" s="24" t="str"/>
    </x:row>
    <x:row r="76">
      <x:c r="A76" s="24" t="str">
        <x:v>D-073</x:v>
      </x:c>
      <x:c r="B76" s="24" t="str">
        <x:v>2026-08-26</x:v>
      </x:c>
      <x:c r="C76" s="24" t="str">
        <x:v>07A closure</x:v>
      </x:c>
      <x:c r="D76" s="24" t="str">
        <x:v>ADA Alarm Management Summary queda cerrado tras gate verde reportado por el usuario.</x:v>
      </x:c>
      <x:c r="E76" s="24" t="str">
        <x:v>ACEPTADA</x:v>
      </x:c>
      <x:c r="F76" s="24" t="str">
        <x:v>La capability visual puede entrar a runtime sin reabrir su frontera interna.</x:v>
      </x:c>
      <x:c r="G76" s="24" t="str">
        <x:v>07A/07B</x:v>
      </x:c>
      <x:c r="H76" s="24" t="str"/>
    </x:row>
    <x:row r="77">
      <x:c r="A77" s="24" t="str">
        <x:v>D-074</x:v>
      </x:c>
      <x:c r="B77" s="24" t="str">
        <x:v>2026-08-26</x:v>
      </x:c>
      <x:c r="C77" s="24" t="str">
        <x:v>Explicit AlarmManagementSummaryState input</x:v>
      </x:c>
      <x:c r="D77" s="24" t="str">
        <x:v>ada-generic-application acepta AlarmManagementSummaryState | None como input explícito de composición.</x:v>
      </x:c>
      <x:c r="E77" s="24" t="str">
        <x:v>ACEPTADA</x:v>
      </x:c>
      <x:c r="F77" s="24" t="str">
        <x:v>La aplicación no conoce la fuente ni reglas que resolvieron Mina/Planta, grupo, porcentaje o tono.</x:v>
      </x:c>
      <x:c r="G77" s="24" t="str">
        <x:v>07B</x:v>
      </x:c>
      <x:c r="H77" s="24" t="str"/>
    </x:row>
    <x:row r="78">
      <x:c r="A78" s="24" t="str">
        <x:v>D-075</x:v>
      </x:c>
      <x:c r="B78" s="24" t="str">
        <x:v>2026-08-26</x:v>
      </x:c>
      <x:c r="C78" s="24" t="str">
        <x:v>No fake Alarm Management Summary</x:v>
      </x:c>
      <x:c r="D78" s="24" t="str">
        <x:v>El default de la Generic Application es None y no hardcodea resumen Mina/Planta de referencia.</x:v>
      </x:c>
      <x:c r="E78" s="24" t="str">
        <x:v>ACEPTADA</x:v>
      </x:c>
      <x:c r="F78" s="24" t="str">
        <x:v>El alarm_management_slot permanece colapsado hasta recibir estado real o explícitamente inyectado.</x:v>
      </x:c>
      <x:c r="G78" s="24" t="str">
        <x:v>07B</x:v>
      </x:c>
      <x:c r="H78" s="24" t="str"/>
    </x:row>
    <x:row r="79">
      <x:c r="A79" s="24" t="str">
        <x:v>D-076</x:v>
      </x:c>
      <x:c r="B79" s="24" t="str">
        <x:v>2026-08-26</x:v>
      </x:c>
      <x:c r="C79" s="24" t="str">
        <x:v>Alarm Management Summary runtime promotion</x:v>
      </x:c>
      <x:c r="D79" s="24" t="str">
        <x:v>En 07B ada-web-alarm-management-summary pasa de dependency-groups.dev a dependencies de ada-generic-application y registra su AssetLayer.</x:v>
      </x:c>
      <x:c r="E79" s="24" t="str">
        <x:v>ACEPTADA</x:v>
      </x:c>
      <x:c r="F79" s="24" t="str">
        <x:v>La dependencia productiva aparece al existir un consumidor productivo real: el Header operacional.</x:v>
      </x:c>
      <x:c r="G79" s="24" t="str">
        <x:v>07B</x:v>
      </x:c>
      <x:c r="H79" s="24" t="str"/>
    </x:row>
    <x:row r="80">
      <x:c r="A80" s="24" t="str">
        <x:v>D-077</x:v>
      </x:c>
      <x:c r="B80" s="24" t="str">
        <x:v>2026-08-26</x:v>
      </x:c>
      <x:c r="C80" s="24" t="str">
        <x:v>Alarm Management source deferred</x:v>
      </x:c>
      <x:c r="D80" s="24" t="str">
        <x:v>07B no agrega todavía provider Cosmos/Command Center/local específico; sólo define la frontera de composición explícita.</x:v>
      </x:c>
      <x:c r="E80" s="24" t="str">
        <x:v>ACEPTADA</x:v>
      </x:c>
      <x:c r="F80" s="24" t="str">
        <x:v>Evita acoplar la UI a persistencia o semántica del motor antes de migrar el contrato fuente correspondiente.</x:v>
      </x:c>
      <x:c r="G80" s="24" t="str">
        <x:v>07B</x:v>
      </x:c>
      <x:c r="H80" s="24" t="str"/>
    </x:row>
    <x:row r="81">
      <x:c r="A81" s="24" t="str">
        <x:v>D-078</x:v>
      </x:c>
      <x:c r="B81" s="24" t="str">
        <x:v>2026-08-26</x:v>
      </x:c>
      <x:c r="C81" s="24" t="str">
        <x:v>07B closure</x:v>
      </x:c>
      <x:c r="D81" s="24" t="str">
        <x:v>Alarm Management Summary → Header queda cerrado tras gate verde reportado por el usuario.</x:v>
      </x:c>
      <x:c r="E81" s="24" t="str">
        <x:v>ACEPTADA</x:v>
      </x:c>
      <x:c r="F81" s="24" t="str">
        <x:v>El slot de Management queda estable y listo para provider futuro.</x:v>
      </x:c>
      <x:c r="G81" s="24" t="str">
        <x:v>07B</x:v>
      </x:c>
      <x:c r="H81" s="24" t="str"/>
    </x:row>
    <x:row r="82">
      <x:c r="A82" s="24" t="str">
        <x:v>D-079</x:v>
      </x:c>
      <x:c r="B82" s="24" t="str">
        <x:v>2026-08-26</x:v>
      </x:c>
      <x:c r="C82" s="24" t="str">
        <x:v>Alarm Status canonical boundary</x:v>
      </x:c>
      <x:c r="D82" s="24" t="str">
        <x:v>Alarm Status vive en `scopes/ada/web/alarms/status`, paquete `ada.web.alarms.status`.</x:v>
      </x:c>
      <x:c r="E82" s="24" t="str">
        <x:v>ACEPTADA</x:v>
      </x:c>
      <x:c r="F82" s="24" t="str">
        <x:v>La representación ADA queda separada de Management Summary y del dominio del motor.</x:v>
      </x:c>
      <x:c r="G82" s="24" t="str">
        <x:v>08A</x:v>
      </x:c>
      <x:c r="H82" s="24" t="str"/>
    </x:row>
    <x:row r="83">
      <x:c r="A83" s="24" t="str">
        <x:v>D-080</x:v>
      </x:c>
      <x:c r="B83" s="24" t="str">
        <x:v>2026-08-26</x:v>
      </x:c>
      <x:c r="C83" s="24" t="str">
        <x:v>Alarm Status minimal state</x:v>
      </x:c>
      <x:c r="D83" s="24" t="str">
        <x:v>El contrato base contiene `active_count` y `managed_count`, ambos no negativos.</x:v>
      </x:c>
      <x:c r="E83" s="24" t="str">
        <x:v>ACEPTADA</x:v>
      </x:c>
      <x:c r="F83" s="24" t="str">
        <x:v>La UI recibe conteos ya resueltos y no deriva su semántica.</x:v>
      </x:c>
      <x:c r="G83" s="24" t="str">
        <x:v>08A</x:v>
      </x:c>
      <x:c r="H83" s="24" t="str"/>
    </x:row>
    <x:row r="84">
      <x:c r="A84" s="24" t="str">
        <x:v>D-081</x:v>
      </x:c>
      <x:c r="B84" s="24" t="str">
        <x:v>2026-08-26</x:v>
      </x:c>
      <x:c r="C84" s="24" t="str">
        <x:v>Activas/Gestionadas are actions</x:v>
      </x:c>
      <x:c r="D84" s="24" t="str">
        <x:v>Activas y Gestionadas se renderizan desde 08A como botones semánticos, aunque todavía no tengan callbacks.</x:v>
      </x:c>
      <x:c r="E84" s="24" t="str">
        <x:v>ACEPTADA</x:v>
      </x:c>
      <x:c r="F84" s="24" t="str">
        <x:v>Permite ajustar la UI ahora y añadir modales después sin rediseñar el bloque.</x:v>
      </x:c>
      <x:c r="G84" s="24" t="str">
        <x:v>08A/08D</x:v>
      </x:c>
      <x:c r="H84" s="24" t="str"/>
    </x:row>
    <x:row r="85">
      <x:c r="A85" s="24" t="str">
        <x:v>D-082</x:v>
      </x:c>
      <x:c r="B85" s="24" t="str">
        <x:v>2026-08-26</x:v>
      </x:c>
      <x:c r="C85" s="24" t="str">
        <x:v>Alarm Status runtime coupling excluded</x:v>
      </x:c>
      <x:c r="D85" s="24" t="str">
        <x:v>08A no importa ToolManifest, ToolScope, State Wrapper, provider ni contratos internos de Command Center.</x:v>
      </x:c>
      <x:c r="E85" s="24" t="str">
        <x:v>ACEPTADA</x:v>
      </x:c>
      <x:c r="F85" s="24" t="str">
        <x:v>Mantiene la capability visual reusable y evita semántica accidental.</x:v>
      </x:c>
      <x:c r="G85" s="24" t="str">
        <x:v>08A</x:v>
      </x:c>
      <x:c r="H85" s="24" t="str"/>
    </x:row>
    <x:row r="86">
      <x:c r="A86" s="24" t="str">
        <x:v>D-083</x:v>
      </x:c>
      <x:c r="B86" s="24" t="str">
        <x:v>2026-08-26</x:v>
      </x:c>
      <x:c r="C86" s="24" t="str">
        <x:v>Alarm Status detail deferred</x:v>
      </x:c>
      <x:c r="D86" s="24" t="str">
        <x:v>Los contratos de detalle Activas/Gestionadas se difieren a 08C hasta revisar autoridad backend real.</x:v>
      </x:c>
      <x:c r="E86" s="24" t="str">
        <x:v>ACEPTADA</x:v>
      </x:c>
      <x:c r="F86" s="24" t="str">
        <x:v>No se inventan tendencias, grupos ni definición de gestión desde ADA Web.</x:v>
      </x:c>
      <x:c r="G86" s="24" t="str">
        <x:v>08C</x:v>
      </x:c>
      <x:c r="H86" s="24" t="str"/>
    </x:row>
    <x:row r="87">
      <x:c r="A87" s="24" t="str">
        <x:v>D-084</x:v>
      </x:c>
      <x:c r="B87" s="24" t="str">
        <x:v>2026-08-26</x:v>
      </x:c>
      <x:c r="C87" s="24" t="str">
        <x:v>08A dev-only checker dependency</x:v>
      </x:c>
      <x:c r="D87" s="24" t="str">
        <x:v>Hasta 08B, `ada-web-alarm-status` se instala sólo en el grupo dev de `ada-generic-application` para ejecutar el gate.</x:v>
      </x:c>
      <x:c r="E87" s="24" t="str">
        <x:v>ACEPTADA</x:v>
      </x:c>
      <x:c r="F87" s="24" t="str">
        <x:v>La dependencia runtime aparece únicamente cuando se monte el alarm_status_slot.</x:v>
      </x:c>
      <x:c r="G87" s="24" t="str">
        <x:v>08A/08B</x:v>
      </x:c>
      <x:c r="H87" s="24" t="str"/>
    </x:row>
    <x:row r="88">
      <x:c r="A88" s="24" t="str">
        <x:v>D-085</x:v>
      </x:c>
      <x:c r="B88" s="24" t="str">
        <x:v>2026-08-26</x:v>
      </x:c>
      <x:c r="C88" s="24" t="str">
        <x:v>08A closure</x:v>
      </x:c>
      <x:c r="D88" s="24" t="str">
        <x:v>ADA Alarm Status base queda cerrado tras gate verde reportado por el usuario.</x:v>
      </x:c>
      <x:c r="E88" s="24" t="str">
        <x:v>ACEPTADA</x:v>
      </x:c>
      <x:c r="F88" s="24" t="str">
        <x:v>La capability visual Activas/Gestionadas puede montarse en runtime sin reabrir su contrato base.</x:v>
      </x:c>
      <x:c r="G88" s="24" t="str">
        <x:v>08A/08B</x:v>
      </x:c>
      <x:c r="H88" s="24" t="str"/>
    </x:row>
    <x:row r="89">
      <x:c r="A89" s="24" t="str">
        <x:v>D-086</x:v>
      </x:c>
      <x:c r="B89" s="24" t="str">
        <x:v>2026-08-26</x:v>
      </x:c>
      <x:c r="C89" s="24" t="str">
        <x:v>Explicit AlarmStatusState input</x:v>
      </x:c>
      <x:c r="D89" s="24" t="str">
        <x:v>ada-generic-application acepta AlarmStatusState | None como input explícito de composición.</x:v>
      </x:c>
      <x:c r="E89" s="24" t="str">
        <x:v>ACEPTADA</x:v>
      </x:c>
      <x:c r="F89" s="24" t="str">
        <x:v>La UI recibe active_count y managed_count ya resueltos y no conoce su fuente.</x:v>
      </x:c>
      <x:c r="G89" s="24" t="str">
        <x:v>08B</x:v>
      </x:c>
      <x:c r="H89" s="24" t="str"/>
    </x:row>
    <x:row r="90">
      <x:c r="A90" s="24" t="str">
        <x:v>D-087</x:v>
      </x:c>
      <x:c r="B90" s="24" t="str">
        <x:v>2026-08-26</x:v>
      </x:c>
      <x:c r="C90" s="24" t="str">
        <x:v>No fake Alarm Status</x:v>
      </x:c>
      <x:c r="D90" s="24" t="str">
        <x:v>El bootstrap normal mantiene alarm_status=None y no hardcodea conteos de referencia.</x:v>
      </x:c>
      <x:c r="E90" s="24" t="str">
        <x:v>ACEPTADA</x:v>
      </x:c>
      <x:c r="F90" s="24" t="str">
        <x:v>El alarm_status_slot permanece colapsado hasta recibir estado explícito.</x:v>
      </x:c>
      <x:c r="G90" s="24" t="str">
        <x:v>08B</x:v>
      </x:c>
      <x:c r="H90" s="24" t="str"/>
    </x:row>
    <x:row r="91">
      <x:c r="A91" s="24" t="str">
        <x:v>D-088</x:v>
      </x:c>
      <x:c r="B91" s="24" t="str">
        <x:v>2026-08-26</x:v>
      </x:c>
      <x:c r="C91" s="24" t="str">
        <x:v>Alarm Status runtime promotion</x:v>
      </x:c>
      <x:c r="D91" s="24" t="str">
        <x:v>En 08B ada-web-alarm-status pasa de dependency-groups.dev a dependencies de ada-generic-application y registra su AssetLayer.</x:v>
      </x:c>
      <x:c r="E91" s="24" t="str">
        <x:v>ACEPTADA</x:v>
      </x:c>
      <x:c r="F91" s="24" t="str">
        <x:v>La dependencia productiva aparece cuando existe su consumidor productivo real en el Header.</x:v>
      </x:c>
      <x:c r="G91" s="24" t="str">
        <x:v>08B</x:v>
      </x:c>
      <x:c r="H91" s="24" t="str"/>
    </x:row>
    <x:row r="92">
      <x:c r="A92" s="24" t="str">
        <x:v>D-089</x:v>
      </x:c>
      <x:c r="B92" s="24" t="str">
        <x:v>2026-08-26</x:v>
      </x:c>
      <x:c r="C92" s="24" t="str">
        <x:v>External visual preview runner</x:v>
      </x:c>
      <x:c r="D92" s="24" t="str">
        <x:v>El paquete de entrega 08B puede incluir un runner local de preview con estados explícitos; el instalador no lo copia al repositorio.</x:v>
      </x:c>
      <x:c r="E92" s="24" t="str">
        <x:v>ACEPTADA</x:v>
      </x:c>
      <x:c r="F92" s="24" t="str">
        <x:v>Permite revisar geometría/CSS del Header completo sin convertir la Generic Application en showcase ni agregar datos ficticios productivos.</x:v>
      </x:c>
      <x:c r="G92" s="24" t="str">
        <x:v>08B</x:v>
      </x:c>
      <x:c r="H92" s="24" t="str"/>
    </x:row>
    <x:row r="93">
      <x:c r="A93" s="24" t="str">
        <x:v>D-090</x:v>
      </x:c>
      <x:c r="B93" s="24" t="str">
        <x:v>2026-08-26</x:v>
      </x:c>
      <x:c r="C93" s="24" t="str">
        <x:v>Header structural completion</x:v>
      </x:c>
      <x:c r="D93" s="24" t="str">
        <x:v>Tras 08B el Operational Header queda estructuralmente preparado para Brand, Global Indicators, Alarm Management Summary, Alarm Status y Navigation.</x:v>
      </x:c>
      <x:c r="E93" s="24" t="str">
        <x:v>ACEPTADA</x:v>
      </x:c>
      <x:c r="F93" s="24" t="str">
        <x:v>Los siguientes ajustes visuales pueden hacerse sobre las capabilities o ratios del Header sin cambiar sus fronteras.</x:v>
      </x:c>
      <x:c r="G93" s="24" t="str">
        <x:v>08B</x:v>
      </x:c>
      <x:c r="H93" s="24" t="str"/>
    </x:row>
    <x:row r="94">
      <x:c r="A94" s="24" t="str">
        <x:v>D-091</x:v>
      </x:c>
      <x:c r="B94" s="24" t="str">
        <x:v>2026-08-26</x:v>
      </x:c>
      <x:c r="C94" s="24" t="str">
        <x:v>08B installer anchor failure</x:v>
      </x:c>
      <x:c r="D94" s="24" t="str">
        <x:v>El instalador 08B 0.1.0 dependía de la representación multilinea exacta de build_alarm_management_summary(...) que Ruff había normalizado.</x:v>
      </x:c>
      <x:c r="E94" s="24" t="str">
        <x:v>ACEPTADA</x:v>
      </x:c>
      <x:c r="F94" s="24" t="str">
        <x:v>El fallo ocurrió antes del gate y el rollback restauró el estado 08A/07B.</x:v>
      </x:c>
      <x:c r="G94" s="24" t="str">
        <x:v>08B</x:v>
      </x:c>
      <x:c r="H94" s="24" t="str"/>
    </x:row>
    <x:row r="95">
      <x:c r="A95" s="24" t="str">
        <x:v>D-092</x:v>
      </x:c>
      <x:c r="B95" s="24" t="str">
        <x:v>2026-08-26</x:v>
      </x:c>
      <x:c r="C95" s="24" t="str">
        <x:v>08B stable Header anchor</x:v>
      </x:c>
      <x:c r="D95" s="24" t="str">
        <x:v>El correctivo 08B 0.1.1 inserta alarm_status_component usando como anchor la llamada única a build_ada_operational_header(...), independiente del formato de Management Summary.</x:v>
      </x:c>
      <x:c r="E95" s="24" t="str">
        <x:v>ACEPTADA</x:v>
      </x:c>
      <x:c r="F95" s="24" t="str">
        <x:v>Reduce fragilidad frente a Ruff sin cambiar contratos ni arquitectura.</x:v>
      </x:c>
      <x:c r="G95" s="24" t="str">
        <x:v>08B</x:v>
      </x:c>
      <x:c r="H95" s="24" t="str"/>
    </x:row>
    <x:row r="96">
      <x:c r="A96" s="24" t="str">
        <x:v>D-093</x:v>
      </x:c>
      <x:c r="B96" s="24" t="str">
        <x:v>2026-08-26</x:v>
      </x:c>
      <x:c r="C96" s="24" t="str">
        <x:v>No functional scope change in 08B corrective</x:v>
      </x:c>
      <x:c r="D96" s="24" t="str">
        <x:v>08B 0.1.1 mantiene exactamente las versiones/runtime contracts previstos: ada-web-alarm-status 0.1.0 y ada-generic-application 0.1.11.</x:v>
      </x:c>
      <x:c r="E96" s="24" t="str">
        <x:v>ACEPTADA</x:v>
      </x:c>
      <x:c r="F96" s="24" t="str">
        <x:v>El correctivo modifica sólo tooling de aplicación del patch.</x:v>
      </x:c>
      <x:c r="G96" s="24" t="str">
        <x:v>08B</x:v>
      </x:c>
      <x:c r="H96" s="24" t="str"/>
    </x:row>
    <x:row r="97">
      <x:c r="A97" s="24" t="str">
        <x:v>D-094</x:v>
      </x:c>
      <x:c r="B97" s="24" t="str">
        <x:v>2026-08-26</x:v>
      </x:c>
      <x:c r="C97" s="24" t="str">
        <x:v>08B structural closure</x:v>
      </x:c>
      <x:c r="D97" s="24" t="str">
        <x:v>Alarm Status → Header queda estructuralmente cerrado y el Header completo puede revisarse mediante preview.</x:v>
      </x:c>
      <x:c r="E97" s="24" t="str">
        <x:v>ACEPTADA</x:v>
      </x:c>
      <x:c r="F97" s="24" t="str">
        <x:v>La calibración visual se maneja como incremento separado sin reabrir contratos runtime.</x:v>
      </x:c>
      <x:c r="G97" s="24" t="str">
        <x:v>08B/08B.1</x:v>
      </x:c>
      <x:c r="H97" s="24" t="str"/>
    </x:row>
    <x:row r="98">
      <x:c r="A98" s="24" t="str">
        <x:v>D-095</x:v>
      </x:c>
      <x:c r="B98" s="24" t="str">
        <x:v>2026-08-26</x:v>
      </x:c>
      <x:c r="C98" s="24" t="str">
        <x:v>Global Indicators owns remaining width</x:v>
      </x:c>
      <x:c r="D98" s="24" t="str">
        <x:v>En desktop Brand conserva 10rem, Alarm Management usa 9.5rem y Alarm Status 8.75rem; Global Indicators recibe todo el espacio restante.</x:v>
      </x:c>
      <x:c r="E98" s="24" t="str">
        <x:v>ACEPTADA</x:v>
      </x:c>
      <x:c r="F98" s="24" t="str">
        <x:v>El Header deja de repartir crecimiento proporcional entre las tres capabilities operacionales.</x:v>
      </x:c>
      <x:c r="G98" s="24" t="str">
        <x:v>08B.1A</x:v>
      </x:c>
      <x:c r="H98" s="24" t="str"/>
    </x:row>
    <x:row r="99">
      <x:c r="A99" s="24" t="str">
        <x:v>D-096</x:v>
      </x:c>
      <x:c r="B99" s="24" t="str">
        <x:v>2026-08-26</x:v>
      </x:c>
      <x:c r="C99" s="24" t="str">
        <x:v>Equal Global Indicator columns</x:v>
      </x:c>
      <x:c r="D99" s="24" t="str">
        <x:v>La colección de Global Indicators usa columnas iguales; ningún KPI puede ocupar más ancho que otro por su contenido.</x:v>
      </x:c>
      <x:c r="E99" s="24" t="str">
        <x:v>ACEPTADA</x:v>
      </x:c>
      <x:c r="F99" s="24" t="str">
        <x:v>CSS Grid con tracks minmax(0, 1fr) distribuye todo el ancho disponible de forma ordenada.</x:v>
      </x:c>
      <x:c r="G99" s="24" t="str">
        <x:v>08B.1A</x:v>
      </x:c>
      <x:c r="H99" s="24" t="str"/>
    </x:row>
    <x:row r="100">
      <x:c r="A100" s="24" t="str">
        <x:v>D-097</x:v>
      </x:c>
      <x:c r="B100" s="24" t="str">
        <x:v>2026-08-26</x:v>
      </x:c>
      <x:c r="C100" s="24" t="str">
        <x:v>Natural centered KPI content</x:v>
      </x:c>
      <x:c r="D100" s="24" t="str">
        <x:v>Cada KPI ocupa completamente su columna, pero heading/contenido interno conservan ancho natural y quedan centrados por el layout del componente.</x:v>
      </x:c>
      <x:c r="E100" s="24" t="str">
        <x:v>ACEPTADA</x:v>
      </x:c>
      <x:c r="F100" s="24" t="str">
        <x:v>No se agregan anchos artificiales al contenido interno.</x:v>
      </x:c>
      <x:c r="G100" s="24" t="str">
        <x:v>08B.1A</x:v>
      </x:c>
      <x:c r="H100" s="24" t="str"/>
    </x:row>
    <x:row r="101">
      <x:c r="A101" s="24" t="str">
        <x:v>D-098</x:v>
      </x:c>
      <x:c r="B101" s="24" t="str">
        <x:v>2026-08-26</x:v>
      </x:c>
      <x:c r="C101" s="24" t="str">
        <x:v>Measurement table preserved</x:v>
      </x:c>
      <x:c r="D101" s="24" t="str">
        <x:v>La estructura de mediciones ya usa `html.Table`; se conserva para alinear Turno/Día/etc. y valores de actual/plan.</x:v>
      </x:c>
      <x:c r="E101" s="24" t="str">
        <x:v>ACEPTADA</x:v>
      </x:c>
      <x:c r="F101" s="24" t="str">
        <x:v>No se reconstruye con flex ni se pierde la alineación tabular existente.</x:v>
      </x:c>
      <x:c r="G101" s="24" t="str">
        <x:v>08B.1A</x:v>
      </x:c>
      <x:c r="H101" s="24" t="str"/>
    </x:row>
    <x:row r="102">
      <x:c r="A102" s="24" t="str">
        <x:v>D-099</x:v>
      </x:c>
      <x:c r="B102" s="24" t="str">
        <x:v>2026-08-26</x:v>
      </x:c>
      <x:c r="C102" s="24" t="str">
        <x:v>Global Indicator heading ellipsis</x:v>
      </x:c>
      <x:c r="D102" s="24" t="str">
        <x:v>Los títulos largos conservan `overflow:hidden`, `text-overflow:ellipsis`, `white-space:nowrap` y `title` con el texto completo.</x:v>
      </x:c>
      <x:c r="E102" s="24" t="str">
        <x:v>ACEPTADA</x:v>
      </x:c>
      <x:c r="F102" s="24" t="str">
        <x:v>Un nombre largo no ensancha su KPI ni rompe la igualdad de columnas.</x:v>
      </x:c>
      <x:c r="G102" s="24" t="str">
        <x:v>08B.1A</x:v>
      </x:c>
      <x:c r="H102" s="24" t="str"/>
    </x:row>
    <x:row r="103">
      <x:c r="A103" s="24" t="str">
        <x:v>D-100</x:v>
      </x:c>
      <x:c r="B103" s="24" t="str">
        <x:v>2026-08-26</x:v>
      </x:c>
      <x:c r="C103" s="24" t="str">
        <x:v>Navigation calibration isolated</x:v>
      </x:c>
      <x:c r="D103" s="24" t="str">
        <x:v>El trigger de Navigation no se modifica en 08B.1A; se corrige en 08B.1B como incremento separado.</x:v>
      </x:c>
      <x:c r="E103" s="24" t="str">
        <x:v>ACEPTADA</x:v>
      </x:c>
      <x:c r="F103" s="24" t="str">
        <x:v>Permite validar primero geometría Header/GI y luego aislar el comportamiento del rail de Navigation.</x:v>
      </x:c>
      <x:c r="G103" s="24" t="str">
        <x:v>08B.1B</x:v>
      </x:c>
      <x:c r="H103" s="24" t="str"/>
    </x:row>
    <x:row r="104">
      <x:c r="A104" s="24" t="str">
        <x:v>D-101</x:v>
      </x:c>
      <x:c r="B104" s="24" t="str">
        <x:v>2026-08-26</x:v>
      </x:c>
      <x:c r="C104" s="24" t="str">
        <x:v>08B.1A application test version drift</x:v>
      </x:c>
      <x:c r="D104" s="24" t="str">
        <x:v>El primer 08B.1A actualizó ada-generic-application a 0.1.12 pero no actualizó dos expectativas de versión en tests/test_application.py.</x:v>
      </x:c>
      <x:c r="E104" s="24" t="str">
        <x:v>ACEPTADA</x:v>
      </x:c>
      <x:c r="F104" s="24" t="str">
        <x:v>El fallo fue de consistencia de tests; Header 0.1.1 y Global Indicator 0.1.1 ya habían pasado sus gates.</x:v>
      </x:c>
      <x:c r="G104" s="24" t="str">
        <x:v>08B.1A</x:v>
      </x:c>
      <x:c r="H104" s="24" t="str"/>
    </x:row>
    <x:row r="105">
      <x:c r="A105" s="24" t="str">
        <x:v>D-102</x:v>
      </x:c>
      <x:c r="B105" s="24" t="str">
        <x:v>2026-08-26</x:v>
      </x:c>
      <x:c r="C105" s="24" t="str">
        <x:v>08B.1A corrective scope</x:v>
      </x:c>
      <x:c r="D105" s="24" t="str">
        <x:v>El correctivo 0.1.1 cambia únicamente las dos expectativas 0.1.11 → 0.1.12 en Application tests además del mismo patch visual 0.1.0.</x:v>
      </x:c>
      <x:c r="E105" s="24" t="str">
        <x:v>ACEPTADA</x:v>
      </x:c>
      <x:c r="F105" s="24" t="str">
        <x:v>No cambia CSS, geometría ni contratos acordados para la calibración.</x:v>
      </x:c>
      <x:c r="G105" s="24" t="str">
        <x:v>08B.1A</x:v>
      </x:c>
      <x:c r="H105" s="24" t="str"/>
    </x:row>
    <x:row r="106">
      <x:c r="A106" s="24" t="str">
        <x:v>D-103</x:v>
      </x:c>
      <x:c r="B106" s="24" t="str">
        <x:v>2026-08-26</x:v>
      </x:c>
      <x:c r="C106" s="24" t="str">
        <x:v>08B.1A rollback confirmed</x:v>
      </x:c>
      <x:c r="D106" s="24" t="str">
        <x:v>El instalador 0.1.0 ejecutó rollback después del gate fallido, por lo que el correctivo parte nuevamente desde Header 0.1.0, Global Indicator 0.1.0 y Application 0.1.11.</x:v>
      </x:c>
      <x:c r="E106" s="24" t="str">
        <x:v>ACEPTADA</x:v>
      </x:c>
      <x:c r="F106" s="24" t="str">
        <x:v>Se puede aplicar 0.1.1 directamente sin reparación manual previa.</x:v>
      </x:c>
      <x:c r="G106" s="24" t="str">
        <x:v>08B.1A</x:v>
      </x:c>
      <x:c r="H106" s="24" t="str"/>
    </x:row>
  </x:sheetData>
  <x:mergeCells>
    <x:mergeCell ref="A1:H1"/>
  </x:mergeCells>
  <x:conditionalFormatting sqref="E4:E12">
    <x:cfRule type="expression" dxfId="15" priority="1">
      <x:formula>E4="VERDE"</x:formula>
    </x:cfRule>
    <x:cfRule type="expression" dxfId="16" priority="2">
      <x:formula>E4="OK"</x:formula>
    </x:cfRule>
    <x:cfRule type="expression" dxfId="17" priority="3">
      <x:formula>E4="FAIL"</x:formula>
    </x:cfRule>
    <x:cfRule type="expression" dxfId="18" priority="4">
      <x:formula>E4="PENDIENTE"</x:formula>
    </x:cfRule>
    <x:cfRule type="expression" dxfId="19" priority="5">
      <x:formula>E4="HOLD"</x:formula>
    </x:cfRule>
  </x:conditionalFormatting>
  <x:dataValidations count="24">
    <x:dataValidation type="list" sqref="E4:E12">
      <x:formula1>"PENDIENTE,ACEPTADA,RECHAZADA,HOLD"</x:formula1>
    </x:dataValidation>
    <x:dataValidation type="list" sqref="E13:E14">
      <x:formula1>"PENDIENTE,ACEPTADA,RECHAZADA,HOLD"</x:formula1>
    </x:dataValidation>
    <x:dataValidation type="list" sqref="E15:E18">
      <x:formula1>"PENDIENTE,ACEPTADA,RECHAZADA,HOLD"</x:formula1>
    </x:dataValidation>
    <x:dataValidation type="list" sqref="E19:E21">
      <x:formula1>"PENDIENTE,ACEPTADA,RECHAZADA,HOLD"</x:formula1>
    </x:dataValidation>
    <x:dataValidation type="list" sqref="E22:E26">
      <x:formula1>"PENDIENTE,ACEPTADA,RECHAZADA,HOLD"</x:formula1>
    </x:dataValidation>
    <x:dataValidation type="list" sqref="E27:E28">
      <x:formula1>"PENDIENTE,ACEPTADA,RECHAZADA,HOLD"</x:formula1>
    </x:dataValidation>
    <x:dataValidation type="list" sqref="E29">
      <x:formula1>"PENDIENTE,ACEPTADA,RECHAZADA,HOLD"</x:formula1>
    </x:dataValidation>
    <x:dataValidation type="list" sqref="E30">
      <x:formula1>"PENDIENTE,ACEPTADA,RECHAZADA,HOLD"</x:formula1>
    </x:dataValidation>
    <x:dataValidation type="list" sqref="E31:E33">
      <x:formula1>"PENDIENTE,ACEPTADA,RECHAZADA,HOLD"</x:formula1>
    </x:dataValidation>
    <x:dataValidation type="list" sqref="E34:E37">
      <x:formula1>"PENDIENTE,ACEPTADA,RECHAZADA,HOLD"</x:formula1>
    </x:dataValidation>
    <x:dataValidation type="list" sqref="E38:E40">
      <x:formula1>"PENDIENTE,ACEPTADA,RECHAZADA,HOLD"</x:formula1>
    </x:dataValidation>
    <x:dataValidation type="list" sqref="E41:E45">
      <x:formula1>"PENDIENTE,ACEPTADA,RECHAZADA,HOLD"</x:formula1>
    </x:dataValidation>
    <x:dataValidation type="list" sqref="E46:E49">
      <x:formula1>"PENDIENTE,ACEPTADA,RECHAZADA,HOLD"</x:formula1>
    </x:dataValidation>
    <x:dataValidation type="list" sqref="E50:E54">
      <x:formula1>"PENDIENTE,ACEPTADA,RECHAZADA,HOLD"</x:formula1>
    </x:dataValidation>
    <x:dataValidation type="list" sqref="E55:E60">
      <x:formula1>"PENDIENTE,ACEPTADA,RECHAZADA,HOLD"</x:formula1>
    </x:dataValidation>
    <x:dataValidation type="list" sqref="E61:E63">
      <x:formula1>"PENDIENTE,ACEPTADA,RECHAZADA,HOLD"</x:formula1>
    </x:dataValidation>
    <x:dataValidation type="list" sqref="E64:E68">
      <x:formula1>"PENDIENTE,ACEPTADA,RECHAZADA,HOLD"</x:formula1>
    </x:dataValidation>
    <x:dataValidation type="list" sqref="E69:E75">
      <x:formula1>"PENDIENTE,ACEPTADA,RECHAZADA,HOLD"</x:formula1>
    </x:dataValidation>
    <x:dataValidation type="list" sqref="E76:E80">
      <x:formula1>"PENDIENTE,ACEPTADA,RECHAZADA,HOLD"</x:formula1>
    </x:dataValidation>
    <x:dataValidation type="list" sqref="E81:E87">
      <x:formula1>"PENDIENTE,ACEPTADA,RECHAZADA,HOLD"</x:formula1>
    </x:dataValidation>
    <x:dataValidation type="list" sqref="E88:E93">
      <x:formula1>"PENDIENTE,ACEPTADA,RECHAZADA,HOLD"</x:formula1>
    </x:dataValidation>
    <x:dataValidation type="list" sqref="E94:E96">
      <x:formula1>"PENDIENTE,ACEPTADA,RECHAZADA,HOLD"</x:formula1>
    </x:dataValidation>
    <x:dataValidation type="list" sqref="E97:E103">
      <x:formula1>"PENDIENTE,ACEPTADA,RECHAZADA,HOLD"</x:formula1>
    </x:dataValidation>
    <x:dataValidation type="list" sqref="E104:E106">
      <x:formula1>"PENDIENTE,ACEPTADA,RECHAZADA,HOLD"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32" hidden="0" customWidth="1"/>
    <x:col min="4" max="4" width="50" hidden="0" customWidth="1"/>
    <x:col min="5" max="5" width="26" hidden="0" customWidth="1"/>
    <x:col min="6" max="6" width="38" hidden="0" customWidth="1"/>
  </x:cols>
  <x:sheetData>
    <x:row r="1">
      <x:c r="A1" s="4" t="str">
        <x:v>Contexto mínimo para retomar la migración</x:v>
      </x:c>
      <x:c r="B1" s="4"/>
      <x:c r="C1" s="4"/>
      <x:c r="D1" s="4"/>
      <x:c r="E1" s="4"/>
      <x:c r="F1" s="4"/>
    </x:row>
    <x:row r="3">
      <x:c r="A3" s="12" t="str">
        <x:v>Tema</x:v>
      </x:c>
      <x:c r="B3" s="12" t="str">
        <x:v>Contexto vigente</x:v>
      </x:c>
      <x:c r="C3" s="12" t="str">
        <x:v>Autoridad</x:v>
      </x:c>
      <x:c r="D3" s="12" t="str">
        <x:v>No hacer</x:v>
      </x:c>
      <x:c r="E3" s="12" t="str">
        <x:v>Próxima revisión</x:v>
      </x:c>
      <x:c r="F3" s="12" t="str">
        <x:v>Notas</x:v>
      </x:c>
    </x:row>
    <x:row r="4">
      <x:c r="A4" s="24" t="str">
        <x:v>Arquitectura</x:v>
      </x:c>
      <x:c r="B4" s="24" t="str">
        <x:v>backend/connectivity/integrations/web son transversales Atlanticus; scopes/ada contiene composición ADA.</x:v>
      </x:c>
      <x:c r="C4" s="24" t="str">
        <x:v>Acuerdo premigración</x:v>
      </x:c>
      <x:c r="D4" s="24" t="str">
        <x:v>No mover ADA Web a web/ada.</x:v>
      </x:c>
      <x:c r="E4" s="24" t="str">
        <x:v>Al promover nuevas piezas</x:v>
      </x:c>
      <x:c r="F4" s="24" t="str"/>
    </x:row>
    <x:row r="5">
      <x:c r="A5" s="24" t="str">
        <x:v>App canónica ADA</x:v>
      </x:c>
      <x:c r="B5" s="24" t="str">
        <x:v>scopes/ada/web/application/ada-generic-application; app real, ejecutable y local-first.</x:v>
      </x:c>
      <x:c r="C5" s="24" t="str">
        <x:v>Step 04 verde</x:v>
      </x:c>
      <x:c r="D5" s="24" t="str">
        <x:v>No exigir Cosmos/SharePoint/Entra para boot local.</x:v>
      </x:c>
      <x:c r="E5" s="24" t="str">
        <x:v>Cada capability montada</x:v>
      </x:c>
      <x:c r="F5" s="24" t="str"/>
    </x:row>
    <x:row r="6">
      <x:c r="A6" s="24" t="str">
        <x:v>Header operacional</x:v>
      </x:c>
      <x:c r="B6" s="24" t="str">
        <x:v>Brand + Global Indicators + Alarm Management + Alarm Status + Navigation, como bloques anclables.</x:v>
      </x:c>
      <x:c r="C6" s="24" t="str">
        <x:v>Composición multi-stage + acuerdos actuales</x:v>
      </x:c>
      <x:c r="D6" s="24" t="str">
        <x:v>No copiar Header monolítico ni mezclar Manager.</x:v>
      </x:c>
      <x:c r="E6" s="24" t="str">
        <x:v>05E</x:v>
      </x:c>
      <x:c r="F6" s="24" t="str"/>
    </x:row>
    <x:row r="7">
      <x:c r="A7" s="24" t="str">
        <x:v>Manager</x:v>
      </x:c>
      <x:c r="B7" s="24" t="str">
        <x:v>Tiene su propia composición y Header administrativo.</x:v>
      </x:c>
      <x:c r="C7" s="24" t="str">
        <x:v>Acuerdo actual</x:v>
      </x:c>
      <x:c r="D7" s="24" t="str">
        <x:v>No usar Manager como fuente visual del Header operacional.</x:v>
      </x:c>
      <x:c r="E7" s="24" t="str">
        <x:v>Después del Header operacional</x:v>
      </x:c>
      <x:c r="F7" s="24" t="str"/>
    </x:row>
    <x:row r="8">
      <x:c r="A8" s="24" t="str">
        <x:v>Configuración</x:v>
      </x:c>
      <x:c r="B8" s="24" t="str">
        <x:v>Nombre visible de la Tool/app debe provenir de configuración/contexto, no hardcodearse.</x:v>
      </x:c>
      <x:c r="C8" s="24" t="str">
        <x:v>Acuerdo actual</x:v>
      </x:c>
      <x:c r="D8" s="24" t="str">
        <x:v>No codificar Integrated Operations/Process en shell genérico.</x:v>
      </x:c>
      <x:c r="E8" s="24" t="str">
        <x:v>05B</x:v>
      </x:c>
      <x:c r="F8" s="24" t="str"/>
    </x:row>
    <x:row r="9">
      <x:c r="A9" s="24" t="str">
        <x:v>Testing</x:v>
      </x:c>
      <x:c r="B9" s="24" t="str">
        <x:v>Incrementos pequeños: uv locked, Ruff/format, tests relevantes, mirror, app boot/smoke visual cuando aplique.</x:v>
      </x:c>
      <x:c r="C9" s="24" t="str">
        <x:v>Política de migración</x:v>
      </x:c>
      <x:c r="D9" s="24" t="str">
        <x:v>No bloquear por hardening exhaustivo prematuro.</x:v>
      </x:c>
      <x:c r="E9" s="24" t="str">
        <x:v>Todos</x:v>
      </x:c>
      <x:c r="F9" s="24" t="str"/>
    </x:row>
    <x:row r="10">
      <x:c r="A10" s="24" t="str">
        <x:v>Tooling ADA</x:v>
      </x:c>
      <x:c r="B10" s="24" t="str">
        <x:v>scripts/scopes/ada/check.sh significa semánticamente 'todo ADA'; hoy sólo conoce lo migrado.</x:v>
      </x:c>
      <x:c r="C10" s="24" t="str">
        <x:v>Acuerdo actual</x:v>
      </x:c>
      <x:c r="D10" s="24" t="str">
        <x:v>No convertirlo en script monolítico con lógica de todas las fronteras.</x:v>
      </x:c>
      <x:c r="E10" s="24" t="str">
        <x:v>A medida que crece ADA</x:v>
      </x:c>
      <x:c r="F10" s="24" t="str"/>
    </x:row>
    <x:row r="11">
      <x:c r="A11" t="str">
        <x:v>Operational Branding</x:v>
      </x:c>
      <x:c r="B11" t="str">
        <x:v>Capability independiente ada.web.ui.branding. Renderiza logo ADA + Asistente de Decisiones Ágiles + contexto configurado opcional. El asset operacional canónico es ada-operational-primary.svg y se publica vía AssetLayer/URL.</x:v>
      </x:c>
      <x:c r="C11" t="str">
        <x:v>Decisiones D-012 a D-015</x:v>
      </x:c>
      <x:c r="D11" t="str">
        <x:v>No acoplarla a Tool Manifest, resolver calendario legacy, branding de Manager ni formato PNG/base64.</x:v>
      </x:c>
      <x:c r="E11" t="str">
        <x:v>05B/05E</x:v>
      </x:c>
      <x:c r="F11" t="str"/>
    </x:row>
    <x:row r="12">
      <x:c r="A12" t="str">
        <x:v>Component State</x:v>
      </x:c>
      <x:c r="B12" t="str">
        <x:v>Capacidad transversal aprobada para cover/overlay/resilience de componentes. No se promueve aún; se incorporará con el primer consumidor canónico.</x:v>
      </x:c>
      <x:c r="C12" t="str">
        <x:v>Decisiones D-016 a D-018</x:v>
      </x:c>
      <x:c r="D12" t="str">
        <x:v>No mezclar con Page Readiness ni conservar el namespace legacy state_wrapper.</x:v>
      </x:c>
      <x:c r="E12" t="str">
        <x:v>Primer consumidor real (Global Indicators/Alarms/Dashboard)</x:v>
      </x:c>
      <x:c r="F12" t="str"/>
    </x:row>
    <x:row r="13">
      <x:c r="A13" t="str">
        <x:v>ADA Navigation Presentation</x:v>
      </x:c>
      <x:c r="B13" t="str">
        <x:v>ada.web.shell.navigation es sólo presentación. Consume NavigationMenu resuelto; view/action son inyectables y su namespace visual es propio.</x:v>
      </x:c>
      <x:c r="C13" t="str">
        <x:v>Decisiones D-019 a D-023</x:v>
      </x:c>
      <x:c r="D13" t="str">
        <x:v>No hardcodear proyecto/URL, no resolver ServiceRegistry dentro de presentation, no acoplar IDs/CSS al Header.</x:v>
      </x:c>
      <x:c r="E13" t="str">
        <x:v>05D hasta cierre visual; luego 05E</x:v>
      </x:c>
      <x:c r="F13" t="str"/>
    </x:row>
    <x:row r="14">
      <x:c r="A14" t="str">
        <x:v>Navigation visual authority</x:v>
      </x:c>
      <x:c r="B14" t="str">
        <x:v>El patrón multi-stage debe preservarse durante la migración: trigger desktop lateral con chevron, mobile trigger, offcanvas, user card, acción opcional, links/grupos/active state y responsive. Sólo se genericizan datos, ownership y composición.</x:v>
      </x:c>
      <x:c r="C14" t="str">
        <x:v>Decisiones D-028 a D-030</x:v>
      </x:c>
      <x:c r="D14" t="str">
        <x:v>No reinterpretar o simplificar la UX al desacoplar código salvo acuerdo explícito.</x:v>
      </x:c>
      <x:c r="E14" t="str">
        <x:v>05D hasta cierre visual</x:v>
      </x:c>
      <x:c r="F14" t="str"/>
    </x:row>
    <x:row r="15">
      <x:c r="A15" t="str">
        <x:v>Navigation canvas institutional layout</x:v>
      </x:c>
      <x:c r="B15" t="str">
        <x:v>Header interno oscuro: ADA + Asistente de Decisiones Ágiles. Centro scrollable. Footer fijo: Minera Los Pelambres + versión instalada.</x:v>
      </x:c>
      <x:c r="C15" t="str">
        <x:v>Decisiones D-031 a D-034</x:v>
      </x:c>
      <x:c r="D15" t="str">
        <x:v>No mover el trigger, no duplicar assets en Navigation, no hardcodear versión.</x:v>
      </x:c>
      <x:c r="E15" t="str">
        <x:v>05D hasta aprobación visual</x:v>
      </x:c>
      <x:c r="F15" t="str"/>
    </x:row>
    <x:row r="16">
      <x:c r="A16" t="str">
        <x:v>05D Navigation cerrado</x:v>
      </x:c>
      <x:c r="B16" t="str">
        <x:v>Navigation Presentation está cerrada. CSS final del usuario es autoridad. ADA usa ada-operational-primary.svg; Pelambres usa amsa-pelambres-primary.png. Gate completo verde: 8/4/9/4 tests en ui-core/branding/navigation/application.</x:v>
      </x:c>
      <x:c r="C16" t="str">
        <x:v>Decisiones D-035 a D-037 + gate final</x:v>
      </x:c>
      <x:c r="D16" t="str">
        <x:v>No modificar internals/CSS de Navigation ni Branding desde 05E salvo nueva decisión explícita.</x:v>
      </x:c>
      <x:c r="E16" t="str">
        <x:v>05E</x:v>
      </x:c>
      <x:c r="F16" t="str"/>
    </x:row>
    <x:row r="17">
      <x:c r="A17" t="str">
        <x:v>05E Operational Header</x:v>
      </x:c>
      <x:c r="B17" t="str">
        <x:v>Shell nuevo ada.web.shell.header. Header row con Brand fijo, Global Indicators 2.40, Alarm Management 1.45 y Alarm Status 1.25. Slots reciben Component externos; Navigation se ancla sin modificar su presentation.</x:v>
      </x:c>
      <x:c r="C17" t="str">
        <x:v>Decisiones D-038 a D-042</x:v>
      </x:c>
      <x:c r="D17" t="str">
        <x:v>No reintroducir ToolManifest, GlobalIndicatorState, alarm semantics, State Wrapper ni sobrescribir CSS de Navigation.</x:v>
      </x:c>
      <x:c r="E17" t="str">
        <x:v>05E hasta gate + revisión visual</x:v>
      </x:c>
      <x:c r="F17" t="str"/>
    </x:row>
    <x:row r="18">
      <x:c r="A18" t="str">
        <x:v>Brand variants + local asset refresh</x:v>
      </x:c>
      <x:c r="B18" t="str">
        <x:v>Operational Header consume ADA Primary; Navigation consume ADA Secondary; Pelambres permanece PNG. Los assets se publican por Branding/AssetLayer. Cambios sólo CSS/img requieren reiniciar el runtime para rematerializar publicación.</x:v>
      </x:c>
      <x:c r="C18" t="str">
        <x:v>Decisiones D-043 a D-046</x:v>
      </x:c>
      <x:c r="D18" t="str">
        <x:v>No duplicar assets en Header/Navigation ni reconstruir wheels sólo para ver cambios CSS locales.</x:v>
      </x:c>
      <x:c r="E18" t="str">
        <x:v>05E</x:v>
      </x:c>
      <x:c r="F18" t="str"/>
    </x:row>
    <x:row r="19">
      <x:c r="A19" t="str">
        <x:v>06A ADA Display Status</x:v>
      </x:c>
      <x:c r="B19" t="str">
        <x:v>Capability compartida ada.web.ui.display_status. Estados OK/NOT_MAPPED/EMPTY/INVALID/ERROR; cuatro iconos degradados reutilizables por Global Indicators y KPI Body. Internal Error usa viewBox 0 0 16 16.</x:v>
      </x:c>
      <x:c r="C19" t="str">
        <x:v>Decisiones D-047 a D-051</x:v>
      </x:c>
      <x:c r="D19" t="str">
        <x:v>No ubicar los iconos dentro de Global Indicators ni mezclar Display Status con Component State.</x:v>
      </x:c>
      <x:c r="E19" t="str">
        <x:v>06A → 06B Global Indicators</x:v>
      </x:c>
      <x:c r="F19" t="str"/>
    </x:row>
    <x:row r="20">
      <x:c r="A20" t="str">
        <x:v>06B ADA Global Indicator</x:v>
      </x:c>
      <x:c r="B20" t="str">
        <x:v>Promoción visual limpia desde multi-stage: estado, colección, estilo, layout estándar, CSS y AssetLayer. Consume Display Status. Se excluyen definitions/mappers KPI, ToolScope/Header placement y Component State.</x:v>
      </x:c>
      <x:c r="C20" t="str">
        <x:v>Decisiones D-052 a D-057</x:v>
      </x:c>
      <x:c r="D20" t="str">
        <x:v>No montar todavía datos falsos en ada-generic-application; 06C resolverá provider/composición y slot.</x:v>
      </x:c>
      <x:c r="E20" t="str">
        <x:v>06B → 06C</x:v>
      </x:c>
      <x:c r="F20" t="str"/>
    </x:row>
    <x:row r="21">
      <x:c r="A21" t="str">
        <x:v>06B checker bootstrap</x:v>
      </x:c>
      <x:c r="B21" t="str">
        <x:v>scripts/scopes/ada/check.sh usa el entorno UV de ada-generic-application. Capabilities aún no consumidas por runtime deben estar disponibles al checker sin convertirse prematuramente en dependencias productivas.</x:v>
      </x:c>
      <x:c r="C21" t="str">
        <x:v>Decisiones D-058 a D-060</x:v>
      </x:c>
      <x:c r="D21" t="str">
        <x:v>06B usa dependency-groups.dev; 06C moverá Global Indicator a runtime al montarlo en el Header.</x:v>
      </x:c>
      <x:c r="E21" t="str">
        <x:v>06B corrective 0.1.1</x:v>
      </x:c>
      <x:c r="F21" t="str"/>
    </x:row>
    <x:row r="22">
      <x:c r="A22" t="str">
        <x:v>06C Global Indicators → Header</x:v>
      </x:c>
      <x:c r="B22" t="str">
        <x:v>ada-generic-application==0.1.9 registra ada-global-indicator como módulo runtime y acepta una GlobalIndicatorCollection explícita. La composition root construye el componente sólo si la colección contiene indicadores y lo entrega al global_indicators_slot.</x:v>
      </x:c>
      <x:c r="C22" t="str">
        <x:v>Decisiones D-061 a D-065</x:v>
      </x:c>
      <x:c r="D22" t="str">
        <x:v>Sin provider específico ni datos de referencia en producción; no modificar CSS/assets cerrados.</x:v>
      </x:c>
      <x:c r="E22" t="str">
        <x:v>06C → revisión visual con colección real/inyección explícita</x:v>
      </x:c>
      <x:c r="F22" t="str"/>
    </x:row>
    <x:row r="23">
      <x:c r="A23" t="str">
        <x:v>07A ADA Alarm Management Summary</x:v>
      </x:c>
      <x:c r="B23" t="str">
        <x:v>Promoción visual limpia desde multi-stage: Mina/Planta, grupo, porcentaje y tone. Se eliminan ToolManifest/ToolScope/section_key, runtime state validation y State Wrapper. El CSS histórico se separa de Alarm Status y usa variables propias de la capability.</x:v>
      </x:c>
      <x:c r="C23" t="str">
        <x:v>Decisiones D-067 a D-072</x:v>
      </x:c>
      <x:c r="D23" t="str">
        <x:v>No montar datos ficticios ni introducir semántica del motor de Command Center.</x:v>
      </x:c>
      <x:c r="E23" t="str">
        <x:v>07A → 07B</x:v>
      </x:c>
      <x:c r="F23" t="str"/>
    </x:row>
    <x:row r="24">
      <x:c r="A24" t="str">
        <x:v>07B Alarm Management Summary → Header</x:v>
      </x:c>
      <x:c r="B24" t="str">
        <x:v>ada-generic-application==0.1.10 registra ada-alarm-management-summary como módulo runtime y acepta AlarmManagementSummaryState explícito. La composition root construye el componente sólo desde ese estado y lo entrega a alarm_management_slot.</x:v>
      </x:c>
      <x:c r="C24" t="str">
        <x:v>Decisiones D-073 a D-077</x:v>
      </x:c>
      <x:c r="D24" t="str">
        <x:v>Default None; sin datos ficticios ni provider específico. CSS/assets cerrados no se modifican.</x:v>
      </x:c>
      <x:c r="E24" t="str">
        <x:v>07B → gate + revisión visual con inyección explícita</x:v>
      </x:c>
      <x:c r="F24" t="str"/>
    </x:row>
    <x:row r="25">
      <x:c r="A25" t="str">
        <x:v>08A ADA Alarm Status</x:v>
      </x:c>
      <x:c r="B25" t="str">
        <x:v>Promoción visual desde multi-stage: Alarmas + Activas/Gestionadas. Se conserva conteo y geometría base, pero los chips pasan a botones semánticos para los futuros modales. Se eliminan ToolManifest/ToolScope/State Wrapper.</x:v>
      </x:c>
      <x:c r="C25" t="str">
        <x:v>Decisiones D-079 a D-084</x:v>
      </x:c>
      <x:c r="D25" t="str">
        <x:v>No implementar aún callbacks, modales ni detalle backend.</x:v>
      </x:c>
      <x:c r="E25" t="str">
        <x:v>08A → 08B</x:v>
      </x:c>
      <x:c r="F25" t="str"/>
    </x:row>
    <x:row r="26">
      <x:c r="A26" t="str">
        <x:v>08B Alarm Status → Header</x:v>
      </x:c>
      <x:c r="B26" t="str">
        <x:v>ada-generic-application==0.1.11 registra ada-alarm-status como módulo runtime y acepta AlarmStatusState explícito. La composition root construye el componente y lo entrega a alarm_status_slot. El paquete incluye preview runner local no persistente.</x:v>
      </x:c>
      <x:c r="C26" t="str">
        <x:v>Decisiones D-085 a D-090</x:v>
      </x:c>
      <x:c r="D26" t="str">
        <x:v>Bootstrap normal sin datos ficticios. No implementar aún modales/callbacks ni contratos de detalle.</x:v>
      </x:c>
      <x:c r="E26" t="str">
        <x:v>08B → gate + preview visual → ajustes UI / 08C</x:v>
      </x:c>
      <x:c r="F26" t="str"/>
    </x:row>
    <x:row r="27">
      <x:c r="A27" t="str">
        <x:v>08B corrective 0.1.1</x:v>
      </x:c>
      <x:c r="B27" t="str">
        <x:v>El primer instalador usó un anchor textual sobre la forma pre-Ruff de Management Summary. El correctivo usa directamente `header = build_ada_operational_header(` como punto único de inserción.</x:v>
      </x:c>
      <x:c r="C27" t="str">
        <x:v>Decisiones D-091 a D-093</x:v>
      </x:c>
      <x:c r="D27" t="str">
        <x:v>Sin cambios en CSS/assets, contratos, versiones productivas ni preview.</x:v>
      </x:c>
      <x:c r="E27" t="str">
        <x:v>08B corrective</x:v>
      </x:c>
      <x:c r="F27" t="str"/>
    </x:row>
    <x:row r="28">
      <x:c r="A28" t="str">
        <x:v>08B.1A Header/GI calibration</x:v>
      </x:c>
      <x:c r="B28" t="str">
        <x:v>Primer ajuste visual posterior al Header completo. Header asigna anchos controlados a Brand/Management/Status y deja el resto a GI. GI usa columnas iguales; cada KPI ocupa su track pero heading/content mantienen ancho natural centrado. La tabla de mediciones y ellipsis ya existentes se preservan/refuerzan.</x:v>
      </x:c>
      <x:c r="C28" t="str">
        <x:v>Decisiones D-095 a D-100</x:v>
      </x:c>
      <x:c r="D28" t="str">
        <x:v>No modificar Navigation todavía; no tocar contratos/models/providers.</x:v>
      </x:c>
      <x:c r="E28" t="str">
        <x:v>08B.1A → preview → 08B.1B</x:v>
      </x:c>
      <x:c r="F28" t="str"/>
    </x:row>
    <x:row r="29">
      <x:c r="A29" t="str">
        <x:v>08B.1A corrective 0.1.1</x:v>
      </x:c>
      <x:c r="B29" t="str">
        <x:v>El cambio visual original era correcto y pasó gates propios. El fallo final fue únicamente por dos tests de ada-generic-application que conservaban la versión 0.1.11 después del bump a 0.1.12.</x:v>
      </x:c>
      <x:c r="C29" t="str">
        <x:v>Decisiones D-101 a D-103</x:v>
      </x:c>
      <x:c r="D29" t="str">
        <x:v>Correctivo limitado a consistencia de tests; sin cambio visual adicional.</x:v>
      </x:c>
      <x:c r="E29" t="str">
        <x:v>08B.1A corrective → preview</x:v>
      </x:c>
      <x:c r="F29" t="str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30" hidden="0" customWidth="1"/>
    <x:col min="5" max="5" width="42" hidden="0" customWidth="1"/>
    <x:col min="6" max="6" width="30" hidden="0" customWidth="1"/>
    <x:col min="7" max="7" width="48" hidden="0" customWidth="1"/>
  </x:cols>
  <x:sheetData>
    <x:row r="1">
      <x:c r="A1" s="4" t="str">
        <x:v>Después del Header — secuencia orientativa</x:v>
      </x:c>
      <x:c r="B1" s="4"/>
      <x:c r="C1" s="4"/>
      <x:c r="D1" s="4"/>
      <x:c r="E1" s="4"/>
      <x:c r="F1" s="4"/>
      <x:c r="G1" s="4"/>
    </x:row>
    <x:row r="3">
      <x:c r="A3" s="12" t="str">
        <x:v>Orden tentativo</x:v>
      </x:c>
      <x:c r="B3" s="12" t="str">
        <x:v>Capability</x:v>
      </x:c>
      <x:c r="C3" s="12" t="str">
        <x:v>Estado</x:v>
      </x:c>
      <x:c r="D3" s="12" t="str">
        <x:v>Ancla en Header</x:v>
      </x:c>
      <x:c r="E3" s="12" t="str">
        <x:v>Propiedad interna</x:v>
      </x:c>
      <x:c r="F3" s="12" t="str">
        <x:v>Dependencia previa</x:v>
      </x:c>
      <x:c r="G3" s="12" t="str">
        <x:v>Observación</x:v>
      </x:c>
    </x:row>
    <x:row r="4">
      <x:c r="A4" s="24" t="str">
        <x:v>06A</x:v>
      </x:c>
      <x:c r="B4" s="24" t="str">
        <x:v>ADA Display Status</x:v>
      </x:c>
      <x:c r="C4" s="24" t="str">
        <x:v>VERDE</x:v>
      </x:c>
      <x:c r="D4" s="24" t="str">
        <x:v>N/A</x:v>
      </x:c>
      <x:c r="E4" s="24" t="str">
        <x:v>Estados/iconos compartidos</x:v>
      </x:c>
      <x:c r="F4" s="24" t="str">
        <x:v>05A</x:v>
      </x:c>
      <x:c r="G4" s="24" t="str">
        <x:v>CERRADO.</x:v>
      </x:c>
    </x:row>
    <x:row r="5">
      <x:c r="A5" s="24" t="str">
        <x:v>06B</x:v>
      </x:c>
      <x:c r="B5" s="24" t="str">
        <x:v>ADA Global Indicator</x:v>
      </x:c>
      <x:c r="C5" s="24" t="str">
        <x:v>VERDE</x:v>
      </x:c>
      <x:c r="D5" s="24" t="str">
        <x:v>N/A</x:v>
      </x:c>
      <x:c r="E5" s="24" t="str">
        <x:v>Presentación reusable</x:v>
      </x:c>
      <x:c r="F5" s="24" t="str">
        <x:v>06A</x:v>
      </x:c>
      <x:c r="G5" s="24" t="str">
        <x:v>CERRADO.</x:v>
      </x:c>
    </x:row>
    <x:row r="6">
      <x:c r="A6" s="24" t="str">
        <x:v>06C</x:v>
      </x:c>
      <x:c r="B6" s="24" t="str">
        <x:v>Global Indicators → Header</x:v>
      </x:c>
      <x:c r="C6" s="24" t="str">
        <x:v>VERDE</x:v>
      </x:c>
      <x:c r="D6" s="24" t="str">
        <x:v>global_indicators_slot</x:v>
      </x:c>
      <x:c r="E6" s="24" t="str">
        <x:v>Colección explícita montada por composición</x:v>
      </x:c>
      <x:c r="F6" s="24" t="str">
        <x:v>05E + 06B</x:v>
      </x:c>
      <x:c r="G6" s="24" t="str">
        <x:v>CERRADO.</x:v>
      </x:c>
    </x:row>
    <x:row r="7">
      <x:c r="A7" s="24" t="str">
        <x:v>07A</x:v>
      </x:c>
      <x:c r="B7" s="24" t="str">
        <x:v>ADA Alarm Management Summary</x:v>
      </x:c>
      <x:c r="C7" s="24" t="str">
        <x:v>VERDE</x:v>
      </x:c>
      <x:c r="D7" s="24" t="str">
        <x:v>N/A</x:v>
      </x:c>
      <x:c r="E7" s="24" t="str">
        <x:v>Mina/Planta visual</x:v>
      </x:c>
      <x:c r="F7" s="24" t="str">
        <x:v>05E</x:v>
      </x:c>
      <x:c r="G7" s="24" t="str">
        <x:v>CERRADO.</x:v>
      </x:c>
    </x:row>
    <x:row r="8">
      <x:c r="A8" t="str">
        <x:v>07B</x:v>
      </x:c>
      <x:c r="B8" t="str">
        <x:v>Alarm Management Summary → Header</x:v>
      </x:c>
      <x:c r="C8" t="str">
        <x:v>VERDE</x:v>
      </x:c>
      <x:c r="D8" t="str">
        <x:v>alarm_management_slot</x:v>
      </x:c>
      <x:c r="E8" t="str">
        <x:v>Estado explícito montado por composición</x:v>
      </x:c>
      <x:c r="F8" t="str">
        <x:v>07A</x:v>
      </x:c>
      <x:c r="G8" t="str">
        <x:v>CERRADO.</x:v>
      </x:c>
    </x:row>
    <x:row r="9">
      <x:c r="A9" t="str">
        <x:v>08A</x:v>
      </x:c>
      <x:c r="B9" t="str">
        <x:v>ADA Alarm Status base</x:v>
      </x:c>
      <x:c r="C9" t="str">
        <x:v>VERDE</x:v>
      </x:c>
      <x:c r="D9" t="str">
        <x:v>N/A</x:v>
      </x:c>
      <x:c r="E9" t="str">
        <x:v>Activas + Gestionadas como acciones visuales</x:v>
      </x:c>
      <x:c r="F9" t="str">
        <x:v>05E</x:v>
      </x:c>
      <x:c r="G9" t="str">
        <x:v>CERRADO.</x:v>
      </x:c>
    </x:row>
    <x:row r="10">
      <x:c r="A10" t="str">
        <x:v>08B</x:v>
      </x:c>
      <x:c r="B10" t="str">
        <x:v>Alarm Status → Header</x:v>
      </x:c>
      <x:c r="C10" t="str">
        <x:v>VERDE</x:v>
      </x:c>
      <x:c r="D10" t="str">
        <x:v>alarm_status_slot</x:v>
      </x:c>
      <x:c r="E10" t="str">
        <x:v>Estado explícito montado por composición</x:v>
      </x:c>
      <x:c r="F10" t="str">
        <x:v>08A</x:v>
      </x:c>
      <x:c r="G10" t="str">
        <x:v>CERRADO estructuralmente; preview completo disponible.</x:v>
      </x:c>
    </x:row>
    <x:row r="11">
      <x:c r="A11" t="str">
        <x:v>08B.1A</x:v>
      </x:c>
      <x:c r="B11" t="str">
        <x:v>Header + Global Indicator Calibration</x:v>
      </x:c>
      <x:c r="C11" t="str">
        <x:v>EN EJECUCIÓN</x:v>
      </x:c>
      <x:c r="D11" t="str">
        <x:v>Header + global_indicators_slot</x:v>
      </x:c>
      <x:c r="E11" t="str">
        <x:v>GI usa todo el espacio restante; KPI iguales; contenido natural centrado; tabla/ellipsis preservados</x:v>
      </x:c>
      <x:c r="F11" t="str">
        <x:v>08B</x:v>
      </x:c>
      <x:c r="G11" t="str">
        <x:v>0.1.0 aplicó la calibración y pasó gates Header/Global Indicator; falló sólo porque Application tests seguían esperando 0.1.11. 0.1.1 conserva exactamente el mismo cambio visual y actualiza los dos asserts de versión a 0.1.12.</x:v>
      </x:c>
    </x:row>
    <x:row r="12">
      <x:c r="A12" t="str">
        <x:v>08B.1B</x:v>
      </x:c>
      <x:c r="B12" t="str">
        <x:v>Navigation trigger compact</x:v>
      </x:c>
      <x:c r="C12" t="str">
        <x:v>PENDIENTE</x:v>
      </x:c>
      <x:c r="D12" t="str">
        <x:v>navigation_desktop</x:v>
      </x:c>
      <x:c r="E12" t="str">
        <x:v>Rail angosto; sobresale sólo levemente en hover/focus y nunca tapa Alarm Status</x:v>
      </x:c>
      <x:c r="F12" t="str">
        <x:v>08B.1A</x:v>
      </x:c>
      <x:c r="G12" t="str">
        <x:v>Modificar Navigation CSS explícitamente aprobado por el usuario.</x:v>
      </x:c>
    </x:row>
    <x:row r="13">
      <x:c r="A13" t="str">
        <x:v>08C</x:v>
      </x:c>
      <x:c r="B13" t="str">
        <x:v>Alarm Status detail contracts</x:v>
      </x:c>
      <x:c r="C13" t="str">
        <x:v>PENDIENTE</x:v>
      </x:c>
      <x:c r="D13" t="str">
        <x:v>N/A</x:v>
      </x:c>
      <x:c r="E13" t="str">
        <x:v>Contratos para detalle Activas/Gestionadas</x:v>
      </x:c>
      <x:c r="F13" t="str">
        <x:v>Command Center contracts</x:v>
      </x:c>
      <x:c r="G13" t="str">
        <x:v>No inventar tendencias/grupos ni semántica de gestión.</x:v>
      </x:c>
    </x:row>
  </x:sheetData>
  <x:mergeCells>
    <x:mergeCell ref="A1:G1"/>
  </x:mergeCells>
  <x:conditionalFormatting sqref="C4:C7">
    <x:cfRule type="expression" dxfId="20" priority="1">
      <x:formula>C4="VERDE"</x:formula>
    </x:cfRule>
    <x:cfRule type="expression" dxfId="21" priority="2">
      <x:formula>C4="OK"</x:formula>
    </x:cfRule>
    <x:cfRule type="expression" dxfId="22" priority="3">
      <x:formula>C4="FAIL"</x:formula>
    </x:cfRule>
    <x:cfRule type="expression" dxfId="23" priority="4">
      <x:formula>C4="PENDIENTE"</x:formula>
    </x:cfRule>
    <x:cfRule type="expression" dxfId="24" priority="5">
      <x:formula>C4="HOLD"</x:formula>
    </x:cfRule>
  </x:conditionalFormatting>
  <x:dataValidations count="6">
    <x:dataValidation type="list" sqref="C4:C7">
      <x:formula1>"PENDIENTE,EN REVISIÓN,LISTO PARA IMPLEMENTAR,EN EJECUCIÓN,VERDE,HOLD,DESCARTADO"</x:formula1>
    </x:dataValidation>
    <x:dataValidation type="list" sqref="C4:C8">
      <x:formula1>"PENDIENTE,EN REVISIÓN,LISTO PARA IMPLEMENTAR,EN EJECUCIÓN,VERDE,HOLD,DESCARTADO"</x:formula1>
    </x:dataValidation>
    <x:dataValidation type="list" sqref="C4:C9">
      <x:formula1>"PENDIENTE,EN REVISIÓN,LISTO PARA IMPLEMENTAR,EN EJECUCIÓN,VERDE,HOLD,DESCARTADO"</x:formula1>
    </x:dataValidation>
    <x:dataValidation type="list" sqref="C4:C10">
      <x:formula1>"PENDIENTE,EN REVISIÓN,LISTO PARA IMPLEMENTAR,EN EJECUCIÓN,VERDE,HOLD,DESCARTADO"</x:formula1>
    </x:dataValidation>
    <x:dataValidation type="list" sqref="C4:C12">
      <x:formula1>"PENDIENTE,EN REVISIÓN,LISTO PARA IMPLEMENTAR,EN EJECUCIÓN,VERDE,HOLD,DESCARTADO"</x:formula1>
    </x:dataValidation>
    <x:dataValidation type="list" sqref="C4:C13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