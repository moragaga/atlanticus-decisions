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f6ba7b065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0621cf9b6dd6472c"/>
    <x:sheet xmlns:r="http://schemas.openxmlformats.org/officeDocument/2006/relationships" name="01_Header_Plan" sheetId="2" r:id="Rcb7522453e7b44fd"/>
    <x:sheet xmlns:r="http://schemas.openxmlformats.org/officeDocument/2006/relationships" name="02_Checks" sheetId="3" r:id="R3da469bc6f214d49"/>
    <x:sheet xmlns:r="http://schemas.openxmlformats.org/officeDocument/2006/relationships" name="03_Decisions" sheetId="4" r:id="R897f2712585145ca"/>
    <x:sheet xmlns:r="http://schemas.openxmlformats.org/officeDocument/2006/relationships" name="04_Contexto" sheetId="5" r:id="Rb44c71ea733c4231"/>
    <x:sheet xmlns:r="http://schemas.openxmlformats.org/officeDocument/2006/relationships" name="05_Futuro" sheetId="6" r:id="R6716cd92a004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ce554b4fe4b6d" /><Relationship Type="http://schemas.openxmlformats.org/officeDocument/2006/relationships/theme" Target="/xl/theme/theme1.xml" Id="R8312f3682a994ac0" /><Relationship Type="http://schemas.openxmlformats.org/officeDocument/2006/relationships/sharedStrings" Target="/xl/sharedStrings.xml" Id="R2e8157a6fc9e448e" /><Relationship Type="http://schemas.openxmlformats.org/officeDocument/2006/relationships/worksheet" Target="/xl/worksheets/sheet1.xml" Id="R0621cf9b6dd6472c" /><Relationship Type="http://schemas.openxmlformats.org/officeDocument/2006/relationships/worksheet" Target="/xl/worksheets/sheet2.xml" Id="Rcb7522453e7b44fd" /><Relationship Type="http://schemas.openxmlformats.org/officeDocument/2006/relationships/worksheet" Target="/xl/worksheets/sheet3.xml" Id="R3da469bc6f214d49" /><Relationship Type="http://schemas.openxmlformats.org/officeDocument/2006/relationships/worksheet" Target="/xl/worksheets/sheet4.xml" Id="R897f2712585145ca" /><Relationship Type="http://schemas.openxmlformats.org/officeDocument/2006/relationships/worksheet" Target="/xl/worksheets/sheet5.xml" Id="Rb44c71ea733c4231" /><Relationship Type="http://schemas.openxmlformats.org/officeDocument/2006/relationships/worksheet" Target="/xl/worksheets/sheet6.xml" Id="R6716cd92a00446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06B — ADA Global Indicator: EN EJECUCIÓN. Intento 0.1.0 falló por entorno del checker: Global Indicator no estaba instalado en el UV env de ada-generic-application. Rollback correcto. Correctivo 0.1.1 preparado.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COUNTIF(E4:E14,"VERDE")</x:f>
        <x:v>9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6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VERDE</x:v>
      </x:c>
      <x:c r="F13" t="n">
        <x:f>COUNTIF('05_Futuro'!C4:C9,"VERDE")</x:f>
        <x:v>1</x:v>
      </x:c>
      <x:c r="G13" t="str">
        <x:v>N/A</x:v>
      </x:c>
      <x:c r="H13" t="str">
        <x:v>Gate completo reportado verde por el usuario. Capability compartida disponible para Global Indicators y KPI Body.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Step 06B — ADA Global Indicator</x:v>
      </x:c>
      <x:c r="E14" t="str">
        <x:v>EN EJECUCIÓN</x:v>
      </x:c>
      <x:c r="F14" s="26" t="n">
        <x:f>IF(F12=0,0,F13/F12)</x:f>
        <x:v>0.16666666666666666</x:v>
      </x:c>
      <x:c r="G14" t="str">
        <x:v>N/A</x:v>
      </x:c>
      <x:c r="H14" t="str">
        <x:v>0.1.0: FAIL en pytest collection con ModuleNotFoundError porque check.sh usa el entorno UV de ada-generic-application y 06B aún no era dependencia de la app. Rollback ejecutado. 0.1.1 agrega Global Indicator sólo al grupo dev de la app hasta 06C.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  <x:row r="55">
      <x:c r="A55" s="24" t="str">
        <x:v>D-052</x:v>
      </x:c>
      <x:c r="B55" s="24" t="str">
        <x:v>2026-08-26</x:v>
      </x:c>
      <x:c r="C55" s="24" t="str">
        <x:v>Global Indicator canonical boundary</x:v>
      </x:c>
      <x:c r="D55" s="24" t="str">
        <x:v>Global Indicator se promueve como `ada.web.ui.global_indicator`, independiente del Header y de cualquier Tool concreta.</x:v>
      </x:c>
      <x:c r="E55" s="24" t="str">
        <x:v>ACEPTADA</x:v>
      </x:c>
      <x:c r="F55" s="24" t="str">
        <x:v>La capability puede reutilizarse en distintas superficies ADA y el Header sólo recibe su Component.</x:v>
      </x:c>
      <x:c r="G55" s="24" t="str">
        <x:v>06B</x:v>
      </x:c>
      <x:c r="H55" s="24" t="str"/>
    </x:row>
    <x:row r="56">
      <x:c r="A56" s="24" t="str">
        <x:v>D-053</x:v>
      </x:c>
      <x:c r="B56" s="24" t="str">
        <x:v>2026-08-26</x:v>
      </x:c>
      <x:c r="C56" s="24" t="str">
        <x:v>Runtime KPI mappers excluidos</x:v>
      </x:c>
      <x:c r="D56" s="24" t="str">
        <x:v>No se promueven `GlobalIndicatorDefinition` ni mappers que codifican `*_real_inst`, `*_plan_inst` y `*_color_inst`.</x:v>
      </x:c>
      <x:c r="E56" s="24" t="str">
        <x:v>ACEPTADA</x:v>
      </x:c>
      <x:c r="F56" s="24" t="str">
        <x:v>Las convenciones de fuente/configuración pertenecen a adapters/providers/composición, no al componente visual.</x:v>
      </x:c>
      <x:c r="G56" s="24" t="str">
        <x:v>06B</x:v>
      </x:c>
      <x:c r="H56" s="24" t="str"/>
    </x:row>
    <x:row r="57">
      <x:c r="A57" s="24" t="str">
        <x:v>D-054</x:v>
      </x:c>
      <x:c r="B57" s="24" t="str">
        <x:v>2026-08-26</x:v>
      </x:c>
      <x:c r="C57" s="24" t="str">
        <x:v>Header scope placement excluido</x:v>
      </x:c>
      <x:c r="D57" s="24" t="str">
        <x:v>No se promueven ToolScope, HeaderIndicatorPlacement ni resolución Mine/Plant dentro de Global Indicator.</x:v>
      </x:c>
      <x:c r="E57" s="24" t="str">
        <x:v>ACEPTADA</x:v>
      </x:c>
      <x:c r="F57" s="24" t="str">
        <x:v>La selección de indicadores por Tool/scope queda fuera de la UI reusable.</x:v>
      </x:c>
      <x:c r="G57" s="24" t="str">
        <x:v>06B</x:v>
      </x:c>
      <x:c r="H57" s="24" t="str"/>
    </x:row>
    <x:row r="58">
      <x:c r="A58" s="24" t="str">
        <x:v>D-055</x:v>
      </x:c>
      <x:c r="B58" s="24" t="str">
        <x:v>2026-08-26</x:v>
      </x:c>
      <x:c r="C58" s="24" t="str">
        <x:v>Measurement visual standard</x:v>
      </x:c>
      <x:c r="D58" s="24" t="str">
        <x:v>Se conserva el estándar de 2–3 mediciones, reserva de tercera fila y espacio opcional para Última medición.</x:v>
      </x:c>
      <x:c r="E58" s="24" t="str">
        <x:v>ACEPTADA</x:v>
      </x:c>
      <x:c r="F58" s="24" t="str">
        <x:v>Mantiene alineación y geometría visual aprobadas entre indicadores con distinta cantidad de mediciones.</x:v>
      </x:c>
      <x:c r="G58" s="24" t="str">
        <x:v>06B</x:v>
      </x:c>
      <x:c r="H58" s="24" t="str"/>
    </x:row>
    <x:row r="59">
      <x:c r="A59" s="24" t="str">
        <x:v>D-056</x:v>
      </x:c>
      <x:c r="B59" s="24" t="str">
        <x:v>2026-08-26</x:v>
      </x:c>
      <x:c r="C59" s="24" t="str">
        <x:v>Global Indicator consumes Display Status</x:v>
      </x:c>
      <x:c r="D59" s="24" t="str">
        <x:v>Los valores degradados delegan iconografía y semántica en `ada.web.ui.display_status`; Global Indicator no posee copias de los SVG.</x:v>
      </x:c>
      <x:c r="E59" s="24" t="str">
        <x:v>ACEPTADA</x:v>
      </x:c>
      <x:c r="F59" s="24" t="str">
        <x:v>KPI Body y Global Indicators comparten exactamente el mismo contrato visual de estados.</x:v>
      </x:c>
      <x:c r="G59" s="24" t="str">
        <x:v>06B</x:v>
      </x:c>
      <x:c r="H59" s="24" t="str"/>
    </x:row>
    <x:row r="60">
      <x:c r="A60" s="24" t="str">
        <x:v>D-057</x:v>
      </x:c>
      <x:c r="B60" s="24" t="str">
        <x:v>2026-08-26</x:v>
      </x:c>
      <x:c r="C60" s="24" t="str">
        <x:v>Component State deferred</x:v>
      </x:c>
      <x:c r="D60" s="24" t="str">
        <x:v>06B no promueve Component State porque el componente visual no lo requiere intrínsecamente; la antigua cobertura pertenecía a composición/Header.</x:v>
      </x:c>
      <x:c r="E60" s="24" t="str">
        <x:v>ACEPTADA</x:v>
      </x:c>
      <x:c r="F60" s="24" t="str">
        <x:v>Component State se promoverá sólo cuando aparezca un consumidor canónico que necesite overlay/cover/resilience.</x:v>
      </x:c>
      <x:c r="G60" s="24" t="str">
        <x:v>06B</x:v>
      </x:c>
      <x:c r="H60" s="24" t="str"/>
    </x:row>
    <x:row r="61">
      <x:c r="A61" s="24" t="str">
        <x:v>D-058</x:v>
      </x:c>
      <x:c r="B61" s="24" t="str">
        <x:v>2026-08-26</x:v>
      </x:c>
      <x:c r="C61" s="24" t="str">
        <x:v>06B checker environment failure</x:v>
      </x:c>
      <x:c r="D61" s="24" t="str">
        <x:v>Step 06B 0.1.0 falló porque el checker ADA corre dentro del entorno UV de ada-generic-application y Global Indicator aún no estaba instalado allí.</x:v>
      </x:c>
      <x:c r="E61" s="24" t="str">
        <x:v>ACEPTADA</x:v>
      </x:c>
      <x:c r="F61" s="24" t="str">
        <x:v>El fallo es de bootstrap/tooling, no del contrato ni de la implementación de Global Indicator.</x:v>
      </x:c>
      <x:c r="G61" s="24" t="str">
        <x:v>06B</x:v>
      </x:c>
      <x:c r="H61" s="24" t="str"/>
    </x:row>
    <x:row r="62">
      <x:c r="A62" s="24" t="str">
        <x:v>D-059</x:v>
      </x:c>
      <x:c r="B62" s="24" t="str">
        <x:v>2026-08-26</x:v>
      </x:c>
      <x:c r="C62" s="24" t="str">
        <x:v>Global Indicator dev-only until 06C</x:v>
      </x:c>
      <x:c r="D62" s="24" t="str">
        <x:v>Mientras 06B no monte Global Indicator en la aplicación, ada-generic-application lo declara sólo en dependency-groups.dev para que el checker pueda importarlo.</x:v>
      </x:c>
      <x:c r="E62" s="24" t="str">
        <x:v>ACEPTADA</x:v>
      </x:c>
      <x:c r="F62" s="24" t="str">
        <x:v>Evita introducir una dependencia runtime prematura sólo para satisfacer el gate.</x:v>
      </x:c>
      <x:c r="G62" s="24" t="str">
        <x:v>06B</x:v>
      </x:c>
      <x:c r="H62" s="24" t="str"/>
    </x:row>
    <x:row r="63">
      <x:c r="A63" s="24" t="str">
        <x:v>D-060</x:v>
      </x:c>
      <x:c r="B63" s="24" t="str">
        <x:v>2026-08-26</x:v>
      </x:c>
      <x:c r="C63" s="24" t="str">
        <x:v>06C promotes runtime dependency</x:v>
      </x:c>
      <x:c r="D63" s="24" t="str">
        <x:v>Cuando 06C monte Global Indicators en el Header, la relación con ada-generic-application pasa de dev-only a dependencia runtime y se registra su AssetLayer.</x:v>
      </x:c>
      <x:c r="E63" s="24" t="str">
        <x:v>ACEPTADA</x:v>
      </x:c>
      <x:c r="F63" s="24" t="str">
        <x:v>La dependencia productiva aparece exactamente cuando existe un consumidor productivo real.</x:v>
      </x:c>
      <x:c r="G63" s="24" t="str">
        <x:v>06B/06C</x:v>
      </x:c>
      <x:c r="H63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16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  <x:dataValidation type="list" sqref="E55:E60">
      <x:formula1>"PENDIENTE,ACEPTADA,RECHAZADA,HOLD"</x:formula1>
    </x:dataValidation>
    <x:dataValidation type="list" sqref="E61:E63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  <x:row r="20">
      <x:c r="A20" t="str">
        <x:v>06B ADA Global Indicator</x:v>
      </x:c>
      <x:c r="B20" t="str">
        <x:v>Promoción visual limpia desde multi-stage: estado, colección, estilo, layout estándar, CSS y AssetLayer. Consume Display Status. Se excluyen definitions/mappers KPI, ToolScope/Header placement y Component State.</x:v>
      </x:c>
      <x:c r="C20" t="str">
        <x:v>Decisiones D-052 a D-057</x:v>
      </x:c>
      <x:c r="D20" t="str">
        <x:v>No montar todavía datos falsos en ada-generic-application; 06C resolverá provider/composición y slot.</x:v>
      </x:c>
      <x:c r="E20" t="str">
        <x:v>06B → 06C</x:v>
      </x:c>
      <x:c r="F20" t="str"/>
    </x:row>
    <x:row r="21">
      <x:c r="A21" t="str">
        <x:v>06B checker bootstrap</x:v>
      </x:c>
      <x:c r="B21" t="str">
        <x:v>scripts/scopes/ada/check.sh usa el entorno UV de ada-generic-application. Capabilities aún no consumidas por runtime deben estar disponibles al checker sin convertirse prematuramente en dependencias productivas.</x:v>
      </x:c>
      <x:c r="C21" t="str">
        <x:v>Decisiones D-058 a D-060</x:v>
      </x:c>
      <x:c r="D21" t="str">
        <x:v>06B usa dependency-groups.dev; 06C moverá Global Indicator a runtime al montarlo en el Header.</x:v>
      </x:c>
      <x:c r="E21" t="str">
        <x:v>06B corrective 0.1.1</x:v>
      </x:c>
      <x:c r="F21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VERDE</x:v>
      </x:c>
      <x:c r="D4" s="24" t="str">
        <x:v>N/A</x:v>
      </x:c>
      <x:c r="E4" s="24" t="str">
        <x:v>DisplayStatus/DisplayValue + iconos compartidos para estados degradados</x:v>
      </x:c>
      <x:c r="F4" s="24" t="str">
        <x:v>05A</x:v>
      </x:c>
      <x:c r="G4" s="24" t="str">
        <x:v>CERRADO. Gate completo verde reportado por el usuario.</x:v>
      </x:c>
    </x:row>
    <x:row r="5">
      <x:c r="A5" s="24" t="str">
        <x:v>06B</x:v>
      </x:c>
      <x:c r="B5" s="24" t="str">
        <x:v>ADA Global Indicator</x:v>
      </x:c>
      <x:c r="C5" s="24" t="str">
        <x:v>EN EJECUCIÓN</x:v>
      </x:c>
      <x:c r="D5" s="24" t="str">
        <x:v>N/A</x:v>
      </x:c>
      <x:c r="E5" s="24" t="str">
        <x:v>Estado/presentación estándar de Global Indicator; consume ADA Display Status</x:v>
      </x:c>
      <x:c r="F5" s="24" t="str">
        <x:v>06A</x:v>
      </x:c>
      <x:c r="G5" s="24" t="str">
        <x:v>0.1.0 falló sólo por bootstrap del checker y fue revertido. 0.1.1 mantiene la capability fuera de runtime, pero la agrega al grupo dev de ada-generic-application para ejecutar el gate ADA.</x:v>
      </x:c>
    </x:row>
    <x:row r="6">
      <x:c r="A6" s="24" t="str">
        <x:v>06C</x:v>
      </x:c>
      <x:c r="B6" s="24" t="str">
        <x:v>Global Indicators → Header</x:v>
      </x:c>
      <x:c r="C6" s="24" t="str">
        <x:v>PENDIENTE</x:v>
      </x:c>
      <x:c r="D6" s="24" t="str">
        <x:v>global_indicators_slot</x:v>
      </x:c>
      <x:c r="E6" s="24" t="str">
        <x:v>Provider/composición resuelve colección y Header sólo recibe Component</x:v>
      </x:c>
      <x:c r="F6" s="24" t="str">
        <x:v>05E + 06B</x:v>
      </x:c>
      <x:c r="G6" s="24" t="str">
        <x:v>Montar datos reales/local-provider acordado y revisar visualmente el ancho 2.40.</x:v>
      </x:c>
    </x:row>
    <x:row r="7">
      <x:c r="A7" s="24" t="str">
        <x:v>07</x:v>
      </x:c>
      <x:c r="B7" s="24" t="str">
        <x:v>Alarm Management Summary</x:v>
      </x:c>
      <x:c r="C7" s="24" t="str">
        <x:v>PENDIENTE</x:v>
      </x:c>
      <x:c r="D7" s="24" t="str">
        <x:v>alarm_management_slot</x:v>
      </x:c>
      <x:c r="E7" s="24" t="str">
        <x:v>Mina + Planta en row</x:v>
      </x:c>
      <x:c r="F7" s="24" t="str">
        <x:v>05E</x:v>
      </x:c>
      <x:c r="G7" s="24" t="str">
        <x:v>Sólo visual summary; no confundir con Management Action.</x:v>
      </x:c>
    </x:row>
    <x:row r="8">
      <x:c r="A8" t="str">
        <x:v>08</x:v>
      </x:c>
      <x:c r="B8" t="str">
        <x:v>Alarm Status</x:v>
      </x:c>
      <x:c r="C8" t="str">
        <x:v>PENDIENTE</x:v>
      </x:c>
      <x:c r="D8" t="str">
        <x:v>alarm_status_slot</x:v>
      </x:c>
      <x:c r="E8" t="str">
        <x:v>Activas + Gestionadas</x:v>
      </x:c>
      <x:c r="F8" t="str">
        <x:v>05E</x:v>
      </x:c>
      <x:c r="G8" t="str">
        <x:v>Mantener modales/semántica como capability separada.</x:v>
      </x:c>
    </x:row>
    <x:row r="9">
      <x:c r="A9" t="str">
        <x:v>09</x:v>
      </x:c>
      <x:c r="B9" t="str">
        <x:v>Manager</x:v>
      </x:c>
      <x:c r="C9" t="str">
        <x:v>PENDIENTE</x:v>
      </x:c>
      <x:c r="D9" t="str">
        <x:v>No usa Header operacional</x:v>
      </x:c>
      <x:c r="E9" t="str">
        <x:v>Header/composición administrativa propia</x:v>
      </x:c>
      <x:c r="F9" t="str">
        <x:v>Header operacional estable</x:v>
      </x:c>
      <x:c r="G9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3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  <x:dataValidation type="list" sqref="C4:C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