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67ebb9efc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47ebfc3c396b453b"/>
    <x:sheet xmlns:r="http://schemas.openxmlformats.org/officeDocument/2006/relationships" name="01_Header_Plan" sheetId="2" r:id="R655dbc89732b48d2"/>
    <x:sheet xmlns:r="http://schemas.openxmlformats.org/officeDocument/2006/relationships" name="02_Checks" sheetId="3" r:id="Rd377af2bef594874"/>
    <x:sheet xmlns:r="http://schemas.openxmlformats.org/officeDocument/2006/relationships" name="03_Decisions" sheetId="4" r:id="R3c1c2e6dc98a42a5"/>
    <x:sheet xmlns:r="http://schemas.openxmlformats.org/officeDocument/2006/relationships" name="04_Contexto" sheetId="5" r:id="R2eeade3b66154a1d"/>
    <x:sheet xmlns:r="http://schemas.openxmlformats.org/officeDocument/2006/relationships" name="05_Futuro" sheetId="6" r:id="R6dfc0c697867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4b59326cc4627" /><Relationship Type="http://schemas.openxmlformats.org/officeDocument/2006/relationships/theme" Target="/xl/theme/theme1.xml" Id="Rdd575f42a2074a1f" /><Relationship Type="http://schemas.openxmlformats.org/officeDocument/2006/relationships/sharedStrings" Target="/xl/sharedStrings.xml" Id="R8836d4aac1584ab9" /><Relationship Type="http://schemas.openxmlformats.org/officeDocument/2006/relationships/worksheet" Target="/xl/worksheets/sheet1.xml" Id="R47ebfc3c396b453b" /><Relationship Type="http://schemas.openxmlformats.org/officeDocument/2006/relationships/worksheet" Target="/xl/worksheets/sheet2.xml" Id="R655dbc89732b48d2" /><Relationship Type="http://schemas.openxmlformats.org/officeDocument/2006/relationships/worksheet" Target="/xl/worksheets/sheet3.xml" Id="Rd377af2bef594874" /><Relationship Type="http://schemas.openxmlformats.org/officeDocument/2006/relationships/worksheet" Target="/xl/worksheets/sheet4.xml" Id="R3c1c2e6dc98a42a5" /><Relationship Type="http://schemas.openxmlformats.org/officeDocument/2006/relationships/worksheet" Target="/xl/worksheets/sheet5.xml" Id="R2eeade3b66154a1d" /><Relationship Type="http://schemas.openxmlformats.org/officeDocument/2006/relationships/worksheet" Target="/xl/worksheets/sheet6.xml" Id="R6dfc0c69786743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08B.1A.1 — Global Indicator Dynamic Content Pruning: EN EJECUCIÓN. Se codifica la decisión visual: sólo se renderizan mediciones reales y last_measurement cuando existe; la colección completa sigue siendo la unidad dinámica de render. Navigation queda para 08B.1B.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COUNTIF(E4:E21,"VERDE")</x:f>
        <x:v>15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13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VERDE</x:v>
      </x:c>
      <x:c r="F13" t="n">
        <x:f>COUNTIF('05_Futuro'!C4:C14,"VERDE")</x:f>
        <x:v>7</x:v>
      </x:c>
      <x:c r="G13" t="str">
        <x:v>N/A</x:v>
      </x:c>
      <x:c r="H13" t="str">
        <x:v>Gate completo reportado verde por el usuario. Capability compartida disponible para Global Indicators y KPI Body.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Step 06B — ADA Global Indicator</x:v>
      </x:c>
      <x:c r="E14" t="str">
        <x:v>VERDE</x:v>
      </x:c>
      <x:c r="F14" s="26" t="n">
        <x:f>IF(F12=0,0,F13/F12)</x:f>
        <x:v>0.5384615384615384</x:v>
      </x:c>
      <x:c r="G14" t="str">
        <x:v>N/A</x:v>
      </x:c>
      <x:c r="H14" t="str">
        <x:v>Gate 0.1.1 reportado verde por el usuario. Capability visual reusable cerrada.</x:v>
      </x:c>
    </x:row>
    <x:row r="15">
      <x:c r="A15" s="20" t="str">
        <x:v>4</x:v>
      </x:c>
      <x:c r="B15" s="24" t="str">
        <x:v>Revisar 03_Decisions antes de cambiar contratos o composición.</x:v>
      </x:c>
      <x:c r="D15" t="str">
        <x:v>Step 06C — Global Indicators → Header</x:v>
      </x:c>
      <x:c r="E15" t="str">
        <x:v>VERDE</x:v>
      </x:c>
      <x:c r="F15" t="str">
        <x:v>OK</x:v>
      </x:c>
      <x:c r="G15" t="str">
        <x:v>OK</x:v>
      </x:c>
      <x:c r="H15" t="str">
        <x:v>Gate reportado exitoso por el usuario. Global Indicator queda como capability runtime del Header con colección explícita.</x:v>
      </x:c>
    </x:row>
    <x:row r="16">
      <x:c r="D16" t="str">
        <x:v>Step 07A — ADA Alarm Management Summary</x:v>
      </x:c>
      <x:c r="E16" t="str">
        <x:v>VERDE</x:v>
      </x:c>
      <x:c r="F16" t="str">
        <x:v>OK</x:v>
      </x:c>
      <x:c r="G16" t="str">
        <x:v>N/A</x:v>
      </x:c>
      <x:c r="H16" t="str">
        <x:v>Gate reportado exitoso por el usuario. Capability visual cerrada.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 t="str">
        <x:v>Step 07B — Alarm Management Summary → Header</x:v>
      </x:c>
      <x:c r="E17" s="31" t="str">
        <x:v>VERDE</x:v>
      </x:c>
      <x:c r="F17" s="31" t="str">
        <x:v>OK</x:v>
      </x:c>
      <x:c r="G17" s="31" t="str">
        <x:v>OK</x:v>
      </x:c>
      <x:c r="H17" s="31" t="str">
        <x:v>Gate reportado exitoso por el usuario. Alarm Management Summary queda montado en runtime con estado explícito.</x:v>
      </x:c>
    </x:row>
    <x:row r="18">
      <x:c r="A18" s="31"/>
      <x:c r="B18" s="31"/>
      <x:c r="C18" s="31"/>
      <x:c r="D18" s="31" t="str">
        <x:v>Step 08A — ADA Alarm Status base</x:v>
      </x:c>
      <x:c r="E18" s="31" t="str">
        <x:v>VERDE</x:v>
      </x:c>
      <x:c r="F18" s="31" t="str">
        <x:v>OK</x:v>
      </x:c>
      <x:c r="G18" s="31" t="str">
        <x:v>N/A</x:v>
      </x:c>
      <x:c r="H18" s="31" t="str">
        <x:v>Gate reportado exitoso por el usuario. Capability visual cerrada.</x:v>
      </x:c>
    </x:row>
    <x:row r="19">
      <x:c r="D19" t="str">
        <x:v>Step 08B — Alarm Status → Header</x:v>
      </x:c>
      <x:c r="E19" t="str">
        <x:v>VERDE</x:v>
      </x:c>
      <x:c r="F19" t="str">
        <x:v>OK</x:v>
      </x:c>
      <x:c r="G19" t="str">
        <x:v>OK</x:v>
      </x:c>
      <x:c r="H19" t="str">
        <x:v>Montaje runtime completado y preview del Header completo disponible; se abre calibración visual separada.</x:v>
      </x:c>
    </x:row>
    <x:row r="20">
      <x:c r="D20" t="str">
        <x:v>Step 08B.1A — Header + Global Indicator Calibration</x:v>
      </x:c>
      <x:c r="E20" t="str">
        <x:v>EN EJECUCIÓN</x:v>
      </x:c>
      <x:c r="F20" t="str">
        <x:v>PENDIENTE</x:v>
      </x:c>
      <x:c r="G20" t="str">
        <x:v>PENDIENTE</x:v>
      </x:c>
      <x:c r="H20" t="str">
        <x:v>08B.1A 0.1.0: Header y Global Indicator gates verdes; gate ADA completo falló únicamente en tests/test_application.py por expectativas de versión 0.1.11 frente a runtime 0.1.12. Rollback correcto. 0.1.1 actualiza esas dos expectativas a 0.1.12.</x:v>
      </x:c>
    </x:row>
    <x:row r="21">
      <x:c r="D21" t="str">
        <x:v>Step 08B.1A.1 — Global Indicator Dynamic Content Pruning</x:v>
      </x:c>
      <x:c r="E21" t="str">
        <x:v>EN EJECUCIÓN</x:v>
      </x:c>
      <x:c r="F21" t="str">
        <x:v>PENDIENTE</x:v>
      </x:c>
      <x:c r="G21" t="str">
        <x:v>PENDIENTE</x:v>
      </x:c>
      <x:c r="H21" t="str">
        <x:v>Paquete 0.1.0 preparado. Elimina row vacío y last_measurement vacío del DOM; conserva tabla real, grid dinámico y ellipsis.</x:v>
      </x:c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  <x:row r="55">
      <x:c r="A55" s="24" t="str">
        <x:v>D-052</x:v>
      </x:c>
      <x:c r="B55" s="24" t="str">
        <x:v>2026-08-26</x:v>
      </x:c>
      <x:c r="C55" s="24" t="str">
        <x:v>Global Indicator canonical boundary</x:v>
      </x:c>
      <x:c r="D55" s="24" t="str">
        <x:v>Global Indicator se promueve como `ada.web.ui.global_indicator`, independiente del Header y de cualquier Tool concreta.</x:v>
      </x:c>
      <x:c r="E55" s="24" t="str">
        <x:v>ACEPTADA</x:v>
      </x:c>
      <x:c r="F55" s="24" t="str">
        <x:v>La capability puede reutilizarse en distintas superficies ADA y el Header sólo recibe su Component.</x:v>
      </x:c>
      <x:c r="G55" s="24" t="str">
        <x:v>06B</x:v>
      </x:c>
      <x:c r="H55" s="24" t="str"/>
    </x:row>
    <x:row r="56">
      <x:c r="A56" s="24" t="str">
        <x:v>D-053</x:v>
      </x:c>
      <x:c r="B56" s="24" t="str">
        <x:v>2026-08-26</x:v>
      </x:c>
      <x:c r="C56" s="24" t="str">
        <x:v>Runtime KPI mappers excluidos</x:v>
      </x:c>
      <x:c r="D56" s="24" t="str">
        <x:v>No se promueven `GlobalIndicatorDefinition` ni mappers que codifican `*_real_inst`, `*_plan_inst` y `*_color_inst`.</x:v>
      </x:c>
      <x:c r="E56" s="24" t="str">
        <x:v>ACEPTADA</x:v>
      </x:c>
      <x:c r="F56" s="24" t="str">
        <x:v>Las convenciones de fuente/configuración pertenecen a adapters/providers/composición, no al componente visual.</x:v>
      </x:c>
      <x:c r="G56" s="24" t="str">
        <x:v>06B</x:v>
      </x:c>
      <x:c r="H56" s="24" t="str"/>
    </x:row>
    <x:row r="57">
      <x:c r="A57" s="24" t="str">
        <x:v>D-054</x:v>
      </x:c>
      <x:c r="B57" s="24" t="str">
        <x:v>2026-08-26</x:v>
      </x:c>
      <x:c r="C57" s="24" t="str">
        <x:v>Header scope placement excluido</x:v>
      </x:c>
      <x:c r="D57" s="24" t="str">
        <x:v>No se promueven ToolScope, HeaderIndicatorPlacement ni resolución Mine/Plant dentro de Global Indicator.</x:v>
      </x:c>
      <x:c r="E57" s="24" t="str">
        <x:v>ACEPTADA</x:v>
      </x:c>
      <x:c r="F57" s="24" t="str">
        <x:v>La selección de indicadores por Tool/scope queda fuera de la UI reusable.</x:v>
      </x:c>
      <x:c r="G57" s="24" t="str">
        <x:v>06B</x:v>
      </x:c>
      <x:c r="H57" s="24" t="str"/>
    </x:row>
    <x:row r="58">
      <x:c r="A58" s="24" t="str">
        <x:v>D-055</x:v>
      </x:c>
      <x:c r="B58" s="24" t="str">
        <x:v>2026-08-26</x:v>
      </x:c>
      <x:c r="C58" s="24" t="str">
        <x:v>Measurement visual standard</x:v>
      </x:c>
      <x:c r="D58" s="24" t="str">
        <x:v>Se conserva el estándar de 2–3 mediciones, reserva de tercera fila y espacio opcional para Última medición.</x:v>
      </x:c>
      <x:c r="E58" s="24" t="str">
        <x:v>ACEPTADA</x:v>
      </x:c>
      <x:c r="F58" s="24" t="str">
        <x:v>Mantiene alineación y geometría visual aprobadas entre indicadores con distinta cantidad de mediciones.</x:v>
      </x:c>
      <x:c r="G58" s="24" t="str">
        <x:v>06B</x:v>
      </x:c>
      <x:c r="H58" s="24" t="str"/>
    </x:row>
    <x:row r="59">
      <x:c r="A59" s="24" t="str">
        <x:v>D-056</x:v>
      </x:c>
      <x:c r="B59" s="24" t="str">
        <x:v>2026-08-26</x:v>
      </x:c>
      <x:c r="C59" s="24" t="str">
        <x:v>Global Indicator consumes Display Status</x:v>
      </x:c>
      <x:c r="D59" s="24" t="str">
        <x:v>Los valores degradados delegan iconografía y semántica en `ada.web.ui.display_status`; Global Indicator no posee copias de los SVG.</x:v>
      </x:c>
      <x:c r="E59" s="24" t="str">
        <x:v>ACEPTADA</x:v>
      </x:c>
      <x:c r="F59" s="24" t="str">
        <x:v>KPI Body y Global Indicators comparten exactamente el mismo contrato visual de estados.</x:v>
      </x:c>
      <x:c r="G59" s="24" t="str">
        <x:v>06B</x:v>
      </x:c>
      <x:c r="H59" s="24" t="str"/>
    </x:row>
    <x:row r="60">
      <x:c r="A60" s="24" t="str">
        <x:v>D-057</x:v>
      </x:c>
      <x:c r="B60" s="24" t="str">
        <x:v>2026-08-26</x:v>
      </x:c>
      <x:c r="C60" s="24" t="str">
        <x:v>Component State deferred</x:v>
      </x:c>
      <x:c r="D60" s="24" t="str">
        <x:v>06B no promueve Component State porque el componente visual no lo requiere intrínsecamente; la antigua cobertura pertenecía a composición/Header.</x:v>
      </x:c>
      <x:c r="E60" s="24" t="str">
        <x:v>ACEPTADA</x:v>
      </x:c>
      <x:c r="F60" s="24" t="str">
        <x:v>Component State se promoverá sólo cuando aparezca un consumidor canónico que necesite overlay/cover/resilience.</x:v>
      </x:c>
      <x:c r="G60" s="24" t="str">
        <x:v>06B</x:v>
      </x:c>
      <x:c r="H60" s="24" t="str"/>
    </x:row>
    <x:row r="61">
      <x:c r="A61" s="24" t="str">
        <x:v>D-058</x:v>
      </x:c>
      <x:c r="B61" s="24" t="str">
        <x:v>2026-08-26</x:v>
      </x:c>
      <x:c r="C61" s="24" t="str">
        <x:v>06B checker environment failure</x:v>
      </x:c>
      <x:c r="D61" s="24" t="str">
        <x:v>Step 06B 0.1.0 falló porque el checker ADA corre dentro del entorno UV de ada-generic-application y Global Indicator aún no estaba instalado allí.</x:v>
      </x:c>
      <x:c r="E61" s="24" t="str">
        <x:v>ACEPTADA</x:v>
      </x:c>
      <x:c r="F61" s="24" t="str">
        <x:v>El fallo es de bootstrap/tooling, no del contrato ni de la implementación de Global Indicator.</x:v>
      </x:c>
      <x:c r="G61" s="24" t="str">
        <x:v>06B</x:v>
      </x:c>
      <x:c r="H61" s="24" t="str"/>
    </x:row>
    <x:row r="62">
      <x:c r="A62" s="24" t="str">
        <x:v>D-059</x:v>
      </x:c>
      <x:c r="B62" s="24" t="str">
        <x:v>2026-08-26</x:v>
      </x:c>
      <x:c r="C62" s="24" t="str">
        <x:v>Global Indicator dev-only until 06C</x:v>
      </x:c>
      <x:c r="D62" s="24" t="str">
        <x:v>Mientras 06B no monte Global Indicator en la aplicación, ada-generic-application lo declara sólo en dependency-groups.dev para que el checker pueda importarlo.</x:v>
      </x:c>
      <x:c r="E62" s="24" t="str">
        <x:v>ACEPTADA</x:v>
      </x:c>
      <x:c r="F62" s="24" t="str">
        <x:v>Evita introducir una dependencia runtime prematura sólo para satisfacer el gate.</x:v>
      </x:c>
      <x:c r="G62" s="24" t="str">
        <x:v>06B</x:v>
      </x:c>
      <x:c r="H62" s="24" t="str"/>
    </x:row>
    <x:row r="63">
      <x:c r="A63" s="24" t="str">
        <x:v>D-060</x:v>
      </x:c>
      <x:c r="B63" s="24" t="str">
        <x:v>2026-08-26</x:v>
      </x:c>
      <x:c r="C63" s="24" t="str">
        <x:v>06C promotes runtime dependency</x:v>
      </x:c>
      <x:c r="D63" s="24" t="str">
        <x:v>Cuando 06C monte Global Indicators en el Header, la relación con ada-generic-application pasa de dev-only a dependencia runtime y se registra su AssetLayer.</x:v>
      </x:c>
      <x:c r="E63" s="24" t="str">
        <x:v>ACEPTADA</x:v>
      </x:c>
      <x:c r="F63" s="24" t="str">
        <x:v>La dependencia productiva aparece exactamente cuando existe un consumidor productivo real.</x:v>
      </x:c>
      <x:c r="G63" s="24" t="str">
        <x:v>06B/06C</x:v>
      </x:c>
      <x:c r="H63" s="24" t="str"/>
    </x:row>
    <x:row r="64">
      <x:c r="A64" s="24" t="str">
        <x:v>D-061</x:v>
      </x:c>
      <x:c r="B64" s="24" t="str">
        <x:v>2026-08-26</x:v>
      </x:c>
      <x:c r="C64" s="24" t="str">
        <x:v>06B closure</x:v>
      </x:c>
      <x:c r="D64" s="24" t="str">
        <x:v>ADA Global Indicator 0.1.0 queda cerrado tras aplicar el correctivo 06B 0.1.1 y obtener gate verde.</x:v>
      </x:c>
      <x:c r="E64" s="24" t="str">
        <x:v>ACEPTADA</x:v>
      </x:c>
      <x:c r="F64" s="24" t="str">
        <x:v>La capability visual puede entrar a composición runtime sin reabrir su frontera interna.</x:v>
      </x:c>
      <x:c r="G64" s="24" t="str">
        <x:v>06B/06C</x:v>
      </x:c>
      <x:c r="H64" s="24" t="str"/>
    </x:row>
    <x:row r="65">
      <x:c r="A65" s="24" t="str">
        <x:v>D-062</x:v>
      </x:c>
      <x:c r="B65" s="24" t="str">
        <x:v>2026-08-26</x:v>
      </x:c>
      <x:c r="C65" s="24" t="str">
        <x:v>Explicit GlobalIndicatorCollection input</x:v>
      </x:c>
      <x:c r="D65" s="24" t="str">
        <x:v>ada-generic-application acepta GlobalIndicatorCollection como input explícito de composición; no conoce la fuente que la produjo.</x:v>
      </x:c>
      <x:c r="E65" s="24" t="str">
        <x:v>ACEPTADA</x:v>
      </x:c>
      <x:c r="F65" s="24" t="str">
        <x:v>Providers/adapters de Tool pueden resolver KPI/configuración fuera de la UI y entregar sólo el contrato visual.</x:v>
      </x:c>
      <x:c r="G65" s="24" t="str">
        <x:v>06C</x:v>
      </x:c>
      <x:c r="H65" s="24" t="str"/>
    </x:row>
    <x:row r="66">
      <x:c r="A66" s="24" t="str">
        <x:v>D-063</x:v>
      </x:c>
      <x:c r="B66" s="24" t="str">
        <x:v>2026-08-26</x:v>
      </x:c>
      <x:c r="C66" s="24" t="str">
        <x:v>No fake Global Indicators</x:v>
      </x:c>
      <x:c r="D66" s="24" t="str">
        <x:v>La Generic Application usa colección vacía por defecto y no hardcodea indicadores de referencia para llenar el Header.</x:v>
      </x:c>
      <x:c r="E66" s="24" t="str">
        <x:v>ACEPTADA</x:v>
      </x:c>
      <x:c r="F66" s="24" t="str">
        <x:v>La aplicación final no presenta datos operacionales ficticios; el slot colapsa hasta recibir una colección real o explícitamente inyectada.</x:v>
      </x:c>
      <x:c r="G66" s="24" t="str">
        <x:v>06C</x:v>
      </x:c>
      <x:c r="H66" s="24" t="str"/>
    </x:row>
    <x:row r="67">
      <x:c r="A67" s="24" t="str">
        <x:v>D-064</x:v>
      </x:c>
      <x:c r="B67" s="24" t="str">
        <x:v>2026-08-26</x:v>
      </x:c>
      <x:c r="C67" s="24" t="str">
        <x:v>Global Indicator runtime promotion</x:v>
      </x:c>
      <x:c r="D67" s="24" t="str">
        <x:v>En 06C ada-web-ui-global-indicator deja dependency-groups.dev y pasa a dependencies de ada-generic-application; su AssetLayer se registra en módulos.</x:v>
      </x:c>
      <x:c r="E67" s="24" t="str">
        <x:v>ACEPTADA</x:v>
      </x:c>
      <x:c r="F67" s="24" t="str">
        <x:v>La dependencia productiva aparece ahora que existe un consumidor productivo real: el Header operacional.</x:v>
      </x:c>
      <x:c r="G67" s="24" t="str">
        <x:v>06C</x:v>
      </x:c>
      <x:c r="H67" s="24" t="str"/>
    </x:row>
    <x:row r="68">
      <x:c r="A68" s="24" t="str">
        <x:v>D-065</x:v>
      </x:c>
      <x:c r="B68" s="24" t="str">
        <x:v>2026-08-26</x:v>
      </x:c>
      <x:c r="C68" s="24" t="str">
        <x:v>Source provider deferred</x:v>
      </x:c>
      <x:c r="D68" s="24" t="str">
        <x:v>06C no inventa todavía un provider Cosmos/local específico. La colección explícita es la frontera; la fuente se agrega cuando migre la configuración/runtime correspondiente.</x:v>
      </x:c>
      <x:c r="E68" s="24" t="str">
        <x:v>ACEPTADA</x:v>
      </x:c>
      <x:c r="F68" s="24" t="str">
        <x:v>Evita acoplar Global Indicators a convenciones KPI o infraestructura antes de migrar sus contratos reales.</x:v>
      </x:c>
      <x:c r="G68" s="24" t="str">
        <x:v>06C</x:v>
      </x:c>
      <x:c r="H68" s="24" t="str"/>
    </x:row>
    <x:row r="69">
      <x:c r="A69" s="24" t="str">
        <x:v>D-066</x:v>
      </x:c>
      <x:c r="B69" s="24" t="str">
        <x:v>2026-08-26</x:v>
      </x:c>
      <x:c r="C69" s="24" t="str">
        <x:v>06C closure</x:v>
      </x:c>
      <x:c r="D69" s="24" t="str">
        <x:v>Global Indicators → Header queda cerrado tras validación del usuario.</x:v>
      </x:c>
      <x:c r="E69" s="24" t="str">
        <x:v>ACEPTADA</x:v>
      </x:c>
      <x:c r="F69" s="24" t="str">
        <x:v>Global Indicator ya tiene consumer runtime real y Header conserva ownership exclusivo del espacio.</x:v>
      </x:c>
      <x:c r="G69" s="24" t="str">
        <x:v>06C</x:v>
      </x:c>
      <x:c r="H69" s="24" t="str"/>
    </x:row>
    <x:row r="70">
      <x:c r="A70" s="24" t="str">
        <x:v>D-067</x:v>
      </x:c>
      <x:c r="B70" s="24" t="str">
        <x:v>2026-08-26</x:v>
      </x:c>
      <x:c r="C70" s="24" t="str">
        <x:v>Alarm Management Summary ADA boundary</x:v>
      </x:c>
      <x:c r="D70" s="24" t="str">
        <x:v>La representación ADA de Alarm Management Summary vive en `scopes/ada/web/alarms/management-summary`, paquete `ada.web.alarms.management_summary`.</x:v>
      </x:c>
      <x:c r="E70" s="24" t="str">
        <x:v>ACEPTADA</x:v>
      </x:c>
      <x:c r="F70" s="24" t="str">
        <x:v>Agrupa una capability específica de alarmas dentro de ADA Web sin transferir dominio de alarmas desde Command Center.</x:v>
      </x:c>
      <x:c r="G70" s="24" t="str">
        <x:v>07A</x:v>
      </x:c>
      <x:c r="H70" s="24" t="str"/>
    </x:row>
    <x:row r="71">
      <x:c r="A71" s="24" t="str">
        <x:v>D-068</x:v>
      </x:c>
      <x:c r="B71" s="24" t="str">
        <x:v>2026-08-26</x:v>
      </x:c>
      <x:c r="C71" s="24" t="str">
        <x:v>ToolManifest/ToolScope excluded</x:v>
      </x:c>
      <x:c r="D71" s="24" t="str">
        <x:v>La capability canónica no importa ToolManifest ni ToolScope y no valida rutas/secciones de Tool.</x:v>
      </x:c>
      <x:c r="E71" s="24" t="str">
        <x:v>ACEPTADA</x:v>
      </x:c>
      <x:c r="F71" s="24" t="str">
        <x:v>La Tool/composición selecciona previamente Mina/Planta; la presentación recibe estado ya resuelto.</x:v>
      </x:c>
      <x:c r="G71" s="24" t="str">
        <x:v>07A</x:v>
      </x:c>
      <x:c r="H71" s="24" t="str"/>
    </x:row>
    <x:row r="72">
      <x:c r="A72" s="24" t="str">
        <x:v>D-069</x:v>
      </x:c>
      <x:c r="B72" s="24" t="str">
        <x:v>2026-08-26</x:v>
      </x:c>
      <x:c r="C72" s="24" t="str">
        <x:v>Management Summary visual areas</x:v>
      </x:c>
      <x:c r="D72" s="24" t="str">
        <x:v>El contrato visual usa áreas explícitas MINE y PLANT; una composición puede entregar una sola o ambas.</x:v>
      </x:c>
      <x:c r="E72" s="24" t="str">
        <x:v>ACEPTADA</x:v>
      </x:c>
      <x:c r="F72" s="24" t="str">
        <x:v>Integrated Operations puede mostrar Mina+Planta y otras Tools filtrar sólo el área relevante sin cambiar el componente.</x:v>
      </x:c>
      <x:c r="G72" s="24" t="str">
        <x:v>07A</x:v>
      </x:c>
      <x:c r="H72" s="24" t="str"/>
    </x:row>
    <x:row r="73">
      <x:c r="A73" s="24" t="str">
        <x:v>D-070</x:v>
      </x:c>
      <x:c r="B73" s="24" t="str">
        <x:v>2026-08-26</x:v>
      </x:c>
      <x:c r="C73" s="24" t="str">
        <x:v>Management Summary content</x:v>
      </x:c>
      <x:c r="D73" s="24" t="str">
        <x:v>Cada segmento contiene grupo, management_percentage 0..100 y tono visual NEUTRAL/ATTENTION/CRITICAL.</x:v>
      </x:c>
      <x:c r="E73" s="24" t="str">
        <x:v>ACEPTADA</x:v>
      </x:c>
      <x:c r="F73" s="24" t="str">
        <x:v>Preserva la información y geometría histórica sin derivar reglas de negocio en la UI.</x:v>
      </x:c>
      <x:c r="G73" s="24" t="str">
        <x:v>07A</x:v>
      </x:c>
      <x:c r="H73" s="24" t="str"/>
    </x:row>
    <x:row r="74">
      <x:c r="A74" s="24" t="str">
        <x:v>D-071</x:v>
      </x:c>
      <x:c r="B74" s="24" t="str">
        <x:v>2026-08-26</x:v>
      </x:c>
      <x:c r="C74" s="24" t="str">
        <x:v>Management Summary Component State deferred</x:v>
      </x:c>
      <x:c r="D74" s="24" t="str">
        <x:v>07A no consume Component State ni State Wrapper.</x:v>
      </x:c>
      <x:c r="E74" s="24" t="str">
        <x:v>ACEPTADA</x:v>
      </x:c>
      <x:c r="F74" s="24" t="str">
        <x:v>La cobertura histórica pertenecía a composición/readiness; se promoverá sólo cuando un runtime real requiera overlay/cover.</x:v>
      </x:c>
      <x:c r="G74" s="24" t="str">
        <x:v>07A</x:v>
      </x:c>
      <x:c r="H74" s="24" t="str"/>
    </x:row>
    <x:row r="75">
      <x:c r="A75" s="24" t="str">
        <x:v>D-072</x:v>
      </x:c>
      <x:c r="B75" s="24" t="str">
        <x:v>2026-08-26</x:v>
      </x:c>
      <x:c r="C75" s="24" t="str">
        <x:v>07A dev-only checker dependency</x:v>
      </x:c>
      <x:c r="D75" s="24" t="str">
        <x:v>Hasta 07B, Alarm Management Summary se agrega sólo al grupo dev de ada-generic-application para que el checker ADA pueda importarlo.</x:v>
      </x:c>
      <x:c r="E75" s="24" t="str">
        <x:v>ACEPTADA</x:v>
      </x:c>
      <x:c r="F75" s="24" t="str">
        <x:v>La dependencia runtime aparecerá únicamente al montar el alarm_management_slot.</x:v>
      </x:c>
      <x:c r="G75" s="24" t="str">
        <x:v>07A/07B</x:v>
      </x:c>
      <x:c r="H75" s="24" t="str"/>
    </x:row>
    <x:row r="76">
      <x:c r="A76" s="24" t="str">
        <x:v>D-073</x:v>
      </x:c>
      <x:c r="B76" s="24" t="str">
        <x:v>2026-08-26</x:v>
      </x:c>
      <x:c r="C76" s="24" t="str">
        <x:v>07A closure</x:v>
      </x:c>
      <x:c r="D76" s="24" t="str">
        <x:v>ADA Alarm Management Summary queda cerrado tras gate verde reportado por el usuario.</x:v>
      </x:c>
      <x:c r="E76" s="24" t="str">
        <x:v>ACEPTADA</x:v>
      </x:c>
      <x:c r="F76" s="24" t="str">
        <x:v>La capability visual puede entrar a runtime sin reabrir su frontera interna.</x:v>
      </x:c>
      <x:c r="G76" s="24" t="str">
        <x:v>07A/07B</x:v>
      </x:c>
      <x:c r="H76" s="24" t="str"/>
    </x:row>
    <x:row r="77">
      <x:c r="A77" s="24" t="str">
        <x:v>D-074</x:v>
      </x:c>
      <x:c r="B77" s="24" t="str">
        <x:v>2026-08-26</x:v>
      </x:c>
      <x:c r="C77" s="24" t="str">
        <x:v>Explicit AlarmManagementSummaryState input</x:v>
      </x:c>
      <x:c r="D77" s="24" t="str">
        <x:v>ada-generic-application acepta AlarmManagementSummaryState | None como input explícito de composición.</x:v>
      </x:c>
      <x:c r="E77" s="24" t="str">
        <x:v>ACEPTADA</x:v>
      </x:c>
      <x:c r="F77" s="24" t="str">
        <x:v>La aplicación no conoce la fuente ni reglas que resolvieron Mina/Planta, grupo, porcentaje o tono.</x:v>
      </x:c>
      <x:c r="G77" s="24" t="str">
        <x:v>07B</x:v>
      </x:c>
      <x:c r="H77" s="24" t="str"/>
    </x:row>
    <x:row r="78">
      <x:c r="A78" s="24" t="str">
        <x:v>D-075</x:v>
      </x:c>
      <x:c r="B78" s="24" t="str">
        <x:v>2026-08-26</x:v>
      </x:c>
      <x:c r="C78" s="24" t="str">
        <x:v>No fake Alarm Management Summary</x:v>
      </x:c>
      <x:c r="D78" s="24" t="str">
        <x:v>El default de la Generic Application es None y no hardcodea resumen Mina/Planta de referencia.</x:v>
      </x:c>
      <x:c r="E78" s="24" t="str">
        <x:v>ACEPTADA</x:v>
      </x:c>
      <x:c r="F78" s="24" t="str">
        <x:v>El alarm_management_slot permanece colapsado hasta recibir estado real o explícitamente inyectado.</x:v>
      </x:c>
      <x:c r="G78" s="24" t="str">
        <x:v>07B</x:v>
      </x:c>
      <x:c r="H78" s="24" t="str"/>
    </x:row>
    <x:row r="79">
      <x:c r="A79" s="24" t="str">
        <x:v>D-076</x:v>
      </x:c>
      <x:c r="B79" s="24" t="str">
        <x:v>2026-08-26</x:v>
      </x:c>
      <x:c r="C79" s="24" t="str">
        <x:v>Alarm Management Summary runtime promotion</x:v>
      </x:c>
      <x:c r="D79" s="24" t="str">
        <x:v>En 07B ada-web-alarm-management-summary pasa de dependency-groups.dev a dependencies de ada-generic-application y registra su AssetLayer.</x:v>
      </x:c>
      <x:c r="E79" s="24" t="str">
        <x:v>ACEPTADA</x:v>
      </x:c>
      <x:c r="F79" s="24" t="str">
        <x:v>La dependencia productiva aparece al existir un consumidor productivo real: el Header operacional.</x:v>
      </x:c>
      <x:c r="G79" s="24" t="str">
        <x:v>07B</x:v>
      </x:c>
      <x:c r="H79" s="24" t="str"/>
    </x:row>
    <x:row r="80">
      <x:c r="A80" s="24" t="str">
        <x:v>D-077</x:v>
      </x:c>
      <x:c r="B80" s="24" t="str">
        <x:v>2026-08-26</x:v>
      </x:c>
      <x:c r="C80" s="24" t="str">
        <x:v>Alarm Management source deferred</x:v>
      </x:c>
      <x:c r="D80" s="24" t="str">
        <x:v>07B no agrega todavía provider Cosmos/Command Center/local específico; sólo define la frontera de composición explícita.</x:v>
      </x:c>
      <x:c r="E80" s="24" t="str">
        <x:v>ACEPTADA</x:v>
      </x:c>
      <x:c r="F80" s="24" t="str">
        <x:v>Evita acoplar la UI a persistencia o semántica del motor antes de migrar el contrato fuente correspondiente.</x:v>
      </x:c>
      <x:c r="G80" s="24" t="str">
        <x:v>07B</x:v>
      </x:c>
      <x:c r="H80" s="24" t="str"/>
    </x:row>
    <x:row r="81">
      <x:c r="A81" s="24" t="str">
        <x:v>D-078</x:v>
      </x:c>
      <x:c r="B81" s="24" t="str">
        <x:v>2026-08-26</x:v>
      </x:c>
      <x:c r="C81" s="24" t="str">
        <x:v>07B closure</x:v>
      </x:c>
      <x:c r="D81" s="24" t="str">
        <x:v>Alarm Management Summary → Header queda cerrado tras gate verde reportado por el usuario.</x:v>
      </x:c>
      <x:c r="E81" s="24" t="str">
        <x:v>ACEPTADA</x:v>
      </x:c>
      <x:c r="F81" s="24" t="str">
        <x:v>El slot de Management queda estable y listo para provider futuro.</x:v>
      </x:c>
      <x:c r="G81" s="24" t="str">
        <x:v>07B</x:v>
      </x:c>
      <x:c r="H81" s="24" t="str"/>
    </x:row>
    <x:row r="82">
      <x:c r="A82" s="24" t="str">
        <x:v>D-079</x:v>
      </x:c>
      <x:c r="B82" s="24" t="str">
        <x:v>2026-08-26</x:v>
      </x:c>
      <x:c r="C82" s="24" t="str">
        <x:v>Alarm Status canonical boundary</x:v>
      </x:c>
      <x:c r="D82" s="24" t="str">
        <x:v>Alarm Status vive en `scopes/ada/web/alarms/status`, paquete `ada.web.alarms.status`.</x:v>
      </x:c>
      <x:c r="E82" s="24" t="str">
        <x:v>ACEPTADA</x:v>
      </x:c>
      <x:c r="F82" s="24" t="str">
        <x:v>La representación ADA queda separada de Management Summary y del dominio del motor.</x:v>
      </x:c>
      <x:c r="G82" s="24" t="str">
        <x:v>08A</x:v>
      </x:c>
      <x:c r="H82" s="24" t="str"/>
    </x:row>
    <x:row r="83">
      <x:c r="A83" s="24" t="str">
        <x:v>D-080</x:v>
      </x:c>
      <x:c r="B83" s="24" t="str">
        <x:v>2026-08-26</x:v>
      </x:c>
      <x:c r="C83" s="24" t="str">
        <x:v>Alarm Status minimal state</x:v>
      </x:c>
      <x:c r="D83" s="24" t="str">
        <x:v>El contrato base contiene `active_count` y `managed_count`, ambos no negativos.</x:v>
      </x:c>
      <x:c r="E83" s="24" t="str">
        <x:v>ACEPTADA</x:v>
      </x:c>
      <x:c r="F83" s="24" t="str">
        <x:v>La UI recibe conteos ya resueltos y no deriva su semántica.</x:v>
      </x:c>
      <x:c r="G83" s="24" t="str">
        <x:v>08A</x:v>
      </x:c>
      <x:c r="H83" s="24" t="str"/>
    </x:row>
    <x:row r="84">
      <x:c r="A84" s="24" t="str">
        <x:v>D-081</x:v>
      </x:c>
      <x:c r="B84" s="24" t="str">
        <x:v>2026-08-26</x:v>
      </x:c>
      <x:c r="C84" s="24" t="str">
        <x:v>Activas/Gestionadas are actions</x:v>
      </x:c>
      <x:c r="D84" s="24" t="str">
        <x:v>Activas y Gestionadas se renderizan desde 08A como botones semánticos, aunque todavía no tengan callbacks.</x:v>
      </x:c>
      <x:c r="E84" s="24" t="str">
        <x:v>ACEPTADA</x:v>
      </x:c>
      <x:c r="F84" s="24" t="str">
        <x:v>Permite ajustar la UI ahora y añadir modales después sin rediseñar el bloque.</x:v>
      </x:c>
      <x:c r="G84" s="24" t="str">
        <x:v>08A/08D</x:v>
      </x:c>
      <x:c r="H84" s="24" t="str"/>
    </x:row>
    <x:row r="85">
      <x:c r="A85" s="24" t="str">
        <x:v>D-082</x:v>
      </x:c>
      <x:c r="B85" s="24" t="str">
        <x:v>2026-08-26</x:v>
      </x:c>
      <x:c r="C85" s="24" t="str">
        <x:v>Alarm Status runtime coupling excluded</x:v>
      </x:c>
      <x:c r="D85" s="24" t="str">
        <x:v>08A no importa ToolManifest, ToolScope, State Wrapper, provider ni contratos internos de Command Center.</x:v>
      </x:c>
      <x:c r="E85" s="24" t="str">
        <x:v>ACEPTADA</x:v>
      </x:c>
      <x:c r="F85" s="24" t="str">
        <x:v>Mantiene la capability visual reusable y evita semántica accidental.</x:v>
      </x:c>
      <x:c r="G85" s="24" t="str">
        <x:v>08A</x:v>
      </x:c>
      <x:c r="H85" s="24" t="str"/>
    </x:row>
    <x:row r="86">
      <x:c r="A86" s="24" t="str">
        <x:v>D-083</x:v>
      </x:c>
      <x:c r="B86" s="24" t="str">
        <x:v>2026-08-26</x:v>
      </x:c>
      <x:c r="C86" s="24" t="str">
        <x:v>Alarm Status detail deferred</x:v>
      </x:c>
      <x:c r="D86" s="24" t="str">
        <x:v>Los contratos de detalle Activas/Gestionadas se difieren a 08C hasta revisar autoridad backend real.</x:v>
      </x:c>
      <x:c r="E86" s="24" t="str">
        <x:v>ACEPTADA</x:v>
      </x:c>
      <x:c r="F86" s="24" t="str">
        <x:v>No se inventan tendencias, grupos ni definición de gestión desde ADA Web.</x:v>
      </x:c>
      <x:c r="G86" s="24" t="str">
        <x:v>08C</x:v>
      </x:c>
      <x:c r="H86" s="24" t="str"/>
    </x:row>
    <x:row r="87">
      <x:c r="A87" s="24" t="str">
        <x:v>D-084</x:v>
      </x:c>
      <x:c r="B87" s="24" t="str">
        <x:v>2026-08-26</x:v>
      </x:c>
      <x:c r="C87" s="24" t="str">
        <x:v>08A dev-only checker dependency</x:v>
      </x:c>
      <x:c r="D87" s="24" t="str">
        <x:v>Hasta 08B, `ada-web-alarm-status` se instala sólo en el grupo dev de `ada-generic-application` para ejecutar el gate.</x:v>
      </x:c>
      <x:c r="E87" s="24" t="str">
        <x:v>ACEPTADA</x:v>
      </x:c>
      <x:c r="F87" s="24" t="str">
        <x:v>La dependencia runtime aparece únicamente cuando se monte el alarm_status_slot.</x:v>
      </x:c>
      <x:c r="G87" s="24" t="str">
        <x:v>08A/08B</x:v>
      </x:c>
      <x:c r="H87" s="24" t="str"/>
    </x:row>
    <x:row r="88">
      <x:c r="A88" s="24" t="str">
        <x:v>D-085</x:v>
      </x:c>
      <x:c r="B88" s="24" t="str">
        <x:v>2026-08-26</x:v>
      </x:c>
      <x:c r="C88" s="24" t="str">
        <x:v>08A closure</x:v>
      </x:c>
      <x:c r="D88" s="24" t="str">
        <x:v>ADA Alarm Status base queda cerrado tras gate verde reportado por el usuario.</x:v>
      </x:c>
      <x:c r="E88" s="24" t="str">
        <x:v>ACEPTADA</x:v>
      </x:c>
      <x:c r="F88" s="24" t="str">
        <x:v>La capability visual Activas/Gestionadas puede montarse en runtime sin reabrir su contrato base.</x:v>
      </x:c>
      <x:c r="G88" s="24" t="str">
        <x:v>08A/08B</x:v>
      </x:c>
      <x:c r="H88" s="24" t="str"/>
    </x:row>
    <x:row r="89">
      <x:c r="A89" s="24" t="str">
        <x:v>D-086</x:v>
      </x:c>
      <x:c r="B89" s="24" t="str">
        <x:v>2026-08-26</x:v>
      </x:c>
      <x:c r="C89" s="24" t="str">
        <x:v>Explicit AlarmStatusState input</x:v>
      </x:c>
      <x:c r="D89" s="24" t="str">
        <x:v>ada-generic-application acepta AlarmStatusState | None como input explícito de composición.</x:v>
      </x:c>
      <x:c r="E89" s="24" t="str">
        <x:v>ACEPTADA</x:v>
      </x:c>
      <x:c r="F89" s="24" t="str">
        <x:v>La UI recibe active_count y managed_count ya resueltos y no conoce su fuente.</x:v>
      </x:c>
      <x:c r="G89" s="24" t="str">
        <x:v>08B</x:v>
      </x:c>
      <x:c r="H89" s="24" t="str"/>
    </x:row>
    <x:row r="90">
      <x:c r="A90" s="24" t="str">
        <x:v>D-087</x:v>
      </x:c>
      <x:c r="B90" s="24" t="str">
        <x:v>2026-08-26</x:v>
      </x:c>
      <x:c r="C90" s="24" t="str">
        <x:v>No fake Alarm Status</x:v>
      </x:c>
      <x:c r="D90" s="24" t="str">
        <x:v>El bootstrap normal mantiene alarm_status=None y no hardcodea conteos de referencia.</x:v>
      </x:c>
      <x:c r="E90" s="24" t="str">
        <x:v>ACEPTADA</x:v>
      </x:c>
      <x:c r="F90" s="24" t="str">
        <x:v>El alarm_status_slot permanece colapsado hasta recibir estado explícito.</x:v>
      </x:c>
      <x:c r="G90" s="24" t="str">
        <x:v>08B</x:v>
      </x:c>
      <x:c r="H90" s="24" t="str"/>
    </x:row>
    <x:row r="91">
      <x:c r="A91" s="24" t="str">
        <x:v>D-088</x:v>
      </x:c>
      <x:c r="B91" s="24" t="str">
        <x:v>2026-08-26</x:v>
      </x:c>
      <x:c r="C91" s="24" t="str">
        <x:v>Alarm Status runtime promotion</x:v>
      </x:c>
      <x:c r="D91" s="24" t="str">
        <x:v>En 08B ada-web-alarm-status pasa de dependency-groups.dev a dependencies de ada-generic-application y registra su AssetLayer.</x:v>
      </x:c>
      <x:c r="E91" s="24" t="str">
        <x:v>ACEPTADA</x:v>
      </x:c>
      <x:c r="F91" s="24" t="str">
        <x:v>La dependencia productiva aparece cuando existe su consumidor productivo real en el Header.</x:v>
      </x:c>
      <x:c r="G91" s="24" t="str">
        <x:v>08B</x:v>
      </x:c>
      <x:c r="H91" s="24" t="str"/>
    </x:row>
    <x:row r="92">
      <x:c r="A92" s="24" t="str">
        <x:v>D-089</x:v>
      </x:c>
      <x:c r="B92" s="24" t="str">
        <x:v>2026-08-26</x:v>
      </x:c>
      <x:c r="C92" s="24" t="str">
        <x:v>External visual preview runner</x:v>
      </x:c>
      <x:c r="D92" s="24" t="str">
        <x:v>El paquete de entrega 08B puede incluir un runner local de preview con estados explícitos; el instalador no lo copia al repositorio.</x:v>
      </x:c>
      <x:c r="E92" s="24" t="str">
        <x:v>ACEPTADA</x:v>
      </x:c>
      <x:c r="F92" s="24" t="str">
        <x:v>Permite revisar geometría/CSS del Header completo sin convertir la Generic Application en showcase ni agregar datos ficticios productivos.</x:v>
      </x:c>
      <x:c r="G92" s="24" t="str">
        <x:v>08B</x:v>
      </x:c>
      <x:c r="H92" s="24" t="str"/>
    </x:row>
    <x:row r="93">
      <x:c r="A93" s="24" t="str">
        <x:v>D-090</x:v>
      </x:c>
      <x:c r="B93" s="24" t="str">
        <x:v>2026-08-26</x:v>
      </x:c>
      <x:c r="C93" s="24" t="str">
        <x:v>Header structural completion</x:v>
      </x:c>
      <x:c r="D93" s="24" t="str">
        <x:v>Tras 08B el Operational Header queda estructuralmente preparado para Brand, Global Indicators, Alarm Management Summary, Alarm Status y Navigation.</x:v>
      </x:c>
      <x:c r="E93" s="24" t="str">
        <x:v>ACEPTADA</x:v>
      </x:c>
      <x:c r="F93" s="24" t="str">
        <x:v>Los siguientes ajustes visuales pueden hacerse sobre las capabilities o ratios del Header sin cambiar sus fronteras.</x:v>
      </x:c>
      <x:c r="G93" s="24" t="str">
        <x:v>08B</x:v>
      </x:c>
      <x:c r="H93" s="24" t="str"/>
    </x:row>
    <x:row r="94">
      <x:c r="A94" s="24" t="str">
        <x:v>D-091</x:v>
      </x:c>
      <x:c r="B94" s="24" t="str">
        <x:v>2026-08-26</x:v>
      </x:c>
      <x:c r="C94" s="24" t="str">
        <x:v>08B installer anchor failure</x:v>
      </x:c>
      <x:c r="D94" s="24" t="str">
        <x:v>El instalador 08B 0.1.0 dependía de la representación multilinea exacta de build_alarm_management_summary(...) que Ruff había normalizado.</x:v>
      </x:c>
      <x:c r="E94" s="24" t="str">
        <x:v>ACEPTADA</x:v>
      </x:c>
      <x:c r="F94" s="24" t="str">
        <x:v>El fallo ocurrió antes del gate y el rollback restauró el estado 08A/07B.</x:v>
      </x:c>
      <x:c r="G94" s="24" t="str">
        <x:v>08B</x:v>
      </x:c>
      <x:c r="H94" s="24" t="str"/>
    </x:row>
    <x:row r="95">
      <x:c r="A95" s="24" t="str">
        <x:v>D-092</x:v>
      </x:c>
      <x:c r="B95" s="24" t="str">
        <x:v>2026-08-26</x:v>
      </x:c>
      <x:c r="C95" s="24" t="str">
        <x:v>08B stable Header anchor</x:v>
      </x:c>
      <x:c r="D95" s="24" t="str">
        <x:v>El correctivo 08B 0.1.1 inserta alarm_status_component usando como anchor la llamada única a build_ada_operational_header(...), independiente del formato de Management Summary.</x:v>
      </x:c>
      <x:c r="E95" s="24" t="str">
        <x:v>ACEPTADA</x:v>
      </x:c>
      <x:c r="F95" s="24" t="str">
        <x:v>Reduce fragilidad frente a Ruff sin cambiar contratos ni arquitectura.</x:v>
      </x:c>
      <x:c r="G95" s="24" t="str">
        <x:v>08B</x:v>
      </x:c>
      <x:c r="H95" s="24" t="str"/>
    </x:row>
    <x:row r="96">
      <x:c r="A96" s="24" t="str">
        <x:v>D-093</x:v>
      </x:c>
      <x:c r="B96" s="24" t="str">
        <x:v>2026-08-26</x:v>
      </x:c>
      <x:c r="C96" s="24" t="str">
        <x:v>No functional scope change in 08B corrective</x:v>
      </x:c>
      <x:c r="D96" s="24" t="str">
        <x:v>08B 0.1.1 mantiene exactamente las versiones/runtime contracts previstos: ada-web-alarm-status 0.1.0 y ada-generic-application 0.1.11.</x:v>
      </x:c>
      <x:c r="E96" s="24" t="str">
        <x:v>ACEPTADA</x:v>
      </x:c>
      <x:c r="F96" s="24" t="str">
        <x:v>El correctivo modifica sólo tooling de aplicación del patch.</x:v>
      </x:c>
      <x:c r="G96" s="24" t="str">
        <x:v>08B</x:v>
      </x:c>
      <x:c r="H96" s="24" t="str"/>
    </x:row>
    <x:row r="97">
      <x:c r="A97" s="24" t="str">
        <x:v>D-094</x:v>
      </x:c>
      <x:c r="B97" s="24" t="str">
        <x:v>2026-08-26</x:v>
      </x:c>
      <x:c r="C97" s="24" t="str">
        <x:v>08B structural closure</x:v>
      </x:c>
      <x:c r="D97" s="24" t="str">
        <x:v>Alarm Status → Header queda estructuralmente cerrado y el Header completo puede revisarse mediante preview.</x:v>
      </x:c>
      <x:c r="E97" s="24" t="str">
        <x:v>ACEPTADA</x:v>
      </x:c>
      <x:c r="F97" s="24" t="str">
        <x:v>La calibración visual se maneja como incremento separado sin reabrir contratos runtime.</x:v>
      </x:c>
      <x:c r="G97" s="24" t="str">
        <x:v>08B/08B.1</x:v>
      </x:c>
      <x:c r="H97" s="24" t="str"/>
    </x:row>
    <x:row r="98">
      <x:c r="A98" s="24" t="str">
        <x:v>D-095</x:v>
      </x:c>
      <x:c r="B98" s="24" t="str">
        <x:v>2026-08-26</x:v>
      </x:c>
      <x:c r="C98" s="24" t="str">
        <x:v>Global Indicators owns remaining width</x:v>
      </x:c>
      <x:c r="D98" s="24" t="str">
        <x:v>En desktop Brand conserva 10rem, Alarm Management usa 9.5rem y Alarm Status 8.75rem; Global Indicators recibe todo el espacio restante.</x:v>
      </x:c>
      <x:c r="E98" s="24" t="str">
        <x:v>ACEPTADA</x:v>
      </x:c>
      <x:c r="F98" s="24" t="str">
        <x:v>El Header deja de repartir crecimiento proporcional entre las tres capabilities operacionales.</x:v>
      </x:c>
      <x:c r="G98" s="24" t="str">
        <x:v>08B.1A</x:v>
      </x:c>
      <x:c r="H98" s="24" t="str"/>
    </x:row>
    <x:row r="99">
      <x:c r="A99" s="24" t="str">
        <x:v>D-096</x:v>
      </x:c>
      <x:c r="B99" s="24" t="str">
        <x:v>2026-08-26</x:v>
      </x:c>
      <x:c r="C99" s="24" t="str">
        <x:v>Equal Global Indicator columns</x:v>
      </x:c>
      <x:c r="D99" s="24" t="str">
        <x:v>La colección de Global Indicators usa columnas iguales; ningún KPI puede ocupar más ancho que otro por su contenido.</x:v>
      </x:c>
      <x:c r="E99" s="24" t="str">
        <x:v>ACEPTADA</x:v>
      </x:c>
      <x:c r="F99" s="24" t="str">
        <x:v>CSS Grid con tracks minmax(0, 1fr) distribuye todo el ancho disponible de forma ordenada.</x:v>
      </x:c>
      <x:c r="G99" s="24" t="str">
        <x:v>08B.1A</x:v>
      </x:c>
      <x:c r="H99" s="24" t="str"/>
    </x:row>
    <x:row r="100">
      <x:c r="A100" s="24" t="str">
        <x:v>D-097</x:v>
      </x:c>
      <x:c r="B100" s="24" t="str">
        <x:v>2026-08-26</x:v>
      </x:c>
      <x:c r="C100" s="24" t="str">
        <x:v>Natural centered KPI content</x:v>
      </x:c>
      <x:c r="D100" s="24" t="str">
        <x:v>Cada KPI ocupa completamente su columna, pero heading/contenido interno conservan ancho natural y quedan centrados por el layout del componente.</x:v>
      </x:c>
      <x:c r="E100" s="24" t="str">
        <x:v>ACEPTADA</x:v>
      </x:c>
      <x:c r="F100" s="24" t="str">
        <x:v>No se agregan anchos artificiales al contenido interno.</x:v>
      </x:c>
      <x:c r="G100" s="24" t="str">
        <x:v>08B.1A</x:v>
      </x:c>
      <x:c r="H100" s="24" t="str"/>
    </x:row>
    <x:row r="101">
      <x:c r="A101" s="24" t="str">
        <x:v>D-098</x:v>
      </x:c>
      <x:c r="B101" s="24" t="str">
        <x:v>2026-08-26</x:v>
      </x:c>
      <x:c r="C101" s="24" t="str">
        <x:v>Measurement table preserved</x:v>
      </x:c>
      <x:c r="D101" s="24" t="str">
        <x:v>La estructura de mediciones ya usa `html.Table`; se conserva para alinear Turno/Día/etc. y valores de actual/plan.</x:v>
      </x:c>
      <x:c r="E101" s="24" t="str">
        <x:v>ACEPTADA</x:v>
      </x:c>
      <x:c r="F101" s="24" t="str">
        <x:v>No se reconstruye con flex ni se pierde la alineación tabular existente.</x:v>
      </x:c>
      <x:c r="G101" s="24" t="str">
        <x:v>08B.1A</x:v>
      </x:c>
      <x:c r="H101" s="24" t="str"/>
    </x:row>
    <x:row r="102">
      <x:c r="A102" s="24" t="str">
        <x:v>D-099</x:v>
      </x:c>
      <x:c r="B102" s="24" t="str">
        <x:v>2026-08-26</x:v>
      </x:c>
      <x:c r="C102" s="24" t="str">
        <x:v>Global Indicator heading ellipsis</x:v>
      </x:c>
      <x:c r="D102" s="24" t="str">
        <x:v>Los títulos largos conservan `overflow:hidden`, `text-overflow:ellipsis`, `white-space:nowrap` y `title` con el texto completo.</x:v>
      </x:c>
      <x:c r="E102" s="24" t="str">
        <x:v>ACEPTADA</x:v>
      </x:c>
      <x:c r="F102" s="24" t="str">
        <x:v>Un nombre largo no ensancha su KPI ni rompe la igualdad de columnas.</x:v>
      </x:c>
      <x:c r="G102" s="24" t="str">
        <x:v>08B.1A</x:v>
      </x:c>
      <x:c r="H102" s="24" t="str"/>
    </x:row>
    <x:row r="103">
      <x:c r="A103" s="24" t="str">
        <x:v>D-100</x:v>
      </x:c>
      <x:c r="B103" s="24" t="str">
        <x:v>2026-08-26</x:v>
      </x:c>
      <x:c r="C103" s="24" t="str">
        <x:v>Navigation calibration isolated</x:v>
      </x:c>
      <x:c r="D103" s="24" t="str">
        <x:v>El trigger de Navigation no se modifica en 08B.1A; se corrige en 08B.1B como incremento separado.</x:v>
      </x:c>
      <x:c r="E103" s="24" t="str">
        <x:v>ACEPTADA</x:v>
      </x:c>
      <x:c r="F103" s="24" t="str">
        <x:v>Permite validar primero geometría Header/GI y luego aislar el comportamiento del rail de Navigation.</x:v>
      </x:c>
      <x:c r="G103" s="24" t="str">
        <x:v>08B.1B</x:v>
      </x:c>
      <x:c r="H103" s="24" t="str"/>
    </x:row>
    <x:row r="104">
      <x:c r="A104" s="24" t="str">
        <x:v>D-101</x:v>
      </x:c>
      <x:c r="B104" s="24" t="str">
        <x:v>2026-08-26</x:v>
      </x:c>
      <x:c r="C104" s="24" t="str">
        <x:v>08B.1A application test version drift</x:v>
      </x:c>
      <x:c r="D104" s="24" t="str">
        <x:v>El primer 08B.1A actualizó ada-generic-application a 0.1.12 pero no actualizó dos expectativas de versión en tests/test_application.py.</x:v>
      </x:c>
      <x:c r="E104" s="24" t="str">
        <x:v>ACEPTADA</x:v>
      </x:c>
      <x:c r="F104" s="24" t="str">
        <x:v>El fallo fue de consistencia de tests; Header 0.1.1 y Global Indicator 0.1.1 ya habían pasado sus gates.</x:v>
      </x:c>
      <x:c r="G104" s="24" t="str">
        <x:v>08B.1A</x:v>
      </x:c>
      <x:c r="H104" s="24" t="str"/>
    </x:row>
    <x:row r="105">
      <x:c r="A105" s="24" t="str">
        <x:v>D-102</x:v>
      </x:c>
      <x:c r="B105" s="24" t="str">
        <x:v>2026-08-26</x:v>
      </x:c>
      <x:c r="C105" s="24" t="str">
        <x:v>08B.1A corrective scope</x:v>
      </x:c>
      <x:c r="D105" s="24" t="str">
        <x:v>El correctivo 0.1.1 cambia únicamente las dos expectativas 0.1.11 → 0.1.12 en Application tests además del mismo patch visual 0.1.0.</x:v>
      </x:c>
      <x:c r="E105" s="24" t="str">
        <x:v>ACEPTADA</x:v>
      </x:c>
      <x:c r="F105" s="24" t="str">
        <x:v>No cambia CSS, geometría ni contratos acordados para la calibración.</x:v>
      </x:c>
      <x:c r="G105" s="24" t="str">
        <x:v>08B.1A</x:v>
      </x:c>
      <x:c r="H105" s="24" t="str"/>
    </x:row>
    <x:row r="106">
      <x:c r="A106" s="24" t="str">
        <x:v>D-103</x:v>
      </x:c>
      <x:c r="B106" s="24" t="str">
        <x:v>2026-08-26</x:v>
      </x:c>
      <x:c r="C106" s="24" t="str">
        <x:v>08B.1A rollback confirmed</x:v>
      </x:c>
      <x:c r="D106" s="24" t="str">
        <x:v>El instalador 0.1.0 ejecutó rollback después del gate fallido, por lo que el correctivo parte nuevamente desde Header 0.1.0, Global Indicator 0.1.0 y Application 0.1.11.</x:v>
      </x:c>
      <x:c r="E106" s="24" t="str">
        <x:v>ACEPTADA</x:v>
      </x:c>
      <x:c r="F106" s="24" t="str">
        <x:v>Se puede aplicar 0.1.1 directamente sin reparación manual previa.</x:v>
      </x:c>
      <x:c r="G106" s="24" t="str">
        <x:v>08B.1A</x:v>
      </x:c>
      <x:c r="H106" s="24" t="str"/>
    </x:row>
    <x:row r="107">
      <x:c r="A107" s="24" t="str">
        <x:v>D-104</x:v>
      </x:c>
      <x:c r="B107" s="24" t="str">
        <x:v>2026-08-26</x:v>
      </x:c>
      <x:c r="C107" s="24" t="str">
        <x:v>No empty measurement rows</x:v>
      </x:c>
      <x:c r="D107" s="24" t="str">
        <x:v>Global Indicator no renderiza una tercera fila vacía cuando sólo existen dos mediciones.</x:v>
      </x:c>
      <x:c r="E107" s="24" t="str">
        <x:v>ACEPTADA</x:v>
      </x:c>
      <x:c r="F107" s="24" t="str">
        <x:v>La igualdad visual se resuelve mediante grid/layout; no mediante nodos HTML ficticios.</x:v>
      </x:c>
      <x:c r="G107" s="24" t="str">
        <x:v>08B.1A.1</x:v>
      </x:c>
      <x:c r="H107" s="24" t="str"/>
    </x:row>
    <x:row r="108">
      <x:c r="A108" s="24" t="str">
        <x:v>D-105</x:v>
      </x:c>
      <x:c r="B108" s="24" t="str">
        <x:v>2026-08-26</x:v>
      </x:c>
      <x:c r="C108" s="24" t="str">
        <x:v>Optional last measurement produces no DOM</x:v>
      </x:c>
      <x:c r="D108" s="24" t="str">
        <x:v>Si last_measurement es None, no se crea ningún contenedor ni placeholder para Última medición.</x:v>
      </x:c>
      <x:c r="E108" s="24" t="str">
        <x:v>ACEPTADA</x:v>
      </x:c>
      <x:c r="F108" s="24" t="str">
        <x:v>Reduce espacio innecesario y evita nodos sin contenido en el árbol Dash/HTML.</x:v>
      </x:c>
      <x:c r="G108" s="24" t="str">
        <x:v>08B.1A.1</x:v>
      </x:c>
      <x:c r="H108" s="24" t="str"/>
    </x:row>
    <x:row r="109">
      <x:c r="A109" s="24" t="str">
        <x:v>D-106</x:v>
      </x:c>
      <x:c r="B109" s="24" t="str">
        <x:v>2026-08-26</x:v>
      </x:c>
      <x:c r="C109" s="24" t="str">
        <x:v>Real measurement table only</x:v>
      </x:c>
      <x:c r="D109" s="24" t="str">
        <x:v>La tabla contiene exactamente las mediciones recibidas y conserva su alineación de labels/actual/plan.</x:v>
      </x:c>
      <x:c r="E109" s="24" t="str">
        <x:v>ACEPTADA</x:v>
      </x:c>
      <x:c r="F109" s="24" t="str">
        <x:v>La tabla sigue siendo la herramienta de alineación; sólo desaparecen filas artificiales.</x:v>
      </x:c>
      <x:c r="G109" s="24" t="str">
        <x:v>08B.1A.1</x:v>
      </x:c>
      <x:c r="H109" s="24" t="str"/>
    </x:row>
    <x:row r="110">
      <x:c r="A110" s="24" t="str">
        <x:v>D-107</x:v>
      </x:c>
      <x:c r="B110" s="24" t="str">
        <x:v>2026-08-26</x:v>
      </x:c>
      <x:c r="C110" s="24" t="str">
        <x:v>Collection is render unit</x:v>
      </x:c>
      <x:c r="D110" s="24" t="str">
        <x:v>GlobalIndicatorCollection es la unidad completa de actualización visual: N estados producen exactamente N componentes hermanos.</x:v>
      </x:c>
      <x:c r="E110" s="24" t="str">
        <x:v>ACEPTADA</x:v>
      </x:c>
      <x:c r="F110" s="24" t="str">
        <x:v>No se crean slots manuales ni callbacks por KPI/valor; un collector/provider puede reemplazar la colección completa.</x:v>
      </x:c>
      <x:c r="G110" s="24" t="str">
        <x:v>08B.1A.1</x:v>
      </x:c>
      <x:c r="H110" s="24" t="str"/>
    </x:row>
    <x:row r="111">
      <x:c r="A111" s="24" t="str">
        <x:v>D-108</x:v>
      </x:c>
      <x:c r="B111" s="24" t="str">
        <x:v>2026-08-26</x:v>
      </x:c>
      <x:c r="C111" s="24" t="str">
        <x:v>Collector/UI responsibility</x:v>
      </x:c>
      <x:c r="D111" s="24" t="str">
        <x:v>El collector/provider resuelve configuración, valores y DisplayStatus; la UI recibe una colección completa y llama build_global_indicators(...).</x:v>
      </x:c>
      <x:c r="E111" s="24" t="str">
        <x:v>ACEPTADA</x:v>
      </x:c>
      <x:c r="F111" s="24" t="str">
        <x:v>Evita callback explosion y mantiene la UI ajena a fuentes/configuración.</x:v>
      </x:c>
      <x:c r="G111" s="24" t="str">
        <x:v>Future collector</x:v>
      </x:c>
      <x:c r="H111" s="24" t="str"/>
    </x:row>
    <x:row r="112">
      <x:c r="A112" s="24" t="str">
        <x:v>D-109</x:v>
      </x:c>
      <x:c r="B112" s="24" t="str">
        <x:v>2026-08-26</x:v>
      </x:c>
      <x:c r="C112" s="24" t="str">
        <x:v>Navigation remains isolated</x:v>
      </x:c>
      <x:c r="D112" s="24" t="str">
        <x:v>08B.1A.1 no modifica Navigation; el trigger compacto sigue siendo 08B.1B.</x:v>
      </x:c>
      <x:c r="E112" s="24" t="str">
        <x:v>ACEPTADA</x:v>
      </x:c>
      <x:c r="F112" s="24" t="str">
        <x:v>Se cierra primero el DOM/layout de Global Indicators antes de tocar el rail lateral.</x:v>
      </x:c>
      <x:c r="G112" s="24" t="str">
        <x:v>08B.1A.1/08B.1B</x:v>
      </x:c>
      <x:c r="H112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25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  <x:dataValidation type="list" sqref="E55:E60">
      <x:formula1>"PENDIENTE,ACEPTADA,RECHAZADA,HOLD"</x:formula1>
    </x:dataValidation>
    <x:dataValidation type="list" sqref="E61:E63">
      <x:formula1>"PENDIENTE,ACEPTADA,RECHAZADA,HOLD"</x:formula1>
    </x:dataValidation>
    <x:dataValidation type="list" sqref="E64:E68">
      <x:formula1>"PENDIENTE,ACEPTADA,RECHAZADA,HOLD"</x:formula1>
    </x:dataValidation>
    <x:dataValidation type="list" sqref="E69:E75">
      <x:formula1>"PENDIENTE,ACEPTADA,RECHAZADA,HOLD"</x:formula1>
    </x:dataValidation>
    <x:dataValidation type="list" sqref="E76:E80">
      <x:formula1>"PENDIENTE,ACEPTADA,RECHAZADA,HOLD"</x:formula1>
    </x:dataValidation>
    <x:dataValidation type="list" sqref="E81:E87">
      <x:formula1>"PENDIENTE,ACEPTADA,RECHAZADA,HOLD"</x:formula1>
    </x:dataValidation>
    <x:dataValidation type="list" sqref="E88:E93">
      <x:formula1>"PENDIENTE,ACEPTADA,RECHAZADA,HOLD"</x:formula1>
    </x:dataValidation>
    <x:dataValidation type="list" sqref="E94:E96">
      <x:formula1>"PENDIENTE,ACEPTADA,RECHAZADA,HOLD"</x:formula1>
    </x:dataValidation>
    <x:dataValidation type="list" sqref="E97:E103">
      <x:formula1>"PENDIENTE,ACEPTADA,RECHAZADA,HOLD"</x:formula1>
    </x:dataValidation>
    <x:dataValidation type="list" sqref="E104:E106">
      <x:formula1>"PENDIENTE,ACEPTADA,RECHAZADA,HOLD"</x:formula1>
    </x:dataValidation>
    <x:dataValidation type="list" sqref="E107:E112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  <x:row r="20">
      <x:c r="A20" t="str">
        <x:v>06B ADA Global Indicator</x:v>
      </x:c>
      <x:c r="B20" t="str">
        <x:v>Promoción visual limpia desde multi-stage: estado, colección, estilo, layout estándar, CSS y AssetLayer. Consume Display Status. Se excluyen definitions/mappers KPI, ToolScope/Header placement y Component State.</x:v>
      </x:c>
      <x:c r="C20" t="str">
        <x:v>Decisiones D-052 a D-057</x:v>
      </x:c>
      <x:c r="D20" t="str">
        <x:v>No montar todavía datos falsos en ada-generic-application; 06C resolverá provider/composición y slot.</x:v>
      </x:c>
      <x:c r="E20" t="str">
        <x:v>06B → 06C</x:v>
      </x:c>
      <x:c r="F20" t="str"/>
    </x:row>
    <x:row r="21">
      <x:c r="A21" t="str">
        <x:v>06B checker bootstrap</x:v>
      </x:c>
      <x:c r="B21" t="str">
        <x:v>scripts/scopes/ada/check.sh usa el entorno UV de ada-generic-application. Capabilities aún no consumidas por runtime deben estar disponibles al checker sin convertirse prematuramente en dependencias productivas.</x:v>
      </x:c>
      <x:c r="C21" t="str">
        <x:v>Decisiones D-058 a D-060</x:v>
      </x:c>
      <x:c r="D21" t="str">
        <x:v>06B usa dependency-groups.dev; 06C moverá Global Indicator a runtime al montarlo en el Header.</x:v>
      </x:c>
      <x:c r="E21" t="str">
        <x:v>06B corrective 0.1.1</x:v>
      </x:c>
      <x:c r="F21" t="str"/>
    </x:row>
    <x:row r="22">
      <x:c r="A22" t="str">
        <x:v>06C Global Indicators → Header</x:v>
      </x:c>
      <x:c r="B22" t="str">
        <x:v>ada-generic-application==0.1.9 registra ada-global-indicator como módulo runtime y acepta una GlobalIndicatorCollection explícita. La composition root construye el componente sólo si la colección contiene indicadores y lo entrega al global_indicators_slot.</x:v>
      </x:c>
      <x:c r="C22" t="str">
        <x:v>Decisiones D-061 a D-065</x:v>
      </x:c>
      <x:c r="D22" t="str">
        <x:v>Sin provider específico ni datos de referencia en producción; no modificar CSS/assets cerrados.</x:v>
      </x:c>
      <x:c r="E22" t="str">
        <x:v>06C → revisión visual con colección real/inyección explícita</x:v>
      </x:c>
      <x:c r="F22" t="str"/>
    </x:row>
    <x:row r="23">
      <x:c r="A23" t="str">
        <x:v>07A ADA Alarm Management Summary</x:v>
      </x:c>
      <x:c r="B23" t="str">
        <x:v>Promoción visual limpia desde multi-stage: Mina/Planta, grupo, porcentaje y tone. Se eliminan ToolManifest/ToolScope/section_key, runtime state validation y State Wrapper. El CSS histórico se separa de Alarm Status y usa variables propias de la capability.</x:v>
      </x:c>
      <x:c r="C23" t="str">
        <x:v>Decisiones D-067 a D-072</x:v>
      </x:c>
      <x:c r="D23" t="str">
        <x:v>No montar datos ficticios ni introducir semántica del motor de Command Center.</x:v>
      </x:c>
      <x:c r="E23" t="str">
        <x:v>07A → 07B</x:v>
      </x:c>
      <x:c r="F23" t="str"/>
    </x:row>
    <x:row r="24">
      <x:c r="A24" t="str">
        <x:v>07B Alarm Management Summary → Header</x:v>
      </x:c>
      <x:c r="B24" t="str">
        <x:v>ada-generic-application==0.1.10 registra ada-alarm-management-summary como módulo runtime y acepta AlarmManagementSummaryState explícito. La composition root construye el componente sólo desde ese estado y lo entrega a alarm_management_slot.</x:v>
      </x:c>
      <x:c r="C24" t="str">
        <x:v>Decisiones D-073 a D-077</x:v>
      </x:c>
      <x:c r="D24" t="str">
        <x:v>Default None; sin datos ficticios ni provider específico. CSS/assets cerrados no se modifican.</x:v>
      </x:c>
      <x:c r="E24" t="str">
        <x:v>07B → gate + revisión visual con inyección explícita</x:v>
      </x:c>
      <x:c r="F24" t="str"/>
    </x:row>
    <x:row r="25">
      <x:c r="A25" t="str">
        <x:v>08A ADA Alarm Status</x:v>
      </x:c>
      <x:c r="B25" t="str">
        <x:v>Promoción visual desde multi-stage: Alarmas + Activas/Gestionadas. Se conserva conteo y geometría base, pero los chips pasan a botones semánticos para los futuros modales. Se eliminan ToolManifest/ToolScope/State Wrapper.</x:v>
      </x:c>
      <x:c r="C25" t="str">
        <x:v>Decisiones D-079 a D-084</x:v>
      </x:c>
      <x:c r="D25" t="str">
        <x:v>No implementar aún callbacks, modales ni detalle backend.</x:v>
      </x:c>
      <x:c r="E25" t="str">
        <x:v>08A → 08B</x:v>
      </x:c>
      <x:c r="F25" t="str"/>
    </x:row>
    <x:row r="26">
      <x:c r="A26" t="str">
        <x:v>08B Alarm Status → Header</x:v>
      </x:c>
      <x:c r="B26" t="str">
        <x:v>ada-generic-application==0.1.11 registra ada-alarm-status como módulo runtime y acepta AlarmStatusState explícito. La composition root construye el componente y lo entrega a alarm_status_slot. El paquete incluye preview runner local no persistente.</x:v>
      </x:c>
      <x:c r="C26" t="str">
        <x:v>Decisiones D-085 a D-090</x:v>
      </x:c>
      <x:c r="D26" t="str">
        <x:v>Bootstrap normal sin datos ficticios. No implementar aún modales/callbacks ni contratos de detalle.</x:v>
      </x:c>
      <x:c r="E26" t="str">
        <x:v>08B → gate + preview visual → ajustes UI / 08C</x:v>
      </x:c>
      <x:c r="F26" t="str"/>
    </x:row>
    <x:row r="27">
      <x:c r="A27" t="str">
        <x:v>08B corrective 0.1.1</x:v>
      </x:c>
      <x:c r="B27" t="str">
        <x:v>El primer instalador usó un anchor textual sobre la forma pre-Ruff de Management Summary. El correctivo usa directamente `header = build_ada_operational_header(` como punto único de inserción.</x:v>
      </x:c>
      <x:c r="C27" t="str">
        <x:v>Decisiones D-091 a D-093</x:v>
      </x:c>
      <x:c r="D27" t="str">
        <x:v>Sin cambios en CSS/assets, contratos, versiones productivas ni preview.</x:v>
      </x:c>
      <x:c r="E27" t="str">
        <x:v>08B corrective</x:v>
      </x:c>
      <x:c r="F27" t="str"/>
    </x:row>
    <x:row r="28">
      <x:c r="A28" t="str">
        <x:v>08B.1A Header/GI calibration</x:v>
      </x:c>
      <x:c r="B28" t="str">
        <x:v>Primer ajuste visual posterior al Header completo. Header asigna anchos controlados a Brand/Management/Status y deja el resto a GI. GI usa columnas iguales; cada KPI ocupa su track pero heading/content mantienen ancho natural centrado. La tabla de mediciones y ellipsis ya existentes se preservan/refuerzan.</x:v>
      </x:c>
      <x:c r="C28" t="str">
        <x:v>Decisiones D-095 a D-100</x:v>
      </x:c>
      <x:c r="D28" t="str">
        <x:v>No modificar Navigation todavía; no tocar contratos/models/providers.</x:v>
      </x:c>
      <x:c r="E28" t="str">
        <x:v>08B.1A → preview → 08B.1B</x:v>
      </x:c>
      <x:c r="F28" t="str"/>
    </x:row>
    <x:row r="29">
      <x:c r="A29" t="str">
        <x:v>08B.1A corrective 0.1.1</x:v>
      </x:c>
      <x:c r="B29" t="str">
        <x:v>El cambio visual original era correcto y pasó gates propios. El fallo final fue únicamente por dos tests de ada-generic-application que conservaban la versión 0.1.11 después del bump a 0.1.12.</x:v>
      </x:c>
      <x:c r="C29" t="str">
        <x:v>Decisiones D-101 a D-103</x:v>
      </x:c>
      <x:c r="D29" t="str">
        <x:v>Correctivo limitado a consistencia de tests; sin cambio visual adicional.</x:v>
      </x:c>
      <x:c r="E29" t="str">
        <x:v>08B.1A corrective → preview</x:v>
      </x:c>
      <x:c r="F29" t="str"/>
    </x:row>
    <x:row r="30">
      <x:c r="A30" t="str">
        <x:v>08B.1A.1 Global Indicator pruning</x:v>
      </x:c>
      <x:c r="B30" t="str">
        <x:v>No se reservan filas ni contenedores opcionales. Las mediciones presentes forman la tabla real; last_measurement sólo genera HTML si existe. La colección completa se convierte dinámicamente en N componentes sin slots por KPI.</x:v>
      </x:c>
      <x:c r="C30" t="str">
        <x:v>Decisiones D-104 a D-109</x:v>
      </x:c>
      <x:c r="D30" t="str">
        <x:v>No tocar Navigation ni introducir collector real todavía.</x:v>
      </x:c>
      <x:c r="E30" t="str">
        <x:v>08B.1A.1 → preview → 08B.1B</x:v>
      </x:c>
      <x:c r="F30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VERDE</x:v>
      </x:c>
      <x:c r="D4" s="24" t="str">
        <x:v>N/A</x:v>
      </x:c>
      <x:c r="E4" s="24" t="str">
        <x:v>Estados/iconos compartidos</x:v>
      </x:c>
      <x:c r="F4" s="24" t="str">
        <x:v>05A</x:v>
      </x:c>
      <x:c r="G4" s="24" t="str">
        <x:v>CERRADO.</x:v>
      </x:c>
    </x:row>
    <x:row r="5">
      <x:c r="A5" s="24" t="str">
        <x:v>06B</x:v>
      </x:c>
      <x:c r="B5" s="24" t="str">
        <x:v>ADA Global Indicator</x:v>
      </x:c>
      <x:c r="C5" s="24" t="str">
        <x:v>VERDE</x:v>
      </x:c>
      <x:c r="D5" s="24" t="str">
        <x:v>N/A</x:v>
      </x:c>
      <x:c r="E5" s="24" t="str">
        <x:v>Presentación reusable</x:v>
      </x:c>
      <x:c r="F5" s="24" t="str">
        <x:v>06A</x:v>
      </x:c>
      <x:c r="G5" s="24" t="str">
        <x:v>CERRADO.</x:v>
      </x:c>
    </x:row>
    <x:row r="6">
      <x:c r="A6" s="24" t="str">
        <x:v>06C</x:v>
      </x:c>
      <x:c r="B6" s="24" t="str">
        <x:v>Global Indicators → Header</x:v>
      </x:c>
      <x:c r="C6" s="24" t="str">
        <x:v>VERDE</x:v>
      </x:c>
      <x:c r="D6" s="24" t="str">
        <x:v>global_indicators_slot</x:v>
      </x:c>
      <x:c r="E6" s="24" t="str">
        <x:v>Colección explícita montada por composición</x:v>
      </x:c>
      <x:c r="F6" s="24" t="str">
        <x:v>05E + 06B</x:v>
      </x:c>
      <x:c r="G6" s="24" t="str">
        <x:v>CERRADO.</x:v>
      </x:c>
    </x:row>
    <x:row r="7">
      <x:c r="A7" s="24" t="str">
        <x:v>07A</x:v>
      </x:c>
      <x:c r="B7" s="24" t="str">
        <x:v>ADA Alarm Management Summary</x:v>
      </x:c>
      <x:c r="C7" s="24" t="str">
        <x:v>VERDE</x:v>
      </x:c>
      <x:c r="D7" s="24" t="str">
        <x:v>N/A</x:v>
      </x:c>
      <x:c r="E7" s="24" t="str">
        <x:v>Mina/Planta visual</x:v>
      </x:c>
      <x:c r="F7" s="24" t="str">
        <x:v>05E</x:v>
      </x:c>
      <x:c r="G7" s="24" t="str">
        <x:v>CERRADO.</x:v>
      </x:c>
    </x:row>
    <x:row r="8">
      <x:c r="A8" t="str">
        <x:v>07B</x:v>
      </x:c>
      <x:c r="B8" t="str">
        <x:v>Alarm Management Summary → Header</x:v>
      </x:c>
      <x:c r="C8" t="str">
        <x:v>VERDE</x:v>
      </x:c>
      <x:c r="D8" t="str">
        <x:v>alarm_management_slot</x:v>
      </x:c>
      <x:c r="E8" t="str">
        <x:v>Estado explícito montado por composición</x:v>
      </x:c>
      <x:c r="F8" t="str">
        <x:v>07A</x:v>
      </x:c>
      <x:c r="G8" t="str">
        <x:v>CERRADO.</x:v>
      </x:c>
    </x:row>
    <x:row r="9">
      <x:c r="A9" t="str">
        <x:v>08A</x:v>
      </x:c>
      <x:c r="B9" t="str">
        <x:v>ADA Alarm Status base</x:v>
      </x:c>
      <x:c r="C9" t="str">
        <x:v>VERDE</x:v>
      </x:c>
      <x:c r="D9" t="str">
        <x:v>N/A</x:v>
      </x:c>
      <x:c r="E9" t="str">
        <x:v>Activas + Gestionadas como acciones visuales</x:v>
      </x:c>
      <x:c r="F9" t="str">
        <x:v>05E</x:v>
      </x:c>
      <x:c r="G9" t="str">
        <x:v>CERRADO.</x:v>
      </x:c>
    </x:row>
    <x:row r="10">
      <x:c r="A10" t="str">
        <x:v>08B</x:v>
      </x:c>
      <x:c r="B10" t="str">
        <x:v>Alarm Status → Header</x:v>
      </x:c>
      <x:c r="C10" t="str">
        <x:v>VERDE</x:v>
      </x:c>
      <x:c r="D10" t="str">
        <x:v>alarm_status_slot</x:v>
      </x:c>
      <x:c r="E10" t="str">
        <x:v>Estado explícito montado por composición</x:v>
      </x:c>
      <x:c r="F10" t="str">
        <x:v>08A</x:v>
      </x:c>
      <x:c r="G10" t="str">
        <x:v>CERRADO estructuralmente; preview completo disponible.</x:v>
      </x:c>
    </x:row>
    <x:row r="11">
      <x:c r="A11" t="str">
        <x:v>08B.1A</x:v>
      </x:c>
      <x:c r="B11" t="str">
        <x:v>Header + Global Indicator Calibration</x:v>
      </x:c>
      <x:c r="C11" t="str">
        <x:v>EN EJECUCIÓN</x:v>
      </x:c>
      <x:c r="D11" t="str">
        <x:v>Header + global_indicators_slot</x:v>
      </x:c>
      <x:c r="E11" t="str">
        <x:v>GI usa todo el espacio restante; KPI iguales; contenido centrado; tabla/ellipsis</x:v>
      </x:c>
      <x:c r="F11" t="str">
        <x:v>08B</x:v>
      </x:c>
      <x:c r="G11" t="str">
        <x:v>Calibración visual aplicada; se ajusta ahora DOM opcional antes de cerrar.</x:v>
      </x:c>
    </x:row>
    <x:row r="12">
      <x:c r="A12" t="str">
        <x:v>08B.1A.1</x:v>
      </x:c>
      <x:c r="B12" t="str">
        <x:v>Global Indicator Dynamic Content Pruning</x:v>
      </x:c>
      <x:c r="C12" t="str">
        <x:v>EN EJECUCIÓN</x:v>
      </x:c>
      <x:c r="D12" t="str">
        <x:v>global_indicators_slot</x:v>
      </x:c>
      <x:c r="E12" t="str">
        <x:v>Sólo filas reales; last_measurement sólo cuando existe; N estados → N componentes</x:v>
      </x:c>
      <x:c r="F12" t="str">
        <x:v>08B.1A</x:v>
      </x:c>
      <x:c r="G12" t="str">
        <x:v>Global Indicator 0.1.2 + Generic Application 0.1.13. Sin placeholders DOM.</x:v>
      </x:c>
    </x:row>
    <x:row r="13">
      <x:c r="A13" t="str">
        <x:v>08B.1B</x:v>
      </x:c>
      <x:c r="B13" t="str">
        <x:v>Navigation trigger compact</x:v>
      </x:c>
      <x:c r="C13" t="str">
        <x:v>PENDIENTE</x:v>
      </x:c>
      <x:c r="D13" t="str">
        <x:v>navigation_desktop</x:v>
      </x:c>
      <x:c r="E13" t="str">
        <x:v>Rail angosto; sobresale sólo levemente en hover/focus y nunca tapa Alarm Status</x:v>
      </x:c>
      <x:c r="F13" t="str">
        <x:v>08B.1A.1</x:v>
      </x:c>
      <x:c r="G13" t="str">
        <x:v>Modificar Navigation CSS explícitamente aprobado.</x:v>
      </x:c>
    </x:row>
    <x:row r="14">
      <x:c r="A14" t="str">
        <x:v>08C</x:v>
      </x:c>
      <x:c r="B14" t="str">
        <x:v>Alarm Status detail contracts</x:v>
      </x:c>
      <x:c r="C14" t="str">
        <x:v>PENDIENTE</x:v>
      </x:c>
      <x:c r="D14" t="str">
        <x:v>N/A</x:v>
      </x:c>
      <x:c r="E14" t="str">
        <x:v>Contratos para detalle Activas/Gestionadas</x:v>
      </x:c>
      <x:c r="F14" t="str">
        <x:v>Command Center contracts</x:v>
      </x:c>
      <x:c r="G14" t="str">
        <x:v>No inventar tendencias/grupos ni semántica de gestión.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7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  <x:dataValidation type="list" sqref="C4:C9">
      <x:formula1>"PENDIENTE,EN REVISIÓN,LISTO PARA IMPLEMENTAR,EN EJECUCIÓN,VERDE,HOLD,DESCARTADO"</x:formula1>
    </x:dataValidation>
    <x:dataValidation type="list" sqref="C4:C10">
      <x:formula1>"PENDIENTE,EN REVISIÓN,LISTO PARA IMPLEMENTAR,EN EJECUCIÓN,VERDE,HOLD,DESCARTADO"</x:formula1>
    </x:dataValidation>
    <x:dataValidation type="list" sqref="C4:C12">
      <x:formula1>"PENDIENTE,EN REVISIÓN,LISTO PARA IMPLEMENTAR,EN EJECUCIÓN,VERDE,HOLD,DESCARTADO"</x:formula1>
    </x:dataValidation>
    <x:dataValidation type="list" sqref="C4:C13">
      <x:formula1>"PENDIENTE,EN REVISIÓN,LISTO PARA IMPLEMENTAR,EN EJECUCIÓN,VERDE,HOLD,DESCARTADO"</x:formula1>
    </x:dataValidation>
    <x:dataValidation type="list" sqref="C4:C14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