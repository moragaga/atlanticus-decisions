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26ec68d4f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bb8b8ae41204184"/>
    <x:sheet xmlns:r="http://schemas.openxmlformats.org/officeDocument/2006/relationships" name="01_Header_Plan" sheetId="2" r:id="R1b816795372f4598"/>
    <x:sheet xmlns:r="http://schemas.openxmlformats.org/officeDocument/2006/relationships" name="02_Checks" sheetId="3" r:id="R14119b688bc44507"/>
    <x:sheet xmlns:r="http://schemas.openxmlformats.org/officeDocument/2006/relationships" name="03_Decisions" sheetId="4" r:id="Rc3a1157773b549b5"/>
    <x:sheet xmlns:r="http://schemas.openxmlformats.org/officeDocument/2006/relationships" name="04_Contexto" sheetId="5" r:id="Rab321ede0b20409b"/>
    <x:sheet xmlns:r="http://schemas.openxmlformats.org/officeDocument/2006/relationships" name="05_Futuro" sheetId="6" r:id="Rdc5eeafc27a1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d661fbc5547be" /><Relationship Type="http://schemas.openxmlformats.org/officeDocument/2006/relationships/theme" Target="/xl/theme/theme1.xml" Id="R05d17c4841e84a1c" /><Relationship Type="http://schemas.openxmlformats.org/officeDocument/2006/relationships/sharedStrings" Target="/xl/sharedStrings.xml" Id="Rfc76e84c060f4582" /><Relationship Type="http://schemas.openxmlformats.org/officeDocument/2006/relationships/worksheet" Target="/xl/worksheets/sheet1.xml" Id="R2bb8b8ae41204184" /><Relationship Type="http://schemas.openxmlformats.org/officeDocument/2006/relationships/worksheet" Target="/xl/worksheets/sheet2.xml" Id="R1b816795372f4598" /><Relationship Type="http://schemas.openxmlformats.org/officeDocument/2006/relationships/worksheet" Target="/xl/worksheets/sheet3.xml" Id="R14119b688bc44507" /><Relationship Type="http://schemas.openxmlformats.org/officeDocument/2006/relationships/worksheet" Target="/xl/worksheets/sheet4.xml" Id="Rc3a1157773b549b5" /><Relationship Type="http://schemas.openxmlformats.org/officeDocument/2006/relationships/worksheet" Target="/xl/worksheets/sheet5.xml" Id="Rab321ede0b20409b" /><Relationship Type="http://schemas.openxmlformats.org/officeDocument/2006/relationships/worksheet" Target="/xl/worksheets/sheet6.xml" Id="Rdc5eeafc27a141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08A — ADA Alarm Status base: EN EJECUCIÓN. 07B validado verde por el usuario. 08A promueve Activas + Gestionadas como representación reusable, sin ToolManifest/State Wrapper ni contratos de detalle todavía.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COUNTIF(E4:E18,"VERDE")</x:f>
        <x:v>13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EN EJECUCIÓN</x:v>
      </x:c>
      <x:c r="F12" t="n">
        <x:v>10</x:v>
      </x:c>
      <x:c r="G12" t="str">
        <x:v>PENDIENTE</x:v>
      </x:c>
      <x:c r="H12" t="str">
        <x:v>05E 0.1.0 gate completo verde. 0.1.1 alinea Branding: Header usa Primary, Navigation usa Secondary, Pelambres permanece PNG. CSS/imagenes actuales se preservan byte a byte.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 06A — ADA Display Status</x:v>
      </x:c>
      <x:c r="E13" t="str">
        <x:v>VERDE</x:v>
      </x:c>
      <x:c r="F13" t="n">
        <x:f>COUNTIF('05_Futuro'!C4:C12,"VERDE")</x:f>
        <x:v>5</x:v>
      </x:c>
      <x:c r="G13" t="str">
        <x:v>N/A</x:v>
      </x:c>
      <x:c r="H13" t="str">
        <x:v>Gate completo reportado verde por el usuario. Capability compartida disponible para Global Indicators y KPI Body.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Step 06B — ADA Global Indicator</x:v>
      </x:c>
      <x:c r="E14" t="str">
        <x:v>VERDE</x:v>
      </x:c>
      <x:c r="F14" s="26" t="n">
        <x:f>IF(F12=0,0,F13/F12)</x:f>
        <x:v>0.5</x:v>
      </x:c>
      <x:c r="G14" t="str">
        <x:v>N/A</x:v>
      </x:c>
      <x:c r="H14" t="str">
        <x:v>Gate 0.1.1 reportado verde por el usuario. Capability visual reusable cerrada.</x:v>
      </x:c>
    </x:row>
    <x:row r="15">
      <x:c r="A15" s="20" t="str">
        <x:v>4</x:v>
      </x:c>
      <x:c r="B15" s="24" t="str">
        <x:v>Revisar 03_Decisions antes de cambiar contratos o composición.</x:v>
      </x:c>
      <x:c r="D15" t="str">
        <x:v>Step 06C — Global Indicators → Header</x:v>
      </x:c>
      <x:c r="E15" t="str">
        <x:v>VERDE</x:v>
      </x:c>
      <x:c r="F15" t="str">
        <x:v>OK</x:v>
      </x:c>
      <x:c r="G15" t="str">
        <x:v>OK</x:v>
      </x:c>
      <x:c r="H15" t="str">
        <x:v>Gate reportado exitoso por el usuario. Global Indicator queda como capability runtime del Header con colección explícita.</x:v>
      </x:c>
    </x:row>
    <x:row r="16">
      <x:c r="D16" t="str">
        <x:v>Step 07A — ADA Alarm Management Summary</x:v>
      </x:c>
      <x:c r="E16" t="str">
        <x:v>VERDE</x:v>
      </x:c>
      <x:c r="F16" t="str">
        <x:v>OK</x:v>
      </x:c>
      <x:c r="G16" t="str">
        <x:v>N/A</x:v>
      </x:c>
      <x:c r="H16" t="str">
        <x:v>Gate reportado exitoso por el usuario. Capability visual cerrada.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 t="str">
        <x:v>Step 07B — Alarm Management Summary → Header</x:v>
      </x:c>
      <x:c r="E17" s="31" t="str">
        <x:v>VERDE</x:v>
      </x:c>
      <x:c r="F17" s="31" t="str">
        <x:v>OK</x:v>
      </x:c>
      <x:c r="G17" s="31" t="str">
        <x:v>OK</x:v>
      </x:c>
      <x:c r="H17" s="31" t="str">
        <x:v>Gate reportado exitoso por el usuario. Alarm Management Summary queda montado en runtime con estado explícito.</x:v>
      </x:c>
    </x:row>
    <x:row r="18">
      <x:c r="A18" s="31"/>
      <x:c r="B18" s="31"/>
      <x:c r="C18" s="31"/>
      <x:c r="D18" s="31" t="str">
        <x:v>Step 08A — ADA Alarm Status base</x:v>
      </x:c>
      <x:c r="E18" s="31" t="str">
        <x:v>EN EJECUCIÓN</x:v>
      </x:c>
      <x:c r="F18" s="31" t="str">
        <x:v>PENDIENTE</x:v>
      </x:c>
      <x:c r="G18" s="31" t="str">
        <x:v>N/A</x:v>
      </x:c>
      <x:c r="H18" s="31" t="str">
        <x:v>Paquete 0.1.0 preparado. Activas/Gestionadas son botones semánticos para futuros modales; aún no se monta en runtime.</x:v>
      </x:c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EN EJECUCIÓN</x:v>
      </x:c>
      <x:c r="D8" s="24" t="str">
        <x:v>Promover el Header operacional como shell horizontal de bloques independientes, dejando el reparto de espacio bajo ownership del Header y no de cada capability.</x:v>
      </x:c>
      <x:c r="E8" s="24" t="str">
        <x:v>multi-stage: scopes/ada/ui/shell/header; revisar layout/CSS/slots y descartar state/tool-manifest/global-indicator internals.</x:v>
      </x:c>
      <x:c r="F8" s="24" t="str">
        <x:v>scopes/ada/web/shell/header</x:v>
      </x:c>
      <x:c r="G8" s="24" t="str">
        <x:v>build_ada_operational_header recibe Component ya construidos: brand, global_indicators, alarm_management, alarm_status y triggers de Navigation. No conoce ToolManifest, KPIs, Mina/Planta ni modelos de alarmas.</x:v>
      </x:c>
      <x:c r="H8" s="24" t="str">
        <x:v>ADA Web UI Core + Atlanticus Web + Dash. Branding y Navigation sólo se consumen desde la composition root.</x:v>
      </x:c>
      <x:c r="I8" s="24" t="str">
        <x:v>No modificar CSS/internals de Branding o Navigation; no promover Global Indicators ni alarmas dentro de este step; no reintroducir State Wrapper/Page Readiness.</x:v>
      </x:c>
      <x:c r="J8" s="24" t="str">
        <x:v>Montar Brand + Navigation reales en ada-generic-application. Los tres slots operacionales restantes existen en DOM pero se colapsan vacíos.</x:v>
      </x:c>
      <x:c r="K8" s="24" t="str">
        <x:v>Gate Header + gate ADA completo verdes; app boot; revisión visual del reparto de espacio y del anclaje del trigger antes de cerrar.</x:v>
      </x:c>
      <x:c r="L8" s="24" t="str">
        <x:v>05E 0.1.0 quedó técnicamente verde. La revisión posterior confirmó que ada-operational-secondary.svg existe, pero ada-generic-application todavía inyecta DEFAULT_OPERATIONAL_BRAND_LOGO_SRC (Primary) en Navigation. Correctivo 0.1.1 agrega contrato Secondary en Branding, lo inyecta sólo a Navigation, conserva Primary en Header y agrega PNG a package-data. No toca CSS ni artwork manual.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OK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>
        <x:v>Contrato preparado: Header sólo recibe slots Component y no importa ToolManifest/GlobalIndicator/Alarm/ServiceRegistry.</x:v>
      </x:c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OK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>
        <x:v>El Header no inspecciona configuración; Brand y Navigation son ensamblados por ada-generic-application.</x:v>
      </x:c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>
        <x:v>Gate 05E 0.1.0 verde. Pendiente revisar visualmente 0.1.1 con Primary en Header y Secondary en Navigation.</x:v>
      </x:c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>
        <x:v>Slots vacíos usan data-slot-empty=true y CSS los colapsa sin placeholders.</x:v>
      </x:c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>
        <x:v>Correctivo 0.1.1 preparado; gate completo pendiente. Tras aplicarlo se debe reiniciar el proceso de la app para que AssetLayer rematerialice CSS/assets antes de evaluar cambios visuales.</x:v>
      </x:c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  <x:row r="41">
      <x:c r="A41" s="24" t="str">
        <x:v>D-038</x:v>
      </x:c>
      <x:c r="B41" s="24" t="str">
        <x:v>2026-08-26</x:v>
      </x:c>
      <x:c r="C41" s="24" t="str">
        <x:v>Header slot-driven</x:v>
      </x:c>
      <x:c r="D41" s="24" t="str">
        <x:v>Operational Header recibe componentes ya construidos para Brand, Global Indicators, Alarm Management, Alarm Status y Navigation; no construye ni interpreta esas capabilities.</x:v>
      </x:c>
      <x:c r="E41" s="24" t="str">
        <x:v>ACEPTADA</x:v>
      </x:c>
      <x:c r="F41" s="24" t="str">
        <x:v>El Header queda como layout/composition shell fácil de anclar y reutilizar entre Tools ADA.</x:v>
      </x:c>
      <x:c r="G41" s="24" t="str">
        <x:v>05E</x:v>
      </x:c>
      <x:c r="H41" s="24" t="str"/>
    </x:row>
    <x:row r="42">
      <x:c r="A42" s="24" t="str">
        <x:v>D-039</x:v>
      </x:c>
      <x:c r="B42" s="24" t="str">
        <x:v>2026-08-26</x:v>
      </x:c>
      <x:c r="C42" s="24" t="str">
        <x:v>Reparto de espacio Header</x:v>
      </x:c>
      <x:c r="D42" s="24" t="str">
        <x:v>El reparto inicial pertenece al Header: Global Indicators grow 2.40, Alarm Management 1.45 y Alarm Status 1.25; Brand mantiene caja estable de 10rem.</x:v>
      </x:c>
      <x:c r="E42" s="24" t="str">
        <x:v>ACEPTADA</x:v>
      </x:c>
      <x:c r="F42" s="24" t="str">
        <x:v>Global Indicators gana algo de espacio sin comprimir demasiado las alarmas; los valores pueden ajustarse después sólo en CSS del Header.</x:v>
      </x:c>
      <x:c r="G42" s="24" t="str">
        <x:v>05E</x:v>
      </x:c>
      <x:c r="H42" s="24" t="str"/>
    </x:row>
    <x:row r="43">
      <x:c r="A43" s="24" t="str">
        <x:v>D-040</x:v>
      </x:c>
      <x:c r="B43" s="24" t="str">
        <x:v>2026-08-26</x:v>
      </x:c>
      <x:c r="C43" s="24" t="str">
        <x:v>Slots vacíos</x:v>
      </x:c>
      <x:c r="D43" s="24" t="str">
        <x:v>Global Indicators, Alarm Management y Alarm Status existen como slots DOM desde 05E pero colapsan si no tienen contenido.</x:v>
      </x:c>
      <x:c r="E43" s="24" t="str">
        <x:v>ACEPTADA</x:v>
      </x:c>
      <x:c r="F43" s="24" t="str">
        <x:v>El bootstrap no muestra placeholders falsos y queda preparado para los siguientes increments.</x:v>
      </x:c>
      <x:c r="G43" s="24" t="str">
        <x:v>05E</x:v>
      </x:c>
      <x:c r="H43" s="24" t="str"/>
    </x:row>
    <x:row r="44">
      <x:c r="A44" s="24" t="str">
        <x:v>D-041</x:v>
      </x:c>
      <x:c r="B44" s="24" t="str">
        <x:v>2026-08-26</x:v>
      </x:c>
      <x:c r="C44" s="24" t="str">
        <x:v>Navigation authority durante 05E</x:v>
      </x:c>
      <x:c r="D44" s="24" t="str">
        <x:v>05E no modifica archivos ni CSS de ada.web.shell.navigation. El Header sólo se convierte en el host real del trigger ya cerrado.</x:v>
      </x:c>
      <x:c r="E44" s="24" t="str">
        <x:v>ACEPTADA</x:v>
      </x:c>
      <x:c r="F44" s="24" t="str">
        <x:v>El CSS manual aprobado en 05D permanece intacto.</x:v>
      </x:c>
      <x:c r="G44" s="24" t="str">
        <x:v>05E</x:v>
      </x:c>
      <x:c r="H44" s="24" t="str"/>
    </x:row>
    <x:row r="45">
      <x:c r="A45" s="24" t="str">
        <x:v>D-042</x:v>
      </x:c>
      <x:c r="B45" s="24" t="str">
        <x:v>2026-08-26</x:v>
      </x:c>
      <x:c r="C45" s="24" t="str">
        <x:v>Branding authority durante 05E</x:v>
      </x:c>
      <x:c r="D45" s="24" t="str">
        <x:v>05E no modifica ada.web.ui.branding. La composition root monta build_operational_brand() dentro del Brand slot.</x:v>
      </x:c>
      <x:c r="E45" s="24" t="str">
        <x:v>ACEPTADA</x:v>
      </x:c>
      <x:c r="F45" s="24" t="str">
        <x:v>Branding conserva ownership y el Header no depende de su modelo interno.</x:v>
      </x:c>
      <x:c r="G45" s="24" t="str">
        <x:v>05E</x:v>
      </x:c>
      <x:c r="H45" s="24" t="str"/>
    </x:row>
    <x:row r="46">
      <x:c r="A46" s="24" t="str">
        <x:v>D-043</x:v>
      </x:c>
      <x:c r="B46" s="24" t="str">
        <x:v>2026-08-26</x:v>
      </x:c>
      <x:c r="C46" s="24" t="str">
        <x:v>ADA Primary vs Secondary</x:v>
      </x:c>
      <x:c r="D46" s="24" t="str">
        <x:v>Branding expone dos variantes operacionales: Primary para Operational Header y Secondary para Navigation.</x:v>
      </x:c>
      <x:c r="E46" s="24" t="str">
        <x:v>ACEPTADA</x:v>
      </x:c>
      <x:c r="F46" s="24" t="str">
        <x:v>La composition root decide qué variante inyectar; Header y Navigation no conocen nombres de archivo.</x:v>
      </x:c>
      <x:c r="G46" s="24" t="str">
        <x:v>05E</x:v>
      </x:c>
      <x:c r="H46" s="24" t="str"/>
    </x:row>
    <x:row r="47">
      <x:c r="A47" s="24" t="str">
        <x:v>D-044</x:v>
      </x:c>
      <x:c r="B47" s="24" t="str">
        <x:v>2026-08-26</x:v>
      </x:c>
      <x:c r="C47" s="24" t="str">
        <x:v>Secondary Navigation branding</x:v>
      </x:c>
      <x:c r="D47" s="24" t="str">
        <x:v>ada-generic-application debe usar ada-operational-secondary.svg como fallback de brand_logo_src en AdaNavigationView.</x:v>
      </x:c>
      <x:c r="E47" s="24" t="str">
        <x:v>ACEPTADA</x:v>
      </x:c>
      <x:c r="F47" s="24" t="str">
        <x:v>Navigation con fondo oscuro recibe la variante visual correcta sin cambiar su presentation/CSS.</x:v>
      </x:c>
      <x:c r="G47" s="24" t="str">
        <x:v>05E</x:v>
      </x:c>
      <x:c r="H47" s="24" t="str"/>
    </x:row>
    <x:row r="48">
      <x:c r="A48" s="24" t="str">
        <x:v>D-045</x:v>
      </x:c>
      <x:c r="B48" s="24" t="str">
        <x:v>2026-08-26</x:v>
      </x:c>
      <x:c r="C48" s="24" t="str">
        <x:v>Branding wheel package-data</x:v>
      </x:c>
      <x:c r="D48" s="24" t="str">
        <x:v>El package-data de ada-web-ui-branding debe incluir tanto resources/img/*.svg como resources/img/*.png.</x:v>
      </x:c>
      <x:c r="E48" s="24" t="str">
        <x:v>ACEPTADA</x:v>
      </x:c>
      <x:c r="F48" s="24" t="str">
        <x:v>amsa-pelambres-primary.png queda incluido también en builds/wheels, no sólo disponible en modo editable.</x:v>
      </x:c>
      <x:c r="G48" s="24" t="str">
        <x:v>05E</x:v>
      </x:c>
      <x:c r="H48" s="24" t="str"/>
    </x:row>
    <x:row r="49">
      <x:c r="A49" s="24" t="str">
        <x:v>D-046</x:v>
      </x:c>
      <x:c r="B49" s="24" t="str">
        <x:v>2026-08-26</x:v>
      </x:c>
      <x:c r="C49" s="24" t="str">
        <x:v>Recarga local de assets</x:v>
      </x:c>
      <x:c r="D49" s="24" t="str">
        <x:v>AssetLayer materializa CSS/img cuando se crea el runtime. Tras cambiar sólo CSS/assets se reinicia ada-generic-application antes de evaluar la UI.</x:v>
      </x:c>
      <x:c r="E49" s="24" t="str">
        <x:v>ACEPTADA</x:v>
      </x:c>
      <x:c r="F49" s="24" t="str">
        <x:v>No se atribuye el problema a wheels ni se agrega hot-reload de assets en este incremento.</x:v>
      </x:c>
      <x:c r="G49" s="24" t="str">
        <x:v>05E</x:v>
      </x:c>
      <x:c r="H49" s="24" t="str"/>
    </x:row>
    <x:row r="50">
      <x:c r="A50" s="24" t="str">
        <x:v>D-047</x:v>
      </x:c>
      <x:c r="B50" s="24" t="str">
        <x:v>2026-08-26</x:v>
      </x:c>
      <x:c r="C50" s="24" t="str">
        <x:v>Display Status shared capability</x:v>
      </x:c>
      <x:c r="D50" s="24" t="str">
        <x:v>Los estados/iconos visuales usados por Global Indicators también pertenecen a KPI Body y otras superficies ADA; no son propiedad de Global Indicators.</x:v>
      </x:c>
      <x:c r="E50" s="24" t="str">
        <x:v>ACEPTADA</x:v>
      </x:c>
      <x:c r="F50" s="24" t="str">
        <x:v>Se promueven como ada.web.ui.display_status bajo scopes/ada/web/ui/display-status.</x:v>
      </x:c>
      <x:c r="G50" s="24" t="str">
        <x:v>06A</x:v>
      </x:c>
      <x:c r="H50" s="24" t="str"/>
    </x:row>
    <x:row r="51">
      <x:c r="A51" s="24" t="str">
        <x:v>D-048</x:v>
      </x:c>
      <x:c r="B51" s="24" t="str">
        <x:v>2026-08-26</x:v>
      </x:c>
      <x:c r="C51" s="24" t="str">
        <x:v>Display Status vs Component State</x:v>
      </x:c>
      <x:c r="D51" s="24" t="str">
        <x:v>Display Status representa el estado visual de un valor; Component State permanece separado para overlay/cover/resilience del componente completo.</x:v>
      </x:c>
      <x:c r="E51" s="24" t="str">
        <x:v>ACEPTADA</x:v>
      </x:c>
      <x:c r="F51" s="24" t="str">
        <x:v>Evita mezclar iconografía de valores con lifecycle visual del componente.</x:v>
      </x:c>
      <x:c r="G51" s="24" t="str">
        <x:v>06A</x:v>
      </x:c>
      <x:c r="H51" s="24" t="str"/>
    </x:row>
    <x:row r="52">
      <x:c r="A52" s="24" t="str">
        <x:v>D-049</x:v>
      </x:c>
      <x:c r="B52" s="24" t="str">
        <x:v>2026-08-26</x:v>
      </x:c>
      <x:c r="C52" s="24" t="str">
        <x:v>Estados compartidos</x:v>
      </x:c>
      <x:c r="D52" s="24" t="str">
        <x:v>La capability conserva OK, NOT_MAPPED, EMPTY, INVALID y ERROR. OK no requiere icono degradado; los otros cuatro estados usan assets compartidos.</x:v>
      </x:c>
      <x:c r="E52" s="24" t="str">
        <x:v>ACEPTADA</x:v>
      </x:c>
      <x:c r="F52" s="24" t="str">
        <x:v>Global Indicators y KPI Body podrán reutilizar una semántica idéntica.</x:v>
      </x:c>
      <x:c r="G52" s="24" t="str">
        <x:v>06A</x:v>
      </x:c>
      <x:c r="H52" s="24" t="str"/>
    </x:row>
    <x:row r="53">
      <x:c r="A53" s="24" t="str">
        <x:v>D-050</x:v>
      </x:c>
      <x:c r="B53" s="24" t="str">
        <x:v>2026-08-26</x:v>
      </x:c>
      <x:c r="C53" s="24" t="str">
        <x:v>Internal Error SVG viewBox</x:v>
      </x:c>
      <x:c r="D53" s="24" t="str">
        <x:v>El icono internal-error usa paths con coordenadas Bootstrap 0..16; su viewBox canónico se corrige de 0 0 24 24 a 0 0 16 16.</x:v>
      </x:c>
      <x:c r="E53" s="24" t="str">
        <x:v>ACEPTADA</x:v>
      </x:c>
      <x:c r="F53" s="24" t="str">
        <x:v>Elimina el espacio sobrante sin redibujar ni alterar los paths del icono.</x:v>
      </x:c>
      <x:c r="G53" s="24" t="str">
        <x:v>06A</x:v>
      </x:c>
      <x:c r="H53" s="24" t="str"/>
    </x:row>
    <x:row r="54">
      <x:c r="A54" s="24" t="str">
        <x:v>D-051</x:v>
      </x:c>
      <x:c r="B54" s="24" t="str">
        <x:v>2026-08-26</x:v>
      </x:c>
      <x:c r="C54" s="24" t="str">
        <x:v>Display Status assets</x:v>
      </x:c>
      <x:c r="D54" s="24" t="str">
        <x:v>Los cuatro SVG entregados por el usuario se conservan como fuente visual; sólo se normalizan nombres canónicos y se corrige el viewBox solicitado de internal-error.</x:v>
      </x:c>
      <x:c r="E54" s="24" t="str">
        <x:v>ACEPTADA</x:v>
      </x:c>
      <x:c r="F54" s="24" t="str">
        <x:v>No se reinterpretan ni reemplazan iconos durante la promoción.</x:v>
      </x:c>
      <x:c r="G54" s="24" t="str">
        <x:v>06A</x:v>
      </x:c>
      <x:c r="H54" s="24" t="str"/>
    </x:row>
    <x:row r="55">
      <x:c r="A55" s="24" t="str">
        <x:v>D-052</x:v>
      </x:c>
      <x:c r="B55" s="24" t="str">
        <x:v>2026-08-26</x:v>
      </x:c>
      <x:c r="C55" s="24" t="str">
        <x:v>Global Indicator canonical boundary</x:v>
      </x:c>
      <x:c r="D55" s="24" t="str">
        <x:v>Global Indicator se promueve como `ada.web.ui.global_indicator`, independiente del Header y de cualquier Tool concreta.</x:v>
      </x:c>
      <x:c r="E55" s="24" t="str">
        <x:v>ACEPTADA</x:v>
      </x:c>
      <x:c r="F55" s="24" t="str">
        <x:v>La capability puede reutilizarse en distintas superficies ADA y el Header sólo recibe su Component.</x:v>
      </x:c>
      <x:c r="G55" s="24" t="str">
        <x:v>06B</x:v>
      </x:c>
      <x:c r="H55" s="24" t="str"/>
    </x:row>
    <x:row r="56">
      <x:c r="A56" s="24" t="str">
        <x:v>D-053</x:v>
      </x:c>
      <x:c r="B56" s="24" t="str">
        <x:v>2026-08-26</x:v>
      </x:c>
      <x:c r="C56" s="24" t="str">
        <x:v>Runtime KPI mappers excluidos</x:v>
      </x:c>
      <x:c r="D56" s="24" t="str">
        <x:v>No se promueven `GlobalIndicatorDefinition` ni mappers que codifican `*_real_inst`, `*_plan_inst` y `*_color_inst`.</x:v>
      </x:c>
      <x:c r="E56" s="24" t="str">
        <x:v>ACEPTADA</x:v>
      </x:c>
      <x:c r="F56" s="24" t="str">
        <x:v>Las convenciones de fuente/configuración pertenecen a adapters/providers/composición, no al componente visual.</x:v>
      </x:c>
      <x:c r="G56" s="24" t="str">
        <x:v>06B</x:v>
      </x:c>
      <x:c r="H56" s="24" t="str"/>
    </x:row>
    <x:row r="57">
      <x:c r="A57" s="24" t="str">
        <x:v>D-054</x:v>
      </x:c>
      <x:c r="B57" s="24" t="str">
        <x:v>2026-08-26</x:v>
      </x:c>
      <x:c r="C57" s="24" t="str">
        <x:v>Header scope placement excluido</x:v>
      </x:c>
      <x:c r="D57" s="24" t="str">
        <x:v>No se promueven ToolScope, HeaderIndicatorPlacement ni resolución Mine/Plant dentro de Global Indicator.</x:v>
      </x:c>
      <x:c r="E57" s="24" t="str">
        <x:v>ACEPTADA</x:v>
      </x:c>
      <x:c r="F57" s="24" t="str">
        <x:v>La selección de indicadores por Tool/scope queda fuera de la UI reusable.</x:v>
      </x:c>
      <x:c r="G57" s="24" t="str">
        <x:v>06B</x:v>
      </x:c>
      <x:c r="H57" s="24" t="str"/>
    </x:row>
    <x:row r="58">
      <x:c r="A58" s="24" t="str">
        <x:v>D-055</x:v>
      </x:c>
      <x:c r="B58" s="24" t="str">
        <x:v>2026-08-26</x:v>
      </x:c>
      <x:c r="C58" s="24" t="str">
        <x:v>Measurement visual standard</x:v>
      </x:c>
      <x:c r="D58" s="24" t="str">
        <x:v>Se conserva el estándar de 2–3 mediciones, reserva de tercera fila y espacio opcional para Última medición.</x:v>
      </x:c>
      <x:c r="E58" s="24" t="str">
        <x:v>ACEPTADA</x:v>
      </x:c>
      <x:c r="F58" s="24" t="str">
        <x:v>Mantiene alineación y geometría visual aprobadas entre indicadores con distinta cantidad de mediciones.</x:v>
      </x:c>
      <x:c r="G58" s="24" t="str">
        <x:v>06B</x:v>
      </x:c>
      <x:c r="H58" s="24" t="str"/>
    </x:row>
    <x:row r="59">
      <x:c r="A59" s="24" t="str">
        <x:v>D-056</x:v>
      </x:c>
      <x:c r="B59" s="24" t="str">
        <x:v>2026-08-26</x:v>
      </x:c>
      <x:c r="C59" s="24" t="str">
        <x:v>Global Indicator consumes Display Status</x:v>
      </x:c>
      <x:c r="D59" s="24" t="str">
        <x:v>Los valores degradados delegan iconografía y semántica en `ada.web.ui.display_status`; Global Indicator no posee copias de los SVG.</x:v>
      </x:c>
      <x:c r="E59" s="24" t="str">
        <x:v>ACEPTADA</x:v>
      </x:c>
      <x:c r="F59" s="24" t="str">
        <x:v>KPI Body y Global Indicators comparten exactamente el mismo contrato visual de estados.</x:v>
      </x:c>
      <x:c r="G59" s="24" t="str">
        <x:v>06B</x:v>
      </x:c>
      <x:c r="H59" s="24" t="str"/>
    </x:row>
    <x:row r="60">
      <x:c r="A60" s="24" t="str">
        <x:v>D-057</x:v>
      </x:c>
      <x:c r="B60" s="24" t="str">
        <x:v>2026-08-26</x:v>
      </x:c>
      <x:c r="C60" s="24" t="str">
        <x:v>Component State deferred</x:v>
      </x:c>
      <x:c r="D60" s="24" t="str">
        <x:v>06B no promueve Component State porque el componente visual no lo requiere intrínsecamente; la antigua cobertura pertenecía a composición/Header.</x:v>
      </x:c>
      <x:c r="E60" s="24" t="str">
        <x:v>ACEPTADA</x:v>
      </x:c>
      <x:c r="F60" s="24" t="str">
        <x:v>Component State se promoverá sólo cuando aparezca un consumidor canónico que necesite overlay/cover/resilience.</x:v>
      </x:c>
      <x:c r="G60" s="24" t="str">
        <x:v>06B</x:v>
      </x:c>
      <x:c r="H60" s="24" t="str"/>
    </x:row>
    <x:row r="61">
      <x:c r="A61" s="24" t="str">
        <x:v>D-058</x:v>
      </x:c>
      <x:c r="B61" s="24" t="str">
        <x:v>2026-08-26</x:v>
      </x:c>
      <x:c r="C61" s="24" t="str">
        <x:v>06B checker environment failure</x:v>
      </x:c>
      <x:c r="D61" s="24" t="str">
        <x:v>Step 06B 0.1.0 falló porque el checker ADA corre dentro del entorno UV de ada-generic-application y Global Indicator aún no estaba instalado allí.</x:v>
      </x:c>
      <x:c r="E61" s="24" t="str">
        <x:v>ACEPTADA</x:v>
      </x:c>
      <x:c r="F61" s="24" t="str">
        <x:v>El fallo es de bootstrap/tooling, no del contrato ni de la implementación de Global Indicator.</x:v>
      </x:c>
      <x:c r="G61" s="24" t="str">
        <x:v>06B</x:v>
      </x:c>
      <x:c r="H61" s="24" t="str"/>
    </x:row>
    <x:row r="62">
      <x:c r="A62" s="24" t="str">
        <x:v>D-059</x:v>
      </x:c>
      <x:c r="B62" s="24" t="str">
        <x:v>2026-08-26</x:v>
      </x:c>
      <x:c r="C62" s="24" t="str">
        <x:v>Global Indicator dev-only until 06C</x:v>
      </x:c>
      <x:c r="D62" s="24" t="str">
        <x:v>Mientras 06B no monte Global Indicator en la aplicación, ada-generic-application lo declara sólo en dependency-groups.dev para que el checker pueda importarlo.</x:v>
      </x:c>
      <x:c r="E62" s="24" t="str">
        <x:v>ACEPTADA</x:v>
      </x:c>
      <x:c r="F62" s="24" t="str">
        <x:v>Evita introducir una dependencia runtime prematura sólo para satisfacer el gate.</x:v>
      </x:c>
      <x:c r="G62" s="24" t="str">
        <x:v>06B</x:v>
      </x:c>
      <x:c r="H62" s="24" t="str"/>
    </x:row>
    <x:row r="63">
      <x:c r="A63" s="24" t="str">
        <x:v>D-060</x:v>
      </x:c>
      <x:c r="B63" s="24" t="str">
        <x:v>2026-08-26</x:v>
      </x:c>
      <x:c r="C63" s="24" t="str">
        <x:v>06C promotes runtime dependency</x:v>
      </x:c>
      <x:c r="D63" s="24" t="str">
        <x:v>Cuando 06C monte Global Indicators en el Header, la relación con ada-generic-application pasa de dev-only a dependencia runtime y se registra su AssetLayer.</x:v>
      </x:c>
      <x:c r="E63" s="24" t="str">
        <x:v>ACEPTADA</x:v>
      </x:c>
      <x:c r="F63" s="24" t="str">
        <x:v>La dependencia productiva aparece exactamente cuando existe un consumidor productivo real.</x:v>
      </x:c>
      <x:c r="G63" s="24" t="str">
        <x:v>06B/06C</x:v>
      </x:c>
      <x:c r="H63" s="24" t="str"/>
    </x:row>
    <x:row r="64">
      <x:c r="A64" s="24" t="str">
        <x:v>D-061</x:v>
      </x:c>
      <x:c r="B64" s="24" t="str">
        <x:v>2026-08-26</x:v>
      </x:c>
      <x:c r="C64" s="24" t="str">
        <x:v>06B closure</x:v>
      </x:c>
      <x:c r="D64" s="24" t="str">
        <x:v>ADA Global Indicator 0.1.0 queda cerrado tras aplicar el correctivo 06B 0.1.1 y obtener gate verde.</x:v>
      </x:c>
      <x:c r="E64" s="24" t="str">
        <x:v>ACEPTADA</x:v>
      </x:c>
      <x:c r="F64" s="24" t="str">
        <x:v>La capability visual puede entrar a composición runtime sin reabrir su frontera interna.</x:v>
      </x:c>
      <x:c r="G64" s="24" t="str">
        <x:v>06B/06C</x:v>
      </x:c>
      <x:c r="H64" s="24" t="str"/>
    </x:row>
    <x:row r="65">
      <x:c r="A65" s="24" t="str">
        <x:v>D-062</x:v>
      </x:c>
      <x:c r="B65" s="24" t="str">
        <x:v>2026-08-26</x:v>
      </x:c>
      <x:c r="C65" s="24" t="str">
        <x:v>Explicit GlobalIndicatorCollection input</x:v>
      </x:c>
      <x:c r="D65" s="24" t="str">
        <x:v>ada-generic-application acepta GlobalIndicatorCollection como input explícito de composición; no conoce la fuente que la produjo.</x:v>
      </x:c>
      <x:c r="E65" s="24" t="str">
        <x:v>ACEPTADA</x:v>
      </x:c>
      <x:c r="F65" s="24" t="str">
        <x:v>Providers/adapters de Tool pueden resolver KPI/configuración fuera de la UI y entregar sólo el contrato visual.</x:v>
      </x:c>
      <x:c r="G65" s="24" t="str">
        <x:v>06C</x:v>
      </x:c>
      <x:c r="H65" s="24" t="str"/>
    </x:row>
    <x:row r="66">
      <x:c r="A66" s="24" t="str">
        <x:v>D-063</x:v>
      </x:c>
      <x:c r="B66" s="24" t="str">
        <x:v>2026-08-26</x:v>
      </x:c>
      <x:c r="C66" s="24" t="str">
        <x:v>No fake Global Indicators</x:v>
      </x:c>
      <x:c r="D66" s="24" t="str">
        <x:v>La Generic Application usa colección vacía por defecto y no hardcodea indicadores de referencia para llenar el Header.</x:v>
      </x:c>
      <x:c r="E66" s="24" t="str">
        <x:v>ACEPTADA</x:v>
      </x:c>
      <x:c r="F66" s="24" t="str">
        <x:v>La aplicación final no presenta datos operacionales ficticios; el slot colapsa hasta recibir una colección real o explícitamente inyectada.</x:v>
      </x:c>
      <x:c r="G66" s="24" t="str">
        <x:v>06C</x:v>
      </x:c>
      <x:c r="H66" s="24" t="str"/>
    </x:row>
    <x:row r="67">
      <x:c r="A67" s="24" t="str">
        <x:v>D-064</x:v>
      </x:c>
      <x:c r="B67" s="24" t="str">
        <x:v>2026-08-26</x:v>
      </x:c>
      <x:c r="C67" s="24" t="str">
        <x:v>Global Indicator runtime promotion</x:v>
      </x:c>
      <x:c r="D67" s="24" t="str">
        <x:v>En 06C ada-web-ui-global-indicator deja dependency-groups.dev y pasa a dependencies de ada-generic-application; su AssetLayer se registra en módulos.</x:v>
      </x:c>
      <x:c r="E67" s="24" t="str">
        <x:v>ACEPTADA</x:v>
      </x:c>
      <x:c r="F67" s="24" t="str">
        <x:v>La dependencia productiva aparece ahora que existe un consumidor productivo real: el Header operacional.</x:v>
      </x:c>
      <x:c r="G67" s="24" t="str">
        <x:v>06C</x:v>
      </x:c>
      <x:c r="H67" s="24" t="str"/>
    </x:row>
    <x:row r="68">
      <x:c r="A68" s="24" t="str">
        <x:v>D-065</x:v>
      </x:c>
      <x:c r="B68" s="24" t="str">
        <x:v>2026-08-26</x:v>
      </x:c>
      <x:c r="C68" s="24" t="str">
        <x:v>Source provider deferred</x:v>
      </x:c>
      <x:c r="D68" s="24" t="str">
        <x:v>06C no inventa todavía un provider Cosmos/local específico. La colección explícita es la frontera; la fuente se agrega cuando migre la configuración/runtime correspondiente.</x:v>
      </x:c>
      <x:c r="E68" s="24" t="str">
        <x:v>ACEPTADA</x:v>
      </x:c>
      <x:c r="F68" s="24" t="str">
        <x:v>Evita acoplar Global Indicators a convenciones KPI o infraestructura antes de migrar sus contratos reales.</x:v>
      </x:c>
      <x:c r="G68" s="24" t="str">
        <x:v>06C</x:v>
      </x:c>
      <x:c r="H68" s="24" t="str"/>
    </x:row>
    <x:row r="69">
      <x:c r="A69" s="24" t="str">
        <x:v>D-066</x:v>
      </x:c>
      <x:c r="B69" s="24" t="str">
        <x:v>2026-08-26</x:v>
      </x:c>
      <x:c r="C69" s="24" t="str">
        <x:v>06C closure</x:v>
      </x:c>
      <x:c r="D69" s="24" t="str">
        <x:v>Global Indicators → Header queda cerrado tras validación del usuario.</x:v>
      </x:c>
      <x:c r="E69" s="24" t="str">
        <x:v>ACEPTADA</x:v>
      </x:c>
      <x:c r="F69" s="24" t="str">
        <x:v>Global Indicator ya tiene consumer runtime real y Header conserva ownership exclusivo del espacio.</x:v>
      </x:c>
      <x:c r="G69" s="24" t="str">
        <x:v>06C</x:v>
      </x:c>
      <x:c r="H69" s="24" t="str"/>
    </x:row>
    <x:row r="70">
      <x:c r="A70" s="24" t="str">
        <x:v>D-067</x:v>
      </x:c>
      <x:c r="B70" s="24" t="str">
        <x:v>2026-08-26</x:v>
      </x:c>
      <x:c r="C70" s="24" t="str">
        <x:v>Alarm Management Summary ADA boundary</x:v>
      </x:c>
      <x:c r="D70" s="24" t="str">
        <x:v>La representación ADA de Alarm Management Summary vive en `scopes/ada/web/alarms/management-summary`, paquete `ada.web.alarms.management_summary`.</x:v>
      </x:c>
      <x:c r="E70" s="24" t="str">
        <x:v>ACEPTADA</x:v>
      </x:c>
      <x:c r="F70" s="24" t="str">
        <x:v>Agrupa una capability específica de alarmas dentro de ADA Web sin transferir dominio de alarmas desde Command Center.</x:v>
      </x:c>
      <x:c r="G70" s="24" t="str">
        <x:v>07A</x:v>
      </x:c>
      <x:c r="H70" s="24" t="str"/>
    </x:row>
    <x:row r="71">
      <x:c r="A71" s="24" t="str">
        <x:v>D-068</x:v>
      </x:c>
      <x:c r="B71" s="24" t="str">
        <x:v>2026-08-26</x:v>
      </x:c>
      <x:c r="C71" s="24" t="str">
        <x:v>ToolManifest/ToolScope excluded</x:v>
      </x:c>
      <x:c r="D71" s="24" t="str">
        <x:v>La capability canónica no importa ToolManifest ni ToolScope y no valida rutas/secciones de Tool.</x:v>
      </x:c>
      <x:c r="E71" s="24" t="str">
        <x:v>ACEPTADA</x:v>
      </x:c>
      <x:c r="F71" s="24" t="str">
        <x:v>La Tool/composición selecciona previamente Mina/Planta; la presentación recibe estado ya resuelto.</x:v>
      </x:c>
      <x:c r="G71" s="24" t="str">
        <x:v>07A</x:v>
      </x:c>
      <x:c r="H71" s="24" t="str"/>
    </x:row>
    <x:row r="72">
      <x:c r="A72" s="24" t="str">
        <x:v>D-069</x:v>
      </x:c>
      <x:c r="B72" s="24" t="str">
        <x:v>2026-08-26</x:v>
      </x:c>
      <x:c r="C72" s="24" t="str">
        <x:v>Management Summary visual areas</x:v>
      </x:c>
      <x:c r="D72" s="24" t="str">
        <x:v>El contrato visual usa áreas explícitas MINE y PLANT; una composición puede entregar una sola o ambas.</x:v>
      </x:c>
      <x:c r="E72" s="24" t="str">
        <x:v>ACEPTADA</x:v>
      </x:c>
      <x:c r="F72" s="24" t="str">
        <x:v>Integrated Operations puede mostrar Mina+Planta y otras Tools filtrar sólo el área relevante sin cambiar el componente.</x:v>
      </x:c>
      <x:c r="G72" s="24" t="str">
        <x:v>07A</x:v>
      </x:c>
      <x:c r="H72" s="24" t="str"/>
    </x:row>
    <x:row r="73">
      <x:c r="A73" s="24" t="str">
        <x:v>D-070</x:v>
      </x:c>
      <x:c r="B73" s="24" t="str">
        <x:v>2026-08-26</x:v>
      </x:c>
      <x:c r="C73" s="24" t="str">
        <x:v>Management Summary content</x:v>
      </x:c>
      <x:c r="D73" s="24" t="str">
        <x:v>Cada segmento contiene grupo, management_percentage 0..100 y tono visual NEUTRAL/ATTENTION/CRITICAL.</x:v>
      </x:c>
      <x:c r="E73" s="24" t="str">
        <x:v>ACEPTADA</x:v>
      </x:c>
      <x:c r="F73" s="24" t="str">
        <x:v>Preserva la información y geometría histórica sin derivar reglas de negocio en la UI.</x:v>
      </x:c>
      <x:c r="G73" s="24" t="str">
        <x:v>07A</x:v>
      </x:c>
      <x:c r="H73" s="24" t="str"/>
    </x:row>
    <x:row r="74">
      <x:c r="A74" s="24" t="str">
        <x:v>D-071</x:v>
      </x:c>
      <x:c r="B74" s="24" t="str">
        <x:v>2026-08-26</x:v>
      </x:c>
      <x:c r="C74" s="24" t="str">
        <x:v>Management Summary Component State deferred</x:v>
      </x:c>
      <x:c r="D74" s="24" t="str">
        <x:v>07A no consume Component State ni State Wrapper.</x:v>
      </x:c>
      <x:c r="E74" s="24" t="str">
        <x:v>ACEPTADA</x:v>
      </x:c>
      <x:c r="F74" s="24" t="str">
        <x:v>La cobertura histórica pertenecía a composición/readiness; se promoverá sólo cuando un runtime real requiera overlay/cover.</x:v>
      </x:c>
      <x:c r="G74" s="24" t="str">
        <x:v>07A</x:v>
      </x:c>
      <x:c r="H74" s="24" t="str"/>
    </x:row>
    <x:row r="75">
      <x:c r="A75" s="24" t="str">
        <x:v>D-072</x:v>
      </x:c>
      <x:c r="B75" s="24" t="str">
        <x:v>2026-08-26</x:v>
      </x:c>
      <x:c r="C75" s="24" t="str">
        <x:v>07A dev-only checker dependency</x:v>
      </x:c>
      <x:c r="D75" s="24" t="str">
        <x:v>Hasta 07B, Alarm Management Summary se agrega sólo al grupo dev de ada-generic-application para que el checker ADA pueda importarlo.</x:v>
      </x:c>
      <x:c r="E75" s="24" t="str">
        <x:v>ACEPTADA</x:v>
      </x:c>
      <x:c r="F75" s="24" t="str">
        <x:v>La dependencia runtime aparecerá únicamente al montar el alarm_management_slot.</x:v>
      </x:c>
      <x:c r="G75" s="24" t="str">
        <x:v>07A/07B</x:v>
      </x:c>
      <x:c r="H75" s="24" t="str"/>
    </x:row>
    <x:row r="76">
      <x:c r="A76" s="24" t="str">
        <x:v>D-073</x:v>
      </x:c>
      <x:c r="B76" s="24" t="str">
        <x:v>2026-08-26</x:v>
      </x:c>
      <x:c r="C76" s="24" t="str">
        <x:v>07A closure</x:v>
      </x:c>
      <x:c r="D76" s="24" t="str">
        <x:v>ADA Alarm Management Summary queda cerrado tras gate verde reportado por el usuario.</x:v>
      </x:c>
      <x:c r="E76" s="24" t="str">
        <x:v>ACEPTADA</x:v>
      </x:c>
      <x:c r="F76" s="24" t="str">
        <x:v>La capability visual puede entrar a runtime sin reabrir su frontera interna.</x:v>
      </x:c>
      <x:c r="G76" s="24" t="str">
        <x:v>07A/07B</x:v>
      </x:c>
      <x:c r="H76" s="24" t="str"/>
    </x:row>
    <x:row r="77">
      <x:c r="A77" s="24" t="str">
        <x:v>D-074</x:v>
      </x:c>
      <x:c r="B77" s="24" t="str">
        <x:v>2026-08-26</x:v>
      </x:c>
      <x:c r="C77" s="24" t="str">
        <x:v>Explicit AlarmManagementSummaryState input</x:v>
      </x:c>
      <x:c r="D77" s="24" t="str">
        <x:v>ada-generic-application acepta AlarmManagementSummaryState | None como input explícito de composición.</x:v>
      </x:c>
      <x:c r="E77" s="24" t="str">
        <x:v>ACEPTADA</x:v>
      </x:c>
      <x:c r="F77" s="24" t="str">
        <x:v>La aplicación no conoce la fuente ni reglas que resolvieron Mina/Planta, grupo, porcentaje o tono.</x:v>
      </x:c>
      <x:c r="G77" s="24" t="str">
        <x:v>07B</x:v>
      </x:c>
      <x:c r="H77" s="24" t="str"/>
    </x:row>
    <x:row r="78">
      <x:c r="A78" s="24" t="str">
        <x:v>D-075</x:v>
      </x:c>
      <x:c r="B78" s="24" t="str">
        <x:v>2026-08-26</x:v>
      </x:c>
      <x:c r="C78" s="24" t="str">
        <x:v>No fake Alarm Management Summary</x:v>
      </x:c>
      <x:c r="D78" s="24" t="str">
        <x:v>El default de la Generic Application es None y no hardcodea resumen Mina/Planta de referencia.</x:v>
      </x:c>
      <x:c r="E78" s="24" t="str">
        <x:v>ACEPTADA</x:v>
      </x:c>
      <x:c r="F78" s="24" t="str">
        <x:v>El alarm_management_slot permanece colapsado hasta recibir estado real o explícitamente inyectado.</x:v>
      </x:c>
      <x:c r="G78" s="24" t="str">
        <x:v>07B</x:v>
      </x:c>
      <x:c r="H78" s="24" t="str"/>
    </x:row>
    <x:row r="79">
      <x:c r="A79" s="24" t="str">
        <x:v>D-076</x:v>
      </x:c>
      <x:c r="B79" s="24" t="str">
        <x:v>2026-08-26</x:v>
      </x:c>
      <x:c r="C79" s="24" t="str">
        <x:v>Alarm Management Summary runtime promotion</x:v>
      </x:c>
      <x:c r="D79" s="24" t="str">
        <x:v>En 07B ada-web-alarm-management-summary pasa de dependency-groups.dev a dependencies de ada-generic-application y registra su AssetLayer.</x:v>
      </x:c>
      <x:c r="E79" s="24" t="str">
        <x:v>ACEPTADA</x:v>
      </x:c>
      <x:c r="F79" s="24" t="str">
        <x:v>La dependencia productiva aparece al existir un consumidor productivo real: el Header operacional.</x:v>
      </x:c>
      <x:c r="G79" s="24" t="str">
        <x:v>07B</x:v>
      </x:c>
      <x:c r="H79" s="24" t="str"/>
    </x:row>
    <x:row r="80">
      <x:c r="A80" s="24" t="str">
        <x:v>D-077</x:v>
      </x:c>
      <x:c r="B80" s="24" t="str">
        <x:v>2026-08-26</x:v>
      </x:c>
      <x:c r="C80" s="24" t="str">
        <x:v>Alarm Management source deferred</x:v>
      </x:c>
      <x:c r="D80" s="24" t="str">
        <x:v>07B no agrega todavía provider Cosmos/Command Center/local específico; sólo define la frontera de composición explícita.</x:v>
      </x:c>
      <x:c r="E80" s="24" t="str">
        <x:v>ACEPTADA</x:v>
      </x:c>
      <x:c r="F80" s="24" t="str">
        <x:v>Evita acoplar la UI a persistencia o semántica del motor antes de migrar el contrato fuente correspondiente.</x:v>
      </x:c>
      <x:c r="G80" s="24" t="str">
        <x:v>07B</x:v>
      </x:c>
      <x:c r="H80" s="24" t="str"/>
    </x:row>
    <x:row r="81">
      <x:c r="A81" s="24" t="str">
        <x:v>D-078</x:v>
      </x:c>
      <x:c r="B81" s="24" t="str">
        <x:v>2026-08-26</x:v>
      </x:c>
      <x:c r="C81" s="24" t="str">
        <x:v>07B closure</x:v>
      </x:c>
      <x:c r="D81" s="24" t="str">
        <x:v>Alarm Management Summary → Header queda cerrado tras gate verde reportado por el usuario.</x:v>
      </x:c>
      <x:c r="E81" s="24" t="str">
        <x:v>ACEPTADA</x:v>
      </x:c>
      <x:c r="F81" s="24" t="str">
        <x:v>El slot de Management queda estable y listo para provider futuro.</x:v>
      </x:c>
      <x:c r="G81" s="24" t="str">
        <x:v>07B</x:v>
      </x:c>
      <x:c r="H81" s="24" t="str"/>
    </x:row>
    <x:row r="82">
      <x:c r="A82" s="24" t="str">
        <x:v>D-079</x:v>
      </x:c>
      <x:c r="B82" s="24" t="str">
        <x:v>2026-08-26</x:v>
      </x:c>
      <x:c r="C82" s="24" t="str">
        <x:v>Alarm Status canonical boundary</x:v>
      </x:c>
      <x:c r="D82" s="24" t="str">
        <x:v>Alarm Status vive en `scopes/ada/web/alarms/status`, paquete `ada.web.alarms.status`.</x:v>
      </x:c>
      <x:c r="E82" s="24" t="str">
        <x:v>ACEPTADA</x:v>
      </x:c>
      <x:c r="F82" s="24" t="str">
        <x:v>La representación ADA queda separada de Management Summary y del dominio del motor.</x:v>
      </x:c>
      <x:c r="G82" s="24" t="str">
        <x:v>08A</x:v>
      </x:c>
      <x:c r="H82" s="24" t="str"/>
    </x:row>
    <x:row r="83">
      <x:c r="A83" s="24" t="str">
        <x:v>D-080</x:v>
      </x:c>
      <x:c r="B83" s="24" t="str">
        <x:v>2026-08-26</x:v>
      </x:c>
      <x:c r="C83" s="24" t="str">
        <x:v>Alarm Status minimal state</x:v>
      </x:c>
      <x:c r="D83" s="24" t="str">
        <x:v>El contrato base contiene `active_count` y `managed_count`, ambos no negativos.</x:v>
      </x:c>
      <x:c r="E83" s="24" t="str">
        <x:v>ACEPTADA</x:v>
      </x:c>
      <x:c r="F83" s="24" t="str">
        <x:v>La UI recibe conteos ya resueltos y no deriva su semántica.</x:v>
      </x:c>
      <x:c r="G83" s="24" t="str">
        <x:v>08A</x:v>
      </x:c>
      <x:c r="H83" s="24" t="str"/>
    </x:row>
    <x:row r="84">
      <x:c r="A84" s="24" t="str">
        <x:v>D-081</x:v>
      </x:c>
      <x:c r="B84" s="24" t="str">
        <x:v>2026-08-26</x:v>
      </x:c>
      <x:c r="C84" s="24" t="str">
        <x:v>Activas/Gestionadas are actions</x:v>
      </x:c>
      <x:c r="D84" s="24" t="str">
        <x:v>Activas y Gestionadas se renderizan desde 08A como botones semánticos, aunque todavía no tengan callbacks.</x:v>
      </x:c>
      <x:c r="E84" s="24" t="str">
        <x:v>ACEPTADA</x:v>
      </x:c>
      <x:c r="F84" s="24" t="str">
        <x:v>Permite ajustar la UI ahora y añadir modales después sin rediseñar el bloque.</x:v>
      </x:c>
      <x:c r="G84" s="24" t="str">
        <x:v>08A/08D</x:v>
      </x:c>
      <x:c r="H84" s="24" t="str"/>
    </x:row>
    <x:row r="85">
      <x:c r="A85" s="24" t="str">
        <x:v>D-082</x:v>
      </x:c>
      <x:c r="B85" s="24" t="str">
        <x:v>2026-08-26</x:v>
      </x:c>
      <x:c r="C85" s="24" t="str">
        <x:v>Alarm Status runtime coupling excluded</x:v>
      </x:c>
      <x:c r="D85" s="24" t="str">
        <x:v>08A no importa ToolManifest, ToolScope, State Wrapper, provider ni contratos internos de Command Center.</x:v>
      </x:c>
      <x:c r="E85" s="24" t="str">
        <x:v>ACEPTADA</x:v>
      </x:c>
      <x:c r="F85" s="24" t="str">
        <x:v>Mantiene la capability visual reusable y evita semántica accidental.</x:v>
      </x:c>
      <x:c r="G85" s="24" t="str">
        <x:v>08A</x:v>
      </x:c>
      <x:c r="H85" s="24" t="str"/>
    </x:row>
    <x:row r="86">
      <x:c r="A86" s="24" t="str">
        <x:v>D-083</x:v>
      </x:c>
      <x:c r="B86" s="24" t="str">
        <x:v>2026-08-26</x:v>
      </x:c>
      <x:c r="C86" s="24" t="str">
        <x:v>Alarm Status detail deferred</x:v>
      </x:c>
      <x:c r="D86" s="24" t="str">
        <x:v>Los contratos de detalle Activas/Gestionadas se difieren a 08C hasta revisar autoridad backend real.</x:v>
      </x:c>
      <x:c r="E86" s="24" t="str">
        <x:v>ACEPTADA</x:v>
      </x:c>
      <x:c r="F86" s="24" t="str">
        <x:v>No se inventan tendencias, grupos ni definición de gestión desde ADA Web.</x:v>
      </x:c>
      <x:c r="G86" s="24" t="str">
        <x:v>08C</x:v>
      </x:c>
      <x:c r="H86" s="24" t="str"/>
    </x:row>
    <x:row r="87">
      <x:c r="A87" s="24" t="str">
        <x:v>D-084</x:v>
      </x:c>
      <x:c r="B87" s="24" t="str">
        <x:v>2026-08-26</x:v>
      </x:c>
      <x:c r="C87" s="24" t="str">
        <x:v>08A dev-only checker dependency</x:v>
      </x:c>
      <x:c r="D87" s="24" t="str">
        <x:v>Hasta 08B, `ada-web-alarm-status` se instala sólo en el grupo dev de `ada-generic-application` para ejecutar el gate.</x:v>
      </x:c>
      <x:c r="E87" s="24" t="str">
        <x:v>ACEPTADA</x:v>
      </x:c>
      <x:c r="F87" s="24" t="str">
        <x:v>La dependencia runtime aparece únicamente cuando se monte el alarm_status_slot.</x:v>
      </x:c>
      <x:c r="G87" s="24" t="str">
        <x:v>08A/08B</x:v>
      </x:c>
      <x:c r="H87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20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  <x:dataValidation type="list" sqref="E41:E45">
      <x:formula1>"PENDIENTE,ACEPTADA,RECHAZADA,HOLD"</x:formula1>
    </x:dataValidation>
    <x:dataValidation type="list" sqref="E46:E49">
      <x:formula1>"PENDIENTE,ACEPTADA,RECHAZADA,HOLD"</x:formula1>
    </x:dataValidation>
    <x:dataValidation type="list" sqref="E50:E54">
      <x:formula1>"PENDIENTE,ACEPTADA,RECHAZADA,HOLD"</x:formula1>
    </x:dataValidation>
    <x:dataValidation type="list" sqref="E55:E60">
      <x:formula1>"PENDIENTE,ACEPTADA,RECHAZADA,HOLD"</x:formula1>
    </x:dataValidation>
    <x:dataValidation type="list" sqref="E61:E63">
      <x:formula1>"PENDIENTE,ACEPTADA,RECHAZADA,HOLD"</x:formula1>
    </x:dataValidation>
    <x:dataValidation type="list" sqref="E64:E68">
      <x:formula1>"PENDIENTE,ACEPTADA,RECHAZADA,HOLD"</x:formula1>
    </x:dataValidation>
    <x:dataValidation type="list" sqref="E69:E75">
      <x:formula1>"PENDIENTE,ACEPTADA,RECHAZADA,HOLD"</x:formula1>
    </x:dataValidation>
    <x:dataValidation type="list" sqref="E76:E80">
      <x:formula1>"PENDIENTE,ACEPTADA,RECHAZADA,HOLD"</x:formula1>
    </x:dataValidation>
    <x:dataValidation type="list" sqref="E81:E87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  <x:row r="17">
      <x:c r="A17" t="str">
        <x:v>05E Operational Header</x:v>
      </x:c>
      <x:c r="B17" t="str">
        <x:v>Shell nuevo ada.web.shell.header. Header row con Brand fijo, Global Indicators 2.40, Alarm Management 1.45 y Alarm Status 1.25. Slots reciben Component externos; Navigation se ancla sin modificar su presentation.</x:v>
      </x:c>
      <x:c r="C17" t="str">
        <x:v>Decisiones D-038 a D-042</x:v>
      </x:c>
      <x:c r="D17" t="str">
        <x:v>No reintroducir ToolManifest, GlobalIndicatorState, alarm semantics, State Wrapper ni sobrescribir CSS de Navigation.</x:v>
      </x:c>
      <x:c r="E17" t="str">
        <x:v>05E hasta gate + revisión visual</x:v>
      </x:c>
      <x:c r="F17" t="str"/>
    </x:row>
    <x:row r="18">
      <x:c r="A18" t="str">
        <x:v>Brand variants + local asset refresh</x:v>
      </x:c>
      <x:c r="B18" t="str">
        <x:v>Operational Header consume ADA Primary; Navigation consume ADA Secondary; Pelambres permanece PNG. Los assets se publican por Branding/AssetLayer. Cambios sólo CSS/img requieren reiniciar el runtime para rematerializar publicación.</x:v>
      </x:c>
      <x:c r="C18" t="str">
        <x:v>Decisiones D-043 a D-046</x:v>
      </x:c>
      <x:c r="D18" t="str">
        <x:v>No duplicar assets en Header/Navigation ni reconstruir wheels sólo para ver cambios CSS locales.</x:v>
      </x:c>
      <x:c r="E18" t="str">
        <x:v>05E</x:v>
      </x:c>
      <x:c r="F18" t="str"/>
    </x:row>
    <x:row r="19">
      <x:c r="A19" t="str">
        <x:v>06A ADA Display Status</x:v>
      </x:c>
      <x:c r="B19" t="str">
        <x:v>Capability compartida ada.web.ui.display_status. Estados OK/NOT_MAPPED/EMPTY/INVALID/ERROR; cuatro iconos degradados reutilizables por Global Indicators y KPI Body. Internal Error usa viewBox 0 0 16 16.</x:v>
      </x:c>
      <x:c r="C19" t="str">
        <x:v>Decisiones D-047 a D-051</x:v>
      </x:c>
      <x:c r="D19" t="str">
        <x:v>No ubicar los iconos dentro de Global Indicators ni mezclar Display Status con Component State.</x:v>
      </x:c>
      <x:c r="E19" t="str">
        <x:v>06A → 06B Global Indicators</x:v>
      </x:c>
      <x:c r="F19" t="str"/>
    </x:row>
    <x:row r="20">
      <x:c r="A20" t="str">
        <x:v>06B ADA Global Indicator</x:v>
      </x:c>
      <x:c r="B20" t="str">
        <x:v>Promoción visual limpia desde multi-stage: estado, colección, estilo, layout estándar, CSS y AssetLayer. Consume Display Status. Se excluyen definitions/mappers KPI, ToolScope/Header placement y Component State.</x:v>
      </x:c>
      <x:c r="C20" t="str">
        <x:v>Decisiones D-052 a D-057</x:v>
      </x:c>
      <x:c r="D20" t="str">
        <x:v>No montar todavía datos falsos en ada-generic-application; 06C resolverá provider/composición y slot.</x:v>
      </x:c>
      <x:c r="E20" t="str">
        <x:v>06B → 06C</x:v>
      </x:c>
      <x:c r="F20" t="str"/>
    </x:row>
    <x:row r="21">
      <x:c r="A21" t="str">
        <x:v>06B checker bootstrap</x:v>
      </x:c>
      <x:c r="B21" t="str">
        <x:v>scripts/scopes/ada/check.sh usa el entorno UV de ada-generic-application. Capabilities aún no consumidas por runtime deben estar disponibles al checker sin convertirse prematuramente en dependencias productivas.</x:v>
      </x:c>
      <x:c r="C21" t="str">
        <x:v>Decisiones D-058 a D-060</x:v>
      </x:c>
      <x:c r="D21" t="str">
        <x:v>06B usa dependency-groups.dev; 06C moverá Global Indicator a runtime al montarlo en el Header.</x:v>
      </x:c>
      <x:c r="E21" t="str">
        <x:v>06B corrective 0.1.1</x:v>
      </x:c>
      <x:c r="F21" t="str"/>
    </x:row>
    <x:row r="22">
      <x:c r="A22" t="str">
        <x:v>06C Global Indicators → Header</x:v>
      </x:c>
      <x:c r="B22" t="str">
        <x:v>ada-generic-application==0.1.9 registra ada-global-indicator como módulo runtime y acepta una GlobalIndicatorCollection explícita. La composition root construye el componente sólo si la colección contiene indicadores y lo entrega al global_indicators_slot.</x:v>
      </x:c>
      <x:c r="C22" t="str">
        <x:v>Decisiones D-061 a D-065</x:v>
      </x:c>
      <x:c r="D22" t="str">
        <x:v>Sin provider específico ni datos de referencia en producción; no modificar CSS/assets cerrados.</x:v>
      </x:c>
      <x:c r="E22" t="str">
        <x:v>06C → revisión visual con colección real/inyección explícita</x:v>
      </x:c>
      <x:c r="F22" t="str"/>
    </x:row>
    <x:row r="23">
      <x:c r="A23" t="str">
        <x:v>07A ADA Alarm Management Summary</x:v>
      </x:c>
      <x:c r="B23" t="str">
        <x:v>Promoción visual limpia desde multi-stage: Mina/Planta, grupo, porcentaje y tone. Se eliminan ToolManifest/ToolScope/section_key, runtime state validation y State Wrapper. El CSS histórico se separa de Alarm Status y usa variables propias de la capability.</x:v>
      </x:c>
      <x:c r="C23" t="str">
        <x:v>Decisiones D-067 a D-072</x:v>
      </x:c>
      <x:c r="D23" t="str">
        <x:v>No montar datos ficticios ni introducir semántica del motor de Command Center.</x:v>
      </x:c>
      <x:c r="E23" t="str">
        <x:v>07A → 07B</x:v>
      </x:c>
      <x:c r="F23" t="str"/>
    </x:row>
    <x:row r="24">
      <x:c r="A24" t="str">
        <x:v>07B Alarm Management Summary → Header</x:v>
      </x:c>
      <x:c r="B24" t="str">
        <x:v>ada-generic-application==0.1.10 registra ada-alarm-management-summary como módulo runtime y acepta AlarmManagementSummaryState explícito. La composition root construye el componente sólo desde ese estado y lo entrega a alarm_management_slot.</x:v>
      </x:c>
      <x:c r="C24" t="str">
        <x:v>Decisiones D-073 a D-077</x:v>
      </x:c>
      <x:c r="D24" t="str">
        <x:v>Default None; sin datos ficticios ni provider específico. CSS/assets cerrados no se modifican.</x:v>
      </x:c>
      <x:c r="E24" t="str">
        <x:v>07B → gate + revisión visual con inyección explícita</x:v>
      </x:c>
      <x:c r="F24" t="str"/>
    </x:row>
    <x:row r="25">
      <x:c r="A25" t="str">
        <x:v>08A ADA Alarm Status</x:v>
      </x:c>
      <x:c r="B25" t="str">
        <x:v>Promoción visual desde multi-stage: Alarmas + Activas/Gestionadas. Se conserva conteo y geometría base, pero los chips pasan a botones semánticos para los futuros modales. Se eliminan ToolManifest/ToolScope/State Wrapper.</x:v>
      </x:c>
      <x:c r="C25" t="str">
        <x:v>Decisiones D-079 a D-084</x:v>
      </x:c>
      <x:c r="D25" t="str">
        <x:v>No implementar aún callbacks, modales ni detalle backend.</x:v>
      </x:c>
      <x:c r="E25" t="str">
        <x:v>08A → 08B</x:v>
      </x:c>
      <x:c r="F25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06A</x:v>
      </x:c>
      <x:c r="B4" s="24" t="str">
        <x:v>ADA Display Status</x:v>
      </x:c>
      <x:c r="C4" s="24" t="str">
        <x:v>VERDE</x:v>
      </x:c>
      <x:c r="D4" s="24" t="str">
        <x:v>N/A</x:v>
      </x:c>
      <x:c r="E4" s="24" t="str">
        <x:v>Estados/iconos compartidos</x:v>
      </x:c>
      <x:c r="F4" s="24" t="str">
        <x:v>05A</x:v>
      </x:c>
      <x:c r="G4" s="24" t="str">
        <x:v>CERRADO.</x:v>
      </x:c>
    </x:row>
    <x:row r="5">
      <x:c r="A5" s="24" t="str">
        <x:v>06B</x:v>
      </x:c>
      <x:c r="B5" s="24" t="str">
        <x:v>ADA Global Indicator</x:v>
      </x:c>
      <x:c r="C5" s="24" t="str">
        <x:v>VERDE</x:v>
      </x:c>
      <x:c r="D5" s="24" t="str">
        <x:v>N/A</x:v>
      </x:c>
      <x:c r="E5" s="24" t="str">
        <x:v>Presentación reusable</x:v>
      </x:c>
      <x:c r="F5" s="24" t="str">
        <x:v>06A</x:v>
      </x:c>
      <x:c r="G5" s="24" t="str">
        <x:v>CERRADO.</x:v>
      </x:c>
    </x:row>
    <x:row r="6">
      <x:c r="A6" s="24" t="str">
        <x:v>06C</x:v>
      </x:c>
      <x:c r="B6" s="24" t="str">
        <x:v>Global Indicators → Header</x:v>
      </x:c>
      <x:c r="C6" s="24" t="str">
        <x:v>VERDE</x:v>
      </x:c>
      <x:c r="D6" s="24" t="str">
        <x:v>global_indicators_slot</x:v>
      </x:c>
      <x:c r="E6" s="24" t="str">
        <x:v>Colección explícita montada por composición</x:v>
      </x:c>
      <x:c r="F6" s="24" t="str">
        <x:v>05E + 06B</x:v>
      </x:c>
      <x:c r="G6" s="24" t="str">
        <x:v>CERRADO.</x:v>
      </x:c>
    </x:row>
    <x:row r="7">
      <x:c r="A7" s="24" t="str">
        <x:v>07A</x:v>
      </x:c>
      <x:c r="B7" s="24" t="str">
        <x:v>ADA Alarm Management Summary</x:v>
      </x:c>
      <x:c r="C7" s="24" t="str">
        <x:v>VERDE</x:v>
      </x:c>
      <x:c r="D7" s="24" t="str">
        <x:v>N/A</x:v>
      </x:c>
      <x:c r="E7" s="24" t="str">
        <x:v>Mina/Planta visual</x:v>
      </x:c>
      <x:c r="F7" s="24" t="str">
        <x:v>05E</x:v>
      </x:c>
      <x:c r="G7" s="24" t="str">
        <x:v>CERRADO.</x:v>
      </x:c>
    </x:row>
    <x:row r="8">
      <x:c r="A8" t="str">
        <x:v>07B</x:v>
      </x:c>
      <x:c r="B8" t="str">
        <x:v>Alarm Management Summary → Header</x:v>
      </x:c>
      <x:c r="C8" t="str">
        <x:v>VERDE</x:v>
      </x:c>
      <x:c r="D8" t="str">
        <x:v>alarm_management_slot</x:v>
      </x:c>
      <x:c r="E8" t="str">
        <x:v>Estado explícito montado por composición</x:v>
      </x:c>
      <x:c r="F8" t="str">
        <x:v>07A</x:v>
      </x:c>
      <x:c r="G8" t="str">
        <x:v>CERRADO. Gate verde reportado por el usuario.</x:v>
      </x:c>
    </x:row>
    <x:row r="9">
      <x:c r="A9" t="str">
        <x:v>08A</x:v>
      </x:c>
      <x:c r="B9" t="str">
        <x:v>ADA Alarm Status base</x:v>
      </x:c>
      <x:c r="C9" t="str">
        <x:v>EN EJECUCIÓN</x:v>
      </x:c>
      <x:c r="D9" t="str">
        <x:v>N/A</x:v>
      </x:c>
      <x:c r="E9" t="str">
        <x:v>Activas + Gestionadas como acciones visuales</x:v>
      </x:c>
      <x:c r="F9" t="str">
        <x:v>05E</x:v>
      </x:c>
      <x:c r="G9" t="str">
        <x:v>Sin ToolManifest/State Wrapper ni semántica del motor.</x:v>
      </x:c>
    </x:row>
    <x:row r="10">
      <x:c r="A10" t="str">
        <x:v>08B</x:v>
      </x:c>
      <x:c r="B10" t="str">
        <x:v>Alarm Status → Header</x:v>
      </x:c>
      <x:c r="C10" t="str">
        <x:v>PENDIENTE</x:v>
      </x:c>
      <x:c r="D10" t="str">
        <x:v>alarm_status_slot</x:v>
      </x:c>
      <x:c r="E10" t="str">
        <x:v>Estado explícito montado por composición</x:v>
      </x:c>
      <x:c r="F10" t="str">
        <x:v>08A</x:v>
      </x:c>
      <x:c r="G10" t="str">
        <x:v>Default None; sin datos ficticios.</x:v>
      </x:c>
    </x:row>
    <x:row r="11">
      <x:c r="A11" t="str">
        <x:v>08C</x:v>
      </x:c>
      <x:c r="B11" t="str">
        <x:v>Alarm Status detail contracts</x:v>
      </x:c>
      <x:c r="C11" t="str">
        <x:v>PENDIENTE</x:v>
      </x:c>
      <x:c r="D11" t="str">
        <x:v>N/A</x:v>
      </x:c>
      <x:c r="E11" t="str">
        <x:v>Contratos para detalle Activas/Gestionadas</x:v>
      </x:c>
      <x:c r="F11" t="str">
        <x:v>Command Center contracts</x:v>
      </x:c>
      <x:c r="G11" t="str">
        <x:v>No inventar tendencias/grupos ni semántica de gestión.</x:v>
      </x:c>
    </x:row>
    <x:row r="12">
      <x:c r="A12" t="str">
        <x:v>08D</x:v>
      </x:c>
      <x:c r="B12" t="str">
        <x:v>Alarm Status modals</x:v>
      </x:c>
      <x:c r="C12" t="str">
        <x:v>PENDIENTE</x:v>
      </x:c>
      <x:c r="D12" t="str">
        <x:v>N/A</x:v>
      </x:c>
      <x:c r="E12" t="str">
        <x:v>Modales + callbacks sobre contratos 08C</x:v>
      </x:c>
      <x:c r="F12" t="str">
        <x:v>08C</x:v>
      </x:c>
      <x:c r="G12" t="str">
        <x:v>Sin volver a tocar el Header.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5">
    <x:dataValidation type="list" sqref="C4:C7">
      <x:formula1>"PENDIENTE,EN REVISIÓN,LISTO PARA IMPLEMENTAR,EN EJECUCIÓN,VERDE,HOLD,DESCARTADO"</x:formula1>
    </x:dataValidation>
    <x:dataValidation type="list" sqref="C4:C8">
      <x:formula1>"PENDIENTE,EN REVISIÓN,LISTO PARA IMPLEMENTAR,EN EJECUCIÓN,VERDE,HOLD,DESCARTADO"</x:formula1>
    </x:dataValidation>
    <x:dataValidation type="list" sqref="C4:C9">
      <x:formula1>"PENDIENTE,EN REVISIÓN,LISTO PARA IMPLEMENTAR,EN EJECUCIÓN,VERDE,HOLD,DESCARTADO"</x:formula1>
    </x:dataValidation>
    <x:dataValidation type="list" sqref="C4:C10">
      <x:formula1>"PENDIENTE,EN REVISIÓN,LISTO PARA IMPLEMENTAR,EN EJECUCIÓN,VERDE,HOLD,DESCARTADO"</x:formula1>
    </x:dataValidation>
    <x:dataValidation type="list" sqref="C4:C12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